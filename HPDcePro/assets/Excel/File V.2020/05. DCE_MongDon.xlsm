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16200" windowHeight="24900" firstSheet="4" activeTab="8"/>
  </bookViews>
  <sheets>
    <sheet name="Ko" sheetId="11" state="hidden" r:id="rId1"/>
    <sheet name="SLS" sheetId="1" state="hidden" r:id="rId2"/>
    <sheet name="ULS" sheetId="2" state="hidden" r:id="rId3"/>
    <sheet name="POINT" sheetId="3" state="hidden" r:id="rId4"/>
    <sheet name="Data" sheetId="4" r:id="rId5"/>
    <sheet name="Ref" sheetId="5" state="hidden" r:id="rId6"/>
    <sheet name="Rtc" sheetId="6" r:id="rId7"/>
    <sheet name="MongDon" sheetId="12" r:id="rId8"/>
    <sheet name="MainTH" sheetId="14" r:id="rId9"/>
    <sheet name="MainAll" sheetId="13" r:id="rId10"/>
  </sheets>
  <functionGroups builtInGroupCount="18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dam24">[1]GIAVLIEU!$M$51</definedName>
    <definedName name="__TVL1">#REF!</definedName>
    <definedName name="_dam24">[1]GIAVLIEU!$M$51</definedName>
    <definedName name="_Fill" hidden="1">#REF!</definedName>
    <definedName name="_TVL1">#REF!</definedName>
    <definedName name="A">MongDon!#REF!</definedName>
    <definedName name="Af">MongDon!$F$23</definedName>
    <definedName name="B">MongDon!#REF!</definedName>
    <definedName name="Bqu">MongDon!$H$101</definedName>
    <definedName name="CAP_DO_BEN_CHIU_NEN">'[2]SO LIEU'!$D$7:$M$7</definedName>
    <definedName name="CapDoBenChiuNen">[3]Data_VatLieu!$A$3:$A$18</definedName>
    <definedName name="CT">"ct*"</definedName>
    <definedName name="Cu">MongDon!$H$76</definedName>
    <definedName name="CUONG_DO_THEP">'[4]SO LIEU'!$D$15:$L$15</definedName>
    <definedName name="D">MongDon!#REF!</definedName>
    <definedName name="DangDoBeTong">[3]Data_VatLieu!#REF!</definedName>
    <definedName name="DayMoiLopBeTong">[3]Data_VatLieu!#REF!</definedName>
    <definedName name="Df">MongDon!$H$21</definedName>
    <definedName name="dkthep">[5]Tables!$A$29:$A$42</definedName>
    <definedName name="DuLieuMong">'[6]TINH MONG DON (TM)'!$W$13:$AJ$122</definedName>
    <definedName name="DuongKinhThep">[3]Data_VatLieu!#REF!</definedName>
    <definedName name="ex">MongDon!$F$20</definedName>
    <definedName name="ey">MongDon!$H$20</definedName>
    <definedName name="f">#REF!</definedName>
    <definedName name="Fact">1.57</definedName>
    <definedName name="go">[1]GIAVLIEU!$M$70</definedName>
    <definedName name="goi">[1]GIAVLIEU!$M$67</definedName>
    <definedName name="h">[7]Cot!$AK$6</definedName>
    <definedName name="HeKetCau">[3]Data_VatLieu!#REF!</definedName>
    <definedName name="Hf">MongDon!$F$21</definedName>
    <definedName name="ho">MongDon!$H$22</definedName>
    <definedName name="HS">#REF!</definedName>
    <definedName name="id_get">#REF!</definedName>
    <definedName name="id_save">#REF!</definedName>
    <definedName name="k.a">[6]KheNut!$I$29</definedName>
    <definedName name="k.a2">[6]KheNut!$I$30</definedName>
    <definedName name="k.acr">[6]KheNut!$I$89</definedName>
    <definedName name="k.acr1">[6]KheNut!$I$88</definedName>
    <definedName name="k.acr1.gh">[6]KheNut!$I$86</definedName>
    <definedName name="k.acr2.gh">[6]KheNut!$I$87</definedName>
    <definedName name="k.anpha">[6]KheNut!$I$43</definedName>
    <definedName name="k.aphay">[6]KheNut!$I$34</definedName>
    <definedName name="k.Aphays">[6]KheNut!$I$46</definedName>
    <definedName name="k.Ared">[6]KheNut!$I$49</definedName>
    <definedName name="k.As">[6]KheNut!$I$44</definedName>
    <definedName name="k.b">[6]KheNut!$I$19</definedName>
    <definedName name="k.B.">[6]KheNut!$I$16</definedName>
    <definedName name="k.Beta">[6]KheNut!$I$120</definedName>
    <definedName name="k.bf">[6]KheNut!$I$22</definedName>
    <definedName name="k.bphayf">[6]KheNut!$I$24</definedName>
    <definedName name="k.Deta.acr">[6]KheNut!$I$90</definedName>
    <definedName name="k.deta.dh">[6]KheNut!$I$114</definedName>
    <definedName name="k.deta.ngh">[6]KheNut!$I$115</definedName>
    <definedName name="k.detaa">[6]KheNut!$I$93</definedName>
    <definedName name="k.detac">[6]KheNut!$I$101</definedName>
    <definedName name="k.detan.dh">[6]KheNut!$I$96</definedName>
    <definedName name="k.detan.ngh">[6]KheNut!$I$97</definedName>
    <definedName name="k.Eb">[6]KheNut!$I$41</definedName>
    <definedName name="k.eo.dh">[6]KheNut!$I$91</definedName>
    <definedName name="k.eo.ngh">[6]KheNut!$I$92</definedName>
    <definedName name="k.Es">[6]KheNut!$I$42</definedName>
    <definedName name="k.es.dh">[6]KheNut!$I$98</definedName>
    <definedName name="k.es.ngh">[6]KheNut!$I$99</definedName>
    <definedName name="k.h">[6]KheNut!$I$20</definedName>
    <definedName name="k.hf">[6]KheNut!$I$23</definedName>
    <definedName name="k.ho">[6]KheNut!$I$45</definedName>
    <definedName name="k.hphayf">[6]KheNut!$I$25</definedName>
    <definedName name="k.Ib">[6]KheNut!$I$60</definedName>
    <definedName name="k.Iphayb">[6]KheNut!$I$61</definedName>
    <definedName name="k.Iphaybo">[6]KheNut!$I$72</definedName>
    <definedName name="k.Iphays">[6]KheNut!$I$56</definedName>
    <definedName name="k.Iphayso">[6]KheNut!$I$71</definedName>
    <definedName name="k.Ired">[6]KheNut!$I$52</definedName>
    <definedName name="k.Is">[6]KheNut!$I$55</definedName>
    <definedName name="k.Iso">[6]KheNut!$I$70</definedName>
    <definedName name="k.lamda.dh">[6]KheNut!$I$112</definedName>
    <definedName name="k.lamda.ngh">[6]KheNut!$I$113</definedName>
    <definedName name="k.MaCauKien">[6]KheNut!$I$7</definedName>
    <definedName name="k.Mcr">[6]KheNut!$I$79</definedName>
    <definedName name="k.Mr">[6]KheNut!$I$78</definedName>
    <definedName name="k.Mrp">[6]KheNut!$I$80</definedName>
    <definedName name="k.Mtc">[6]KheNut!$I$8</definedName>
    <definedName name="k.Mtc.dh">[6]KheNut!$I$9</definedName>
    <definedName name="k.Mtc.ngh">[6]KheNut!$I$10</definedName>
    <definedName name="k.muy">[6]KheNut!$I$107</definedName>
    <definedName name="k.NtcNLT">[6]KheNut!$I$12</definedName>
    <definedName name="k.NtcNLT.dh">[6]KheNut!$I$13</definedName>
    <definedName name="k.NtcNLT.ngh">[6]KheNut!$I$14</definedName>
    <definedName name="k.nuy">[6]KheNut!$I$104</definedName>
    <definedName name="k.nuy.dh">[6]KheNut!$I$108</definedName>
    <definedName name="k.nuy.ngh">[6]KheNut!$I$109</definedName>
    <definedName name="k.ob">[6]KheNut!$I$76</definedName>
    <definedName name="k.os.dh">[6]KheNut!$I$94</definedName>
    <definedName name="k.os.ngh">[6]KheNut!$I$95</definedName>
    <definedName name="k.osc">[6]KheNut!$I$81</definedName>
    <definedName name="k.phi">[6]KheNut!$I$28</definedName>
    <definedName name="k.phif.dh">[6]KheNut!$I$110</definedName>
    <definedName name="k.phif.ngh">[6]KheNut!$I$111</definedName>
    <definedName name="k.phil.dh">[6]KheNut!$I$102</definedName>
    <definedName name="k.phil.ngh">[6]KheNut!$I$103</definedName>
    <definedName name="k.Rb.ser">[6]KheNut!$I$39</definedName>
    <definedName name="k.Rbt.ser">[6]KheNut!$I$40</definedName>
    <definedName name="k.ro">[6]KheNut!$I$54</definedName>
    <definedName name="k.rpl">[6]KheNut!$I$75</definedName>
    <definedName name="k.Sbo">[6]KheNut!$I$73</definedName>
    <definedName name="k.Sred">[6]KheNut!$I$50</definedName>
    <definedName name="k.sy.dh">[6]KheNut!$I$116</definedName>
    <definedName name="k.sy.ngh">[6]KheNut!$I$118</definedName>
    <definedName name="k.Table_Data">[6]KheNut!$N$2:$X$7</definedName>
    <definedName name="k.Wpl">[6]KheNut!$I$74</definedName>
    <definedName name="k.Wred">[6]KheNut!$I$53</definedName>
    <definedName name="k.x">[6]KheNut!$I$69</definedName>
    <definedName name="k.xo">[6]KheNut!$I$51</definedName>
    <definedName name="k.yt">[6]KheNut!$I$100</definedName>
    <definedName name="k.Zb.dh">[6]KheNut!$I$105</definedName>
    <definedName name="k.Zb.ngh">[6]KheNut!$I$106</definedName>
    <definedName name="kc_x">#REF!</definedName>
    <definedName name="kc_y">#REF!</definedName>
    <definedName name="KLVL1">#REF!</definedName>
    <definedName name="LX">MongDon!$F$19</definedName>
    <definedName name="LY">MongDon!$H$19</definedName>
    <definedName name="NhomThep">[3]Data_VatLieu!$A$23:$A$26</definedName>
    <definedName name="out_a">MongDon!$F$22</definedName>
    <definedName name="out_combo">#REF!</definedName>
    <definedName name="out_foot">#REF!</definedName>
    <definedName name="out_htn">MongDon!$F$25</definedName>
    <definedName name="out_k">MongDon!#REF!</definedName>
    <definedName name="out_kl">#REF!</definedName>
    <definedName name="out_kt">#REF!</definedName>
    <definedName name="out_m1">MongDon!#REF!</definedName>
    <definedName name="out_m2">MongDon!#REF!</definedName>
    <definedName name="out_mx">#REF!</definedName>
    <definedName name="out_my">#REF!</definedName>
    <definedName name="out_nz">#REF!</definedName>
    <definedName name="out_pg">MongDon!$H$25</definedName>
    <definedName name="out_point">#REF!</definedName>
    <definedName name="out_qx">#REF!</definedName>
    <definedName name="out_qy">#REF!</definedName>
    <definedName name="_xlnm.Print_Area" localSheetId="7">MongDon!$A$1:$H$153</definedName>
    <definedName name="phi">MongDon!$H$75</definedName>
    <definedName name="phi_x">#REF!</definedName>
    <definedName name="phi_y">#REF!</definedName>
    <definedName name="PhuongChiuLuc">[3]Data_VatLieu!#REF!</definedName>
    <definedName name="Ra">2700</definedName>
    <definedName name="Rad">1500</definedName>
    <definedName name="Rb">MongDon!$F$27</definedName>
    <definedName name="Rbt">MongDon!$H$27</definedName>
    <definedName name="Rk">8.8</definedName>
    <definedName name="Rn">130</definedName>
    <definedName name="RS">MongDon!$F$28</definedName>
    <definedName name="Rtcc">MongDon!$H$31</definedName>
    <definedName name="ToaDo">[6]ToaDo!$B:$G</definedName>
    <definedName name="theph">[1]GIAVLIEU!$M$41</definedName>
    <definedName name="TR">#REF!</definedName>
    <definedName name="v">#REF!</definedName>
    <definedName name="Wx">MongDon!$F$24</definedName>
    <definedName name="WY">MongDon!$H$24</definedName>
    <definedName name="X5Y2">[3]Coc!#REF!</definedName>
    <definedName name="X5Y3">[3]Coc!#REF!</definedName>
    <definedName name="X5Y4">[3]Coc!#REF!</definedName>
    <definedName name="xc">MongDon!$F$18</definedName>
    <definedName name="y_2">MongDon!$H$100</definedName>
    <definedName name="yc">MongDon!$H$18</definedName>
    <definedName name="yII">MongDon!#REF!</definedName>
    <definedName name="ytb">MongDon!$H$30</definedName>
    <definedName name="Zwt">MongDon!#REF!</definedName>
    <definedName name="전">#REF!</definedName>
    <definedName name="주택사업본부">#REF!</definedName>
    <definedName name="철구사업본부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243" i="13" l="1"/>
  <c r="CI243" i="13"/>
  <c r="CH243" i="13"/>
  <c r="CG243" i="13"/>
  <c r="CF243" i="13"/>
  <c r="CE243" i="13"/>
  <c r="CD243" i="13"/>
  <c r="CC243" i="13"/>
  <c r="CB243" i="13"/>
  <c r="CA243" i="13"/>
  <c r="BZ243" i="13"/>
  <c r="BY243" i="13"/>
  <c r="BX243" i="13"/>
  <c r="BW243" i="13"/>
  <c r="BV243" i="13"/>
  <c r="BU243" i="13"/>
  <c r="BT243" i="13"/>
  <c r="BS243" i="13"/>
  <c r="BR243" i="13"/>
  <c r="BQ243" i="13"/>
  <c r="BP243" i="13"/>
  <c r="BO243" i="13"/>
  <c r="BN243" i="13"/>
  <c r="BM243" i="13"/>
  <c r="BL243" i="13"/>
  <c r="BK243" i="13"/>
  <c r="BJ243" i="13"/>
  <c r="BI243" i="13"/>
  <c r="BH243" i="13"/>
  <c r="BG243" i="13"/>
  <c r="BF243" i="13"/>
  <c r="BE243" i="13"/>
  <c r="BD243" i="13"/>
  <c r="BC243" i="13"/>
  <c r="BB243" i="13"/>
  <c r="BA243" i="13"/>
  <c r="AZ243" i="13"/>
  <c r="AY243" i="13"/>
  <c r="AX243" i="13"/>
  <c r="AW243" i="13"/>
  <c r="AV243" i="13"/>
  <c r="AU243" i="13"/>
  <c r="AT243" i="13"/>
  <c r="AS243" i="13"/>
  <c r="AR243" i="13"/>
  <c r="AQ243" i="13"/>
  <c r="AP243" i="13"/>
  <c r="AO243" i="13"/>
  <c r="AN243" i="13"/>
  <c r="AM243" i="13"/>
  <c r="AL243" i="13"/>
  <c r="AK243" i="13"/>
  <c r="AJ243" i="13"/>
  <c r="AI243" i="13"/>
  <c r="AH243" i="13"/>
  <c r="AG243" i="13"/>
  <c r="AF243" i="13"/>
  <c r="CJ242" i="13"/>
  <c r="CI242" i="13"/>
  <c r="CH242" i="13"/>
  <c r="CG242" i="13"/>
  <c r="CF242" i="13"/>
  <c r="CE242" i="13"/>
  <c r="CD242" i="13"/>
  <c r="CC242" i="13"/>
  <c r="CB242" i="13"/>
  <c r="CA242" i="13"/>
  <c r="BZ242" i="13"/>
  <c r="BY242" i="13"/>
  <c r="BX242" i="13"/>
  <c r="BW242" i="13"/>
  <c r="BV242" i="13"/>
  <c r="BU242" i="13"/>
  <c r="BT242" i="13"/>
  <c r="BS242" i="13"/>
  <c r="BR242" i="13"/>
  <c r="BQ242" i="13"/>
  <c r="BP242" i="13"/>
  <c r="BO242" i="13"/>
  <c r="BN242" i="13"/>
  <c r="BM242" i="13"/>
  <c r="BL242" i="13"/>
  <c r="BK242" i="13"/>
  <c r="BJ242" i="13"/>
  <c r="BI242" i="13"/>
  <c r="BH242" i="13"/>
  <c r="BG242" i="13"/>
  <c r="BF242" i="13"/>
  <c r="BE242" i="13"/>
  <c r="BD242" i="13"/>
  <c r="BC242" i="13"/>
  <c r="BB242" i="13"/>
  <c r="BA242" i="13"/>
  <c r="AZ242" i="13"/>
  <c r="AY242" i="13"/>
  <c r="AX242" i="13"/>
  <c r="AW242" i="13"/>
  <c r="AV242" i="13"/>
  <c r="AU242" i="13"/>
  <c r="AT242" i="13"/>
  <c r="AS242" i="13"/>
  <c r="AR242" i="13"/>
  <c r="AQ242" i="13"/>
  <c r="AP242" i="13"/>
  <c r="AO242" i="13"/>
  <c r="AN242" i="13"/>
  <c r="AM242" i="13"/>
  <c r="AL242" i="13"/>
  <c r="AK242" i="13"/>
  <c r="AJ242" i="13"/>
  <c r="AI242" i="13"/>
  <c r="AH242" i="13"/>
  <c r="AG242" i="13"/>
  <c r="AF242" i="13"/>
  <c r="CJ241" i="13"/>
  <c r="CI241" i="13"/>
  <c r="CH241" i="13"/>
  <c r="CG241" i="13"/>
  <c r="CF241" i="13"/>
  <c r="CE241" i="13"/>
  <c r="CD241" i="13"/>
  <c r="CC241" i="13"/>
  <c r="CB241" i="13"/>
  <c r="CA241" i="13"/>
  <c r="BZ241" i="13"/>
  <c r="BY241" i="13"/>
  <c r="BX241" i="13"/>
  <c r="BW241" i="13"/>
  <c r="BV241" i="13"/>
  <c r="BU241" i="13"/>
  <c r="BT241" i="13"/>
  <c r="BS241" i="13"/>
  <c r="BR241" i="13"/>
  <c r="BQ241" i="13"/>
  <c r="BP241" i="13"/>
  <c r="BO241" i="13"/>
  <c r="BN241" i="13"/>
  <c r="BM241" i="13"/>
  <c r="BL241" i="13"/>
  <c r="BK241" i="13"/>
  <c r="BJ241" i="13"/>
  <c r="BI241" i="13"/>
  <c r="BH241" i="13"/>
  <c r="BG241" i="13"/>
  <c r="BF241" i="13"/>
  <c r="BE241" i="13"/>
  <c r="BD241" i="13"/>
  <c r="BC241" i="13"/>
  <c r="BB241" i="13"/>
  <c r="BA241" i="13"/>
  <c r="AZ241" i="13"/>
  <c r="AY241" i="13"/>
  <c r="AX241" i="13"/>
  <c r="AW241" i="13"/>
  <c r="AV241" i="13"/>
  <c r="AU241" i="13"/>
  <c r="AT241" i="13"/>
  <c r="AS241" i="13"/>
  <c r="AR241" i="13"/>
  <c r="AQ241" i="13"/>
  <c r="AP241" i="13"/>
  <c r="AO241" i="13"/>
  <c r="AN241" i="13"/>
  <c r="AM241" i="13"/>
  <c r="AL241" i="13"/>
  <c r="AK241" i="13"/>
  <c r="AJ241" i="13"/>
  <c r="AI241" i="13"/>
  <c r="AH241" i="13"/>
  <c r="AG241" i="13"/>
  <c r="AF241" i="13"/>
  <c r="CJ240" i="13"/>
  <c r="CI240" i="13"/>
  <c r="CH240" i="13"/>
  <c r="CG240" i="13"/>
  <c r="CF240" i="13"/>
  <c r="CE240" i="13"/>
  <c r="CD240" i="13"/>
  <c r="CC240" i="13"/>
  <c r="CB240" i="13"/>
  <c r="CA240" i="13"/>
  <c r="BZ240" i="13"/>
  <c r="BY240" i="13"/>
  <c r="BX240" i="13"/>
  <c r="BW240" i="13"/>
  <c r="BV240" i="13"/>
  <c r="BU240" i="13"/>
  <c r="BT240" i="13"/>
  <c r="BS240" i="13"/>
  <c r="BR240" i="13"/>
  <c r="BQ240" i="13"/>
  <c r="BP240" i="13"/>
  <c r="BO240" i="13"/>
  <c r="BN240" i="13"/>
  <c r="BM240" i="13"/>
  <c r="BL240" i="13"/>
  <c r="BK240" i="13"/>
  <c r="BJ240" i="13"/>
  <c r="BI240" i="13"/>
  <c r="BH240" i="13"/>
  <c r="BG240" i="13"/>
  <c r="BF240" i="13"/>
  <c r="BE240" i="13"/>
  <c r="BD240" i="13"/>
  <c r="BC240" i="13"/>
  <c r="BB240" i="13"/>
  <c r="BA240" i="13"/>
  <c r="AZ240" i="13"/>
  <c r="AY240" i="13"/>
  <c r="AX240" i="13"/>
  <c r="AW240" i="13"/>
  <c r="AV240" i="13"/>
  <c r="AU240" i="13"/>
  <c r="AT240" i="13"/>
  <c r="AS240" i="13"/>
  <c r="AR240" i="13"/>
  <c r="AQ240" i="13"/>
  <c r="AP240" i="13"/>
  <c r="AO240" i="13"/>
  <c r="AN240" i="13"/>
  <c r="AM240" i="13"/>
  <c r="AL240" i="13"/>
  <c r="AK240" i="13"/>
  <c r="AJ240" i="13"/>
  <c r="AI240" i="13"/>
  <c r="AH240" i="13"/>
  <c r="AG240" i="13"/>
  <c r="AF240" i="13"/>
  <c r="CJ239" i="13"/>
  <c r="CI239" i="13"/>
  <c r="CH239" i="13"/>
  <c r="CG239" i="13"/>
  <c r="CF239" i="13"/>
  <c r="CE239" i="13"/>
  <c r="CD239" i="13"/>
  <c r="CC239" i="13"/>
  <c r="CB239" i="13"/>
  <c r="CA239" i="13"/>
  <c r="BZ239" i="13"/>
  <c r="BY239" i="13"/>
  <c r="BX239" i="13"/>
  <c r="BW239" i="13"/>
  <c r="BV239" i="13"/>
  <c r="BU239" i="13"/>
  <c r="BT239" i="13"/>
  <c r="BS239" i="13"/>
  <c r="BR239" i="13"/>
  <c r="BQ239" i="13"/>
  <c r="BP239" i="13"/>
  <c r="BO239" i="13"/>
  <c r="BN239" i="13"/>
  <c r="BM239" i="13"/>
  <c r="BL239" i="13"/>
  <c r="BK239" i="13"/>
  <c r="BJ239" i="13"/>
  <c r="BI239" i="13"/>
  <c r="BH239" i="13"/>
  <c r="BG239" i="13"/>
  <c r="BF239" i="13"/>
  <c r="BE239" i="13"/>
  <c r="BD239" i="13"/>
  <c r="BC239" i="13"/>
  <c r="BB239" i="13"/>
  <c r="BA239" i="13"/>
  <c r="AZ239" i="13"/>
  <c r="AY239" i="13"/>
  <c r="AX239" i="13"/>
  <c r="AW239" i="13"/>
  <c r="AV239" i="13"/>
  <c r="AU239" i="13"/>
  <c r="AT239" i="13"/>
  <c r="AS239" i="13"/>
  <c r="AR239" i="13"/>
  <c r="AQ239" i="13"/>
  <c r="AP239" i="13"/>
  <c r="AO239" i="13"/>
  <c r="AN239" i="13"/>
  <c r="AM239" i="13"/>
  <c r="AL239" i="13"/>
  <c r="AK239" i="13"/>
  <c r="AJ239" i="13"/>
  <c r="AI239" i="13"/>
  <c r="AH239" i="13"/>
  <c r="AG239" i="13"/>
  <c r="AF239" i="13"/>
  <c r="CJ238" i="13"/>
  <c r="CI238" i="13"/>
  <c r="CH238" i="13"/>
  <c r="CG238" i="13"/>
  <c r="CF238" i="13"/>
  <c r="CE238" i="13"/>
  <c r="CD238" i="13"/>
  <c r="CC238" i="13"/>
  <c r="CB238" i="13"/>
  <c r="CA238" i="13"/>
  <c r="BZ238" i="13"/>
  <c r="BY238" i="13"/>
  <c r="BX238" i="13"/>
  <c r="BW238" i="13"/>
  <c r="BV238" i="13"/>
  <c r="BU238" i="13"/>
  <c r="BT238" i="13"/>
  <c r="BS238" i="13"/>
  <c r="BR238" i="13"/>
  <c r="BQ238" i="13"/>
  <c r="BP238" i="13"/>
  <c r="BO238" i="13"/>
  <c r="BN238" i="13"/>
  <c r="BM238" i="13"/>
  <c r="BL238" i="13"/>
  <c r="BK238" i="13"/>
  <c r="BJ238" i="13"/>
  <c r="BI238" i="13"/>
  <c r="BH238" i="13"/>
  <c r="BG238" i="13"/>
  <c r="BF238" i="13"/>
  <c r="BE238" i="13"/>
  <c r="BD238" i="13"/>
  <c r="BC238" i="13"/>
  <c r="BB238" i="13"/>
  <c r="BA238" i="13"/>
  <c r="AZ238" i="13"/>
  <c r="AY238" i="13"/>
  <c r="AX238" i="13"/>
  <c r="AW238" i="13"/>
  <c r="AV238" i="13"/>
  <c r="AU238" i="13"/>
  <c r="AT238" i="13"/>
  <c r="AS238" i="13"/>
  <c r="AR238" i="13"/>
  <c r="AQ238" i="13"/>
  <c r="AP238" i="13"/>
  <c r="AO238" i="13"/>
  <c r="AN238" i="13"/>
  <c r="AM238" i="13"/>
  <c r="AL238" i="13"/>
  <c r="AK238" i="13"/>
  <c r="AJ238" i="13"/>
  <c r="AI238" i="13"/>
  <c r="AH238" i="13"/>
  <c r="AG238" i="13"/>
  <c r="AF238" i="13"/>
  <c r="CJ237" i="13"/>
  <c r="CI237" i="13"/>
  <c r="CH237" i="13"/>
  <c r="CG237" i="13"/>
  <c r="CF237" i="13"/>
  <c r="CE237" i="13"/>
  <c r="CD237" i="13"/>
  <c r="CC237" i="13"/>
  <c r="CB237" i="13"/>
  <c r="CA237" i="13"/>
  <c r="BZ237" i="13"/>
  <c r="BY237" i="13"/>
  <c r="BX237" i="13"/>
  <c r="BW237" i="13"/>
  <c r="BV237" i="13"/>
  <c r="BU237" i="13"/>
  <c r="BT237" i="13"/>
  <c r="BS237" i="13"/>
  <c r="BR237" i="13"/>
  <c r="BQ237" i="13"/>
  <c r="BP237" i="13"/>
  <c r="BO237" i="13"/>
  <c r="BN237" i="13"/>
  <c r="BM237" i="13"/>
  <c r="BL237" i="13"/>
  <c r="BK237" i="13"/>
  <c r="BJ237" i="13"/>
  <c r="BI237" i="13"/>
  <c r="BH237" i="13"/>
  <c r="BG237" i="13"/>
  <c r="BF237" i="13"/>
  <c r="BE237" i="13"/>
  <c r="BD237" i="13"/>
  <c r="BC237" i="13"/>
  <c r="BB237" i="13"/>
  <c r="BA237" i="13"/>
  <c r="AZ237" i="13"/>
  <c r="AY237" i="13"/>
  <c r="AX237" i="13"/>
  <c r="AW237" i="13"/>
  <c r="AV237" i="13"/>
  <c r="AU237" i="13"/>
  <c r="AT237" i="13"/>
  <c r="AS237" i="13"/>
  <c r="AR237" i="13"/>
  <c r="AQ237" i="13"/>
  <c r="AP237" i="13"/>
  <c r="AO237" i="13"/>
  <c r="AN237" i="13"/>
  <c r="AM237" i="13"/>
  <c r="AL237" i="13"/>
  <c r="AK237" i="13"/>
  <c r="AJ237" i="13"/>
  <c r="AI237" i="13"/>
  <c r="AH237" i="13"/>
  <c r="AG237" i="13"/>
  <c r="AF237" i="13"/>
  <c r="CJ236" i="13"/>
  <c r="CI236" i="13"/>
  <c r="CH236" i="13"/>
  <c r="CG236" i="13"/>
  <c r="CF236" i="13"/>
  <c r="CE236" i="13"/>
  <c r="CD236" i="13"/>
  <c r="CC236" i="13"/>
  <c r="CB236" i="13"/>
  <c r="CA236" i="13"/>
  <c r="BZ236" i="13"/>
  <c r="BY236" i="13"/>
  <c r="BX236" i="13"/>
  <c r="BW236" i="13"/>
  <c r="BV236" i="13"/>
  <c r="BU236" i="13"/>
  <c r="BT236" i="13"/>
  <c r="BS236" i="13"/>
  <c r="BR236" i="13"/>
  <c r="BQ236" i="13"/>
  <c r="BP236" i="13"/>
  <c r="BO236" i="13"/>
  <c r="BN236" i="13"/>
  <c r="BM236" i="13"/>
  <c r="BL236" i="13"/>
  <c r="BK236" i="13"/>
  <c r="BJ236" i="13"/>
  <c r="BI236" i="13"/>
  <c r="BH236" i="13"/>
  <c r="BG236" i="13"/>
  <c r="BF236" i="13"/>
  <c r="BE236" i="13"/>
  <c r="BD236" i="13"/>
  <c r="BC236" i="13"/>
  <c r="BB236" i="13"/>
  <c r="BA236" i="13"/>
  <c r="AZ236" i="13"/>
  <c r="AY236" i="13"/>
  <c r="AX236" i="13"/>
  <c r="AW236" i="13"/>
  <c r="AV236" i="13"/>
  <c r="AU236" i="13"/>
  <c r="AT236" i="13"/>
  <c r="AS236" i="13"/>
  <c r="AR236" i="13"/>
  <c r="AQ236" i="13"/>
  <c r="AP236" i="13"/>
  <c r="AO236" i="13"/>
  <c r="AN236" i="13"/>
  <c r="AM236" i="13"/>
  <c r="AL236" i="13"/>
  <c r="AK236" i="13"/>
  <c r="AJ236" i="13"/>
  <c r="AI236" i="13"/>
  <c r="AH236" i="13"/>
  <c r="AG236" i="13"/>
  <c r="AF236" i="13"/>
  <c r="CJ235" i="13"/>
  <c r="CI235" i="13"/>
  <c r="CH235" i="13"/>
  <c r="CG235" i="13"/>
  <c r="CF235" i="13"/>
  <c r="CE235" i="13"/>
  <c r="CD235" i="13"/>
  <c r="CC235" i="13"/>
  <c r="CB235" i="13"/>
  <c r="CA235" i="13"/>
  <c r="BZ235" i="13"/>
  <c r="BY235" i="13"/>
  <c r="BX235" i="13"/>
  <c r="BW235" i="13"/>
  <c r="BV235" i="13"/>
  <c r="BU235" i="13"/>
  <c r="BT235" i="13"/>
  <c r="BS235" i="13"/>
  <c r="BR235" i="13"/>
  <c r="BQ235" i="13"/>
  <c r="BP235" i="13"/>
  <c r="BO235" i="13"/>
  <c r="BN235" i="13"/>
  <c r="BM235" i="13"/>
  <c r="BL235" i="13"/>
  <c r="BK235" i="13"/>
  <c r="BJ235" i="13"/>
  <c r="BI235" i="13"/>
  <c r="BH235" i="13"/>
  <c r="BG235" i="13"/>
  <c r="BF235" i="13"/>
  <c r="BE235" i="13"/>
  <c r="BD235" i="13"/>
  <c r="BC235" i="13"/>
  <c r="BB235" i="13"/>
  <c r="BA235" i="13"/>
  <c r="AZ235" i="13"/>
  <c r="AY235" i="13"/>
  <c r="AX235" i="13"/>
  <c r="AW235" i="13"/>
  <c r="AV235" i="13"/>
  <c r="AU235" i="13"/>
  <c r="AT235" i="13"/>
  <c r="AS235" i="13"/>
  <c r="AR235" i="13"/>
  <c r="AQ235" i="13"/>
  <c r="AP235" i="13"/>
  <c r="AO235" i="13"/>
  <c r="AN235" i="13"/>
  <c r="AM235" i="13"/>
  <c r="AL235" i="13"/>
  <c r="AK235" i="13"/>
  <c r="AJ235" i="13"/>
  <c r="AI235" i="13"/>
  <c r="AH235" i="13"/>
  <c r="AG235" i="13"/>
  <c r="AF235" i="13"/>
  <c r="CJ234" i="13"/>
  <c r="CI234" i="13"/>
  <c r="CH234" i="13"/>
  <c r="CG234" i="13"/>
  <c r="CF234" i="13"/>
  <c r="CE234" i="13"/>
  <c r="CD234" i="13"/>
  <c r="CC234" i="13"/>
  <c r="CB234" i="13"/>
  <c r="CA234" i="13"/>
  <c r="BZ234" i="13"/>
  <c r="BY234" i="13"/>
  <c r="BX234" i="13"/>
  <c r="BW234" i="13"/>
  <c r="BV234" i="13"/>
  <c r="BU234" i="13"/>
  <c r="BT234" i="13"/>
  <c r="BS234" i="13"/>
  <c r="BR234" i="13"/>
  <c r="BQ234" i="13"/>
  <c r="BP234" i="13"/>
  <c r="BO234" i="13"/>
  <c r="BN234" i="13"/>
  <c r="BM234" i="13"/>
  <c r="BL234" i="13"/>
  <c r="BK234" i="13"/>
  <c r="BJ234" i="13"/>
  <c r="BI234" i="13"/>
  <c r="BH234" i="13"/>
  <c r="BG234" i="13"/>
  <c r="BF234" i="13"/>
  <c r="BE234" i="13"/>
  <c r="BD234" i="13"/>
  <c r="BC234" i="13"/>
  <c r="BB234" i="13"/>
  <c r="BA234" i="13"/>
  <c r="AZ234" i="13"/>
  <c r="AY234" i="13"/>
  <c r="AX234" i="13"/>
  <c r="AW234" i="13"/>
  <c r="AV234" i="13"/>
  <c r="AU234" i="13"/>
  <c r="AT234" i="13"/>
  <c r="AS234" i="13"/>
  <c r="AR234" i="13"/>
  <c r="AQ234" i="13"/>
  <c r="AP234" i="13"/>
  <c r="AO234" i="13"/>
  <c r="AN234" i="13"/>
  <c r="AM234" i="13"/>
  <c r="AL234" i="13"/>
  <c r="AK234" i="13"/>
  <c r="AJ234" i="13"/>
  <c r="AI234" i="13"/>
  <c r="AH234" i="13"/>
  <c r="AG234" i="13"/>
  <c r="AF234" i="13"/>
  <c r="CJ233" i="13"/>
  <c r="CI233" i="13"/>
  <c r="CH233" i="13"/>
  <c r="CG233" i="13"/>
  <c r="CF233" i="13"/>
  <c r="CE233" i="13"/>
  <c r="CD233" i="13"/>
  <c r="CC233" i="13"/>
  <c r="CB233" i="13"/>
  <c r="CA233" i="13"/>
  <c r="BZ233" i="13"/>
  <c r="BY233" i="13"/>
  <c r="BX233" i="13"/>
  <c r="BW233" i="13"/>
  <c r="BV233" i="13"/>
  <c r="BU233" i="13"/>
  <c r="BT233" i="13"/>
  <c r="BS233" i="13"/>
  <c r="BR233" i="13"/>
  <c r="BQ233" i="13"/>
  <c r="BP233" i="13"/>
  <c r="BO233" i="13"/>
  <c r="BN233" i="13"/>
  <c r="BM233" i="13"/>
  <c r="BL233" i="13"/>
  <c r="BK233" i="13"/>
  <c r="BJ233" i="13"/>
  <c r="BI233" i="13"/>
  <c r="BH233" i="13"/>
  <c r="BG233" i="13"/>
  <c r="BF233" i="13"/>
  <c r="BE233" i="13"/>
  <c r="BD233" i="13"/>
  <c r="BC233" i="13"/>
  <c r="BB233" i="13"/>
  <c r="BA233" i="13"/>
  <c r="AZ233" i="13"/>
  <c r="AY233" i="13"/>
  <c r="AX233" i="13"/>
  <c r="AW233" i="13"/>
  <c r="AV233" i="13"/>
  <c r="AU233" i="13"/>
  <c r="AT233" i="13"/>
  <c r="AS233" i="13"/>
  <c r="AR233" i="13"/>
  <c r="AQ233" i="13"/>
  <c r="AP233" i="13"/>
  <c r="AO233" i="13"/>
  <c r="AN233" i="13"/>
  <c r="AM233" i="13"/>
  <c r="AL233" i="13"/>
  <c r="AK233" i="13"/>
  <c r="AJ233" i="13"/>
  <c r="AI233" i="13"/>
  <c r="AH233" i="13"/>
  <c r="AG233" i="13"/>
  <c r="AF233" i="13"/>
  <c r="CJ232" i="13"/>
  <c r="CI232" i="13"/>
  <c r="CH232" i="13"/>
  <c r="CG232" i="13"/>
  <c r="CF232" i="13"/>
  <c r="CE232" i="13"/>
  <c r="CD232" i="13"/>
  <c r="CC232" i="13"/>
  <c r="CB232" i="13"/>
  <c r="CA232" i="13"/>
  <c r="BZ232" i="13"/>
  <c r="BY232" i="13"/>
  <c r="BX232" i="13"/>
  <c r="BW232" i="13"/>
  <c r="BV232" i="13"/>
  <c r="BU232" i="13"/>
  <c r="BT232" i="13"/>
  <c r="BS232" i="13"/>
  <c r="BR232" i="13"/>
  <c r="BQ232" i="13"/>
  <c r="BP232" i="13"/>
  <c r="BO232" i="13"/>
  <c r="BN232" i="13"/>
  <c r="BM232" i="13"/>
  <c r="BL232" i="13"/>
  <c r="BK232" i="13"/>
  <c r="BJ232" i="13"/>
  <c r="BI232" i="13"/>
  <c r="BH232" i="13"/>
  <c r="BG232" i="13"/>
  <c r="BF232" i="13"/>
  <c r="BE232" i="13"/>
  <c r="BD232" i="13"/>
  <c r="BC232" i="13"/>
  <c r="BB232" i="13"/>
  <c r="BA232" i="13"/>
  <c r="AZ232" i="13"/>
  <c r="AY232" i="13"/>
  <c r="AX232" i="13"/>
  <c r="AW232" i="13"/>
  <c r="AV232" i="13"/>
  <c r="AU232" i="13"/>
  <c r="AT232" i="13"/>
  <c r="AS232" i="13"/>
  <c r="AR232" i="13"/>
  <c r="AQ232" i="13"/>
  <c r="AP232" i="13"/>
  <c r="AO232" i="13"/>
  <c r="AN232" i="13"/>
  <c r="AM232" i="13"/>
  <c r="AL232" i="13"/>
  <c r="AK232" i="13"/>
  <c r="AJ232" i="13"/>
  <c r="AI232" i="13"/>
  <c r="AH232" i="13"/>
  <c r="AG232" i="13"/>
  <c r="AF232" i="13"/>
  <c r="CJ231" i="13"/>
  <c r="CI231" i="13"/>
  <c r="CH231" i="13"/>
  <c r="CG231" i="13"/>
  <c r="CF231" i="13"/>
  <c r="CE231" i="13"/>
  <c r="CD231" i="13"/>
  <c r="CC231" i="13"/>
  <c r="CB231" i="13"/>
  <c r="CA231" i="13"/>
  <c r="BZ231" i="13"/>
  <c r="BY231" i="13"/>
  <c r="BX231" i="13"/>
  <c r="BW231" i="13"/>
  <c r="BV231" i="13"/>
  <c r="BU231" i="13"/>
  <c r="BT231" i="13"/>
  <c r="BS231" i="13"/>
  <c r="BR231" i="13"/>
  <c r="BQ231" i="13"/>
  <c r="BP231" i="13"/>
  <c r="BO231" i="13"/>
  <c r="BN231" i="13"/>
  <c r="BM231" i="13"/>
  <c r="BL231" i="13"/>
  <c r="BK231" i="13"/>
  <c r="BJ231" i="13"/>
  <c r="BI231" i="13"/>
  <c r="BH231" i="13"/>
  <c r="BG231" i="13"/>
  <c r="BF231" i="13"/>
  <c r="BE231" i="13"/>
  <c r="BD231" i="13"/>
  <c r="BC231" i="13"/>
  <c r="BB231" i="13"/>
  <c r="BA231" i="13"/>
  <c r="AZ231" i="13"/>
  <c r="AY231" i="13"/>
  <c r="AX231" i="13"/>
  <c r="AW231" i="13"/>
  <c r="AV231" i="13"/>
  <c r="AU231" i="13"/>
  <c r="AT231" i="13"/>
  <c r="AS231" i="13"/>
  <c r="AR231" i="13"/>
  <c r="AQ231" i="13"/>
  <c r="AP231" i="13"/>
  <c r="AO231" i="13"/>
  <c r="AN231" i="13"/>
  <c r="AM231" i="13"/>
  <c r="AL231" i="13"/>
  <c r="AK231" i="13"/>
  <c r="AJ231" i="13"/>
  <c r="AI231" i="13"/>
  <c r="AH231" i="13"/>
  <c r="AG231" i="13"/>
  <c r="AF231" i="13"/>
  <c r="CJ230" i="13"/>
  <c r="CI230" i="13"/>
  <c r="CH230" i="13"/>
  <c r="CG230" i="13"/>
  <c r="CF230" i="13"/>
  <c r="CE230" i="13"/>
  <c r="CD230" i="13"/>
  <c r="CC230" i="13"/>
  <c r="CB230" i="13"/>
  <c r="CA230" i="13"/>
  <c r="BZ230" i="13"/>
  <c r="BY230" i="13"/>
  <c r="BX230" i="13"/>
  <c r="BW230" i="13"/>
  <c r="BV230" i="13"/>
  <c r="BU230" i="13"/>
  <c r="BT230" i="13"/>
  <c r="BS230" i="13"/>
  <c r="BR230" i="13"/>
  <c r="BQ230" i="13"/>
  <c r="BP230" i="13"/>
  <c r="BO230" i="13"/>
  <c r="BN230" i="13"/>
  <c r="BM230" i="13"/>
  <c r="BL230" i="13"/>
  <c r="BK230" i="13"/>
  <c r="BJ230" i="13"/>
  <c r="BI230" i="13"/>
  <c r="BH230" i="13"/>
  <c r="BG230" i="13"/>
  <c r="BF230" i="13"/>
  <c r="BE230" i="13"/>
  <c r="BD230" i="13"/>
  <c r="BC230" i="13"/>
  <c r="BB230" i="13"/>
  <c r="BA230" i="13"/>
  <c r="AZ230" i="13"/>
  <c r="AY230" i="13"/>
  <c r="AX230" i="13"/>
  <c r="AW230" i="13"/>
  <c r="AV230" i="13"/>
  <c r="AU230" i="13"/>
  <c r="AT230" i="13"/>
  <c r="AS230" i="13"/>
  <c r="AR230" i="13"/>
  <c r="AQ230" i="13"/>
  <c r="AP230" i="13"/>
  <c r="AO230" i="13"/>
  <c r="AN230" i="13"/>
  <c r="AM230" i="13"/>
  <c r="AL230" i="13"/>
  <c r="AK230" i="13"/>
  <c r="AJ230" i="13"/>
  <c r="AI230" i="13"/>
  <c r="AH230" i="13"/>
  <c r="AG230" i="13"/>
  <c r="AF230" i="13"/>
  <c r="CJ229" i="13"/>
  <c r="CI229" i="13"/>
  <c r="CH229" i="13"/>
  <c r="CG229" i="13"/>
  <c r="CF229" i="13"/>
  <c r="CE229" i="13"/>
  <c r="CD229" i="13"/>
  <c r="CC229" i="13"/>
  <c r="CB229" i="13"/>
  <c r="CA229" i="13"/>
  <c r="BZ229" i="13"/>
  <c r="BY229" i="13"/>
  <c r="BX229" i="13"/>
  <c r="BW229" i="13"/>
  <c r="BV229" i="13"/>
  <c r="BU229" i="13"/>
  <c r="BT229" i="13"/>
  <c r="BS229" i="13"/>
  <c r="BR229" i="13"/>
  <c r="BQ229" i="13"/>
  <c r="BP229" i="13"/>
  <c r="BO229" i="13"/>
  <c r="BN229" i="13"/>
  <c r="BM229" i="13"/>
  <c r="BL229" i="13"/>
  <c r="BK229" i="13"/>
  <c r="BJ229" i="13"/>
  <c r="BI229" i="13"/>
  <c r="BH229" i="13"/>
  <c r="BG229" i="13"/>
  <c r="BF229" i="13"/>
  <c r="BE229" i="13"/>
  <c r="BD229" i="13"/>
  <c r="BC229" i="13"/>
  <c r="BB229" i="13"/>
  <c r="BA229" i="13"/>
  <c r="AZ229" i="13"/>
  <c r="AY229" i="13"/>
  <c r="AX229" i="13"/>
  <c r="AW229" i="13"/>
  <c r="AV229" i="13"/>
  <c r="AU229" i="13"/>
  <c r="AT229" i="13"/>
  <c r="AS229" i="13"/>
  <c r="AR229" i="13"/>
  <c r="AQ229" i="13"/>
  <c r="AP229" i="13"/>
  <c r="AO229" i="13"/>
  <c r="AN229" i="13"/>
  <c r="AM229" i="13"/>
  <c r="AL229" i="13"/>
  <c r="AK229" i="13"/>
  <c r="AJ229" i="13"/>
  <c r="AI229" i="13"/>
  <c r="AH229" i="13"/>
  <c r="AG229" i="13"/>
  <c r="AF229" i="13"/>
  <c r="CJ228" i="13"/>
  <c r="CI228" i="13"/>
  <c r="CH228" i="13"/>
  <c r="CG228" i="13"/>
  <c r="CF228" i="13"/>
  <c r="CE228" i="13"/>
  <c r="CD228" i="13"/>
  <c r="CC228" i="13"/>
  <c r="CB228" i="13"/>
  <c r="CA228" i="13"/>
  <c r="BZ228" i="13"/>
  <c r="BY228" i="13"/>
  <c r="BX228" i="13"/>
  <c r="BW228" i="13"/>
  <c r="BV228" i="13"/>
  <c r="BU228" i="13"/>
  <c r="BT228" i="13"/>
  <c r="BS228" i="13"/>
  <c r="BR228" i="13"/>
  <c r="BQ228" i="13"/>
  <c r="BP228" i="13"/>
  <c r="BO228" i="13"/>
  <c r="BN228" i="13"/>
  <c r="BM228" i="13"/>
  <c r="BL228" i="13"/>
  <c r="BK228" i="13"/>
  <c r="BJ228" i="13"/>
  <c r="BI228" i="13"/>
  <c r="BH228" i="13"/>
  <c r="BG228" i="13"/>
  <c r="BF228" i="13"/>
  <c r="BE228" i="13"/>
  <c r="BD228" i="13"/>
  <c r="BC228" i="13"/>
  <c r="BB228" i="13"/>
  <c r="BA228" i="13"/>
  <c r="AZ228" i="13"/>
  <c r="AY228" i="13"/>
  <c r="AX228" i="13"/>
  <c r="AW228" i="13"/>
  <c r="AV228" i="13"/>
  <c r="AU228" i="13"/>
  <c r="AT228" i="13"/>
  <c r="AS228" i="13"/>
  <c r="AR228" i="13"/>
  <c r="AQ228" i="13"/>
  <c r="AP228" i="13"/>
  <c r="AO228" i="13"/>
  <c r="AN228" i="13"/>
  <c r="AM228" i="13"/>
  <c r="AL228" i="13"/>
  <c r="AK228" i="13"/>
  <c r="AJ228" i="13"/>
  <c r="AI228" i="13"/>
  <c r="AH228" i="13"/>
  <c r="AG228" i="13"/>
  <c r="AF228" i="13"/>
  <c r="CJ227" i="13"/>
  <c r="CI227" i="13"/>
  <c r="CH227" i="13"/>
  <c r="CG227" i="13"/>
  <c r="CF227" i="13"/>
  <c r="CE227" i="13"/>
  <c r="CD227" i="13"/>
  <c r="CC227" i="13"/>
  <c r="CB227" i="13"/>
  <c r="CA227" i="13"/>
  <c r="BZ227" i="13"/>
  <c r="BY227" i="13"/>
  <c r="BX227" i="13"/>
  <c r="BW227" i="13"/>
  <c r="BV227" i="13"/>
  <c r="BU227" i="13"/>
  <c r="BT227" i="13"/>
  <c r="BS227" i="13"/>
  <c r="BR227" i="13"/>
  <c r="BQ227" i="13"/>
  <c r="BP227" i="13"/>
  <c r="BO227" i="13"/>
  <c r="BN227" i="13"/>
  <c r="BM227" i="13"/>
  <c r="BL227" i="13"/>
  <c r="BK227" i="13"/>
  <c r="BJ227" i="13"/>
  <c r="BI227" i="13"/>
  <c r="BH227" i="13"/>
  <c r="BG227" i="13"/>
  <c r="BF227" i="13"/>
  <c r="BE227" i="13"/>
  <c r="BD227" i="13"/>
  <c r="BC227" i="13"/>
  <c r="BB227" i="13"/>
  <c r="BA227" i="13"/>
  <c r="AZ227" i="13"/>
  <c r="AY227" i="13"/>
  <c r="AX227" i="13"/>
  <c r="AW227" i="13"/>
  <c r="AV227" i="13"/>
  <c r="AU227" i="13"/>
  <c r="AT227" i="13"/>
  <c r="AS227" i="13"/>
  <c r="AR227" i="13"/>
  <c r="AQ227" i="13"/>
  <c r="AP227" i="13"/>
  <c r="AO227" i="13"/>
  <c r="AN227" i="13"/>
  <c r="AM227" i="13"/>
  <c r="AL227" i="13"/>
  <c r="AK227" i="13"/>
  <c r="AJ227" i="13"/>
  <c r="AI227" i="13"/>
  <c r="AH227" i="13"/>
  <c r="AG227" i="13"/>
  <c r="AF227" i="13"/>
  <c r="CJ226" i="13"/>
  <c r="CI226" i="13"/>
  <c r="CH226" i="13"/>
  <c r="CG226" i="13"/>
  <c r="CF226" i="13"/>
  <c r="CE226" i="13"/>
  <c r="CD226" i="13"/>
  <c r="CC226" i="13"/>
  <c r="CB226" i="13"/>
  <c r="CA226" i="13"/>
  <c r="BZ226" i="13"/>
  <c r="BY226" i="13"/>
  <c r="BX226" i="13"/>
  <c r="BW226" i="13"/>
  <c r="BV226" i="13"/>
  <c r="BU226" i="13"/>
  <c r="BT226" i="13"/>
  <c r="BS226" i="13"/>
  <c r="BR226" i="13"/>
  <c r="BQ226" i="13"/>
  <c r="BP226" i="13"/>
  <c r="BO226" i="13"/>
  <c r="BN226" i="13"/>
  <c r="BM226" i="13"/>
  <c r="BL226" i="13"/>
  <c r="BK226" i="13"/>
  <c r="BJ226" i="13"/>
  <c r="BI226" i="13"/>
  <c r="BH226" i="13"/>
  <c r="BG226" i="13"/>
  <c r="BF226" i="13"/>
  <c r="BE226" i="13"/>
  <c r="BD226" i="13"/>
  <c r="BC226" i="13"/>
  <c r="BB226" i="13"/>
  <c r="BA226" i="13"/>
  <c r="AZ226" i="13"/>
  <c r="AY226" i="13"/>
  <c r="AX226" i="13"/>
  <c r="AW226" i="13"/>
  <c r="AV226" i="13"/>
  <c r="AU226" i="13"/>
  <c r="AT226" i="13"/>
  <c r="AS226" i="13"/>
  <c r="AR226" i="13"/>
  <c r="AQ226" i="13"/>
  <c r="AP226" i="13"/>
  <c r="AO226" i="13"/>
  <c r="AN226" i="13"/>
  <c r="AM226" i="13"/>
  <c r="AL226" i="13"/>
  <c r="AK226" i="13"/>
  <c r="AJ226" i="13"/>
  <c r="AI226" i="13"/>
  <c r="AH226" i="13"/>
  <c r="AG226" i="13"/>
  <c r="AF226" i="13"/>
  <c r="CJ225" i="13"/>
  <c r="CI225" i="13"/>
  <c r="CH225" i="13"/>
  <c r="CG225" i="13"/>
  <c r="CF225" i="13"/>
  <c r="CE225" i="13"/>
  <c r="CD225" i="13"/>
  <c r="CC225" i="13"/>
  <c r="CB225" i="13"/>
  <c r="CA225" i="13"/>
  <c r="BZ225" i="13"/>
  <c r="BY225" i="13"/>
  <c r="BX225" i="13"/>
  <c r="BW225" i="13"/>
  <c r="BV225" i="13"/>
  <c r="BU225" i="13"/>
  <c r="BT225" i="13"/>
  <c r="BS225" i="13"/>
  <c r="BR225" i="13"/>
  <c r="BQ225" i="13"/>
  <c r="BP225" i="13"/>
  <c r="BO225" i="13"/>
  <c r="BN225" i="13"/>
  <c r="BM225" i="13"/>
  <c r="BL225" i="13"/>
  <c r="BK225" i="13"/>
  <c r="BJ225" i="13"/>
  <c r="BI225" i="13"/>
  <c r="BH225" i="13"/>
  <c r="BG225" i="13"/>
  <c r="BF225" i="13"/>
  <c r="BE225" i="13"/>
  <c r="BD225" i="13"/>
  <c r="BC225" i="13"/>
  <c r="BB225" i="13"/>
  <c r="BA225" i="13"/>
  <c r="AZ225" i="13"/>
  <c r="AY225" i="13"/>
  <c r="AX225" i="13"/>
  <c r="AW225" i="13"/>
  <c r="AV225" i="13"/>
  <c r="AU225" i="13"/>
  <c r="AT225" i="13"/>
  <c r="AS225" i="13"/>
  <c r="AR225" i="13"/>
  <c r="AQ225" i="13"/>
  <c r="AP225" i="13"/>
  <c r="AO225" i="13"/>
  <c r="AN225" i="13"/>
  <c r="AM225" i="13"/>
  <c r="AL225" i="13"/>
  <c r="AK225" i="13"/>
  <c r="AJ225" i="13"/>
  <c r="AI225" i="13"/>
  <c r="AH225" i="13"/>
  <c r="AG225" i="13"/>
  <c r="AF225" i="13"/>
  <c r="CJ224" i="13"/>
  <c r="CI224" i="13"/>
  <c r="CH224" i="13"/>
  <c r="CG224" i="13"/>
  <c r="CF224" i="13"/>
  <c r="CE224" i="13"/>
  <c r="CD224" i="13"/>
  <c r="CC224" i="13"/>
  <c r="CB224" i="13"/>
  <c r="CA224" i="13"/>
  <c r="BZ224" i="13"/>
  <c r="BY224" i="13"/>
  <c r="BX224" i="13"/>
  <c r="BW224" i="13"/>
  <c r="BV224" i="13"/>
  <c r="BU224" i="13"/>
  <c r="BT224" i="13"/>
  <c r="BS224" i="13"/>
  <c r="BR224" i="13"/>
  <c r="BQ224" i="13"/>
  <c r="BP224" i="13"/>
  <c r="BO224" i="13"/>
  <c r="BN224" i="13"/>
  <c r="BM224" i="13"/>
  <c r="BL224" i="13"/>
  <c r="BK224" i="13"/>
  <c r="BJ224" i="13"/>
  <c r="BI224" i="13"/>
  <c r="BH224" i="13"/>
  <c r="BG224" i="13"/>
  <c r="BF224" i="13"/>
  <c r="BE224" i="13"/>
  <c r="BD224" i="13"/>
  <c r="BC224" i="13"/>
  <c r="BB224" i="13"/>
  <c r="BA224" i="13"/>
  <c r="AZ224" i="13"/>
  <c r="AY224" i="13"/>
  <c r="AX224" i="13"/>
  <c r="AW224" i="13"/>
  <c r="AV224" i="13"/>
  <c r="AU224" i="13"/>
  <c r="AT224" i="13"/>
  <c r="AS224" i="13"/>
  <c r="AR224" i="13"/>
  <c r="AQ224" i="13"/>
  <c r="AP224" i="13"/>
  <c r="AO224" i="13"/>
  <c r="AN224" i="13"/>
  <c r="AM224" i="13"/>
  <c r="AL224" i="13"/>
  <c r="AK224" i="13"/>
  <c r="AJ224" i="13"/>
  <c r="AI224" i="13"/>
  <c r="AH224" i="13"/>
  <c r="AG224" i="13"/>
  <c r="AF224" i="13"/>
  <c r="CJ223" i="13"/>
  <c r="CI223" i="13"/>
  <c r="CH223" i="13"/>
  <c r="CG223" i="13"/>
  <c r="CF223" i="13"/>
  <c r="CE223" i="13"/>
  <c r="CD223" i="13"/>
  <c r="CC223" i="13"/>
  <c r="CB223" i="13"/>
  <c r="CA223" i="13"/>
  <c r="BZ223" i="13"/>
  <c r="BY223" i="13"/>
  <c r="BX223" i="13"/>
  <c r="BW223" i="13"/>
  <c r="BV223" i="13"/>
  <c r="BU223" i="13"/>
  <c r="BT223" i="13"/>
  <c r="BS223" i="13"/>
  <c r="BR223" i="13"/>
  <c r="BQ223" i="13"/>
  <c r="BP223" i="13"/>
  <c r="BO223" i="13"/>
  <c r="BN223" i="13"/>
  <c r="BM223" i="13"/>
  <c r="BL223" i="13"/>
  <c r="BK223" i="13"/>
  <c r="BJ223" i="13"/>
  <c r="BI223" i="13"/>
  <c r="BH223" i="13"/>
  <c r="BG223" i="13"/>
  <c r="BF223" i="13"/>
  <c r="BE223" i="13"/>
  <c r="BD223" i="13"/>
  <c r="BC223" i="13"/>
  <c r="BB223" i="13"/>
  <c r="BA223" i="13"/>
  <c r="AZ223" i="13"/>
  <c r="AY223" i="13"/>
  <c r="AX223" i="13"/>
  <c r="AW223" i="13"/>
  <c r="AV223" i="13"/>
  <c r="AU223" i="13"/>
  <c r="AT223" i="13"/>
  <c r="AS223" i="13"/>
  <c r="AR223" i="13"/>
  <c r="AQ223" i="13"/>
  <c r="AP223" i="13"/>
  <c r="AO223" i="13"/>
  <c r="AN223" i="13"/>
  <c r="AM223" i="13"/>
  <c r="AL223" i="13"/>
  <c r="AK223" i="13"/>
  <c r="AJ223" i="13"/>
  <c r="AI223" i="13"/>
  <c r="AH223" i="13"/>
  <c r="AG223" i="13"/>
  <c r="AF223" i="13"/>
  <c r="CJ222" i="13"/>
  <c r="CI222" i="13"/>
  <c r="CH222" i="13"/>
  <c r="CG222" i="13"/>
  <c r="CF222" i="13"/>
  <c r="CE222" i="13"/>
  <c r="CD222" i="13"/>
  <c r="CC222" i="13"/>
  <c r="CB222" i="13"/>
  <c r="CA222" i="13"/>
  <c r="BZ222" i="13"/>
  <c r="BY222" i="13"/>
  <c r="BX222" i="13"/>
  <c r="BW222" i="13"/>
  <c r="BV222" i="13"/>
  <c r="BU222" i="13"/>
  <c r="BT222" i="13"/>
  <c r="BS222" i="13"/>
  <c r="BR222" i="13"/>
  <c r="BQ222" i="13"/>
  <c r="BP222" i="13"/>
  <c r="BO222" i="13"/>
  <c r="BN222" i="13"/>
  <c r="BM222" i="13"/>
  <c r="BL222" i="13"/>
  <c r="BK222" i="13"/>
  <c r="BJ222" i="13"/>
  <c r="BI222" i="13"/>
  <c r="BH222" i="13"/>
  <c r="BG222" i="13"/>
  <c r="BF222" i="13"/>
  <c r="BE222" i="13"/>
  <c r="BD222" i="13"/>
  <c r="BC222" i="13"/>
  <c r="BB222" i="13"/>
  <c r="BA222" i="13"/>
  <c r="AZ222" i="13"/>
  <c r="AY222" i="13"/>
  <c r="AX222" i="13"/>
  <c r="AW222" i="13"/>
  <c r="AV222" i="13"/>
  <c r="AU222" i="13"/>
  <c r="AT222" i="13"/>
  <c r="AS222" i="13"/>
  <c r="AR222" i="13"/>
  <c r="AQ222" i="13"/>
  <c r="AP222" i="13"/>
  <c r="AO222" i="13"/>
  <c r="AN222" i="13"/>
  <c r="AM222" i="13"/>
  <c r="AL222" i="13"/>
  <c r="AK222" i="13"/>
  <c r="AJ222" i="13"/>
  <c r="AI222" i="13"/>
  <c r="AH222" i="13"/>
  <c r="AG222" i="13"/>
  <c r="AF222" i="13"/>
  <c r="CJ221" i="13"/>
  <c r="CI221" i="13"/>
  <c r="CH221" i="13"/>
  <c r="CG221" i="13"/>
  <c r="CF221" i="13"/>
  <c r="CE221" i="13"/>
  <c r="CD221" i="13"/>
  <c r="CC221" i="13"/>
  <c r="CB221" i="13"/>
  <c r="CA221" i="13"/>
  <c r="BZ221" i="13"/>
  <c r="BY221" i="13"/>
  <c r="BX221" i="13"/>
  <c r="BW221" i="13"/>
  <c r="BV221" i="13"/>
  <c r="BU221" i="13"/>
  <c r="BT221" i="13"/>
  <c r="BS221" i="13"/>
  <c r="BR221" i="13"/>
  <c r="BQ221" i="13"/>
  <c r="BP221" i="13"/>
  <c r="BO221" i="13"/>
  <c r="BN221" i="13"/>
  <c r="BM221" i="13"/>
  <c r="BL221" i="13"/>
  <c r="BK221" i="13"/>
  <c r="BJ221" i="13"/>
  <c r="BI221" i="13"/>
  <c r="BH221" i="13"/>
  <c r="BG221" i="13"/>
  <c r="BF221" i="13"/>
  <c r="BE221" i="13"/>
  <c r="BD221" i="13"/>
  <c r="BC221" i="13"/>
  <c r="BB221" i="13"/>
  <c r="BA221" i="13"/>
  <c r="AZ221" i="13"/>
  <c r="AY221" i="13"/>
  <c r="AX221" i="13"/>
  <c r="AW221" i="13"/>
  <c r="AV221" i="13"/>
  <c r="AU221" i="13"/>
  <c r="AT221" i="13"/>
  <c r="AS221" i="13"/>
  <c r="AR221" i="13"/>
  <c r="AQ221" i="13"/>
  <c r="AP221" i="13"/>
  <c r="AO221" i="13"/>
  <c r="AN221" i="13"/>
  <c r="AM221" i="13"/>
  <c r="AL221" i="13"/>
  <c r="AK221" i="13"/>
  <c r="AJ221" i="13"/>
  <c r="AI221" i="13"/>
  <c r="AH221" i="13"/>
  <c r="AG221" i="13"/>
  <c r="AF221" i="13"/>
  <c r="CJ220" i="13"/>
  <c r="CI220" i="13"/>
  <c r="CH220" i="13"/>
  <c r="CG220" i="13"/>
  <c r="CF220" i="13"/>
  <c r="CE220" i="13"/>
  <c r="CD220" i="13"/>
  <c r="CC220" i="13"/>
  <c r="CB220" i="13"/>
  <c r="CA220" i="13"/>
  <c r="BZ220" i="13"/>
  <c r="BY220" i="13"/>
  <c r="BX220" i="13"/>
  <c r="BW220" i="13"/>
  <c r="BV220" i="13"/>
  <c r="BU220" i="13"/>
  <c r="BT220" i="13"/>
  <c r="BS220" i="13"/>
  <c r="BR220" i="13"/>
  <c r="BQ220" i="13"/>
  <c r="BP220" i="13"/>
  <c r="BO220" i="13"/>
  <c r="BN220" i="13"/>
  <c r="BM220" i="13"/>
  <c r="BL220" i="13"/>
  <c r="BK220" i="13"/>
  <c r="BJ220" i="13"/>
  <c r="BI220" i="13"/>
  <c r="BH220" i="13"/>
  <c r="BG220" i="13"/>
  <c r="BF220" i="13"/>
  <c r="BE220" i="13"/>
  <c r="BD220" i="13"/>
  <c r="BC220" i="13"/>
  <c r="BB220" i="13"/>
  <c r="BA220" i="13"/>
  <c r="AZ220" i="13"/>
  <c r="AY220" i="13"/>
  <c r="AX220" i="13"/>
  <c r="AW220" i="13"/>
  <c r="AV220" i="13"/>
  <c r="AU220" i="13"/>
  <c r="AT220" i="13"/>
  <c r="AS220" i="13"/>
  <c r="AR220" i="13"/>
  <c r="AQ220" i="13"/>
  <c r="AP220" i="13"/>
  <c r="AO220" i="13"/>
  <c r="AN220" i="13"/>
  <c r="AM220" i="13"/>
  <c r="AL220" i="13"/>
  <c r="AK220" i="13"/>
  <c r="AJ220" i="13"/>
  <c r="AI220" i="13"/>
  <c r="AH220" i="13"/>
  <c r="AG220" i="13"/>
  <c r="AF220" i="13"/>
  <c r="CJ219" i="13"/>
  <c r="CI219" i="13"/>
  <c r="CH219" i="13"/>
  <c r="CG219" i="13"/>
  <c r="CF219" i="13"/>
  <c r="CE219" i="13"/>
  <c r="CD219" i="13"/>
  <c r="CC219" i="13"/>
  <c r="CB219" i="13"/>
  <c r="CA219" i="13"/>
  <c r="BZ219" i="13"/>
  <c r="BY219" i="13"/>
  <c r="BX219" i="13"/>
  <c r="BW219" i="13"/>
  <c r="BV219" i="13"/>
  <c r="BU219" i="13"/>
  <c r="BT219" i="13"/>
  <c r="BS219" i="13"/>
  <c r="BR219" i="13"/>
  <c r="BQ219" i="13"/>
  <c r="BP219" i="13"/>
  <c r="BO219" i="13"/>
  <c r="BN219" i="13"/>
  <c r="BM219" i="13"/>
  <c r="BL219" i="13"/>
  <c r="BK219" i="13"/>
  <c r="BJ219" i="13"/>
  <c r="BI219" i="13"/>
  <c r="BH219" i="13"/>
  <c r="BG219" i="13"/>
  <c r="BF219" i="13"/>
  <c r="BE219" i="13"/>
  <c r="BD219" i="13"/>
  <c r="BC219" i="13"/>
  <c r="BB219" i="13"/>
  <c r="BA219" i="13"/>
  <c r="AZ219" i="13"/>
  <c r="AY219" i="13"/>
  <c r="AX219" i="13"/>
  <c r="AW219" i="13"/>
  <c r="AV219" i="13"/>
  <c r="AU219" i="13"/>
  <c r="AT219" i="13"/>
  <c r="AS219" i="13"/>
  <c r="AR219" i="13"/>
  <c r="AQ219" i="13"/>
  <c r="AP219" i="13"/>
  <c r="AO219" i="13"/>
  <c r="AN219" i="13"/>
  <c r="AM219" i="13"/>
  <c r="AL219" i="13"/>
  <c r="AK219" i="13"/>
  <c r="AJ219" i="13"/>
  <c r="AI219" i="13"/>
  <c r="AH219" i="13"/>
  <c r="AG219" i="13"/>
  <c r="AF219" i="13"/>
  <c r="CJ218" i="13"/>
  <c r="CI218" i="13"/>
  <c r="CH218" i="13"/>
  <c r="CG218" i="13"/>
  <c r="CF218" i="13"/>
  <c r="CE218" i="13"/>
  <c r="CD218" i="13"/>
  <c r="CC218" i="13"/>
  <c r="CB218" i="13"/>
  <c r="CA218" i="13"/>
  <c r="BZ218" i="13"/>
  <c r="BY218" i="13"/>
  <c r="BX218" i="13"/>
  <c r="BW218" i="13"/>
  <c r="BV218" i="13"/>
  <c r="BU218" i="13"/>
  <c r="BT218" i="13"/>
  <c r="BS218" i="13"/>
  <c r="BR218" i="13"/>
  <c r="BQ218" i="13"/>
  <c r="BP218" i="13"/>
  <c r="BO218" i="13"/>
  <c r="BN218" i="13"/>
  <c r="BM218" i="13"/>
  <c r="BL218" i="13"/>
  <c r="BK218" i="13"/>
  <c r="BJ218" i="13"/>
  <c r="BI218" i="13"/>
  <c r="BH218" i="13"/>
  <c r="BG218" i="13"/>
  <c r="BF218" i="13"/>
  <c r="BE218" i="13"/>
  <c r="BD218" i="13"/>
  <c r="BC218" i="13"/>
  <c r="BB218" i="13"/>
  <c r="BA218" i="13"/>
  <c r="AZ218" i="13"/>
  <c r="AY218" i="13"/>
  <c r="AX218" i="13"/>
  <c r="AW218" i="13"/>
  <c r="AV218" i="13"/>
  <c r="AU218" i="13"/>
  <c r="AT218" i="13"/>
  <c r="AS218" i="13"/>
  <c r="AR218" i="13"/>
  <c r="AQ218" i="13"/>
  <c r="AP218" i="13"/>
  <c r="AO218" i="13"/>
  <c r="AN218" i="13"/>
  <c r="AM218" i="13"/>
  <c r="AL218" i="13"/>
  <c r="AK218" i="13"/>
  <c r="AJ218" i="13"/>
  <c r="AI218" i="13"/>
  <c r="AH218" i="13"/>
  <c r="AG218" i="13"/>
  <c r="AF218" i="13"/>
  <c r="CJ217" i="13"/>
  <c r="CI217" i="13"/>
  <c r="CH217" i="13"/>
  <c r="CG217" i="13"/>
  <c r="CF217" i="13"/>
  <c r="CE217" i="13"/>
  <c r="CD217" i="13"/>
  <c r="CC217" i="13"/>
  <c r="CB217" i="13"/>
  <c r="CA217" i="13"/>
  <c r="BZ217" i="13"/>
  <c r="BY217" i="13"/>
  <c r="BX217" i="13"/>
  <c r="BW217" i="13"/>
  <c r="BV217" i="13"/>
  <c r="BU217" i="13"/>
  <c r="BT217" i="13"/>
  <c r="BS217" i="13"/>
  <c r="BR217" i="13"/>
  <c r="BQ217" i="13"/>
  <c r="BP217" i="13"/>
  <c r="BO217" i="13"/>
  <c r="BN217" i="13"/>
  <c r="BM217" i="13"/>
  <c r="BL217" i="13"/>
  <c r="BK217" i="13"/>
  <c r="BJ217" i="13"/>
  <c r="BI217" i="13"/>
  <c r="BH217" i="13"/>
  <c r="BG217" i="13"/>
  <c r="BF217" i="13"/>
  <c r="BE217" i="13"/>
  <c r="BD217" i="13"/>
  <c r="BC217" i="13"/>
  <c r="BB217" i="13"/>
  <c r="BA217" i="13"/>
  <c r="AZ217" i="13"/>
  <c r="AY217" i="13"/>
  <c r="AX217" i="13"/>
  <c r="AW217" i="13"/>
  <c r="AV217" i="13"/>
  <c r="AU217" i="13"/>
  <c r="AT217" i="13"/>
  <c r="AS217" i="13"/>
  <c r="AR217" i="13"/>
  <c r="AQ217" i="13"/>
  <c r="AP217" i="13"/>
  <c r="AO217" i="13"/>
  <c r="AN217" i="13"/>
  <c r="AM217" i="13"/>
  <c r="AL217" i="13"/>
  <c r="AK217" i="13"/>
  <c r="AJ217" i="13"/>
  <c r="AI217" i="13"/>
  <c r="AH217" i="13"/>
  <c r="AG217" i="13"/>
  <c r="AF217" i="13"/>
  <c r="CJ216" i="13"/>
  <c r="CI216" i="13"/>
  <c r="CH216" i="13"/>
  <c r="CG216" i="13"/>
  <c r="CF216" i="13"/>
  <c r="CE216" i="13"/>
  <c r="CD216" i="13"/>
  <c r="CC216" i="13"/>
  <c r="CB216" i="13"/>
  <c r="CA216" i="13"/>
  <c r="BZ216" i="13"/>
  <c r="BY216" i="13"/>
  <c r="BX216" i="13"/>
  <c r="BW216" i="13"/>
  <c r="BV216" i="13"/>
  <c r="BU216" i="13"/>
  <c r="BT216" i="13"/>
  <c r="BS216" i="13"/>
  <c r="BR216" i="13"/>
  <c r="BQ216" i="13"/>
  <c r="BP216" i="13"/>
  <c r="BO216" i="13"/>
  <c r="BN216" i="13"/>
  <c r="BM216" i="13"/>
  <c r="BL216" i="13"/>
  <c r="BK216" i="13"/>
  <c r="BJ216" i="13"/>
  <c r="BI216" i="13"/>
  <c r="BH216" i="13"/>
  <c r="BG216" i="13"/>
  <c r="BF216" i="13"/>
  <c r="BE216" i="13"/>
  <c r="BD216" i="13"/>
  <c r="BC216" i="13"/>
  <c r="BB216" i="13"/>
  <c r="BA216" i="13"/>
  <c r="AZ216" i="13"/>
  <c r="AY216" i="13"/>
  <c r="AX216" i="13"/>
  <c r="AW216" i="13"/>
  <c r="AV216" i="13"/>
  <c r="AU216" i="13"/>
  <c r="AT216" i="13"/>
  <c r="AS216" i="13"/>
  <c r="AR216" i="13"/>
  <c r="AQ216" i="13"/>
  <c r="AP216" i="13"/>
  <c r="AO216" i="13"/>
  <c r="AN216" i="13"/>
  <c r="AM216" i="13"/>
  <c r="AL216" i="13"/>
  <c r="AK216" i="13"/>
  <c r="AJ216" i="13"/>
  <c r="AI216" i="13"/>
  <c r="AH216" i="13"/>
  <c r="AG216" i="13"/>
  <c r="AF216" i="13"/>
  <c r="CJ215" i="13"/>
  <c r="CI215" i="13"/>
  <c r="CH215" i="13"/>
  <c r="CG215" i="13"/>
  <c r="CF215" i="13"/>
  <c r="CE215" i="13"/>
  <c r="CD215" i="13"/>
  <c r="CC215" i="13"/>
  <c r="CB215" i="13"/>
  <c r="CA215" i="13"/>
  <c r="BZ215" i="13"/>
  <c r="BY215" i="13"/>
  <c r="BX215" i="13"/>
  <c r="BW215" i="13"/>
  <c r="BV215" i="13"/>
  <c r="BU215" i="13"/>
  <c r="BT215" i="13"/>
  <c r="BS215" i="13"/>
  <c r="BR215" i="13"/>
  <c r="BQ215" i="13"/>
  <c r="BP215" i="13"/>
  <c r="BO215" i="13"/>
  <c r="BN215" i="13"/>
  <c r="BM215" i="13"/>
  <c r="BL215" i="13"/>
  <c r="BK215" i="13"/>
  <c r="BJ215" i="13"/>
  <c r="BI215" i="13"/>
  <c r="BH215" i="13"/>
  <c r="BG215" i="13"/>
  <c r="BF215" i="13"/>
  <c r="BE215" i="13"/>
  <c r="BD215" i="13"/>
  <c r="BC215" i="13"/>
  <c r="BB215" i="13"/>
  <c r="BA215" i="13"/>
  <c r="AZ215" i="13"/>
  <c r="AY215" i="13"/>
  <c r="AX215" i="13"/>
  <c r="AW215" i="13"/>
  <c r="AV215" i="13"/>
  <c r="AU215" i="13"/>
  <c r="AT215" i="13"/>
  <c r="AS215" i="13"/>
  <c r="AR215" i="13"/>
  <c r="AQ215" i="13"/>
  <c r="AP215" i="13"/>
  <c r="AO215" i="13"/>
  <c r="AN215" i="13"/>
  <c r="AM215" i="13"/>
  <c r="AL215" i="13"/>
  <c r="AK215" i="13"/>
  <c r="AJ215" i="13"/>
  <c r="AI215" i="13"/>
  <c r="AH215" i="13"/>
  <c r="AG215" i="13"/>
  <c r="AF215" i="13"/>
  <c r="CJ214" i="13"/>
  <c r="CI214" i="13"/>
  <c r="CH214" i="13"/>
  <c r="CG214" i="13"/>
  <c r="CF214" i="13"/>
  <c r="CE214" i="13"/>
  <c r="CD214" i="13"/>
  <c r="CC214" i="13"/>
  <c r="CB214" i="13"/>
  <c r="CA214" i="13"/>
  <c r="BZ214" i="13"/>
  <c r="BY214" i="13"/>
  <c r="BX214" i="13"/>
  <c r="BW214" i="13"/>
  <c r="BV214" i="13"/>
  <c r="BU214" i="13"/>
  <c r="BT214" i="13"/>
  <c r="BS214" i="13"/>
  <c r="BR214" i="13"/>
  <c r="BQ214" i="13"/>
  <c r="BP214" i="13"/>
  <c r="BO214" i="13"/>
  <c r="BN214" i="13"/>
  <c r="BM214" i="13"/>
  <c r="BL214" i="13"/>
  <c r="BK214" i="13"/>
  <c r="BJ214" i="13"/>
  <c r="BI214" i="13"/>
  <c r="BH214" i="13"/>
  <c r="BG214" i="13"/>
  <c r="BF214" i="13"/>
  <c r="BE214" i="13"/>
  <c r="BD214" i="13"/>
  <c r="BC214" i="13"/>
  <c r="BB214" i="13"/>
  <c r="BA214" i="13"/>
  <c r="AZ214" i="13"/>
  <c r="AY214" i="13"/>
  <c r="AX214" i="13"/>
  <c r="AW214" i="13"/>
  <c r="AV214" i="13"/>
  <c r="AU214" i="13"/>
  <c r="AT214" i="13"/>
  <c r="AS214" i="13"/>
  <c r="AR214" i="13"/>
  <c r="AQ214" i="13"/>
  <c r="AP214" i="13"/>
  <c r="AO214" i="13"/>
  <c r="AN214" i="13"/>
  <c r="AM214" i="13"/>
  <c r="AL214" i="13"/>
  <c r="AK214" i="13"/>
  <c r="AJ214" i="13"/>
  <c r="AI214" i="13"/>
  <c r="AH214" i="13"/>
  <c r="AG214" i="13"/>
  <c r="AF214" i="13"/>
  <c r="CJ213" i="13"/>
  <c r="CI213" i="13"/>
  <c r="CH213" i="13"/>
  <c r="CG213" i="13"/>
  <c r="CF213" i="13"/>
  <c r="CE213" i="13"/>
  <c r="CD213" i="13"/>
  <c r="CC213" i="13"/>
  <c r="CB213" i="13"/>
  <c r="CA213" i="13"/>
  <c r="BZ213" i="13"/>
  <c r="BY213" i="13"/>
  <c r="BX213" i="13"/>
  <c r="BW213" i="13"/>
  <c r="BV213" i="13"/>
  <c r="BU213" i="13"/>
  <c r="BT213" i="13"/>
  <c r="BS213" i="13"/>
  <c r="BR213" i="13"/>
  <c r="BQ213" i="13"/>
  <c r="BP213" i="13"/>
  <c r="BO213" i="13"/>
  <c r="BN213" i="13"/>
  <c r="BM213" i="13"/>
  <c r="BL213" i="13"/>
  <c r="BK213" i="13"/>
  <c r="BJ213" i="13"/>
  <c r="BI213" i="13"/>
  <c r="BH213" i="13"/>
  <c r="BG213" i="13"/>
  <c r="BF213" i="13"/>
  <c r="BE213" i="13"/>
  <c r="BD213" i="13"/>
  <c r="BC213" i="13"/>
  <c r="BB213" i="13"/>
  <c r="BA213" i="13"/>
  <c r="AZ213" i="13"/>
  <c r="AY213" i="13"/>
  <c r="AX213" i="13"/>
  <c r="AW213" i="13"/>
  <c r="AV213" i="13"/>
  <c r="AU213" i="13"/>
  <c r="AT213" i="13"/>
  <c r="AS213" i="13"/>
  <c r="AR213" i="13"/>
  <c r="AQ213" i="13"/>
  <c r="AP213" i="13"/>
  <c r="AO213" i="13"/>
  <c r="AN213" i="13"/>
  <c r="AM213" i="13"/>
  <c r="AL213" i="13"/>
  <c r="AK213" i="13"/>
  <c r="AJ213" i="13"/>
  <c r="AI213" i="13"/>
  <c r="AH213" i="13"/>
  <c r="AG213" i="13"/>
  <c r="AF213" i="13"/>
  <c r="CJ212" i="13"/>
  <c r="CI212" i="13"/>
  <c r="CH212" i="13"/>
  <c r="CG212" i="13"/>
  <c r="CF212" i="13"/>
  <c r="CE212" i="13"/>
  <c r="CD212" i="13"/>
  <c r="CC212" i="13"/>
  <c r="CB212" i="13"/>
  <c r="CA212" i="13"/>
  <c r="BZ212" i="13"/>
  <c r="BY212" i="13"/>
  <c r="BX212" i="13"/>
  <c r="BW212" i="13"/>
  <c r="BV212" i="13"/>
  <c r="BU212" i="13"/>
  <c r="BT212" i="13"/>
  <c r="BS212" i="13"/>
  <c r="BR212" i="13"/>
  <c r="BQ212" i="13"/>
  <c r="BP212" i="13"/>
  <c r="BO212" i="13"/>
  <c r="BN212" i="13"/>
  <c r="BM212" i="13"/>
  <c r="BL212" i="13"/>
  <c r="BK212" i="13"/>
  <c r="BJ212" i="13"/>
  <c r="BI212" i="13"/>
  <c r="BH212" i="13"/>
  <c r="BG212" i="13"/>
  <c r="BF212" i="13"/>
  <c r="BE212" i="13"/>
  <c r="BD212" i="13"/>
  <c r="BC212" i="13"/>
  <c r="BB212" i="13"/>
  <c r="BA212" i="13"/>
  <c r="AZ212" i="13"/>
  <c r="AY212" i="13"/>
  <c r="AX212" i="13"/>
  <c r="AW212" i="13"/>
  <c r="AV212" i="13"/>
  <c r="AU212" i="13"/>
  <c r="AT212" i="13"/>
  <c r="AS212" i="13"/>
  <c r="AR212" i="13"/>
  <c r="AQ212" i="13"/>
  <c r="AP212" i="13"/>
  <c r="AO212" i="13"/>
  <c r="AN212" i="13"/>
  <c r="AM212" i="13"/>
  <c r="AL212" i="13"/>
  <c r="AK212" i="13"/>
  <c r="AJ212" i="13"/>
  <c r="AI212" i="13"/>
  <c r="AH212" i="13"/>
  <c r="AG212" i="13"/>
  <c r="AF212" i="13"/>
  <c r="CJ211" i="13"/>
  <c r="CI211" i="13"/>
  <c r="CH211" i="13"/>
  <c r="CG211" i="13"/>
  <c r="CF211" i="13"/>
  <c r="CE211" i="13"/>
  <c r="CD211" i="13"/>
  <c r="CC211" i="13"/>
  <c r="CB211" i="13"/>
  <c r="CA211" i="13"/>
  <c r="BZ211" i="13"/>
  <c r="BY211" i="13"/>
  <c r="BX211" i="13"/>
  <c r="BW211" i="13"/>
  <c r="BV211" i="13"/>
  <c r="BU211" i="13"/>
  <c r="BT211" i="13"/>
  <c r="BS211" i="13"/>
  <c r="BR211" i="13"/>
  <c r="BQ211" i="13"/>
  <c r="BP211" i="13"/>
  <c r="BO211" i="13"/>
  <c r="BN211" i="13"/>
  <c r="BM211" i="13"/>
  <c r="BL211" i="13"/>
  <c r="BK211" i="13"/>
  <c r="BJ211" i="13"/>
  <c r="BI211" i="13"/>
  <c r="BH211" i="13"/>
  <c r="BG211" i="13"/>
  <c r="BF211" i="13"/>
  <c r="BE211" i="13"/>
  <c r="BD211" i="13"/>
  <c r="BC211" i="13"/>
  <c r="BB211" i="13"/>
  <c r="BA211" i="13"/>
  <c r="AZ211" i="13"/>
  <c r="AY211" i="13"/>
  <c r="AX211" i="13"/>
  <c r="AW211" i="13"/>
  <c r="AV211" i="13"/>
  <c r="AU211" i="13"/>
  <c r="AT211" i="13"/>
  <c r="AS211" i="13"/>
  <c r="AR211" i="13"/>
  <c r="AQ211" i="13"/>
  <c r="AP211" i="13"/>
  <c r="AO211" i="13"/>
  <c r="AN211" i="13"/>
  <c r="AM211" i="13"/>
  <c r="AL211" i="13"/>
  <c r="AK211" i="13"/>
  <c r="AJ211" i="13"/>
  <c r="AI211" i="13"/>
  <c r="AH211" i="13"/>
  <c r="AG211" i="13"/>
  <c r="AF211" i="13"/>
  <c r="CJ210" i="13"/>
  <c r="CI210" i="13"/>
  <c r="CH210" i="13"/>
  <c r="CG210" i="13"/>
  <c r="CF210" i="13"/>
  <c r="CE210" i="13"/>
  <c r="CD210" i="13"/>
  <c r="CC210" i="13"/>
  <c r="CB210" i="13"/>
  <c r="CA210" i="13"/>
  <c r="BZ210" i="13"/>
  <c r="BY210" i="13"/>
  <c r="BX210" i="13"/>
  <c r="BW210" i="13"/>
  <c r="BV210" i="13"/>
  <c r="BU210" i="13"/>
  <c r="BT210" i="13"/>
  <c r="BS210" i="13"/>
  <c r="BR210" i="13"/>
  <c r="BQ210" i="13"/>
  <c r="BP210" i="13"/>
  <c r="BO210" i="13"/>
  <c r="BN210" i="13"/>
  <c r="BM210" i="13"/>
  <c r="BL210" i="13"/>
  <c r="BK210" i="13"/>
  <c r="BJ210" i="13"/>
  <c r="BI210" i="13"/>
  <c r="BH210" i="13"/>
  <c r="BG210" i="13"/>
  <c r="BF210" i="13"/>
  <c r="BE210" i="13"/>
  <c r="BD210" i="13"/>
  <c r="BC210" i="13"/>
  <c r="BB210" i="13"/>
  <c r="BA210" i="13"/>
  <c r="AZ210" i="13"/>
  <c r="AY210" i="13"/>
  <c r="AX210" i="13"/>
  <c r="AW210" i="13"/>
  <c r="AV210" i="13"/>
  <c r="AU210" i="13"/>
  <c r="AT210" i="13"/>
  <c r="AS210" i="13"/>
  <c r="AR210" i="13"/>
  <c r="AQ210" i="13"/>
  <c r="AP210" i="13"/>
  <c r="AO210" i="13"/>
  <c r="AN210" i="13"/>
  <c r="AM210" i="13"/>
  <c r="AL210" i="13"/>
  <c r="AK210" i="13"/>
  <c r="AJ210" i="13"/>
  <c r="AI210" i="13"/>
  <c r="AH210" i="13"/>
  <c r="AG210" i="13"/>
  <c r="AF210" i="13"/>
  <c r="CJ209" i="13"/>
  <c r="CI209" i="13"/>
  <c r="CH209" i="13"/>
  <c r="CG209" i="13"/>
  <c r="CF209" i="13"/>
  <c r="CE209" i="13"/>
  <c r="CD209" i="13"/>
  <c r="CC209" i="13"/>
  <c r="CB209" i="13"/>
  <c r="CA209" i="13"/>
  <c r="BZ209" i="13"/>
  <c r="BY209" i="13"/>
  <c r="BX209" i="13"/>
  <c r="BW209" i="13"/>
  <c r="BV209" i="13"/>
  <c r="BU209" i="13"/>
  <c r="BT209" i="13"/>
  <c r="BS209" i="13"/>
  <c r="BR209" i="13"/>
  <c r="BQ209" i="13"/>
  <c r="BP209" i="13"/>
  <c r="BO209" i="13"/>
  <c r="BN209" i="13"/>
  <c r="BM209" i="13"/>
  <c r="BL209" i="13"/>
  <c r="BK209" i="13"/>
  <c r="BJ209" i="13"/>
  <c r="BI209" i="13"/>
  <c r="BH209" i="13"/>
  <c r="BG209" i="13"/>
  <c r="BF209" i="13"/>
  <c r="BE209" i="13"/>
  <c r="BD209" i="13"/>
  <c r="BC209" i="13"/>
  <c r="BB209" i="13"/>
  <c r="BA209" i="13"/>
  <c r="AZ209" i="13"/>
  <c r="AY209" i="13"/>
  <c r="AX209" i="13"/>
  <c r="AW209" i="13"/>
  <c r="AV209" i="13"/>
  <c r="AU209" i="13"/>
  <c r="AT209" i="13"/>
  <c r="AS209" i="13"/>
  <c r="AR209" i="13"/>
  <c r="AQ209" i="13"/>
  <c r="AP209" i="13"/>
  <c r="AO209" i="13"/>
  <c r="AN209" i="13"/>
  <c r="AM209" i="13"/>
  <c r="AL209" i="13"/>
  <c r="AK209" i="13"/>
  <c r="AJ209" i="13"/>
  <c r="AI209" i="13"/>
  <c r="AH209" i="13"/>
  <c r="AG209" i="13"/>
  <c r="AF209" i="13"/>
  <c r="CJ208" i="13"/>
  <c r="CI208" i="13"/>
  <c r="CH208" i="13"/>
  <c r="CG208" i="13"/>
  <c r="CF208" i="13"/>
  <c r="CE208" i="13"/>
  <c r="CD208" i="13"/>
  <c r="CC208" i="13"/>
  <c r="CB208" i="13"/>
  <c r="CA208" i="13"/>
  <c r="BZ208" i="13"/>
  <c r="BY208" i="13"/>
  <c r="BX208" i="13"/>
  <c r="BW208" i="13"/>
  <c r="BV208" i="13"/>
  <c r="BU208" i="13"/>
  <c r="BT208" i="13"/>
  <c r="BS208" i="13"/>
  <c r="BR208" i="13"/>
  <c r="BQ208" i="13"/>
  <c r="BP208" i="13"/>
  <c r="BO208" i="13"/>
  <c r="BN208" i="13"/>
  <c r="BM208" i="13"/>
  <c r="BL208" i="13"/>
  <c r="BK208" i="13"/>
  <c r="BJ208" i="13"/>
  <c r="BI208" i="13"/>
  <c r="BH208" i="13"/>
  <c r="BG208" i="13"/>
  <c r="BF208" i="13"/>
  <c r="BE208" i="13"/>
  <c r="BD208" i="13"/>
  <c r="BC208" i="13"/>
  <c r="BB208" i="13"/>
  <c r="BA208" i="13"/>
  <c r="AZ208" i="13"/>
  <c r="AY208" i="13"/>
  <c r="AX208" i="13"/>
  <c r="AW208" i="13"/>
  <c r="AV208" i="13"/>
  <c r="AU208" i="13"/>
  <c r="AT208" i="13"/>
  <c r="AS208" i="13"/>
  <c r="AR208" i="13"/>
  <c r="AQ208" i="13"/>
  <c r="AP208" i="13"/>
  <c r="AO208" i="13"/>
  <c r="AN208" i="13"/>
  <c r="AM208" i="13"/>
  <c r="AL208" i="13"/>
  <c r="AK208" i="13"/>
  <c r="AJ208" i="13"/>
  <c r="AI208" i="13"/>
  <c r="AH208" i="13"/>
  <c r="AG208" i="13"/>
  <c r="AF208" i="13"/>
  <c r="CJ207" i="13"/>
  <c r="CI207" i="13"/>
  <c r="CH207" i="13"/>
  <c r="CG207" i="13"/>
  <c r="CF207" i="13"/>
  <c r="CE207" i="13"/>
  <c r="CD207" i="13"/>
  <c r="CC207" i="13"/>
  <c r="CB207" i="13"/>
  <c r="CA207" i="13"/>
  <c r="BZ207" i="13"/>
  <c r="BY207" i="13"/>
  <c r="BX207" i="13"/>
  <c r="BW207" i="13"/>
  <c r="BV207" i="13"/>
  <c r="BU207" i="13"/>
  <c r="BT207" i="13"/>
  <c r="BS207" i="13"/>
  <c r="BR207" i="13"/>
  <c r="BQ207" i="13"/>
  <c r="BP207" i="13"/>
  <c r="BO207" i="13"/>
  <c r="BN207" i="13"/>
  <c r="BM207" i="13"/>
  <c r="BL207" i="13"/>
  <c r="BK207" i="13"/>
  <c r="BJ207" i="13"/>
  <c r="BI207" i="13"/>
  <c r="BH207" i="13"/>
  <c r="BG207" i="13"/>
  <c r="BF207" i="13"/>
  <c r="BE207" i="13"/>
  <c r="BD207" i="13"/>
  <c r="BC207" i="13"/>
  <c r="BB207" i="13"/>
  <c r="BA207" i="13"/>
  <c r="AZ207" i="13"/>
  <c r="AY207" i="13"/>
  <c r="AX207" i="13"/>
  <c r="AW207" i="13"/>
  <c r="AV207" i="13"/>
  <c r="AU207" i="13"/>
  <c r="AT207" i="13"/>
  <c r="AS207" i="13"/>
  <c r="AR207" i="13"/>
  <c r="AQ207" i="13"/>
  <c r="AP207" i="13"/>
  <c r="AO207" i="13"/>
  <c r="AN207" i="13"/>
  <c r="AM207" i="13"/>
  <c r="AL207" i="13"/>
  <c r="AK207" i="13"/>
  <c r="AJ207" i="13"/>
  <c r="AI207" i="13"/>
  <c r="AH207" i="13"/>
  <c r="AG207" i="13"/>
  <c r="AF207" i="13"/>
  <c r="CJ206" i="13"/>
  <c r="CI206" i="13"/>
  <c r="CH206" i="13"/>
  <c r="CG206" i="13"/>
  <c r="CF206" i="13"/>
  <c r="CE206" i="13"/>
  <c r="CD206" i="13"/>
  <c r="CC206" i="13"/>
  <c r="CB206" i="13"/>
  <c r="CA206" i="13"/>
  <c r="BZ206" i="13"/>
  <c r="BY206" i="13"/>
  <c r="BX206" i="13"/>
  <c r="BW206" i="13"/>
  <c r="BV206" i="13"/>
  <c r="BU206" i="13"/>
  <c r="BT206" i="13"/>
  <c r="BS206" i="13"/>
  <c r="BR206" i="13"/>
  <c r="BQ206" i="13"/>
  <c r="BP206" i="13"/>
  <c r="BO206" i="13"/>
  <c r="BN206" i="13"/>
  <c r="BM206" i="13"/>
  <c r="BL206" i="13"/>
  <c r="BK206" i="13"/>
  <c r="BJ206" i="13"/>
  <c r="BI206" i="13"/>
  <c r="BH206" i="13"/>
  <c r="BG206" i="13"/>
  <c r="BF206" i="13"/>
  <c r="BE206" i="13"/>
  <c r="BD206" i="13"/>
  <c r="BC206" i="13"/>
  <c r="BB206" i="13"/>
  <c r="BA206" i="13"/>
  <c r="AZ206" i="13"/>
  <c r="AY206" i="13"/>
  <c r="AX206" i="13"/>
  <c r="AW206" i="13"/>
  <c r="AV206" i="13"/>
  <c r="AU206" i="13"/>
  <c r="AT206" i="13"/>
  <c r="AS206" i="13"/>
  <c r="AR206" i="13"/>
  <c r="AQ206" i="13"/>
  <c r="AP206" i="13"/>
  <c r="AO206" i="13"/>
  <c r="AN206" i="13"/>
  <c r="AM206" i="13"/>
  <c r="AL206" i="13"/>
  <c r="AK206" i="13"/>
  <c r="AJ206" i="13"/>
  <c r="AI206" i="13"/>
  <c r="AH206" i="13"/>
  <c r="AG206" i="13"/>
  <c r="AF206" i="13"/>
  <c r="CJ205" i="13"/>
  <c r="CI205" i="13"/>
  <c r="CH205" i="13"/>
  <c r="CG205" i="13"/>
  <c r="CF205" i="13"/>
  <c r="CE205" i="13"/>
  <c r="CD205" i="13"/>
  <c r="CC205" i="13"/>
  <c r="CB205" i="13"/>
  <c r="CA205" i="13"/>
  <c r="BZ205" i="13"/>
  <c r="BY205" i="13"/>
  <c r="BX205" i="13"/>
  <c r="BW205" i="13"/>
  <c r="BV205" i="13"/>
  <c r="BU205" i="13"/>
  <c r="BT205" i="13"/>
  <c r="BS205" i="13"/>
  <c r="BR205" i="13"/>
  <c r="BQ205" i="13"/>
  <c r="BP205" i="13"/>
  <c r="BO205" i="13"/>
  <c r="BN205" i="13"/>
  <c r="BM205" i="13"/>
  <c r="BL205" i="13"/>
  <c r="BK205" i="13"/>
  <c r="BJ205" i="13"/>
  <c r="BI205" i="13"/>
  <c r="BH205" i="13"/>
  <c r="BG205" i="13"/>
  <c r="BF205" i="13"/>
  <c r="BE205" i="13"/>
  <c r="BD205" i="13"/>
  <c r="BC205" i="13"/>
  <c r="BB205" i="13"/>
  <c r="BA205" i="13"/>
  <c r="AZ205" i="13"/>
  <c r="AY205" i="13"/>
  <c r="AX205" i="13"/>
  <c r="AW205" i="13"/>
  <c r="AV205" i="13"/>
  <c r="AU205" i="13"/>
  <c r="AT205" i="13"/>
  <c r="AS205" i="13"/>
  <c r="AR205" i="13"/>
  <c r="AQ205" i="13"/>
  <c r="AP205" i="13"/>
  <c r="AO205" i="13"/>
  <c r="AN205" i="13"/>
  <c r="AM205" i="13"/>
  <c r="AL205" i="13"/>
  <c r="AK205" i="13"/>
  <c r="AJ205" i="13"/>
  <c r="AI205" i="13"/>
  <c r="AH205" i="13"/>
  <c r="AG205" i="13"/>
  <c r="AF205" i="13"/>
  <c r="CJ204" i="13"/>
  <c r="CI204" i="13"/>
  <c r="CH204" i="13"/>
  <c r="CG204" i="13"/>
  <c r="CF204" i="13"/>
  <c r="CE204" i="13"/>
  <c r="CD204" i="13"/>
  <c r="CC204" i="13"/>
  <c r="CB204" i="13"/>
  <c r="CA204" i="13"/>
  <c r="BZ204" i="13"/>
  <c r="BY204" i="13"/>
  <c r="BX204" i="13"/>
  <c r="BW204" i="13"/>
  <c r="BV204" i="13"/>
  <c r="BU204" i="13"/>
  <c r="BT204" i="13"/>
  <c r="BS204" i="13"/>
  <c r="BR204" i="13"/>
  <c r="BQ204" i="13"/>
  <c r="BP204" i="13"/>
  <c r="BO204" i="13"/>
  <c r="BN204" i="13"/>
  <c r="BM204" i="13"/>
  <c r="BL204" i="13"/>
  <c r="BK204" i="13"/>
  <c r="BJ204" i="13"/>
  <c r="BI204" i="13"/>
  <c r="BH204" i="13"/>
  <c r="BG204" i="13"/>
  <c r="BF204" i="13"/>
  <c r="BE204" i="13"/>
  <c r="BD204" i="13"/>
  <c r="BC204" i="13"/>
  <c r="BB204" i="13"/>
  <c r="BA204" i="13"/>
  <c r="AZ204" i="13"/>
  <c r="AY204" i="13"/>
  <c r="AX204" i="13"/>
  <c r="AW204" i="13"/>
  <c r="AV204" i="13"/>
  <c r="AU204" i="13"/>
  <c r="AT204" i="13"/>
  <c r="AS204" i="13"/>
  <c r="AR204" i="13"/>
  <c r="AQ204" i="13"/>
  <c r="AP204" i="13"/>
  <c r="AO204" i="13"/>
  <c r="AN204" i="13"/>
  <c r="AM204" i="13"/>
  <c r="AL204" i="13"/>
  <c r="AK204" i="13"/>
  <c r="AJ204" i="13"/>
  <c r="AI204" i="13"/>
  <c r="AH204" i="13"/>
  <c r="AG204" i="13"/>
  <c r="AF204" i="13"/>
  <c r="CJ203" i="13"/>
  <c r="CI203" i="13"/>
  <c r="CH203" i="13"/>
  <c r="CG203" i="13"/>
  <c r="CF203" i="13"/>
  <c r="CE203" i="13"/>
  <c r="CD203" i="13"/>
  <c r="CC203" i="13"/>
  <c r="CB203" i="13"/>
  <c r="CA203" i="13"/>
  <c r="BZ203" i="13"/>
  <c r="BY203" i="13"/>
  <c r="BX203" i="13"/>
  <c r="BW203" i="13"/>
  <c r="BV203" i="13"/>
  <c r="BU203" i="13"/>
  <c r="BT203" i="13"/>
  <c r="BS203" i="13"/>
  <c r="BR203" i="13"/>
  <c r="BQ203" i="13"/>
  <c r="BP203" i="13"/>
  <c r="BO203" i="13"/>
  <c r="BN203" i="13"/>
  <c r="BM203" i="13"/>
  <c r="BL203" i="13"/>
  <c r="BK203" i="13"/>
  <c r="BJ203" i="13"/>
  <c r="BI203" i="13"/>
  <c r="BH203" i="13"/>
  <c r="BG203" i="13"/>
  <c r="BF203" i="13"/>
  <c r="BE203" i="13"/>
  <c r="BD203" i="13"/>
  <c r="BC203" i="13"/>
  <c r="BB203" i="13"/>
  <c r="BA203" i="13"/>
  <c r="AZ203" i="13"/>
  <c r="AY203" i="13"/>
  <c r="AX203" i="13"/>
  <c r="AW203" i="13"/>
  <c r="AV203" i="13"/>
  <c r="AU203" i="13"/>
  <c r="AT203" i="13"/>
  <c r="AS203" i="13"/>
  <c r="AR203" i="13"/>
  <c r="AQ203" i="13"/>
  <c r="AP203" i="13"/>
  <c r="AO203" i="13"/>
  <c r="AN203" i="13"/>
  <c r="AM203" i="13"/>
  <c r="AL203" i="13"/>
  <c r="AK203" i="13"/>
  <c r="AJ203" i="13"/>
  <c r="AI203" i="13"/>
  <c r="AH203" i="13"/>
  <c r="AG203" i="13"/>
  <c r="AF203" i="13"/>
  <c r="CJ202" i="13"/>
  <c r="CI202" i="13"/>
  <c r="CH202" i="13"/>
  <c r="CG202" i="13"/>
  <c r="CF202" i="13"/>
  <c r="CE202" i="13"/>
  <c r="CD202" i="13"/>
  <c r="CC202" i="13"/>
  <c r="CB202" i="13"/>
  <c r="CA202" i="13"/>
  <c r="BZ202" i="13"/>
  <c r="BY202" i="13"/>
  <c r="BX202" i="13"/>
  <c r="BW202" i="13"/>
  <c r="BV202" i="13"/>
  <c r="BU202" i="13"/>
  <c r="BT202" i="13"/>
  <c r="BS202" i="13"/>
  <c r="BR202" i="13"/>
  <c r="BQ202" i="13"/>
  <c r="BP202" i="13"/>
  <c r="BO202" i="13"/>
  <c r="BN202" i="13"/>
  <c r="BM202" i="13"/>
  <c r="BL202" i="13"/>
  <c r="BK202" i="13"/>
  <c r="BJ202" i="13"/>
  <c r="BI202" i="13"/>
  <c r="BH202" i="13"/>
  <c r="BG202" i="13"/>
  <c r="BF202" i="13"/>
  <c r="BE202" i="13"/>
  <c r="BD202" i="13"/>
  <c r="BC202" i="13"/>
  <c r="BB202" i="13"/>
  <c r="BA202" i="13"/>
  <c r="AZ202" i="13"/>
  <c r="AY202" i="13"/>
  <c r="AX202" i="13"/>
  <c r="AW202" i="13"/>
  <c r="AV202" i="13"/>
  <c r="AU202" i="13"/>
  <c r="AT202" i="13"/>
  <c r="AS202" i="13"/>
  <c r="AR202" i="13"/>
  <c r="AQ202" i="13"/>
  <c r="AP202" i="13"/>
  <c r="AO202" i="13"/>
  <c r="AN202" i="13"/>
  <c r="AM202" i="13"/>
  <c r="AL202" i="13"/>
  <c r="AK202" i="13"/>
  <c r="AJ202" i="13"/>
  <c r="AI202" i="13"/>
  <c r="AH202" i="13"/>
  <c r="AG202" i="13"/>
  <c r="AF202" i="13"/>
  <c r="CJ201" i="13"/>
  <c r="CI201" i="13"/>
  <c r="CH201" i="13"/>
  <c r="CG201" i="13"/>
  <c r="CF201" i="13"/>
  <c r="CE201" i="13"/>
  <c r="CD201" i="13"/>
  <c r="CC201" i="13"/>
  <c r="CB201" i="13"/>
  <c r="CA201" i="13"/>
  <c r="BZ201" i="13"/>
  <c r="BY201" i="13"/>
  <c r="BX201" i="13"/>
  <c r="BW201" i="13"/>
  <c r="BV201" i="13"/>
  <c r="BU201" i="13"/>
  <c r="BT201" i="13"/>
  <c r="BS201" i="13"/>
  <c r="BR201" i="13"/>
  <c r="BQ201" i="13"/>
  <c r="BP201" i="13"/>
  <c r="BO201" i="13"/>
  <c r="BN201" i="13"/>
  <c r="BM201" i="13"/>
  <c r="BL201" i="13"/>
  <c r="BK201" i="13"/>
  <c r="BJ201" i="13"/>
  <c r="BI201" i="13"/>
  <c r="BH201" i="13"/>
  <c r="BG201" i="13"/>
  <c r="BF201" i="13"/>
  <c r="BE201" i="13"/>
  <c r="BD201" i="13"/>
  <c r="BC201" i="13"/>
  <c r="BB201" i="13"/>
  <c r="BA201" i="13"/>
  <c r="AZ201" i="13"/>
  <c r="AY201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CJ200" i="13"/>
  <c r="CI200" i="13"/>
  <c r="CH200" i="13"/>
  <c r="CG200" i="13"/>
  <c r="CF200" i="13"/>
  <c r="CE200" i="13"/>
  <c r="CD200" i="13"/>
  <c r="CC200" i="13"/>
  <c r="CB200" i="13"/>
  <c r="CA200" i="13"/>
  <c r="BZ200" i="13"/>
  <c r="BY200" i="13"/>
  <c r="BX200" i="13"/>
  <c r="BW200" i="13"/>
  <c r="BV200" i="13"/>
  <c r="BU200" i="13"/>
  <c r="BT200" i="13"/>
  <c r="BS200" i="13"/>
  <c r="BR200" i="13"/>
  <c r="BQ200" i="13"/>
  <c r="BP200" i="13"/>
  <c r="BO200" i="13"/>
  <c r="BN200" i="13"/>
  <c r="BM200" i="13"/>
  <c r="BL200" i="13"/>
  <c r="BK200" i="13"/>
  <c r="BJ200" i="13"/>
  <c r="BI200" i="13"/>
  <c r="BH200" i="13"/>
  <c r="BG200" i="13"/>
  <c r="BF200" i="13"/>
  <c r="BE200" i="13"/>
  <c r="BD200" i="13"/>
  <c r="BC200" i="13"/>
  <c r="BB200" i="13"/>
  <c r="BA200" i="13"/>
  <c r="AZ200" i="13"/>
  <c r="AY200" i="13"/>
  <c r="AX200" i="13"/>
  <c r="AW200" i="13"/>
  <c r="AV200" i="13"/>
  <c r="AU200" i="13"/>
  <c r="AT200" i="13"/>
  <c r="AS200" i="13"/>
  <c r="AR200" i="13"/>
  <c r="AQ200" i="13"/>
  <c r="AP200" i="13"/>
  <c r="AO200" i="13"/>
  <c r="AN200" i="13"/>
  <c r="AM200" i="13"/>
  <c r="AL200" i="13"/>
  <c r="AK200" i="13"/>
  <c r="AJ200" i="13"/>
  <c r="AI200" i="13"/>
  <c r="AH200" i="13"/>
  <c r="AG200" i="13"/>
  <c r="AF200" i="13"/>
  <c r="CJ199" i="13"/>
  <c r="CI199" i="13"/>
  <c r="CH199" i="13"/>
  <c r="CG199" i="13"/>
  <c r="CF199" i="13"/>
  <c r="CE199" i="13"/>
  <c r="CD199" i="13"/>
  <c r="CC199" i="13"/>
  <c r="CB199" i="13"/>
  <c r="CA199" i="13"/>
  <c r="BZ199" i="13"/>
  <c r="BY199" i="13"/>
  <c r="BX199" i="13"/>
  <c r="BW199" i="13"/>
  <c r="BV199" i="13"/>
  <c r="BU199" i="13"/>
  <c r="BT199" i="13"/>
  <c r="BS199" i="13"/>
  <c r="BR199" i="13"/>
  <c r="BQ199" i="13"/>
  <c r="BP199" i="13"/>
  <c r="BO199" i="13"/>
  <c r="BN199" i="13"/>
  <c r="BM199" i="13"/>
  <c r="BL199" i="13"/>
  <c r="BK199" i="13"/>
  <c r="BJ199" i="13"/>
  <c r="BI199" i="13"/>
  <c r="BH199" i="13"/>
  <c r="BG199" i="13"/>
  <c r="BF199" i="13"/>
  <c r="BE199" i="13"/>
  <c r="BD199" i="13"/>
  <c r="BC199" i="13"/>
  <c r="BB199" i="13"/>
  <c r="BA199" i="13"/>
  <c r="AZ199" i="13"/>
  <c r="AY199" i="13"/>
  <c r="AX199" i="13"/>
  <c r="AW199" i="13"/>
  <c r="AV199" i="13"/>
  <c r="AU199" i="13"/>
  <c r="AT199" i="13"/>
  <c r="AS199" i="13"/>
  <c r="AR199" i="13"/>
  <c r="AQ199" i="13"/>
  <c r="AP199" i="13"/>
  <c r="AO199" i="13"/>
  <c r="AN199" i="13"/>
  <c r="AM199" i="13"/>
  <c r="AL199" i="13"/>
  <c r="AK199" i="13"/>
  <c r="AJ199" i="13"/>
  <c r="AI199" i="13"/>
  <c r="AH199" i="13"/>
  <c r="AG199" i="13"/>
  <c r="AF199" i="13"/>
  <c r="CJ198" i="13"/>
  <c r="CI198" i="13"/>
  <c r="CH198" i="13"/>
  <c r="CG198" i="13"/>
  <c r="CF198" i="13"/>
  <c r="CE198" i="13"/>
  <c r="CD198" i="13"/>
  <c r="CC198" i="13"/>
  <c r="CB198" i="13"/>
  <c r="CA198" i="13"/>
  <c r="BZ198" i="13"/>
  <c r="BY198" i="13"/>
  <c r="BX198" i="13"/>
  <c r="BW198" i="13"/>
  <c r="BV198" i="13"/>
  <c r="BU198" i="13"/>
  <c r="BT198" i="13"/>
  <c r="BS198" i="13"/>
  <c r="BR198" i="13"/>
  <c r="BQ198" i="13"/>
  <c r="BP198" i="13"/>
  <c r="BO198" i="13"/>
  <c r="BN198" i="13"/>
  <c r="BM198" i="13"/>
  <c r="BL198" i="13"/>
  <c r="BK198" i="13"/>
  <c r="BJ198" i="13"/>
  <c r="BI198" i="13"/>
  <c r="BH198" i="13"/>
  <c r="BG198" i="13"/>
  <c r="BF198" i="13"/>
  <c r="BE198" i="13"/>
  <c r="BD198" i="13"/>
  <c r="BC198" i="13"/>
  <c r="BB198" i="13"/>
  <c r="BA198" i="13"/>
  <c r="AZ198" i="13"/>
  <c r="AY198" i="13"/>
  <c r="AX198" i="13"/>
  <c r="AW198" i="13"/>
  <c r="AV198" i="13"/>
  <c r="AU198" i="13"/>
  <c r="AT198" i="13"/>
  <c r="AS198" i="13"/>
  <c r="AR198" i="13"/>
  <c r="AQ198" i="13"/>
  <c r="AP198" i="13"/>
  <c r="AO198" i="13"/>
  <c r="AN198" i="13"/>
  <c r="AM198" i="13"/>
  <c r="AL198" i="13"/>
  <c r="AK198" i="13"/>
  <c r="AJ198" i="13"/>
  <c r="AI198" i="13"/>
  <c r="AH198" i="13"/>
  <c r="AG198" i="13"/>
  <c r="AF198" i="13"/>
  <c r="CJ197" i="13"/>
  <c r="CI197" i="13"/>
  <c r="CH197" i="13"/>
  <c r="CG197" i="13"/>
  <c r="CF197" i="13"/>
  <c r="CE197" i="13"/>
  <c r="CD197" i="13"/>
  <c r="CC197" i="13"/>
  <c r="CB197" i="13"/>
  <c r="CA197" i="13"/>
  <c r="BZ197" i="13"/>
  <c r="BY197" i="13"/>
  <c r="BX197" i="13"/>
  <c r="BW197" i="13"/>
  <c r="BV197" i="13"/>
  <c r="BU197" i="13"/>
  <c r="BT197" i="13"/>
  <c r="BS197" i="13"/>
  <c r="BR197" i="13"/>
  <c r="BQ197" i="13"/>
  <c r="BP197" i="13"/>
  <c r="BO197" i="13"/>
  <c r="BN197" i="13"/>
  <c r="BM197" i="13"/>
  <c r="BL197" i="13"/>
  <c r="BK197" i="13"/>
  <c r="BJ197" i="13"/>
  <c r="BI197" i="13"/>
  <c r="BH197" i="13"/>
  <c r="BG197" i="13"/>
  <c r="BF197" i="13"/>
  <c r="BE197" i="13"/>
  <c r="BD197" i="13"/>
  <c r="BC197" i="13"/>
  <c r="BB197" i="13"/>
  <c r="BA197" i="13"/>
  <c r="AZ197" i="13"/>
  <c r="AY197" i="13"/>
  <c r="AX197" i="13"/>
  <c r="AW197" i="13"/>
  <c r="AV197" i="13"/>
  <c r="AU197" i="13"/>
  <c r="AT197" i="13"/>
  <c r="AS197" i="13"/>
  <c r="AR197" i="13"/>
  <c r="AQ197" i="13"/>
  <c r="AP197" i="13"/>
  <c r="AO197" i="13"/>
  <c r="AN197" i="13"/>
  <c r="AM197" i="13"/>
  <c r="AL197" i="13"/>
  <c r="AK197" i="13"/>
  <c r="AJ197" i="13"/>
  <c r="AI197" i="13"/>
  <c r="AH197" i="13"/>
  <c r="AG197" i="13"/>
  <c r="AF197" i="13"/>
  <c r="CJ196" i="13"/>
  <c r="CI196" i="13"/>
  <c r="CH196" i="13"/>
  <c r="CG196" i="13"/>
  <c r="CF196" i="13"/>
  <c r="CE196" i="13"/>
  <c r="CD196" i="13"/>
  <c r="CC196" i="13"/>
  <c r="CB196" i="13"/>
  <c r="CA196" i="13"/>
  <c r="BZ196" i="13"/>
  <c r="BY196" i="13"/>
  <c r="BX196" i="13"/>
  <c r="BW196" i="13"/>
  <c r="BV196" i="13"/>
  <c r="BU196" i="13"/>
  <c r="BT196" i="13"/>
  <c r="BS196" i="13"/>
  <c r="BR196" i="13"/>
  <c r="BQ196" i="13"/>
  <c r="BP196" i="13"/>
  <c r="BO196" i="13"/>
  <c r="BN196" i="13"/>
  <c r="BM196" i="13"/>
  <c r="BL196" i="13"/>
  <c r="BK196" i="13"/>
  <c r="BJ196" i="13"/>
  <c r="BI196" i="13"/>
  <c r="BH196" i="13"/>
  <c r="BG196" i="13"/>
  <c r="BF196" i="13"/>
  <c r="BE196" i="13"/>
  <c r="BD196" i="13"/>
  <c r="BC196" i="13"/>
  <c r="BB196" i="13"/>
  <c r="BA196" i="13"/>
  <c r="AZ196" i="13"/>
  <c r="AY196" i="13"/>
  <c r="AX196" i="13"/>
  <c r="AW196" i="13"/>
  <c r="AV196" i="13"/>
  <c r="AU196" i="13"/>
  <c r="AT196" i="13"/>
  <c r="AS196" i="13"/>
  <c r="AR196" i="13"/>
  <c r="AQ196" i="13"/>
  <c r="AP196" i="13"/>
  <c r="AO196" i="13"/>
  <c r="AN196" i="13"/>
  <c r="AM196" i="13"/>
  <c r="AL196" i="13"/>
  <c r="AK196" i="13"/>
  <c r="AJ196" i="13"/>
  <c r="AI196" i="13"/>
  <c r="AH196" i="13"/>
  <c r="AG196" i="13"/>
  <c r="AF196" i="13"/>
  <c r="CJ195" i="13"/>
  <c r="CI195" i="13"/>
  <c r="CH195" i="13"/>
  <c r="CG195" i="13"/>
  <c r="CF195" i="13"/>
  <c r="CE195" i="13"/>
  <c r="CD195" i="13"/>
  <c r="CC195" i="13"/>
  <c r="CB195" i="13"/>
  <c r="CA195" i="13"/>
  <c r="BZ195" i="13"/>
  <c r="BY195" i="13"/>
  <c r="BX195" i="13"/>
  <c r="BW195" i="13"/>
  <c r="BV195" i="13"/>
  <c r="BU195" i="13"/>
  <c r="BT195" i="13"/>
  <c r="BS195" i="13"/>
  <c r="BR195" i="13"/>
  <c r="BQ195" i="13"/>
  <c r="BP195" i="13"/>
  <c r="BO195" i="13"/>
  <c r="BN195" i="13"/>
  <c r="BM195" i="13"/>
  <c r="BL195" i="13"/>
  <c r="BK195" i="13"/>
  <c r="BJ195" i="13"/>
  <c r="BI195" i="13"/>
  <c r="BH195" i="13"/>
  <c r="BG195" i="13"/>
  <c r="BF195" i="13"/>
  <c r="BE195" i="13"/>
  <c r="BD195" i="13"/>
  <c r="BC195" i="13"/>
  <c r="BB195" i="13"/>
  <c r="BA195" i="13"/>
  <c r="AZ195" i="13"/>
  <c r="AY195" i="13"/>
  <c r="AX195" i="13"/>
  <c r="AW195" i="13"/>
  <c r="AV195" i="13"/>
  <c r="AU195" i="13"/>
  <c r="AT195" i="13"/>
  <c r="AS195" i="13"/>
  <c r="AR195" i="13"/>
  <c r="AQ195" i="13"/>
  <c r="AP195" i="13"/>
  <c r="AO195" i="13"/>
  <c r="AN195" i="13"/>
  <c r="AM195" i="13"/>
  <c r="AL195" i="13"/>
  <c r="AK195" i="13"/>
  <c r="AJ195" i="13"/>
  <c r="AI195" i="13"/>
  <c r="AH195" i="13"/>
  <c r="AG195" i="13"/>
  <c r="AF195" i="13"/>
  <c r="CJ194" i="13"/>
  <c r="CI194" i="13"/>
  <c r="CH194" i="13"/>
  <c r="CG194" i="13"/>
  <c r="CF194" i="13"/>
  <c r="CE194" i="13"/>
  <c r="CD194" i="13"/>
  <c r="CC194" i="13"/>
  <c r="CB194" i="13"/>
  <c r="CA194" i="13"/>
  <c r="BZ194" i="13"/>
  <c r="BY194" i="13"/>
  <c r="BX194" i="13"/>
  <c r="BW194" i="13"/>
  <c r="BV194" i="13"/>
  <c r="BU194" i="13"/>
  <c r="BT194" i="13"/>
  <c r="BS194" i="13"/>
  <c r="BR194" i="13"/>
  <c r="BQ194" i="13"/>
  <c r="BP194" i="13"/>
  <c r="BO194" i="13"/>
  <c r="BN194" i="13"/>
  <c r="BM194" i="13"/>
  <c r="BL194" i="13"/>
  <c r="BK194" i="13"/>
  <c r="BJ194" i="13"/>
  <c r="BI194" i="13"/>
  <c r="BH194" i="13"/>
  <c r="BG194" i="13"/>
  <c r="BF194" i="13"/>
  <c r="BE194" i="13"/>
  <c r="BD194" i="13"/>
  <c r="BC194" i="13"/>
  <c r="BB194" i="13"/>
  <c r="BA194" i="13"/>
  <c r="AZ194" i="13"/>
  <c r="AY194" i="13"/>
  <c r="AX194" i="13"/>
  <c r="AW194" i="13"/>
  <c r="AV194" i="13"/>
  <c r="AU194" i="13"/>
  <c r="AT194" i="13"/>
  <c r="AS194" i="13"/>
  <c r="AR194" i="13"/>
  <c r="AQ194" i="13"/>
  <c r="AP194" i="13"/>
  <c r="AO194" i="13"/>
  <c r="AN194" i="13"/>
  <c r="AM194" i="13"/>
  <c r="AL194" i="13"/>
  <c r="AK194" i="13"/>
  <c r="AJ194" i="13"/>
  <c r="AI194" i="13"/>
  <c r="AH194" i="13"/>
  <c r="AG194" i="13"/>
  <c r="AF194" i="13"/>
  <c r="CJ193" i="13"/>
  <c r="CI193" i="13"/>
  <c r="CH193" i="13"/>
  <c r="CG193" i="13"/>
  <c r="CF193" i="13"/>
  <c r="CE193" i="13"/>
  <c r="CD193" i="13"/>
  <c r="CC193" i="13"/>
  <c r="CB193" i="13"/>
  <c r="CA193" i="13"/>
  <c r="BZ193" i="13"/>
  <c r="BY193" i="13"/>
  <c r="BX193" i="13"/>
  <c r="BW193" i="13"/>
  <c r="BV193" i="13"/>
  <c r="BU193" i="13"/>
  <c r="BT193" i="13"/>
  <c r="BS193" i="13"/>
  <c r="BR193" i="13"/>
  <c r="BQ193" i="13"/>
  <c r="BP193" i="13"/>
  <c r="BO193" i="13"/>
  <c r="BN193" i="13"/>
  <c r="BM193" i="13"/>
  <c r="BL193" i="13"/>
  <c r="BK193" i="13"/>
  <c r="BJ193" i="13"/>
  <c r="BI193" i="13"/>
  <c r="BH193" i="13"/>
  <c r="BG193" i="13"/>
  <c r="BF193" i="13"/>
  <c r="BE193" i="13"/>
  <c r="BD193" i="13"/>
  <c r="BC193" i="13"/>
  <c r="BB193" i="13"/>
  <c r="BA193" i="13"/>
  <c r="AZ193" i="13"/>
  <c r="AY193" i="13"/>
  <c r="AX193" i="13"/>
  <c r="AW193" i="13"/>
  <c r="AV193" i="13"/>
  <c r="AU193" i="13"/>
  <c r="AT193" i="13"/>
  <c r="AS193" i="13"/>
  <c r="AR193" i="13"/>
  <c r="AQ193" i="13"/>
  <c r="AP193" i="13"/>
  <c r="AO193" i="13"/>
  <c r="AN193" i="13"/>
  <c r="AM193" i="13"/>
  <c r="AL193" i="13"/>
  <c r="AK193" i="13"/>
  <c r="AJ193" i="13"/>
  <c r="AI193" i="13"/>
  <c r="AH193" i="13"/>
  <c r="AG193" i="13"/>
  <c r="AF193" i="13"/>
  <c r="CJ192" i="13"/>
  <c r="CI192" i="13"/>
  <c r="CH192" i="13"/>
  <c r="CG192" i="13"/>
  <c r="CF192" i="13"/>
  <c r="CE192" i="13"/>
  <c r="CD192" i="13"/>
  <c r="CC192" i="13"/>
  <c r="CB192" i="13"/>
  <c r="CA192" i="13"/>
  <c r="BZ192" i="13"/>
  <c r="BY192" i="13"/>
  <c r="BX192" i="13"/>
  <c r="BW192" i="13"/>
  <c r="BV192" i="13"/>
  <c r="BU192" i="13"/>
  <c r="BT192" i="13"/>
  <c r="BS192" i="13"/>
  <c r="BR192" i="13"/>
  <c r="BQ192" i="13"/>
  <c r="BP192" i="13"/>
  <c r="BO192" i="13"/>
  <c r="BN192" i="13"/>
  <c r="BM192" i="13"/>
  <c r="BL192" i="13"/>
  <c r="BK192" i="13"/>
  <c r="BJ192" i="13"/>
  <c r="BI192" i="13"/>
  <c r="BH192" i="13"/>
  <c r="BG192" i="13"/>
  <c r="BF192" i="13"/>
  <c r="BE192" i="13"/>
  <c r="BD192" i="13"/>
  <c r="BC192" i="13"/>
  <c r="BB192" i="13"/>
  <c r="BA192" i="13"/>
  <c r="AZ192" i="13"/>
  <c r="AY192" i="13"/>
  <c r="AX192" i="13"/>
  <c r="AW192" i="13"/>
  <c r="AV192" i="13"/>
  <c r="AU192" i="13"/>
  <c r="AT192" i="13"/>
  <c r="AS192" i="13"/>
  <c r="AR192" i="13"/>
  <c r="AQ192" i="13"/>
  <c r="AP192" i="13"/>
  <c r="AO192" i="13"/>
  <c r="AN192" i="13"/>
  <c r="AM192" i="13"/>
  <c r="AL192" i="13"/>
  <c r="AK192" i="13"/>
  <c r="AJ192" i="13"/>
  <c r="AI192" i="13"/>
  <c r="AH192" i="13"/>
  <c r="AG192" i="13"/>
  <c r="AF192" i="13"/>
  <c r="CJ191" i="13"/>
  <c r="CI191" i="13"/>
  <c r="CH191" i="13"/>
  <c r="CG191" i="13"/>
  <c r="CF191" i="13"/>
  <c r="CE191" i="13"/>
  <c r="CD191" i="13"/>
  <c r="CC191" i="13"/>
  <c r="CB191" i="13"/>
  <c r="CA191" i="13"/>
  <c r="BZ191" i="13"/>
  <c r="BY191" i="13"/>
  <c r="BX191" i="13"/>
  <c r="BW191" i="13"/>
  <c r="BV191" i="13"/>
  <c r="BU191" i="13"/>
  <c r="BT191" i="13"/>
  <c r="BS191" i="13"/>
  <c r="BR191" i="13"/>
  <c r="BQ191" i="13"/>
  <c r="BP191" i="13"/>
  <c r="BO191" i="13"/>
  <c r="BN191" i="13"/>
  <c r="BM191" i="13"/>
  <c r="BL191" i="13"/>
  <c r="BK191" i="13"/>
  <c r="BJ191" i="13"/>
  <c r="BI191" i="13"/>
  <c r="BH191" i="13"/>
  <c r="BG191" i="13"/>
  <c r="BF191" i="13"/>
  <c r="BE191" i="13"/>
  <c r="BD191" i="13"/>
  <c r="BC191" i="13"/>
  <c r="BB191" i="13"/>
  <c r="BA191" i="13"/>
  <c r="AZ191" i="13"/>
  <c r="AY191" i="13"/>
  <c r="AX191" i="13"/>
  <c r="AW191" i="13"/>
  <c r="AV191" i="13"/>
  <c r="AU191" i="13"/>
  <c r="AT191" i="13"/>
  <c r="AS191" i="13"/>
  <c r="AR191" i="13"/>
  <c r="AQ191" i="13"/>
  <c r="AP191" i="13"/>
  <c r="AO191" i="13"/>
  <c r="AN191" i="13"/>
  <c r="AM191" i="13"/>
  <c r="AL191" i="13"/>
  <c r="AK191" i="13"/>
  <c r="AJ191" i="13"/>
  <c r="AI191" i="13"/>
  <c r="AH191" i="13"/>
  <c r="AG191" i="13"/>
  <c r="AF191" i="13"/>
  <c r="CJ190" i="13"/>
  <c r="CI190" i="13"/>
  <c r="CH190" i="13"/>
  <c r="CG190" i="13"/>
  <c r="CF190" i="13"/>
  <c r="CE190" i="13"/>
  <c r="CD190" i="13"/>
  <c r="CC190" i="13"/>
  <c r="CB190" i="13"/>
  <c r="CA190" i="13"/>
  <c r="BZ190" i="13"/>
  <c r="BY190" i="13"/>
  <c r="BX190" i="13"/>
  <c r="BW190" i="13"/>
  <c r="BV190" i="13"/>
  <c r="BU190" i="13"/>
  <c r="BT190" i="13"/>
  <c r="BS190" i="13"/>
  <c r="BR190" i="13"/>
  <c r="BQ190" i="13"/>
  <c r="BP190" i="13"/>
  <c r="BO190" i="13"/>
  <c r="BN190" i="13"/>
  <c r="BM190" i="13"/>
  <c r="BL190" i="13"/>
  <c r="BK190" i="13"/>
  <c r="BJ190" i="13"/>
  <c r="BI190" i="13"/>
  <c r="BH190" i="13"/>
  <c r="BG190" i="13"/>
  <c r="BF190" i="13"/>
  <c r="BE190" i="13"/>
  <c r="BD190" i="13"/>
  <c r="BC190" i="13"/>
  <c r="BB190" i="13"/>
  <c r="BA190" i="13"/>
  <c r="AZ190" i="13"/>
  <c r="AY190" i="13"/>
  <c r="AX190" i="13"/>
  <c r="AW190" i="13"/>
  <c r="AV190" i="13"/>
  <c r="AU190" i="13"/>
  <c r="AT190" i="13"/>
  <c r="AS190" i="13"/>
  <c r="AR190" i="13"/>
  <c r="AQ190" i="13"/>
  <c r="AP190" i="13"/>
  <c r="AO190" i="13"/>
  <c r="AN190" i="13"/>
  <c r="AM190" i="13"/>
  <c r="AL190" i="13"/>
  <c r="AK190" i="13"/>
  <c r="AJ190" i="13"/>
  <c r="AI190" i="13"/>
  <c r="AH190" i="13"/>
  <c r="AG190" i="13"/>
  <c r="AF190" i="13"/>
  <c r="CJ189" i="13"/>
  <c r="CI189" i="13"/>
  <c r="CH189" i="13"/>
  <c r="CG189" i="13"/>
  <c r="CF189" i="13"/>
  <c r="CE189" i="13"/>
  <c r="CD189" i="13"/>
  <c r="CC189" i="13"/>
  <c r="CB189" i="13"/>
  <c r="CA189" i="13"/>
  <c r="BZ189" i="13"/>
  <c r="BY189" i="13"/>
  <c r="BX189" i="13"/>
  <c r="BW189" i="13"/>
  <c r="BV189" i="13"/>
  <c r="BU189" i="13"/>
  <c r="BT189" i="13"/>
  <c r="BS189" i="13"/>
  <c r="BR189" i="13"/>
  <c r="BQ189" i="13"/>
  <c r="BP189" i="13"/>
  <c r="BO189" i="13"/>
  <c r="BN189" i="13"/>
  <c r="BM189" i="13"/>
  <c r="BL189" i="13"/>
  <c r="BK189" i="13"/>
  <c r="BJ189" i="13"/>
  <c r="BI189" i="13"/>
  <c r="BH189" i="13"/>
  <c r="BG189" i="13"/>
  <c r="BF189" i="13"/>
  <c r="BE189" i="13"/>
  <c r="BD189" i="13"/>
  <c r="BC189" i="13"/>
  <c r="BB189" i="13"/>
  <c r="BA189" i="13"/>
  <c r="AZ189" i="13"/>
  <c r="AY189" i="13"/>
  <c r="AX189" i="13"/>
  <c r="AW189" i="13"/>
  <c r="AV189" i="13"/>
  <c r="AU189" i="13"/>
  <c r="AT189" i="13"/>
  <c r="AS189" i="13"/>
  <c r="AR189" i="13"/>
  <c r="AQ189" i="13"/>
  <c r="AP189" i="13"/>
  <c r="AO189" i="13"/>
  <c r="AN189" i="13"/>
  <c r="AM189" i="13"/>
  <c r="AL189" i="13"/>
  <c r="AK189" i="13"/>
  <c r="AJ189" i="13"/>
  <c r="AI189" i="13"/>
  <c r="AH189" i="13"/>
  <c r="AG189" i="13"/>
  <c r="AF189" i="13"/>
  <c r="CJ188" i="13"/>
  <c r="CI188" i="13"/>
  <c r="CH188" i="13"/>
  <c r="CG188" i="13"/>
  <c r="CF188" i="13"/>
  <c r="CE188" i="13"/>
  <c r="CD188" i="13"/>
  <c r="CC188" i="13"/>
  <c r="CB188" i="13"/>
  <c r="CA188" i="13"/>
  <c r="BZ188" i="13"/>
  <c r="BY188" i="13"/>
  <c r="BX188" i="13"/>
  <c r="BW188" i="13"/>
  <c r="BV188" i="13"/>
  <c r="BU188" i="13"/>
  <c r="BT188" i="13"/>
  <c r="BS188" i="13"/>
  <c r="BR188" i="13"/>
  <c r="BQ188" i="13"/>
  <c r="BP188" i="13"/>
  <c r="BO188" i="13"/>
  <c r="BN188" i="13"/>
  <c r="BM188" i="13"/>
  <c r="BL188" i="13"/>
  <c r="BK188" i="13"/>
  <c r="BJ188" i="13"/>
  <c r="BI188" i="13"/>
  <c r="BH188" i="13"/>
  <c r="BG188" i="13"/>
  <c r="BF188" i="13"/>
  <c r="BE188" i="13"/>
  <c r="BD188" i="13"/>
  <c r="BC188" i="13"/>
  <c r="BB188" i="13"/>
  <c r="BA188" i="13"/>
  <c r="AZ188" i="13"/>
  <c r="AY188" i="13"/>
  <c r="AX188" i="13"/>
  <c r="AW188" i="13"/>
  <c r="AV188" i="13"/>
  <c r="AU188" i="13"/>
  <c r="AT188" i="13"/>
  <c r="AS188" i="13"/>
  <c r="AR188" i="13"/>
  <c r="AQ188" i="13"/>
  <c r="AP188" i="13"/>
  <c r="AO188" i="13"/>
  <c r="AN188" i="13"/>
  <c r="AM188" i="13"/>
  <c r="AL188" i="13"/>
  <c r="AK188" i="13"/>
  <c r="AJ188" i="13"/>
  <c r="AI188" i="13"/>
  <c r="AH188" i="13"/>
  <c r="AG188" i="13"/>
  <c r="AF188" i="13"/>
  <c r="CJ187" i="13"/>
  <c r="CI187" i="13"/>
  <c r="CH187" i="13"/>
  <c r="CG187" i="13"/>
  <c r="CF187" i="13"/>
  <c r="CE187" i="13"/>
  <c r="CD187" i="13"/>
  <c r="CC187" i="13"/>
  <c r="CB187" i="13"/>
  <c r="CA187" i="13"/>
  <c r="BZ187" i="13"/>
  <c r="BY187" i="13"/>
  <c r="BX187" i="13"/>
  <c r="BW187" i="13"/>
  <c r="BV187" i="13"/>
  <c r="BU187" i="13"/>
  <c r="BT187" i="13"/>
  <c r="BS187" i="13"/>
  <c r="BR187" i="13"/>
  <c r="BQ187" i="13"/>
  <c r="BP187" i="13"/>
  <c r="BO187" i="13"/>
  <c r="BN187" i="13"/>
  <c r="BM187" i="13"/>
  <c r="BL187" i="13"/>
  <c r="BK187" i="13"/>
  <c r="BJ187" i="13"/>
  <c r="BI187" i="13"/>
  <c r="BH187" i="13"/>
  <c r="BG187" i="13"/>
  <c r="BF187" i="13"/>
  <c r="BE187" i="13"/>
  <c r="BD187" i="13"/>
  <c r="BC187" i="13"/>
  <c r="BB187" i="13"/>
  <c r="BA187" i="13"/>
  <c r="AZ187" i="13"/>
  <c r="AY187" i="13"/>
  <c r="AX187" i="13"/>
  <c r="AW187" i="13"/>
  <c r="AV187" i="13"/>
  <c r="AU187" i="13"/>
  <c r="AT187" i="13"/>
  <c r="AS187" i="13"/>
  <c r="AR187" i="13"/>
  <c r="AQ187" i="13"/>
  <c r="AP187" i="13"/>
  <c r="AO187" i="13"/>
  <c r="AN187" i="13"/>
  <c r="AM187" i="13"/>
  <c r="AL187" i="13"/>
  <c r="AK187" i="13"/>
  <c r="AJ187" i="13"/>
  <c r="AI187" i="13"/>
  <c r="AH187" i="13"/>
  <c r="AG187" i="13"/>
  <c r="AF187" i="13"/>
  <c r="CJ186" i="13"/>
  <c r="CI186" i="13"/>
  <c r="CH186" i="13"/>
  <c r="CG186" i="13"/>
  <c r="CF186" i="13"/>
  <c r="CE186" i="13"/>
  <c r="CD186" i="13"/>
  <c r="CC186" i="13"/>
  <c r="CB186" i="13"/>
  <c r="CA186" i="13"/>
  <c r="BZ186" i="13"/>
  <c r="BY186" i="13"/>
  <c r="BX186" i="13"/>
  <c r="BW186" i="13"/>
  <c r="BV186" i="13"/>
  <c r="BU186" i="13"/>
  <c r="BT186" i="13"/>
  <c r="BS186" i="13"/>
  <c r="BR186" i="13"/>
  <c r="BQ186" i="13"/>
  <c r="BP186" i="13"/>
  <c r="BO186" i="13"/>
  <c r="BN186" i="13"/>
  <c r="BM186" i="13"/>
  <c r="BL186" i="13"/>
  <c r="BK186" i="13"/>
  <c r="BJ186" i="13"/>
  <c r="BI186" i="13"/>
  <c r="BH186" i="13"/>
  <c r="BG186" i="13"/>
  <c r="BF186" i="13"/>
  <c r="BE186" i="13"/>
  <c r="BD186" i="13"/>
  <c r="BC186" i="13"/>
  <c r="BB186" i="13"/>
  <c r="BA186" i="13"/>
  <c r="AZ186" i="13"/>
  <c r="AY186" i="13"/>
  <c r="AX186" i="13"/>
  <c r="AW186" i="13"/>
  <c r="AV186" i="13"/>
  <c r="AU186" i="13"/>
  <c r="AT186" i="13"/>
  <c r="AS186" i="13"/>
  <c r="AR186" i="13"/>
  <c r="AQ186" i="13"/>
  <c r="AP186" i="13"/>
  <c r="AO186" i="13"/>
  <c r="AN186" i="13"/>
  <c r="AM186" i="13"/>
  <c r="AL186" i="13"/>
  <c r="AK186" i="13"/>
  <c r="AJ186" i="13"/>
  <c r="AI186" i="13"/>
  <c r="AH186" i="13"/>
  <c r="AG186" i="13"/>
  <c r="AF186" i="13"/>
  <c r="CJ185" i="13"/>
  <c r="CI185" i="13"/>
  <c r="CH185" i="13"/>
  <c r="CG185" i="13"/>
  <c r="CF185" i="13"/>
  <c r="CE185" i="13"/>
  <c r="CD185" i="13"/>
  <c r="CC185" i="13"/>
  <c r="CB185" i="13"/>
  <c r="CA185" i="13"/>
  <c r="BZ185" i="13"/>
  <c r="BY185" i="13"/>
  <c r="BX185" i="13"/>
  <c r="BW185" i="13"/>
  <c r="BV185" i="13"/>
  <c r="BU185" i="13"/>
  <c r="BT185" i="13"/>
  <c r="BS185" i="13"/>
  <c r="BR185" i="13"/>
  <c r="BQ185" i="13"/>
  <c r="BP185" i="13"/>
  <c r="BO185" i="13"/>
  <c r="BN185" i="13"/>
  <c r="BM185" i="13"/>
  <c r="BL185" i="13"/>
  <c r="BK185" i="13"/>
  <c r="BJ185" i="13"/>
  <c r="BI185" i="13"/>
  <c r="BH185" i="13"/>
  <c r="BG185" i="13"/>
  <c r="BF185" i="13"/>
  <c r="BE185" i="13"/>
  <c r="BD185" i="13"/>
  <c r="BC185" i="13"/>
  <c r="BB185" i="13"/>
  <c r="BA185" i="13"/>
  <c r="AZ185" i="13"/>
  <c r="AY185" i="13"/>
  <c r="AX185" i="13"/>
  <c r="AW185" i="13"/>
  <c r="AV185" i="13"/>
  <c r="AU185" i="13"/>
  <c r="AT185" i="13"/>
  <c r="AS185" i="13"/>
  <c r="AR185" i="13"/>
  <c r="AQ185" i="13"/>
  <c r="AP185" i="13"/>
  <c r="AO185" i="13"/>
  <c r="AN185" i="13"/>
  <c r="AM185" i="13"/>
  <c r="AL185" i="13"/>
  <c r="AK185" i="13"/>
  <c r="AJ185" i="13"/>
  <c r="AI185" i="13"/>
  <c r="AH185" i="13"/>
  <c r="AG185" i="13"/>
  <c r="AF185" i="13"/>
  <c r="CJ184" i="13"/>
  <c r="CI184" i="13"/>
  <c r="CH184" i="13"/>
  <c r="CG184" i="13"/>
  <c r="CF184" i="13"/>
  <c r="CE184" i="13"/>
  <c r="CD184" i="13"/>
  <c r="CC184" i="13"/>
  <c r="CB184" i="13"/>
  <c r="CA184" i="13"/>
  <c r="BZ184" i="13"/>
  <c r="BY184" i="13"/>
  <c r="BX184" i="13"/>
  <c r="BW184" i="13"/>
  <c r="BV184" i="13"/>
  <c r="BU184" i="13"/>
  <c r="BT184" i="13"/>
  <c r="BS184" i="13"/>
  <c r="BR184" i="13"/>
  <c r="BQ184" i="13"/>
  <c r="BP184" i="13"/>
  <c r="BO184" i="13"/>
  <c r="BN184" i="13"/>
  <c r="BM184" i="13"/>
  <c r="BL184" i="13"/>
  <c r="BK184" i="13"/>
  <c r="BJ184" i="13"/>
  <c r="BI184" i="13"/>
  <c r="BH184" i="13"/>
  <c r="BG184" i="13"/>
  <c r="BF184" i="13"/>
  <c r="BE184" i="13"/>
  <c r="BD184" i="13"/>
  <c r="BC184" i="13"/>
  <c r="BB184" i="13"/>
  <c r="BA184" i="13"/>
  <c r="AZ184" i="13"/>
  <c r="AY184" i="13"/>
  <c r="AX184" i="13"/>
  <c r="AW184" i="13"/>
  <c r="AV184" i="13"/>
  <c r="AU184" i="13"/>
  <c r="AT184" i="13"/>
  <c r="AS184" i="13"/>
  <c r="AR184" i="13"/>
  <c r="AQ184" i="13"/>
  <c r="AP184" i="13"/>
  <c r="AO184" i="13"/>
  <c r="AN184" i="13"/>
  <c r="AM184" i="13"/>
  <c r="AL184" i="13"/>
  <c r="AK184" i="13"/>
  <c r="AJ184" i="13"/>
  <c r="AI184" i="13"/>
  <c r="AH184" i="13"/>
  <c r="AG184" i="13"/>
  <c r="AF184" i="13"/>
  <c r="CJ183" i="13"/>
  <c r="CI183" i="13"/>
  <c r="CH183" i="13"/>
  <c r="CG183" i="13"/>
  <c r="CF183" i="13"/>
  <c r="CE183" i="13"/>
  <c r="CD183" i="13"/>
  <c r="CC183" i="13"/>
  <c r="CB183" i="13"/>
  <c r="CA183" i="13"/>
  <c r="BZ183" i="13"/>
  <c r="BY183" i="13"/>
  <c r="BX183" i="13"/>
  <c r="BW183" i="13"/>
  <c r="BV183" i="13"/>
  <c r="BU183" i="13"/>
  <c r="BT183" i="13"/>
  <c r="BS183" i="13"/>
  <c r="BR183" i="13"/>
  <c r="BQ183" i="13"/>
  <c r="BP183" i="13"/>
  <c r="BO183" i="13"/>
  <c r="BN183" i="13"/>
  <c r="BM183" i="13"/>
  <c r="BL183" i="13"/>
  <c r="BK183" i="13"/>
  <c r="BJ183" i="13"/>
  <c r="BI183" i="13"/>
  <c r="BH183" i="13"/>
  <c r="BG183" i="13"/>
  <c r="BF183" i="13"/>
  <c r="BE183" i="13"/>
  <c r="BD183" i="13"/>
  <c r="BC183" i="13"/>
  <c r="BB183" i="13"/>
  <c r="BA183" i="13"/>
  <c r="AZ183" i="13"/>
  <c r="AY183" i="13"/>
  <c r="AX183" i="13"/>
  <c r="AW183" i="13"/>
  <c r="AV183" i="13"/>
  <c r="AU183" i="13"/>
  <c r="AT183" i="13"/>
  <c r="AS183" i="13"/>
  <c r="AR183" i="13"/>
  <c r="AQ183" i="13"/>
  <c r="AP183" i="13"/>
  <c r="AO183" i="13"/>
  <c r="AN183" i="13"/>
  <c r="AM183" i="13"/>
  <c r="AL183" i="13"/>
  <c r="AK183" i="13"/>
  <c r="AJ183" i="13"/>
  <c r="AI183" i="13"/>
  <c r="AH183" i="13"/>
  <c r="AG183" i="13"/>
  <c r="AF183" i="13"/>
  <c r="CJ182" i="13"/>
  <c r="CI182" i="13"/>
  <c r="CH182" i="13"/>
  <c r="CG182" i="13"/>
  <c r="CF182" i="13"/>
  <c r="CE182" i="13"/>
  <c r="CD182" i="13"/>
  <c r="CC182" i="13"/>
  <c r="CB182" i="13"/>
  <c r="CA182" i="13"/>
  <c r="BZ182" i="13"/>
  <c r="BY182" i="13"/>
  <c r="BX182" i="13"/>
  <c r="BW182" i="13"/>
  <c r="BV182" i="13"/>
  <c r="BU182" i="13"/>
  <c r="BT182" i="13"/>
  <c r="BS182" i="13"/>
  <c r="BR182" i="13"/>
  <c r="BQ182" i="13"/>
  <c r="BP182" i="13"/>
  <c r="BO182" i="13"/>
  <c r="BN182" i="13"/>
  <c r="BM182" i="13"/>
  <c r="BL182" i="13"/>
  <c r="BK182" i="13"/>
  <c r="BJ182" i="13"/>
  <c r="BI182" i="13"/>
  <c r="BH182" i="13"/>
  <c r="BG182" i="13"/>
  <c r="BF182" i="13"/>
  <c r="BE182" i="13"/>
  <c r="BD182" i="13"/>
  <c r="BC182" i="13"/>
  <c r="BB182" i="13"/>
  <c r="BA182" i="13"/>
  <c r="AZ182" i="13"/>
  <c r="AY182" i="13"/>
  <c r="AX182" i="13"/>
  <c r="AW182" i="13"/>
  <c r="AV182" i="13"/>
  <c r="AU182" i="13"/>
  <c r="AT182" i="13"/>
  <c r="AS182" i="13"/>
  <c r="AR182" i="13"/>
  <c r="AQ182" i="13"/>
  <c r="AP182" i="13"/>
  <c r="AO182" i="13"/>
  <c r="AN182" i="13"/>
  <c r="AM182" i="13"/>
  <c r="AL182" i="13"/>
  <c r="AK182" i="13"/>
  <c r="AJ182" i="13"/>
  <c r="AI182" i="13"/>
  <c r="AH182" i="13"/>
  <c r="AG182" i="13"/>
  <c r="AF182" i="13"/>
  <c r="CJ181" i="13"/>
  <c r="CI181" i="13"/>
  <c r="CH181" i="13"/>
  <c r="CG181" i="13"/>
  <c r="CF181" i="13"/>
  <c r="CE181" i="13"/>
  <c r="CD181" i="13"/>
  <c r="CC181" i="13"/>
  <c r="CB181" i="13"/>
  <c r="CA181" i="13"/>
  <c r="BZ181" i="13"/>
  <c r="BY181" i="13"/>
  <c r="BX181" i="13"/>
  <c r="BW181" i="13"/>
  <c r="BV181" i="13"/>
  <c r="BU181" i="13"/>
  <c r="BT181" i="13"/>
  <c r="BS181" i="13"/>
  <c r="BR181" i="13"/>
  <c r="BQ181" i="13"/>
  <c r="BP181" i="13"/>
  <c r="BO181" i="13"/>
  <c r="BN181" i="13"/>
  <c r="BM181" i="13"/>
  <c r="BL181" i="13"/>
  <c r="BK181" i="13"/>
  <c r="BJ181" i="13"/>
  <c r="BI181" i="13"/>
  <c r="BH181" i="13"/>
  <c r="BG181" i="13"/>
  <c r="BF181" i="13"/>
  <c r="BE181" i="13"/>
  <c r="BD181" i="13"/>
  <c r="BC181" i="13"/>
  <c r="BB181" i="13"/>
  <c r="BA181" i="13"/>
  <c r="AZ181" i="13"/>
  <c r="AY181" i="13"/>
  <c r="AX181" i="13"/>
  <c r="AW181" i="13"/>
  <c r="AV181" i="13"/>
  <c r="AU181" i="13"/>
  <c r="AT181" i="13"/>
  <c r="AS181" i="13"/>
  <c r="AR181" i="13"/>
  <c r="AQ181" i="13"/>
  <c r="AP181" i="13"/>
  <c r="AO181" i="13"/>
  <c r="AN181" i="13"/>
  <c r="AM181" i="13"/>
  <c r="AL181" i="13"/>
  <c r="AK181" i="13"/>
  <c r="AJ181" i="13"/>
  <c r="AI181" i="13"/>
  <c r="AH181" i="13"/>
  <c r="AG181" i="13"/>
  <c r="AF181" i="13"/>
  <c r="CJ180" i="13"/>
  <c r="CI180" i="13"/>
  <c r="CH180" i="13"/>
  <c r="CG180" i="13"/>
  <c r="CF180" i="13"/>
  <c r="CE180" i="13"/>
  <c r="CD180" i="13"/>
  <c r="CC180" i="13"/>
  <c r="CB180" i="13"/>
  <c r="CA180" i="13"/>
  <c r="BZ180" i="13"/>
  <c r="BY180" i="13"/>
  <c r="BX180" i="13"/>
  <c r="BW180" i="13"/>
  <c r="BV180" i="13"/>
  <c r="BU180" i="13"/>
  <c r="BT180" i="13"/>
  <c r="BS180" i="13"/>
  <c r="BR180" i="13"/>
  <c r="BQ180" i="13"/>
  <c r="BP180" i="13"/>
  <c r="BO180" i="13"/>
  <c r="BN180" i="13"/>
  <c r="BM180" i="13"/>
  <c r="BL180" i="13"/>
  <c r="BK180" i="13"/>
  <c r="BJ180" i="13"/>
  <c r="BI180" i="13"/>
  <c r="BH180" i="13"/>
  <c r="BG180" i="13"/>
  <c r="BF180" i="13"/>
  <c r="BE180" i="13"/>
  <c r="BD180" i="13"/>
  <c r="BC180" i="13"/>
  <c r="BB180" i="13"/>
  <c r="BA180" i="13"/>
  <c r="AZ180" i="13"/>
  <c r="AY180" i="13"/>
  <c r="AX180" i="13"/>
  <c r="AW180" i="13"/>
  <c r="AV180" i="13"/>
  <c r="AU180" i="13"/>
  <c r="AT180" i="13"/>
  <c r="AS180" i="13"/>
  <c r="AR180" i="13"/>
  <c r="AQ180" i="13"/>
  <c r="AP180" i="13"/>
  <c r="AO180" i="13"/>
  <c r="AN180" i="13"/>
  <c r="AM180" i="13"/>
  <c r="AL180" i="13"/>
  <c r="AK180" i="13"/>
  <c r="AJ180" i="13"/>
  <c r="AI180" i="13"/>
  <c r="AH180" i="13"/>
  <c r="AG180" i="13"/>
  <c r="AF180" i="13"/>
  <c r="CJ179" i="13"/>
  <c r="CI179" i="13"/>
  <c r="CH179" i="13"/>
  <c r="CG179" i="13"/>
  <c r="CF179" i="13"/>
  <c r="CE179" i="13"/>
  <c r="CD179" i="13"/>
  <c r="CC179" i="13"/>
  <c r="CB179" i="13"/>
  <c r="CA179" i="13"/>
  <c r="BZ179" i="13"/>
  <c r="BY179" i="13"/>
  <c r="BX179" i="13"/>
  <c r="BW179" i="13"/>
  <c r="BV179" i="13"/>
  <c r="BU179" i="13"/>
  <c r="BT179" i="13"/>
  <c r="BS179" i="13"/>
  <c r="BR179" i="13"/>
  <c r="BQ179" i="13"/>
  <c r="BP179" i="13"/>
  <c r="BO179" i="13"/>
  <c r="BN179" i="13"/>
  <c r="BM179" i="13"/>
  <c r="BL179" i="13"/>
  <c r="BK179" i="13"/>
  <c r="BJ179" i="13"/>
  <c r="BI179" i="13"/>
  <c r="BH179" i="13"/>
  <c r="BG179" i="13"/>
  <c r="BF179" i="13"/>
  <c r="BE179" i="13"/>
  <c r="BD179" i="13"/>
  <c r="BC179" i="13"/>
  <c r="BB179" i="13"/>
  <c r="BA179" i="13"/>
  <c r="AZ179" i="13"/>
  <c r="AY179" i="13"/>
  <c r="AX179" i="13"/>
  <c r="AW179" i="13"/>
  <c r="AV179" i="13"/>
  <c r="AU179" i="13"/>
  <c r="AT179" i="13"/>
  <c r="AS179" i="13"/>
  <c r="AR179" i="13"/>
  <c r="AQ179" i="13"/>
  <c r="AP179" i="13"/>
  <c r="AO179" i="13"/>
  <c r="AN179" i="13"/>
  <c r="AM179" i="13"/>
  <c r="AL179" i="13"/>
  <c r="AK179" i="13"/>
  <c r="AJ179" i="13"/>
  <c r="AI179" i="13"/>
  <c r="AH179" i="13"/>
  <c r="AG179" i="13"/>
  <c r="AF179" i="13"/>
  <c r="CJ178" i="13"/>
  <c r="CI178" i="13"/>
  <c r="CH178" i="13"/>
  <c r="CG178" i="13"/>
  <c r="CF178" i="13"/>
  <c r="CE178" i="13"/>
  <c r="CD178" i="13"/>
  <c r="CC178" i="13"/>
  <c r="CB178" i="13"/>
  <c r="CA178" i="13"/>
  <c r="BZ178" i="13"/>
  <c r="BY178" i="13"/>
  <c r="BX178" i="13"/>
  <c r="BW178" i="13"/>
  <c r="BV178" i="13"/>
  <c r="BU178" i="13"/>
  <c r="BT178" i="13"/>
  <c r="BS178" i="13"/>
  <c r="BR178" i="13"/>
  <c r="BQ178" i="13"/>
  <c r="BP178" i="13"/>
  <c r="BO178" i="13"/>
  <c r="BN178" i="13"/>
  <c r="BM178" i="13"/>
  <c r="BL178" i="13"/>
  <c r="BK178" i="13"/>
  <c r="BJ178" i="13"/>
  <c r="BI178" i="13"/>
  <c r="BH178" i="13"/>
  <c r="BG178" i="13"/>
  <c r="BF178" i="13"/>
  <c r="BE178" i="13"/>
  <c r="BD178" i="13"/>
  <c r="BC178" i="13"/>
  <c r="BB178" i="13"/>
  <c r="BA178" i="13"/>
  <c r="AZ178" i="13"/>
  <c r="AY178" i="13"/>
  <c r="AX178" i="13"/>
  <c r="AW178" i="13"/>
  <c r="AV178" i="13"/>
  <c r="AU178" i="13"/>
  <c r="AT178" i="13"/>
  <c r="AS178" i="13"/>
  <c r="AR178" i="13"/>
  <c r="AQ178" i="13"/>
  <c r="AP178" i="13"/>
  <c r="AO178" i="13"/>
  <c r="AN178" i="13"/>
  <c r="AM178" i="13"/>
  <c r="AL178" i="13"/>
  <c r="AK178" i="13"/>
  <c r="AJ178" i="13"/>
  <c r="AI178" i="13"/>
  <c r="AH178" i="13"/>
  <c r="AG178" i="13"/>
  <c r="AF178" i="13"/>
  <c r="CJ177" i="13"/>
  <c r="CI177" i="13"/>
  <c r="CH177" i="13"/>
  <c r="CG177" i="13"/>
  <c r="CF177" i="13"/>
  <c r="CE177" i="13"/>
  <c r="CD177" i="13"/>
  <c r="CC177" i="13"/>
  <c r="CB177" i="13"/>
  <c r="CA177" i="13"/>
  <c r="BZ177" i="13"/>
  <c r="BY177" i="13"/>
  <c r="BX177" i="13"/>
  <c r="BW177" i="13"/>
  <c r="BV177" i="13"/>
  <c r="BU177" i="13"/>
  <c r="BT177" i="13"/>
  <c r="BS177" i="13"/>
  <c r="BR177" i="13"/>
  <c r="BQ177" i="13"/>
  <c r="BP177" i="13"/>
  <c r="BO177" i="13"/>
  <c r="BN177" i="13"/>
  <c r="BM177" i="13"/>
  <c r="BL177" i="13"/>
  <c r="BK177" i="13"/>
  <c r="BJ177" i="13"/>
  <c r="BI177" i="13"/>
  <c r="BH177" i="13"/>
  <c r="BG177" i="13"/>
  <c r="BF177" i="13"/>
  <c r="BE177" i="13"/>
  <c r="BD177" i="13"/>
  <c r="BC177" i="13"/>
  <c r="BB177" i="13"/>
  <c r="BA177" i="13"/>
  <c r="AZ177" i="13"/>
  <c r="AY177" i="13"/>
  <c r="AX177" i="13"/>
  <c r="AW177" i="13"/>
  <c r="AV177" i="13"/>
  <c r="AU177" i="13"/>
  <c r="AT177" i="13"/>
  <c r="AS177" i="13"/>
  <c r="AR177" i="13"/>
  <c r="AQ177" i="13"/>
  <c r="AP177" i="13"/>
  <c r="AO177" i="13"/>
  <c r="AN177" i="13"/>
  <c r="AM177" i="13"/>
  <c r="AL177" i="13"/>
  <c r="AK177" i="13"/>
  <c r="AJ177" i="13"/>
  <c r="AI177" i="13"/>
  <c r="AH177" i="13"/>
  <c r="AG177" i="13"/>
  <c r="AF177" i="13"/>
  <c r="CJ176" i="13"/>
  <c r="CI176" i="13"/>
  <c r="CH176" i="13"/>
  <c r="CG176" i="13"/>
  <c r="CF176" i="13"/>
  <c r="CE176" i="13"/>
  <c r="CD176" i="13"/>
  <c r="CC176" i="13"/>
  <c r="CB176" i="13"/>
  <c r="CA176" i="13"/>
  <c r="BZ176" i="13"/>
  <c r="BY176" i="13"/>
  <c r="BX176" i="13"/>
  <c r="BW176" i="13"/>
  <c r="BV176" i="13"/>
  <c r="BU176" i="13"/>
  <c r="BT176" i="13"/>
  <c r="BS176" i="13"/>
  <c r="BR176" i="13"/>
  <c r="BQ176" i="13"/>
  <c r="BP176" i="13"/>
  <c r="BO176" i="13"/>
  <c r="BN176" i="13"/>
  <c r="BM176" i="13"/>
  <c r="BL176" i="13"/>
  <c r="BK176" i="13"/>
  <c r="BJ176" i="13"/>
  <c r="BI176" i="13"/>
  <c r="BH176" i="13"/>
  <c r="BG176" i="13"/>
  <c r="BF176" i="13"/>
  <c r="BE176" i="13"/>
  <c r="BD176" i="13"/>
  <c r="BC176" i="13"/>
  <c r="BB176" i="13"/>
  <c r="BA176" i="13"/>
  <c r="AZ176" i="13"/>
  <c r="AY176" i="13"/>
  <c r="AX176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CJ175" i="13"/>
  <c r="CI175" i="13"/>
  <c r="CH175" i="13"/>
  <c r="CG175" i="13"/>
  <c r="CF175" i="13"/>
  <c r="CE175" i="13"/>
  <c r="CD175" i="13"/>
  <c r="CC175" i="13"/>
  <c r="CB175" i="13"/>
  <c r="CA175" i="13"/>
  <c r="BZ175" i="13"/>
  <c r="BY175" i="13"/>
  <c r="BX175" i="13"/>
  <c r="BW175" i="13"/>
  <c r="BV175" i="13"/>
  <c r="BU175" i="13"/>
  <c r="BT175" i="13"/>
  <c r="BS175" i="13"/>
  <c r="BR175" i="13"/>
  <c r="BQ175" i="13"/>
  <c r="BP175" i="13"/>
  <c r="BO175" i="13"/>
  <c r="BN175" i="13"/>
  <c r="BM175" i="13"/>
  <c r="BL175" i="13"/>
  <c r="BK175" i="13"/>
  <c r="BJ175" i="13"/>
  <c r="BI175" i="13"/>
  <c r="BH175" i="13"/>
  <c r="BG175" i="13"/>
  <c r="BF175" i="13"/>
  <c r="BE175" i="13"/>
  <c r="BD175" i="13"/>
  <c r="BC175" i="13"/>
  <c r="BB175" i="13"/>
  <c r="BA175" i="13"/>
  <c r="AZ175" i="13"/>
  <c r="AY175" i="13"/>
  <c r="AX175" i="13"/>
  <c r="AW175" i="13"/>
  <c r="AV175" i="13"/>
  <c r="AU175" i="13"/>
  <c r="AT175" i="13"/>
  <c r="AS175" i="13"/>
  <c r="AR175" i="13"/>
  <c r="AQ175" i="13"/>
  <c r="AP175" i="13"/>
  <c r="AO175" i="13"/>
  <c r="AN175" i="13"/>
  <c r="AM175" i="13"/>
  <c r="AL175" i="13"/>
  <c r="AK175" i="13"/>
  <c r="AJ175" i="13"/>
  <c r="AI175" i="13"/>
  <c r="AH175" i="13"/>
  <c r="AG175" i="13"/>
  <c r="AF175" i="13"/>
  <c r="CJ174" i="13"/>
  <c r="CI174" i="13"/>
  <c r="CH174" i="13"/>
  <c r="CG174" i="13"/>
  <c r="CF174" i="13"/>
  <c r="CE174" i="13"/>
  <c r="CD174" i="13"/>
  <c r="CC174" i="13"/>
  <c r="CB174" i="13"/>
  <c r="CA174" i="13"/>
  <c r="BZ174" i="13"/>
  <c r="BY174" i="13"/>
  <c r="BX174" i="13"/>
  <c r="BW174" i="13"/>
  <c r="BV174" i="13"/>
  <c r="BU174" i="13"/>
  <c r="BT174" i="13"/>
  <c r="BS174" i="13"/>
  <c r="BR174" i="13"/>
  <c r="BQ174" i="13"/>
  <c r="BP174" i="13"/>
  <c r="BO174" i="13"/>
  <c r="BN174" i="13"/>
  <c r="BM174" i="13"/>
  <c r="BL174" i="13"/>
  <c r="BK174" i="13"/>
  <c r="BJ174" i="13"/>
  <c r="BI174" i="13"/>
  <c r="BH174" i="13"/>
  <c r="BG174" i="13"/>
  <c r="BF174" i="13"/>
  <c r="BE174" i="13"/>
  <c r="BD174" i="13"/>
  <c r="BC174" i="13"/>
  <c r="BB174" i="13"/>
  <c r="BA174" i="13"/>
  <c r="AZ174" i="13"/>
  <c r="AY174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K174" i="13"/>
  <c r="AJ174" i="13"/>
  <c r="AI174" i="13"/>
  <c r="AH174" i="13"/>
  <c r="AG174" i="13"/>
  <c r="AF174" i="13"/>
  <c r="CJ173" i="13"/>
  <c r="CI173" i="13"/>
  <c r="CH173" i="13"/>
  <c r="CG173" i="13"/>
  <c r="CF173" i="13"/>
  <c r="CE173" i="13"/>
  <c r="CD173" i="13"/>
  <c r="CC173" i="13"/>
  <c r="CB173" i="13"/>
  <c r="CA173" i="13"/>
  <c r="BZ173" i="13"/>
  <c r="BY173" i="13"/>
  <c r="BX173" i="13"/>
  <c r="BW173" i="13"/>
  <c r="BV173" i="13"/>
  <c r="BU173" i="13"/>
  <c r="BT173" i="13"/>
  <c r="BS173" i="13"/>
  <c r="BR173" i="13"/>
  <c r="BQ173" i="13"/>
  <c r="BP173" i="13"/>
  <c r="BO173" i="13"/>
  <c r="BN173" i="13"/>
  <c r="BM173" i="13"/>
  <c r="BL173" i="13"/>
  <c r="BK173" i="13"/>
  <c r="BJ173" i="13"/>
  <c r="BI173" i="13"/>
  <c r="BH173" i="13"/>
  <c r="BG173" i="13"/>
  <c r="BF173" i="13"/>
  <c r="BE173" i="13"/>
  <c r="BD173" i="13"/>
  <c r="BC173" i="13"/>
  <c r="BB173" i="13"/>
  <c r="BA173" i="13"/>
  <c r="AZ173" i="13"/>
  <c r="AY173" i="13"/>
  <c r="AX173" i="13"/>
  <c r="AW173" i="13"/>
  <c r="AV173" i="13"/>
  <c r="AU173" i="13"/>
  <c r="AT173" i="13"/>
  <c r="AS173" i="13"/>
  <c r="AR173" i="13"/>
  <c r="AQ173" i="13"/>
  <c r="AP173" i="13"/>
  <c r="AO173" i="13"/>
  <c r="AN173" i="13"/>
  <c r="AM173" i="13"/>
  <c r="AL173" i="13"/>
  <c r="AK173" i="13"/>
  <c r="AJ173" i="13"/>
  <c r="AI173" i="13"/>
  <c r="AH173" i="13"/>
  <c r="AG173" i="13"/>
  <c r="AF173" i="13"/>
  <c r="CJ172" i="13"/>
  <c r="CI172" i="13"/>
  <c r="CH172" i="13"/>
  <c r="CG172" i="13"/>
  <c r="CF172" i="13"/>
  <c r="CE172" i="13"/>
  <c r="CD172" i="13"/>
  <c r="CC172" i="13"/>
  <c r="CB172" i="13"/>
  <c r="CA172" i="13"/>
  <c r="BZ172" i="13"/>
  <c r="BY172" i="13"/>
  <c r="BX172" i="13"/>
  <c r="BW172" i="13"/>
  <c r="BV172" i="13"/>
  <c r="BU172" i="13"/>
  <c r="BT172" i="13"/>
  <c r="BS172" i="13"/>
  <c r="BR172" i="13"/>
  <c r="BQ172" i="13"/>
  <c r="BP172" i="13"/>
  <c r="BO172" i="13"/>
  <c r="BN172" i="13"/>
  <c r="BM172" i="13"/>
  <c r="BL172" i="13"/>
  <c r="BK172" i="13"/>
  <c r="BJ172" i="13"/>
  <c r="BI172" i="13"/>
  <c r="BH172" i="13"/>
  <c r="BG172" i="13"/>
  <c r="BF172" i="13"/>
  <c r="BE172" i="13"/>
  <c r="BD172" i="13"/>
  <c r="BC172" i="13"/>
  <c r="BB172" i="13"/>
  <c r="BA172" i="13"/>
  <c r="AZ172" i="13"/>
  <c r="AY172" i="13"/>
  <c r="AX172" i="13"/>
  <c r="AW172" i="13"/>
  <c r="AV172" i="13"/>
  <c r="AU172" i="13"/>
  <c r="AT172" i="13"/>
  <c r="AS172" i="13"/>
  <c r="AR172" i="13"/>
  <c r="AQ172" i="13"/>
  <c r="AP172" i="13"/>
  <c r="AO172" i="13"/>
  <c r="AN172" i="13"/>
  <c r="AM172" i="13"/>
  <c r="AL172" i="13"/>
  <c r="AK172" i="13"/>
  <c r="AJ172" i="13"/>
  <c r="AI172" i="13"/>
  <c r="AH172" i="13"/>
  <c r="AG172" i="13"/>
  <c r="AF172" i="13"/>
  <c r="CJ171" i="13"/>
  <c r="CI171" i="13"/>
  <c r="CH171" i="13"/>
  <c r="CG171" i="13"/>
  <c r="CF171" i="13"/>
  <c r="CE171" i="13"/>
  <c r="CD171" i="13"/>
  <c r="CC171" i="13"/>
  <c r="CB171" i="13"/>
  <c r="CA171" i="13"/>
  <c r="BZ171" i="13"/>
  <c r="BY171" i="13"/>
  <c r="BX171" i="13"/>
  <c r="BW171" i="13"/>
  <c r="BV171" i="13"/>
  <c r="BU171" i="13"/>
  <c r="BT171" i="13"/>
  <c r="BS171" i="13"/>
  <c r="BR171" i="13"/>
  <c r="BQ171" i="13"/>
  <c r="BP171" i="13"/>
  <c r="BO171" i="13"/>
  <c r="BN171" i="13"/>
  <c r="BM171" i="13"/>
  <c r="BL171" i="13"/>
  <c r="BK171" i="13"/>
  <c r="BJ171" i="13"/>
  <c r="BI171" i="13"/>
  <c r="BH171" i="13"/>
  <c r="BG171" i="13"/>
  <c r="BF171" i="13"/>
  <c r="BE171" i="13"/>
  <c r="BD171" i="13"/>
  <c r="BC171" i="13"/>
  <c r="BB171" i="13"/>
  <c r="BA171" i="13"/>
  <c r="AZ171" i="13"/>
  <c r="AY171" i="13"/>
  <c r="AX171" i="13"/>
  <c r="AW171" i="13"/>
  <c r="AV171" i="13"/>
  <c r="AU171" i="13"/>
  <c r="AT171" i="13"/>
  <c r="AS171" i="13"/>
  <c r="AR171" i="13"/>
  <c r="AQ171" i="13"/>
  <c r="AP171" i="13"/>
  <c r="AO171" i="13"/>
  <c r="AN171" i="13"/>
  <c r="AM171" i="13"/>
  <c r="AL171" i="13"/>
  <c r="AK171" i="13"/>
  <c r="AJ171" i="13"/>
  <c r="AI171" i="13"/>
  <c r="AH171" i="13"/>
  <c r="AG171" i="13"/>
  <c r="AF171" i="13"/>
  <c r="CJ170" i="13"/>
  <c r="CI170" i="13"/>
  <c r="CH170" i="13"/>
  <c r="CG170" i="13"/>
  <c r="CF170" i="13"/>
  <c r="CE170" i="13"/>
  <c r="CD170" i="13"/>
  <c r="CC170" i="13"/>
  <c r="CB170" i="13"/>
  <c r="CA170" i="13"/>
  <c r="BZ170" i="13"/>
  <c r="BY170" i="13"/>
  <c r="BX170" i="13"/>
  <c r="BW170" i="13"/>
  <c r="BV170" i="13"/>
  <c r="BU170" i="13"/>
  <c r="BT170" i="13"/>
  <c r="BS170" i="13"/>
  <c r="BR170" i="13"/>
  <c r="BQ170" i="13"/>
  <c r="BP170" i="13"/>
  <c r="BO170" i="13"/>
  <c r="BN170" i="13"/>
  <c r="BM170" i="13"/>
  <c r="BL170" i="13"/>
  <c r="BK170" i="13"/>
  <c r="BJ170" i="13"/>
  <c r="BI170" i="13"/>
  <c r="BH170" i="13"/>
  <c r="BG170" i="13"/>
  <c r="BF170" i="13"/>
  <c r="BE170" i="13"/>
  <c r="BD170" i="13"/>
  <c r="BC170" i="13"/>
  <c r="BB170" i="13"/>
  <c r="BA170" i="13"/>
  <c r="AZ170" i="13"/>
  <c r="AY170" i="13"/>
  <c r="AX170" i="13"/>
  <c r="AW170" i="13"/>
  <c r="AV170" i="13"/>
  <c r="AU170" i="13"/>
  <c r="AT170" i="13"/>
  <c r="AS170" i="13"/>
  <c r="AR170" i="13"/>
  <c r="AQ170" i="13"/>
  <c r="AP170" i="13"/>
  <c r="AO170" i="13"/>
  <c r="AN170" i="13"/>
  <c r="AM170" i="13"/>
  <c r="AL170" i="13"/>
  <c r="AK170" i="13"/>
  <c r="AJ170" i="13"/>
  <c r="AI170" i="13"/>
  <c r="AH170" i="13"/>
  <c r="AG170" i="13"/>
  <c r="AF170" i="13"/>
  <c r="CJ169" i="13"/>
  <c r="CI169" i="13"/>
  <c r="CH169" i="13"/>
  <c r="CG169" i="13"/>
  <c r="CF169" i="13"/>
  <c r="CE169" i="13"/>
  <c r="CD169" i="13"/>
  <c r="CC169" i="13"/>
  <c r="CB169" i="13"/>
  <c r="CA169" i="13"/>
  <c r="BZ169" i="13"/>
  <c r="BY169" i="13"/>
  <c r="BX169" i="13"/>
  <c r="BW169" i="13"/>
  <c r="BV169" i="13"/>
  <c r="BU169" i="13"/>
  <c r="BT169" i="13"/>
  <c r="BS169" i="13"/>
  <c r="BR169" i="13"/>
  <c r="BQ169" i="13"/>
  <c r="BP169" i="13"/>
  <c r="BO169" i="13"/>
  <c r="BN169" i="13"/>
  <c r="BM169" i="13"/>
  <c r="BL169" i="13"/>
  <c r="BK169" i="13"/>
  <c r="BJ169" i="13"/>
  <c r="BI169" i="13"/>
  <c r="BH169" i="13"/>
  <c r="BG169" i="13"/>
  <c r="BF169" i="13"/>
  <c r="BE169" i="13"/>
  <c r="BD169" i="13"/>
  <c r="BC169" i="13"/>
  <c r="BB169" i="13"/>
  <c r="BA169" i="13"/>
  <c r="AZ169" i="13"/>
  <c r="AY169" i="13"/>
  <c r="AX169" i="13"/>
  <c r="AW169" i="13"/>
  <c r="AV169" i="13"/>
  <c r="AU169" i="13"/>
  <c r="AT169" i="13"/>
  <c r="AS169" i="13"/>
  <c r="AR169" i="13"/>
  <c r="AQ169" i="13"/>
  <c r="AP169" i="13"/>
  <c r="AO169" i="13"/>
  <c r="AN169" i="13"/>
  <c r="AM169" i="13"/>
  <c r="AL169" i="13"/>
  <c r="AK169" i="13"/>
  <c r="AJ169" i="13"/>
  <c r="AI169" i="13"/>
  <c r="AH169" i="13"/>
  <c r="AG169" i="13"/>
  <c r="AF169" i="13"/>
  <c r="CJ168" i="13"/>
  <c r="CI168" i="13"/>
  <c r="CH168" i="13"/>
  <c r="CG168" i="13"/>
  <c r="CF168" i="13"/>
  <c r="CE168" i="13"/>
  <c r="CD168" i="13"/>
  <c r="CC168" i="13"/>
  <c r="CB168" i="13"/>
  <c r="CA168" i="13"/>
  <c r="BZ168" i="13"/>
  <c r="BY168" i="13"/>
  <c r="BX168" i="13"/>
  <c r="BW168" i="13"/>
  <c r="BV168" i="13"/>
  <c r="BU168" i="13"/>
  <c r="BT168" i="13"/>
  <c r="BS168" i="13"/>
  <c r="BR168" i="13"/>
  <c r="BQ168" i="13"/>
  <c r="BP168" i="13"/>
  <c r="BO168" i="13"/>
  <c r="BN168" i="13"/>
  <c r="BM168" i="13"/>
  <c r="BL168" i="13"/>
  <c r="BK168" i="13"/>
  <c r="BJ168" i="13"/>
  <c r="BI168" i="13"/>
  <c r="BH168" i="13"/>
  <c r="BG168" i="13"/>
  <c r="BF168" i="13"/>
  <c r="BE168" i="13"/>
  <c r="BD168" i="13"/>
  <c r="BC168" i="13"/>
  <c r="BB168" i="13"/>
  <c r="BA168" i="13"/>
  <c r="AZ168" i="13"/>
  <c r="AY168" i="13"/>
  <c r="AX168" i="13"/>
  <c r="AW168" i="13"/>
  <c r="AV168" i="13"/>
  <c r="AU168" i="13"/>
  <c r="AT168" i="13"/>
  <c r="AS168" i="13"/>
  <c r="AR168" i="13"/>
  <c r="AQ168" i="13"/>
  <c r="AP168" i="13"/>
  <c r="AO168" i="13"/>
  <c r="AN168" i="13"/>
  <c r="AM168" i="13"/>
  <c r="AL168" i="13"/>
  <c r="AK168" i="13"/>
  <c r="AJ168" i="13"/>
  <c r="AI168" i="13"/>
  <c r="AH168" i="13"/>
  <c r="AG168" i="13"/>
  <c r="AF168" i="13"/>
  <c r="CJ167" i="13"/>
  <c r="CI167" i="13"/>
  <c r="CH167" i="13"/>
  <c r="CG167" i="13"/>
  <c r="CF167" i="13"/>
  <c r="CE167" i="13"/>
  <c r="CD167" i="13"/>
  <c r="CC167" i="13"/>
  <c r="CB167" i="13"/>
  <c r="CA167" i="13"/>
  <c r="BZ167" i="13"/>
  <c r="BY167" i="13"/>
  <c r="BX167" i="13"/>
  <c r="BW167" i="13"/>
  <c r="BV167" i="13"/>
  <c r="BU167" i="13"/>
  <c r="BT167" i="13"/>
  <c r="BS167" i="13"/>
  <c r="BR167" i="13"/>
  <c r="BQ167" i="13"/>
  <c r="BP167" i="13"/>
  <c r="BO167" i="13"/>
  <c r="BN167" i="13"/>
  <c r="BM167" i="13"/>
  <c r="BL167" i="13"/>
  <c r="BK167" i="13"/>
  <c r="BJ167" i="13"/>
  <c r="BI167" i="13"/>
  <c r="BH167" i="13"/>
  <c r="BG167" i="13"/>
  <c r="BF167" i="13"/>
  <c r="BE167" i="13"/>
  <c r="BD167" i="13"/>
  <c r="BC167" i="13"/>
  <c r="BB167" i="13"/>
  <c r="BA167" i="13"/>
  <c r="AZ167" i="13"/>
  <c r="AY167" i="13"/>
  <c r="AX167" i="13"/>
  <c r="AW167" i="13"/>
  <c r="AV167" i="13"/>
  <c r="AU167" i="13"/>
  <c r="AT167" i="13"/>
  <c r="AS167" i="13"/>
  <c r="AR167" i="13"/>
  <c r="AQ167" i="13"/>
  <c r="AP167" i="13"/>
  <c r="AO167" i="13"/>
  <c r="AN167" i="13"/>
  <c r="AM167" i="13"/>
  <c r="AL167" i="13"/>
  <c r="AK167" i="13"/>
  <c r="AJ167" i="13"/>
  <c r="AI167" i="13"/>
  <c r="AH167" i="13"/>
  <c r="AG167" i="13"/>
  <c r="AF167" i="13"/>
  <c r="CJ166" i="13"/>
  <c r="CI166" i="13"/>
  <c r="CH166" i="13"/>
  <c r="CG166" i="13"/>
  <c r="CF166" i="13"/>
  <c r="CE166" i="13"/>
  <c r="CD166" i="13"/>
  <c r="CC166" i="13"/>
  <c r="CB166" i="13"/>
  <c r="CA166" i="13"/>
  <c r="BZ166" i="13"/>
  <c r="BY166" i="13"/>
  <c r="BX166" i="13"/>
  <c r="BW166" i="13"/>
  <c r="BV166" i="13"/>
  <c r="BU166" i="13"/>
  <c r="BT166" i="13"/>
  <c r="BS166" i="13"/>
  <c r="BR166" i="13"/>
  <c r="BQ166" i="13"/>
  <c r="BP166" i="13"/>
  <c r="BO166" i="13"/>
  <c r="BN166" i="13"/>
  <c r="BM166" i="13"/>
  <c r="BL166" i="13"/>
  <c r="BK166" i="13"/>
  <c r="BJ166" i="13"/>
  <c r="BI166" i="13"/>
  <c r="BH166" i="13"/>
  <c r="BG166" i="13"/>
  <c r="BF166" i="13"/>
  <c r="BE166" i="13"/>
  <c r="BD166" i="13"/>
  <c r="BC166" i="13"/>
  <c r="BB166" i="13"/>
  <c r="BA166" i="13"/>
  <c r="AZ166" i="13"/>
  <c r="AY166" i="13"/>
  <c r="AX166" i="13"/>
  <c r="AW166" i="13"/>
  <c r="AV166" i="13"/>
  <c r="AU166" i="13"/>
  <c r="AT166" i="13"/>
  <c r="AS166" i="13"/>
  <c r="AR166" i="13"/>
  <c r="AQ166" i="13"/>
  <c r="AP166" i="13"/>
  <c r="AO166" i="13"/>
  <c r="AN166" i="13"/>
  <c r="AM166" i="13"/>
  <c r="AL166" i="13"/>
  <c r="AK166" i="13"/>
  <c r="AJ166" i="13"/>
  <c r="AI166" i="13"/>
  <c r="AH166" i="13"/>
  <c r="AG166" i="13"/>
  <c r="AF166" i="13"/>
  <c r="CJ165" i="13"/>
  <c r="CI165" i="13"/>
  <c r="CH165" i="13"/>
  <c r="CG165" i="13"/>
  <c r="CF165" i="13"/>
  <c r="CE165" i="13"/>
  <c r="CD165" i="13"/>
  <c r="CC165" i="13"/>
  <c r="CB165" i="13"/>
  <c r="CA165" i="13"/>
  <c r="BZ165" i="13"/>
  <c r="BY165" i="13"/>
  <c r="BX165" i="13"/>
  <c r="BW165" i="13"/>
  <c r="BV165" i="13"/>
  <c r="BU165" i="13"/>
  <c r="BT165" i="13"/>
  <c r="BS165" i="13"/>
  <c r="BR165" i="13"/>
  <c r="BQ165" i="13"/>
  <c r="BP165" i="13"/>
  <c r="BO165" i="13"/>
  <c r="BN165" i="13"/>
  <c r="BM165" i="13"/>
  <c r="BL165" i="13"/>
  <c r="BK165" i="13"/>
  <c r="BJ165" i="13"/>
  <c r="BI165" i="13"/>
  <c r="BH165" i="13"/>
  <c r="BG165" i="13"/>
  <c r="BF165" i="13"/>
  <c r="BE165" i="13"/>
  <c r="BD165" i="13"/>
  <c r="BC165" i="13"/>
  <c r="BB165" i="13"/>
  <c r="BA165" i="13"/>
  <c r="AZ165" i="13"/>
  <c r="AY165" i="13"/>
  <c r="AX165" i="13"/>
  <c r="AW165" i="13"/>
  <c r="AV165" i="13"/>
  <c r="AU165" i="13"/>
  <c r="AT165" i="13"/>
  <c r="AS165" i="13"/>
  <c r="AR165" i="13"/>
  <c r="AQ165" i="13"/>
  <c r="AP165" i="13"/>
  <c r="AO165" i="13"/>
  <c r="AN165" i="13"/>
  <c r="AM165" i="13"/>
  <c r="AL165" i="13"/>
  <c r="AK165" i="13"/>
  <c r="AJ165" i="13"/>
  <c r="AI165" i="13"/>
  <c r="AH165" i="13"/>
  <c r="AG165" i="13"/>
  <c r="AF165" i="13"/>
  <c r="CJ164" i="13"/>
  <c r="CI164" i="13"/>
  <c r="CH164" i="13"/>
  <c r="CG164" i="13"/>
  <c r="CF164" i="13"/>
  <c r="CE164" i="13"/>
  <c r="CD164" i="13"/>
  <c r="CC164" i="13"/>
  <c r="CB164" i="13"/>
  <c r="CA164" i="13"/>
  <c r="BZ164" i="13"/>
  <c r="BY164" i="13"/>
  <c r="BX164" i="13"/>
  <c r="BW164" i="13"/>
  <c r="BV164" i="13"/>
  <c r="BU164" i="13"/>
  <c r="BT164" i="13"/>
  <c r="BS164" i="13"/>
  <c r="BR164" i="13"/>
  <c r="BQ164" i="13"/>
  <c r="BP164" i="13"/>
  <c r="BO164" i="13"/>
  <c r="BN164" i="13"/>
  <c r="BM164" i="13"/>
  <c r="BL164" i="13"/>
  <c r="BK164" i="13"/>
  <c r="BJ164" i="13"/>
  <c r="BI164" i="13"/>
  <c r="BH164" i="13"/>
  <c r="BG164" i="13"/>
  <c r="BF164" i="13"/>
  <c r="BE164" i="13"/>
  <c r="BD164" i="13"/>
  <c r="BC164" i="13"/>
  <c r="BB164" i="13"/>
  <c r="BA164" i="13"/>
  <c r="AZ164" i="13"/>
  <c r="AY164" i="13"/>
  <c r="AX164" i="13"/>
  <c r="AW164" i="13"/>
  <c r="AV164" i="13"/>
  <c r="AU164" i="13"/>
  <c r="AT164" i="13"/>
  <c r="AS164" i="13"/>
  <c r="AR164" i="13"/>
  <c r="AQ164" i="13"/>
  <c r="AP164" i="13"/>
  <c r="AO164" i="13"/>
  <c r="AN164" i="13"/>
  <c r="AM164" i="13"/>
  <c r="AL164" i="13"/>
  <c r="AK164" i="13"/>
  <c r="AJ164" i="13"/>
  <c r="AI164" i="13"/>
  <c r="AH164" i="13"/>
  <c r="AG164" i="13"/>
  <c r="AF164" i="13"/>
  <c r="CJ163" i="13"/>
  <c r="CI163" i="13"/>
  <c r="CH163" i="13"/>
  <c r="CG163" i="13"/>
  <c r="CF163" i="13"/>
  <c r="CE163" i="13"/>
  <c r="CD163" i="13"/>
  <c r="CC163" i="13"/>
  <c r="CB163" i="13"/>
  <c r="CA163" i="13"/>
  <c r="BZ163" i="13"/>
  <c r="BY163" i="13"/>
  <c r="BX163" i="13"/>
  <c r="BW163" i="13"/>
  <c r="BV163" i="13"/>
  <c r="BU163" i="13"/>
  <c r="BT163" i="13"/>
  <c r="BS163" i="13"/>
  <c r="BR163" i="13"/>
  <c r="BQ163" i="13"/>
  <c r="BP163" i="13"/>
  <c r="BO163" i="13"/>
  <c r="BN163" i="13"/>
  <c r="BM163" i="13"/>
  <c r="BL163" i="13"/>
  <c r="BK163" i="13"/>
  <c r="BJ163" i="13"/>
  <c r="BI163" i="13"/>
  <c r="BH163" i="13"/>
  <c r="BG163" i="13"/>
  <c r="BF163" i="13"/>
  <c r="BE163" i="13"/>
  <c r="BD163" i="13"/>
  <c r="BC163" i="13"/>
  <c r="BB163" i="13"/>
  <c r="BA163" i="13"/>
  <c r="AZ163" i="13"/>
  <c r="AY163" i="13"/>
  <c r="AX163" i="13"/>
  <c r="AW163" i="13"/>
  <c r="AV163" i="13"/>
  <c r="AU163" i="13"/>
  <c r="AT163" i="13"/>
  <c r="AS163" i="13"/>
  <c r="AR163" i="13"/>
  <c r="AQ163" i="13"/>
  <c r="AP163" i="13"/>
  <c r="AO163" i="13"/>
  <c r="AN163" i="13"/>
  <c r="AM163" i="13"/>
  <c r="AL163" i="13"/>
  <c r="AK163" i="13"/>
  <c r="AJ163" i="13"/>
  <c r="AI163" i="13"/>
  <c r="AH163" i="13"/>
  <c r="AG163" i="13"/>
  <c r="AF163" i="13"/>
  <c r="CJ162" i="13"/>
  <c r="CI162" i="13"/>
  <c r="CH162" i="13"/>
  <c r="CG162" i="13"/>
  <c r="CF162" i="13"/>
  <c r="CE162" i="13"/>
  <c r="CD162" i="13"/>
  <c r="CC162" i="13"/>
  <c r="CB162" i="13"/>
  <c r="CA162" i="13"/>
  <c r="BZ162" i="13"/>
  <c r="BY162" i="13"/>
  <c r="BX162" i="13"/>
  <c r="BW162" i="13"/>
  <c r="BV162" i="13"/>
  <c r="BU162" i="13"/>
  <c r="BT162" i="13"/>
  <c r="BS162" i="13"/>
  <c r="BR162" i="13"/>
  <c r="BQ162" i="13"/>
  <c r="BP162" i="13"/>
  <c r="BO162" i="13"/>
  <c r="BN162" i="13"/>
  <c r="BM162" i="13"/>
  <c r="BL162" i="13"/>
  <c r="BK162" i="13"/>
  <c r="BJ162" i="13"/>
  <c r="BI162" i="13"/>
  <c r="BH162" i="13"/>
  <c r="BG162" i="13"/>
  <c r="BF162" i="13"/>
  <c r="BE162" i="13"/>
  <c r="BD162" i="13"/>
  <c r="BC162" i="13"/>
  <c r="BB162" i="13"/>
  <c r="BA162" i="13"/>
  <c r="AZ162" i="13"/>
  <c r="AY162" i="13"/>
  <c r="AX162" i="13"/>
  <c r="AW162" i="13"/>
  <c r="AV162" i="13"/>
  <c r="AU162" i="13"/>
  <c r="AT162" i="13"/>
  <c r="AS162" i="13"/>
  <c r="AR162" i="13"/>
  <c r="AQ162" i="13"/>
  <c r="AP162" i="13"/>
  <c r="AO162" i="13"/>
  <c r="AN162" i="13"/>
  <c r="AM162" i="13"/>
  <c r="AL162" i="13"/>
  <c r="AK162" i="13"/>
  <c r="AJ162" i="13"/>
  <c r="AI162" i="13"/>
  <c r="AH162" i="13"/>
  <c r="AG162" i="13"/>
  <c r="AF162" i="13"/>
  <c r="CJ161" i="13"/>
  <c r="CI161" i="13"/>
  <c r="CH161" i="13"/>
  <c r="CG161" i="13"/>
  <c r="CF161" i="13"/>
  <c r="CE161" i="13"/>
  <c r="CD161" i="13"/>
  <c r="CC161" i="13"/>
  <c r="CB161" i="13"/>
  <c r="CA161" i="13"/>
  <c r="BZ161" i="13"/>
  <c r="BY161" i="13"/>
  <c r="BX161" i="13"/>
  <c r="BW161" i="13"/>
  <c r="BV161" i="13"/>
  <c r="BU161" i="13"/>
  <c r="BT161" i="13"/>
  <c r="BS161" i="13"/>
  <c r="BR161" i="13"/>
  <c r="BQ161" i="13"/>
  <c r="BP161" i="13"/>
  <c r="BO161" i="13"/>
  <c r="BN161" i="13"/>
  <c r="BM161" i="13"/>
  <c r="BL161" i="13"/>
  <c r="BK161" i="13"/>
  <c r="BJ161" i="13"/>
  <c r="BI161" i="13"/>
  <c r="BH161" i="13"/>
  <c r="BG161" i="13"/>
  <c r="BF161" i="13"/>
  <c r="BE161" i="13"/>
  <c r="BD161" i="13"/>
  <c r="BC161" i="13"/>
  <c r="BB161" i="13"/>
  <c r="BA161" i="13"/>
  <c r="AZ161" i="13"/>
  <c r="AY161" i="13"/>
  <c r="AX161" i="13"/>
  <c r="AW161" i="13"/>
  <c r="AV161" i="13"/>
  <c r="AU161" i="13"/>
  <c r="AT161" i="13"/>
  <c r="AS161" i="13"/>
  <c r="AR161" i="13"/>
  <c r="AQ161" i="13"/>
  <c r="AP161" i="13"/>
  <c r="AO161" i="13"/>
  <c r="AN161" i="13"/>
  <c r="AM161" i="13"/>
  <c r="AL161" i="13"/>
  <c r="AK161" i="13"/>
  <c r="AJ161" i="13"/>
  <c r="AI161" i="13"/>
  <c r="AH161" i="13"/>
  <c r="AG161" i="13"/>
  <c r="AF161" i="13"/>
  <c r="CJ160" i="13"/>
  <c r="CI160" i="13"/>
  <c r="CH160" i="13"/>
  <c r="CG160" i="13"/>
  <c r="CF160" i="13"/>
  <c r="CE160" i="13"/>
  <c r="CD160" i="13"/>
  <c r="CC160" i="13"/>
  <c r="CB160" i="13"/>
  <c r="CA160" i="13"/>
  <c r="BZ160" i="13"/>
  <c r="BY160" i="13"/>
  <c r="BX160" i="13"/>
  <c r="BW160" i="13"/>
  <c r="BV160" i="13"/>
  <c r="BU160" i="13"/>
  <c r="BT160" i="13"/>
  <c r="BS160" i="13"/>
  <c r="BR160" i="13"/>
  <c r="BQ160" i="13"/>
  <c r="BP160" i="13"/>
  <c r="BO160" i="13"/>
  <c r="BN160" i="13"/>
  <c r="BM160" i="13"/>
  <c r="BL160" i="13"/>
  <c r="BK160" i="13"/>
  <c r="BJ160" i="13"/>
  <c r="BI160" i="13"/>
  <c r="BH160" i="13"/>
  <c r="BG160" i="13"/>
  <c r="BF160" i="13"/>
  <c r="BE160" i="13"/>
  <c r="BD160" i="13"/>
  <c r="BC160" i="13"/>
  <c r="BB160" i="13"/>
  <c r="BA160" i="13"/>
  <c r="AZ160" i="13"/>
  <c r="AY160" i="13"/>
  <c r="AX160" i="13"/>
  <c r="AW160" i="13"/>
  <c r="AV160" i="13"/>
  <c r="AU160" i="13"/>
  <c r="AT160" i="13"/>
  <c r="AS160" i="13"/>
  <c r="AR160" i="13"/>
  <c r="AQ160" i="13"/>
  <c r="AP160" i="13"/>
  <c r="AO160" i="13"/>
  <c r="AN160" i="13"/>
  <c r="AM160" i="13"/>
  <c r="AL160" i="13"/>
  <c r="AK160" i="13"/>
  <c r="AJ160" i="13"/>
  <c r="AI160" i="13"/>
  <c r="AH160" i="13"/>
  <c r="AG160" i="13"/>
  <c r="AF160" i="13"/>
  <c r="CJ159" i="13"/>
  <c r="CI159" i="13"/>
  <c r="CH159" i="13"/>
  <c r="CG159" i="13"/>
  <c r="CF159" i="13"/>
  <c r="CE159" i="13"/>
  <c r="CD159" i="13"/>
  <c r="CC159" i="13"/>
  <c r="CB159" i="13"/>
  <c r="CA159" i="13"/>
  <c r="BZ159" i="13"/>
  <c r="BY159" i="13"/>
  <c r="BX159" i="13"/>
  <c r="BW159" i="13"/>
  <c r="BV159" i="13"/>
  <c r="BU159" i="13"/>
  <c r="BT159" i="13"/>
  <c r="BS159" i="13"/>
  <c r="BR159" i="13"/>
  <c r="BQ159" i="13"/>
  <c r="BP159" i="13"/>
  <c r="BO159" i="13"/>
  <c r="BN159" i="13"/>
  <c r="BM159" i="13"/>
  <c r="BL159" i="13"/>
  <c r="BK159" i="13"/>
  <c r="BJ159" i="13"/>
  <c r="BI159" i="13"/>
  <c r="BH159" i="13"/>
  <c r="BG159" i="13"/>
  <c r="BF159" i="13"/>
  <c r="BE159" i="13"/>
  <c r="BD159" i="13"/>
  <c r="BC159" i="13"/>
  <c r="BB159" i="13"/>
  <c r="BA159" i="13"/>
  <c r="AZ159" i="13"/>
  <c r="AY159" i="13"/>
  <c r="AX159" i="13"/>
  <c r="AW159" i="13"/>
  <c r="AV159" i="13"/>
  <c r="AU159" i="13"/>
  <c r="AT159" i="13"/>
  <c r="AS159" i="13"/>
  <c r="AR159" i="13"/>
  <c r="AQ159" i="13"/>
  <c r="AP159" i="13"/>
  <c r="AO159" i="13"/>
  <c r="AN159" i="13"/>
  <c r="AM159" i="13"/>
  <c r="AL159" i="13"/>
  <c r="AK159" i="13"/>
  <c r="AJ159" i="13"/>
  <c r="AI159" i="13"/>
  <c r="AH159" i="13"/>
  <c r="AG159" i="13"/>
  <c r="AF159" i="13"/>
  <c r="CJ158" i="13"/>
  <c r="CI158" i="13"/>
  <c r="CH158" i="13"/>
  <c r="CG158" i="13"/>
  <c r="CF158" i="13"/>
  <c r="CE158" i="13"/>
  <c r="CD158" i="13"/>
  <c r="CC158" i="13"/>
  <c r="CB158" i="13"/>
  <c r="CA158" i="13"/>
  <c r="BZ158" i="13"/>
  <c r="BY158" i="13"/>
  <c r="BX158" i="13"/>
  <c r="BW158" i="13"/>
  <c r="BV158" i="13"/>
  <c r="BU158" i="13"/>
  <c r="BT158" i="13"/>
  <c r="BS158" i="13"/>
  <c r="BR158" i="13"/>
  <c r="BQ158" i="13"/>
  <c r="BP158" i="13"/>
  <c r="BO158" i="13"/>
  <c r="BN158" i="13"/>
  <c r="BM158" i="13"/>
  <c r="BL158" i="13"/>
  <c r="BK158" i="13"/>
  <c r="BJ158" i="13"/>
  <c r="BI158" i="13"/>
  <c r="BH158" i="13"/>
  <c r="BG158" i="13"/>
  <c r="BF158" i="13"/>
  <c r="BE158" i="13"/>
  <c r="BD158" i="13"/>
  <c r="BC158" i="13"/>
  <c r="BB158" i="13"/>
  <c r="BA158" i="13"/>
  <c r="AZ158" i="13"/>
  <c r="AY158" i="13"/>
  <c r="AX158" i="13"/>
  <c r="AW158" i="13"/>
  <c r="AV158" i="13"/>
  <c r="AU158" i="13"/>
  <c r="AT158" i="13"/>
  <c r="AS158" i="13"/>
  <c r="AR158" i="13"/>
  <c r="AQ158" i="13"/>
  <c r="AP158" i="13"/>
  <c r="AO158" i="13"/>
  <c r="AN158" i="13"/>
  <c r="AM158" i="13"/>
  <c r="AL158" i="13"/>
  <c r="AK158" i="13"/>
  <c r="AJ158" i="13"/>
  <c r="AI158" i="13"/>
  <c r="AH158" i="13"/>
  <c r="AG158" i="13"/>
  <c r="AF158" i="13"/>
  <c r="CJ157" i="13"/>
  <c r="CI157" i="13"/>
  <c r="CH157" i="13"/>
  <c r="CG157" i="13"/>
  <c r="CF157" i="13"/>
  <c r="CE157" i="13"/>
  <c r="CD157" i="13"/>
  <c r="CC157" i="13"/>
  <c r="CB157" i="13"/>
  <c r="CA157" i="13"/>
  <c r="BZ157" i="13"/>
  <c r="BY157" i="13"/>
  <c r="BX157" i="13"/>
  <c r="BW157" i="13"/>
  <c r="BV157" i="13"/>
  <c r="BU157" i="13"/>
  <c r="BT157" i="13"/>
  <c r="BS157" i="13"/>
  <c r="BR157" i="13"/>
  <c r="BQ157" i="13"/>
  <c r="BP157" i="13"/>
  <c r="BO157" i="13"/>
  <c r="BN157" i="13"/>
  <c r="BM157" i="13"/>
  <c r="BL157" i="13"/>
  <c r="BK157" i="13"/>
  <c r="BJ157" i="13"/>
  <c r="BI157" i="13"/>
  <c r="BH157" i="13"/>
  <c r="BG157" i="13"/>
  <c r="BF157" i="13"/>
  <c r="BE157" i="13"/>
  <c r="BD157" i="13"/>
  <c r="BC157" i="13"/>
  <c r="BB157" i="13"/>
  <c r="BA157" i="13"/>
  <c r="AZ157" i="13"/>
  <c r="AY157" i="13"/>
  <c r="AX157" i="13"/>
  <c r="AW157" i="13"/>
  <c r="AV157" i="13"/>
  <c r="AU157" i="13"/>
  <c r="AT157" i="13"/>
  <c r="AS157" i="13"/>
  <c r="AR157" i="13"/>
  <c r="AQ157" i="13"/>
  <c r="AP157" i="13"/>
  <c r="AO157" i="13"/>
  <c r="AN157" i="13"/>
  <c r="AM157" i="13"/>
  <c r="AL157" i="13"/>
  <c r="AK157" i="13"/>
  <c r="AJ157" i="13"/>
  <c r="AI157" i="13"/>
  <c r="AH157" i="13"/>
  <c r="AG157" i="13"/>
  <c r="AF157" i="13"/>
  <c r="CJ156" i="13"/>
  <c r="CI156" i="13"/>
  <c r="CH156" i="13"/>
  <c r="CG156" i="13"/>
  <c r="CF156" i="13"/>
  <c r="CE156" i="13"/>
  <c r="CD156" i="13"/>
  <c r="CC156" i="13"/>
  <c r="CB156" i="13"/>
  <c r="CA156" i="13"/>
  <c r="BZ156" i="13"/>
  <c r="BY156" i="13"/>
  <c r="BX156" i="13"/>
  <c r="BW156" i="13"/>
  <c r="BV156" i="13"/>
  <c r="BU156" i="13"/>
  <c r="BT156" i="13"/>
  <c r="BS156" i="13"/>
  <c r="BR156" i="13"/>
  <c r="BQ156" i="13"/>
  <c r="BP156" i="13"/>
  <c r="BO156" i="13"/>
  <c r="BN156" i="13"/>
  <c r="BM156" i="13"/>
  <c r="BL156" i="13"/>
  <c r="BK156" i="13"/>
  <c r="BJ156" i="13"/>
  <c r="BI156" i="13"/>
  <c r="BH156" i="13"/>
  <c r="BG156" i="13"/>
  <c r="BF156" i="13"/>
  <c r="BE156" i="13"/>
  <c r="BD156" i="13"/>
  <c r="BC156" i="13"/>
  <c r="BB156" i="13"/>
  <c r="BA156" i="13"/>
  <c r="AZ156" i="13"/>
  <c r="AY156" i="13"/>
  <c r="AX156" i="13"/>
  <c r="AW156" i="13"/>
  <c r="AV156" i="13"/>
  <c r="AU156" i="13"/>
  <c r="AT156" i="13"/>
  <c r="AS156" i="13"/>
  <c r="AR156" i="13"/>
  <c r="AQ156" i="13"/>
  <c r="AP156" i="13"/>
  <c r="AO156" i="13"/>
  <c r="AN156" i="13"/>
  <c r="AM156" i="13"/>
  <c r="AL156" i="13"/>
  <c r="AK156" i="13"/>
  <c r="AJ156" i="13"/>
  <c r="AI156" i="13"/>
  <c r="AH156" i="13"/>
  <c r="AG156" i="13"/>
  <c r="AF156" i="13"/>
  <c r="CJ155" i="13"/>
  <c r="CI155" i="13"/>
  <c r="CH155" i="13"/>
  <c r="CG155" i="13"/>
  <c r="CF155" i="13"/>
  <c r="CE155" i="13"/>
  <c r="CD155" i="13"/>
  <c r="CC155" i="13"/>
  <c r="CB155" i="13"/>
  <c r="CA155" i="13"/>
  <c r="BZ155" i="13"/>
  <c r="BY155" i="13"/>
  <c r="BX155" i="13"/>
  <c r="BW155" i="13"/>
  <c r="BV155" i="13"/>
  <c r="BU155" i="13"/>
  <c r="BT155" i="13"/>
  <c r="BS155" i="13"/>
  <c r="BR155" i="13"/>
  <c r="BQ155" i="13"/>
  <c r="BP155" i="13"/>
  <c r="BO155" i="13"/>
  <c r="BN155" i="13"/>
  <c r="BM155" i="13"/>
  <c r="BL155" i="13"/>
  <c r="BK155" i="13"/>
  <c r="BJ155" i="13"/>
  <c r="BI155" i="13"/>
  <c r="BH155" i="13"/>
  <c r="BG155" i="13"/>
  <c r="BF155" i="13"/>
  <c r="BE155" i="13"/>
  <c r="BD155" i="13"/>
  <c r="BC155" i="13"/>
  <c r="BB155" i="13"/>
  <c r="BA155" i="13"/>
  <c r="AZ155" i="13"/>
  <c r="AY155" i="13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CJ154" i="13"/>
  <c r="CI154" i="13"/>
  <c r="CH154" i="13"/>
  <c r="CG154" i="13"/>
  <c r="CF154" i="13"/>
  <c r="CE154" i="13"/>
  <c r="CD154" i="13"/>
  <c r="CC154" i="13"/>
  <c r="CB154" i="13"/>
  <c r="CA154" i="13"/>
  <c r="BZ154" i="13"/>
  <c r="BY154" i="13"/>
  <c r="BX154" i="13"/>
  <c r="BW154" i="13"/>
  <c r="BV154" i="13"/>
  <c r="BU154" i="13"/>
  <c r="BT154" i="13"/>
  <c r="BS154" i="13"/>
  <c r="BR154" i="13"/>
  <c r="BQ154" i="13"/>
  <c r="BP154" i="13"/>
  <c r="BO154" i="13"/>
  <c r="BN154" i="13"/>
  <c r="BM154" i="13"/>
  <c r="BL154" i="13"/>
  <c r="BK154" i="13"/>
  <c r="BJ154" i="13"/>
  <c r="BI154" i="13"/>
  <c r="BH154" i="13"/>
  <c r="BG154" i="13"/>
  <c r="BF154" i="13"/>
  <c r="BE154" i="13"/>
  <c r="BD154" i="13"/>
  <c r="BC154" i="13"/>
  <c r="BB154" i="13"/>
  <c r="BA154" i="13"/>
  <c r="AZ154" i="13"/>
  <c r="AY154" i="13"/>
  <c r="AX154" i="13"/>
  <c r="AW154" i="13"/>
  <c r="AV154" i="13"/>
  <c r="AU154" i="13"/>
  <c r="AT154" i="13"/>
  <c r="AS154" i="13"/>
  <c r="AR154" i="13"/>
  <c r="AQ154" i="13"/>
  <c r="AP154" i="13"/>
  <c r="AO154" i="13"/>
  <c r="AN154" i="13"/>
  <c r="AM154" i="13"/>
  <c r="AL154" i="13"/>
  <c r="AK154" i="13"/>
  <c r="AJ154" i="13"/>
  <c r="AI154" i="13"/>
  <c r="AH154" i="13"/>
  <c r="AG154" i="13"/>
  <c r="AF154" i="13"/>
  <c r="CJ153" i="13"/>
  <c r="CI153" i="13"/>
  <c r="CH153" i="13"/>
  <c r="CG153" i="13"/>
  <c r="CF153" i="13"/>
  <c r="CE153" i="13"/>
  <c r="CD153" i="13"/>
  <c r="CC153" i="13"/>
  <c r="CB153" i="13"/>
  <c r="CA153" i="13"/>
  <c r="BZ153" i="13"/>
  <c r="BY153" i="13"/>
  <c r="BX153" i="13"/>
  <c r="BW153" i="13"/>
  <c r="BV153" i="13"/>
  <c r="BU153" i="13"/>
  <c r="BT153" i="13"/>
  <c r="BS153" i="13"/>
  <c r="BR153" i="13"/>
  <c r="BQ153" i="13"/>
  <c r="BP153" i="13"/>
  <c r="BO153" i="13"/>
  <c r="BN153" i="13"/>
  <c r="BM153" i="13"/>
  <c r="BL153" i="13"/>
  <c r="BK153" i="13"/>
  <c r="BJ153" i="13"/>
  <c r="BI153" i="13"/>
  <c r="BH153" i="13"/>
  <c r="BG153" i="13"/>
  <c r="BF153" i="13"/>
  <c r="BE153" i="13"/>
  <c r="BD153" i="13"/>
  <c r="BC153" i="13"/>
  <c r="BB153" i="13"/>
  <c r="BA153" i="13"/>
  <c r="AZ153" i="13"/>
  <c r="AY153" i="13"/>
  <c r="AX153" i="13"/>
  <c r="AW153" i="13"/>
  <c r="AV153" i="13"/>
  <c r="AU153" i="13"/>
  <c r="AT153" i="13"/>
  <c r="AS153" i="13"/>
  <c r="AR153" i="13"/>
  <c r="AQ153" i="13"/>
  <c r="AP153" i="13"/>
  <c r="AO153" i="13"/>
  <c r="AN153" i="13"/>
  <c r="AM153" i="13"/>
  <c r="AL153" i="13"/>
  <c r="AK153" i="13"/>
  <c r="AJ153" i="13"/>
  <c r="AI153" i="13"/>
  <c r="AH153" i="13"/>
  <c r="AG153" i="13"/>
  <c r="AF153" i="13"/>
  <c r="CJ152" i="13"/>
  <c r="CI152" i="13"/>
  <c r="CH152" i="13"/>
  <c r="CG152" i="13"/>
  <c r="CF152" i="13"/>
  <c r="CE152" i="13"/>
  <c r="CD152" i="13"/>
  <c r="CC152" i="13"/>
  <c r="CB152" i="13"/>
  <c r="CA152" i="13"/>
  <c r="BZ152" i="13"/>
  <c r="BY152" i="13"/>
  <c r="BX152" i="13"/>
  <c r="BW152" i="13"/>
  <c r="BV152" i="13"/>
  <c r="BU152" i="13"/>
  <c r="BT152" i="13"/>
  <c r="BS152" i="13"/>
  <c r="BR152" i="13"/>
  <c r="BQ152" i="13"/>
  <c r="BP152" i="13"/>
  <c r="BO152" i="13"/>
  <c r="BN152" i="13"/>
  <c r="BM152" i="13"/>
  <c r="BL152" i="13"/>
  <c r="BK152" i="13"/>
  <c r="BJ152" i="13"/>
  <c r="BI152" i="13"/>
  <c r="BH152" i="13"/>
  <c r="BG152" i="13"/>
  <c r="BF152" i="13"/>
  <c r="BE152" i="13"/>
  <c r="BD152" i="13"/>
  <c r="BC152" i="13"/>
  <c r="BB152" i="13"/>
  <c r="BA152" i="13"/>
  <c r="AZ152" i="13"/>
  <c r="AY152" i="13"/>
  <c r="AX152" i="13"/>
  <c r="AW152" i="13"/>
  <c r="AV152" i="13"/>
  <c r="AU152" i="13"/>
  <c r="AT152" i="13"/>
  <c r="AS152" i="13"/>
  <c r="AR152" i="13"/>
  <c r="AQ152" i="13"/>
  <c r="AP152" i="13"/>
  <c r="AO152" i="13"/>
  <c r="AN152" i="13"/>
  <c r="AM152" i="13"/>
  <c r="AL152" i="13"/>
  <c r="AK152" i="13"/>
  <c r="AJ152" i="13"/>
  <c r="AI152" i="13"/>
  <c r="AH152" i="13"/>
  <c r="AG152" i="13"/>
  <c r="AF152" i="13"/>
  <c r="CJ151" i="13"/>
  <c r="CI151" i="13"/>
  <c r="CH151" i="13"/>
  <c r="CG151" i="13"/>
  <c r="CF151" i="13"/>
  <c r="CE151" i="13"/>
  <c r="CD151" i="13"/>
  <c r="CC151" i="13"/>
  <c r="CB151" i="13"/>
  <c r="CA151" i="13"/>
  <c r="BZ151" i="13"/>
  <c r="BY151" i="13"/>
  <c r="BX151" i="13"/>
  <c r="BW151" i="13"/>
  <c r="BV151" i="13"/>
  <c r="BU151" i="13"/>
  <c r="BT151" i="13"/>
  <c r="BS151" i="13"/>
  <c r="BR151" i="13"/>
  <c r="BQ151" i="13"/>
  <c r="BP151" i="13"/>
  <c r="BO151" i="13"/>
  <c r="BN151" i="13"/>
  <c r="BM151" i="13"/>
  <c r="BL151" i="13"/>
  <c r="BK151" i="13"/>
  <c r="BJ151" i="13"/>
  <c r="BI151" i="13"/>
  <c r="BH151" i="13"/>
  <c r="BG151" i="13"/>
  <c r="BF151" i="13"/>
  <c r="BE151" i="13"/>
  <c r="BD151" i="13"/>
  <c r="BC151" i="13"/>
  <c r="BB151" i="13"/>
  <c r="BA151" i="13"/>
  <c r="AZ151" i="13"/>
  <c r="AY151" i="13"/>
  <c r="AX151" i="13"/>
  <c r="AW151" i="13"/>
  <c r="AV151" i="13"/>
  <c r="AU151" i="13"/>
  <c r="AT151" i="13"/>
  <c r="AS151" i="13"/>
  <c r="AR151" i="13"/>
  <c r="AQ151" i="13"/>
  <c r="AP151" i="13"/>
  <c r="AO151" i="13"/>
  <c r="AN151" i="13"/>
  <c r="AM151" i="13"/>
  <c r="AL151" i="13"/>
  <c r="AK151" i="13"/>
  <c r="AJ151" i="13"/>
  <c r="AI151" i="13"/>
  <c r="AH151" i="13"/>
  <c r="AG151" i="13"/>
  <c r="AF151" i="13"/>
  <c r="CJ150" i="13"/>
  <c r="CI150" i="13"/>
  <c r="CH150" i="13"/>
  <c r="CG150" i="13"/>
  <c r="CF150" i="13"/>
  <c r="CE150" i="13"/>
  <c r="CD150" i="13"/>
  <c r="CC150" i="13"/>
  <c r="CB150" i="13"/>
  <c r="CA150" i="13"/>
  <c r="BZ150" i="13"/>
  <c r="BY150" i="13"/>
  <c r="BX150" i="13"/>
  <c r="BW150" i="13"/>
  <c r="BV150" i="13"/>
  <c r="BU150" i="13"/>
  <c r="BT150" i="13"/>
  <c r="BS150" i="13"/>
  <c r="BR150" i="13"/>
  <c r="BQ150" i="13"/>
  <c r="BP150" i="13"/>
  <c r="BO150" i="13"/>
  <c r="BN150" i="13"/>
  <c r="BM150" i="13"/>
  <c r="BL150" i="13"/>
  <c r="BK150" i="13"/>
  <c r="BJ150" i="13"/>
  <c r="BI150" i="13"/>
  <c r="BH150" i="13"/>
  <c r="BG150" i="13"/>
  <c r="BF150" i="13"/>
  <c r="BE150" i="13"/>
  <c r="BD150" i="13"/>
  <c r="BC150" i="13"/>
  <c r="BB150" i="13"/>
  <c r="BA150" i="13"/>
  <c r="AZ150" i="13"/>
  <c r="AY150" i="13"/>
  <c r="AX150" i="13"/>
  <c r="AW150" i="13"/>
  <c r="AV150" i="13"/>
  <c r="AU150" i="13"/>
  <c r="AT150" i="13"/>
  <c r="AS150" i="13"/>
  <c r="AR150" i="13"/>
  <c r="AQ150" i="13"/>
  <c r="AP150" i="13"/>
  <c r="AO150" i="13"/>
  <c r="AN150" i="13"/>
  <c r="AM150" i="13"/>
  <c r="AL150" i="13"/>
  <c r="AK150" i="13"/>
  <c r="AJ150" i="13"/>
  <c r="AI150" i="13"/>
  <c r="AH150" i="13"/>
  <c r="AG150" i="13"/>
  <c r="AF150" i="13"/>
  <c r="CJ149" i="13"/>
  <c r="CI149" i="13"/>
  <c r="CH149" i="13"/>
  <c r="CG149" i="13"/>
  <c r="CF149" i="13"/>
  <c r="CE149" i="13"/>
  <c r="CD149" i="13"/>
  <c r="CC149" i="13"/>
  <c r="CB149" i="13"/>
  <c r="CA149" i="13"/>
  <c r="BZ149" i="13"/>
  <c r="BY149" i="13"/>
  <c r="BX149" i="13"/>
  <c r="BW149" i="13"/>
  <c r="BV149" i="13"/>
  <c r="BU149" i="13"/>
  <c r="BT149" i="13"/>
  <c r="BS149" i="13"/>
  <c r="BR149" i="13"/>
  <c r="BQ149" i="13"/>
  <c r="BP149" i="13"/>
  <c r="BO149" i="13"/>
  <c r="BN149" i="13"/>
  <c r="BM149" i="13"/>
  <c r="BL149" i="13"/>
  <c r="BK149" i="13"/>
  <c r="BJ149" i="13"/>
  <c r="BI149" i="13"/>
  <c r="BH149" i="13"/>
  <c r="BG149" i="13"/>
  <c r="BF149" i="13"/>
  <c r="BE149" i="13"/>
  <c r="BD149" i="13"/>
  <c r="BC149" i="13"/>
  <c r="BB149" i="13"/>
  <c r="BA149" i="13"/>
  <c r="AZ149" i="13"/>
  <c r="AY149" i="13"/>
  <c r="AX149" i="13"/>
  <c r="AW149" i="13"/>
  <c r="AV149" i="13"/>
  <c r="AU149" i="13"/>
  <c r="AT149" i="13"/>
  <c r="AS149" i="13"/>
  <c r="AR149" i="13"/>
  <c r="AQ149" i="13"/>
  <c r="AP149" i="13"/>
  <c r="AO149" i="13"/>
  <c r="AN149" i="13"/>
  <c r="AM149" i="13"/>
  <c r="AL149" i="13"/>
  <c r="AK149" i="13"/>
  <c r="AJ149" i="13"/>
  <c r="AI149" i="13"/>
  <c r="AH149" i="13"/>
  <c r="AG149" i="13"/>
  <c r="AF149" i="13"/>
  <c r="CJ148" i="13"/>
  <c r="CI148" i="13"/>
  <c r="CH148" i="13"/>
  <c r="CG148" i="13"/>
  <c r="CF148" i="13"/>
  <c r="CE148" i="13"/>
  <c r="CD148" i="13"/>
  <c r="CC148" i="13"/>
  <c r="CB148" i="13"/>
  <c r="CA148" i="13"/>
  <c r="BZ148" i="13"/>
  <c r="BY148" i="13"/>
  <c r="BX148" i="13"/>
  <c r="BW148" i="13"/>
  <c r="BV148" i="13"/>
  <c r="BU148" i="13"/>
  <c r="BT148" i="13"/>
  <c r="BS148" i="13"/>
  <c r="BR148" i="13"/>
  <c r="BQ148" i="13"/>
  <c r="BP148" i="13"/>
  <c r="BO148" i="13"/>
  <c r="BN148" i="13"/>
  <c r="BM148" i="13"/>
  <c r="BL148" i="13"/>
  <c r="BK148" i="13"/>
  <c r="BJ148" i="13"/>
  <c r="BI148" i="13"/>
  <c r="BH148" i="13"/>
  <c r="BG148" i="13"/>
  <c r="BF148" i="13"/>
  <c r="BE148" i="13"/>
  <c r="BD148" i="13"/>
  <c r="BC148" i="13"/>
  <c r="BB148" i="13"/>
  <c r="BA148" i="13"/>
  <c r="AZ148" i="13"/>
  <c r="AY148" i="13"/>
  <c r="AX148" i="13"/>
  <c r="AW148" i="13"/>
  <c r="AV148" i="13"/>
  <c r="AU148" i="13"/>
  <c r="AT148" i="13"/>
  <c r="AS148" i="13"/>
  <c r="AR148" i="13"/>
  <c r="AQ148" i="13"/>
  <c r="AP148" i="13"/>
  <c r="AO148" i="13"/>
  <c r="AN148" i="13"/>
  <c r="AM148" i="13"/>
  <c r="AL148" i="13"/>
  <c r="AK148" i="13"/>
  <c r="AJ148" i="13"/>
  <c r="AI148" i="13"/>
  <c r="AH148" i="13"/>
  <c r="AG148" i="13"/>
  <c r="AF148" i="13"/>
  <c r="CJ147" i="13"/>
  <c r="CI147" i="13"/>
  <c r="CH147" i="13"/>
  <c r="CG147" i="13"/>
  <c r="CF147" i="13"/>
  <c r="CE147" i="13"/>
  <c r="CD147" i="13"/>
  <c r="CC147" i="13"/>
  <c r="CB147" i="13"/>
  <c r="CA147" i="13"/>
  <c r="BZ147" i="13"/>
  <c r="BY147" i="13"/>
  <c r="BX147" i="13"/>
  <c r="BW147" i="13"/>
  <c r="BV147" i="13"/>
  <c r="BU147" i="13"/>
  <c r="BT147" i="13"/>
  <c r="BS147" i="13"/>
  <c r="BR147" i="13"/>
  <c r="BQ147" i="13"/>
  <c r="BP147" i="13"/>
  <c r="BO147" i="13"/>
  <c r="BN147" i="13"/>
  <c r="BM147" i="13"/>
  <c r="BL147" i="13"/>
  <c r="BK147" i="13"/>
  <c r="BJ147" i="13"/>
  <c r="BI147" i="13"/>
  <c r="BH147" i="13"/>
  <c r="BG147" i="13"/>
  <c r="BF147" i="13"/>
  <c r="BE147" i="13"/>
  <c r="BD147" i="13"/>
  <c r="BC147" i="13"/>
  <c r="BB147" i="13"/>
  <c r="BA147" i="13"/>
  <c r="AZ147" i="13"/>
  <c r="AY147" i="13"/>
  <c r="AX147" i="13"/>
  <c r="AW147" i="13"/>
  <c r="AV147" i="13"/>
  <c r="AU147" i="13"/>
  <c r="AT147" i="13"/>
  <c r="AS147" i="13"/>
  <c r="AR147" i="13"/>
  <c r="AQ147" i="13"/>
  <c r="AP147" i="13"/>
  <c r="AO147" i="13"/>
  <c r="AN147" i="13"/>
  <c r="AM147" i="13"/>
  <c r="AL147" i="13"/>
  <c r="AK147" i="13"/>
  <c r="AJ147" i="13"/>
  <c r="AI147" i="13"/>
  <c r="AH147" i="13"/>
  <c r="AG147" i="13"/>
  <c r="AF147" i="13"/>
  <c r="CJ146" i="13"/>
  <c r="CI146" i="13"/>
  <c r="CH146" i="13"/>
  <c r="CG146" i="13"/>
  <c r="CF146" i="13"/>
  <c r="CE146" i="13"/>
  <c r="CD146" i="13"/>
  <c r="CC146" i="13"/>
  <c r="CB146" i="13"/>
  <c r="CA146" i="13"/>
  <c r="BZ146" i="13"/>
  <c r="BY146" i="13"/>
  <c r="BX146" i="13"/>
  <c r="BW146" i="13"/>
  <c r="BV146" i="13"/>
  <c r="BU146" i="13"/>
  <c r="BT146" i="13"/>
  <c r="BS146" i="13"/>
  <c r="BR146" i="13"/>
  <c r="BQ146" i="13"/>
  <c r="BP146" i="13"/>
  <c r="BO146" i="13"/>
  <c r="BN146" i="13"/>
  <c r="BM146" i="13"/>
  <c r="BL146" i="13"/>
  <c r="BK146" i="13"/>
  <c r="BJ146" i="13"/>
  <c r="BI146" i="13"/>
  <c r="BH146" i="13"/>
  <c r="BG146" i="13"/>
  <c r="BF146" i="13"/>
  <c r="BE146" i="13"/>
  <c r="BD146" i="13"/>
  <c r="BC146" i="13"/>
  <c r="BB146" i="13"/>
  <c r="BA146" i="13"/>
  <c r="AZ146" i="13"/>
  <c r="AY146" i="13"/>
  <c r="AX146" i="13"/>
  <c r="AW146" i="13"/>
  <c r="AV146" i="13"/>
  <c r="AU146" i="13"/>
  <c r="AT146" i="13"/>
  <c r="AS146" i="13"/>
  <c r="AR146" i="13"/>
  <c r="AQ146" i="13"/>
  <c r="AP146" i="13"/>
  <c r="AO146" i="13"/>
  <c r="AN146" i="13"/>
  <c r="AM146" i="13"/>
  <c r="AL146" i="13"/>
  <c r="AK146" i="13"/>
  <c r="AJ146" i="13"/>
  <c r="AI146" i="13"/>
  <c r="AH146" i="13"/>
  <c r="AG146" i="13"/>
  <c r="AF146" i="13"/>
  <c r="CJ145" i="13"/>
  <c r="CI145" i="13"/>
  <c r="CH145" i="13"/>
  <c r="CG145" i="13"/>
  <c r="CF145" i="13"/>
  <c r="CE145" i="13"/>
  <c r="CD145" i="13"/>
  <c r="CC145" i="13"/>
  <c r="CB145" i="13"/>
  <c r="CA145" i="13"/>
  <c r="BZ145" i="13"/>
  <c r="BY145" i="13"/>
  <c r="BX145" i="13"/>
  <c r="BW145" i="13"/>
  <c r="BV145" i="13"/>
  <c r="BU145" i="13"/>
  <c r="BT145" i="13"/>
  <c r="BS145" i="13"/>
  <c r="BR145" i="13"/>
  <c r="BQ145" i="13"/>
  <c r="BP145" i="13"/>
  <c r="BO145" i="13"/>
  <c r="BN145" i="13"/>
  <c r="BM145" i="13"/>
  <c r="BL145" i="13"/>
  <c r="BK145" i="13"/>
  <c r="BJ145" i="13"/>
  <c r="BI145" i="13"/>
  <c r="BH145" i="13"/>
  <c r="BG145" i="13"/>
  <c r="BF145" i="13"/>
  <c r="BE145" i="13"/>
  <c r="BD145" i="13"/>
  <c r="BC145" i="13"/>
  <c r="BB145" i="13"/>
  <c r="BA145" i="13"/>
  <c r="AZ145" i="13"/>
  <c r="AY145" i="13"/>
  <c r="AX145" i="13"/>
  <c r="AW145" i="13"/>
  <c r="AV145" i="13"/>
  <c r="AU145" i="13"/>
  <c r="AT145" i="13"/>
  <c r="AS145" i="13"/>
  <c r="AR145" i="13"/>
  <c r="AQ145" i="13"/>
  <c r="AP145" i="13"/>
  <c r="AO145" i="13"/>
  <c r="AN145" i="13"/>
  <c r="AM145" i="13"/>
  <c r="AL145" i="13"/>
  <c r="AK145" i="13"/>
  <c r="AJ145" i="13"/>
  <c r="AI145" i="13"/>
  <c r="AH145" i="13"/>
  <c r="AG145" i="13"/>
  <c r="AF145" i="13"/>
  <c r="CJ144" i="13"/>
  <c r="CI144" i="13"/>
  <c r="CH144" i="13"/>
  <c r="CG144" i="13"/>
  <c r="CF144" i="13"/>
  <c r="CE144" i="13"/>
  <c r="CD144" i="13"/>
  <c r="CC144" i="13"/>
  <c r="CB144" i="13"/>
  <c r="CA144" i="13"/>
  <c r="BZ144" i="13"/>
  <c r="BY144" i="13"/>
  <c r="BX144" i="13"/>
  <c r="BW144" i="13"/>
  <c r="BV144" i="13"/>
  <c r="BU144" i="13"/>
  <c r="BT144" i="13"/>
  <c r="BS144" i="13"/>
  <c r="BR144" i="13"/>
  <c r="BQ144" i="13"/>
  <c r="BP144" i="13"/>
  <c r="BO144" i="13"/>
  <c r="BN144" i="13"/>
  <c r="BM144" i="13"/>
  <c r="BL144" i="13"/>
  <c r="BK144" i="13"/>
  <c r="BJ144" i="13"/>
  <c r="BI144" i="13"/>
  <c r="BH144" i="13"/>
  <c r="BG144" i="13"/>
  <c r="BF144" i="13"/>
  <c r="BE144" i="13"/>
  <c r="BD144" i="13"/>
  <c r="BC144" i="13"/>
  <c r="BB144" i="13"/>
  <c r="BA144" i="13"/>
  <c r="AZ144" i="13"/>
  <c r="AY144" i="13"/>
  <c r="AX144" i="13"/>
  <c r="AW144" i="13"/>
  <c r="AV144" i="13"/>
  <c r="AU144" i="13"/>
  <c r="AT144" i="13"/>
  <c r="AS144" i="13"/>
  <c r="AR144" i="13"/>
  <c r="AQ144" i="13"/>
  <c r="AP144" i="13"/>
  <c r="AO144" i="13"/>
  <c r="AN144" i="13"/>
  <c r="AM144" i="13"/>
  <c r="AL144" i="13"/>
  <c r="AK144" i="13"/>
  <c r="AJ144" i="13"/>
  <c r="AI144" i="13"/>
  <c r="AH144" i="13"/>
  <c r="AG144" i="13"/>
  <c r="AF144" i="13"/>
  <c r="CJ143" i="13"/>
  <c r="CI143" i="13"/>
  <c r="CH143" i="13"/>
  <c r="CG143" i="13"/>
  <c r="CF143" i="13"/>
  <c r="CE143" i="13"/>
  <c r="CD143" i="13"/>
  <c r="CC143" i="13"/>
  <c r="CB143" i="13"/>
  <c r="CA143" i="13"/>
  <c r="BZ143" i="13"/>
  <c r="BY143" i="13"/>
  <c r="BX143" i="13"/>
  <c r="BW143" i="13"/>
  <c r="BV143" i="13"/>
  <c r="BU143" i="13"/>
  <c r="BT143" i="13"/>
  <c r="BS143" i="13"/>
  <c r="BR143" i="13"/>
  <c r="BQ143" i="13"/>
  <c r="BP143" i="13"/>
  <c r="BO143" i="13"/>
  <c r="BN143" i="13"/>
  <c r="BM143" i="13"/>
  <c r="BL143" i="13"/>
  <c r="BK143" i="13"/>
  <c r="BJ143" i="13"/>
  <c r="BI143" i="13"/>
  <c r="BH143" i="13"/>
  <c r="BG143" i="13"/>
  <c r="BF143" i="13"/>
  <c r="BE143" i="13"/>
  <c r="BD143" i="13"/>
  <c r="BC143" i="13"/>
  <c r="BB143" i="13"/>
  <c r="BA143" i="13"/>
  <c r="AZ143" i="13"/>
  <c r="AY143" i="13"/>
  <c r="AX143" i="13"/>
  <c r="AW143" i="13"/>
  <c r="AV143" i="13"/>
  <c r="AU143" i="13"/>
  <c r="AT143" i="13"/>
  <c r="AS143" i="13"/>
  <c r="AR143" i="13"/>
  <c r="AQ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CJ142" i="13"/>
  <c r="CI142" i="13"/>
  <c r="CH142" i="13"/>
  <c r="CG142" i="13"/>
  <c r="CF142" i="13"/>
  <c r="CE142" i="13"/>
  <c r="CD142" i="13"/>
  <c r="CC142" i="13"/>
  <c r="CB142" i="13"/>
  <c r="CA142" i="13"/>
  <c r="BZ142" i="13"/>
  <c r="BY142" i="13"/>
  <c r="BX142" i="13"/>
  <c r="BW142" i="13"/>
  <c r="BV142" i="13"/>
  <c r="BU142" i="13"/>
  <c r="BT142" i="13"/>
  <c r="BS142" i="13"/>
  <c r="BR142" i="13"/>
  <c r="BQ142" i="13"/>
  <c r="BP142" i="13"/>
  <c r="BO142" i="13"/>
  <c r="BN142" i="13"/>
  <c r="BM142" i="13"/>
  <c r="BL142" i="13"/>
  <c r="BK142" i="13"/>
  <c r="BJ142" i="13"/>
  <c r="BI142" i="13"/>
  <c r="BH142" i="13"/>
  <c r="BG142" i="13"/>
  <c r="BF142" i="13"/>
  <c r="BE142" i="13"/>
  <c r="BD142" i="13"/>
  <c r="BC142" i="13"/>
  <c r="BB142" i="13"/>
  <c r="BA142" i="13"/>
  <c r="AZ142" i="13"/>
  <c r="AY142" i="13"/>
  <c r="AX142" i="13"/>
  <c r="AW142" i="13"/>
  <c r="AV142" i="13"/>
  <c r="AU142" i="13"/>
  <c r="AT142" i="13"/>
  <c r="AS142" i="13"/>
  <c r="AR142" i="13"/>
  <c r="AQ142" i="13"/>
  <c r="AP142" i="13"/>
  <c r="AO142" i="13"/>
  <c r="AN142" i="13"/>
  <c r="AM142" i="13"/>
  <c r="AL142" i="13"/>
  <c r="AK142" i="13"/>
  <c r="AJ142" i="13"/>
  <c r="AI142" i="13"/>
  <c r="AH142" i="13"/>
  <c r="AG142" i="13"/>
  <c r="AF142" i="13"/>
  <c r="CJ141" i="13"/>
  <c r="CI141" i="13"/>
  <c r="CH141" i="13"/>
  <c r="CG141" i="13"/>
  <c r="CF141" i="13"/>
  <c r="CE141" i="13"/>
  <c r="CD141" i="13"/>
  <c r="CC141" i="13"/>
  <c r="CB141" i="13"/>
  <c r="CA141" i="13"/>
  <c r="BZ141" i="13"/>
  <c r="BY141" i="13"/>
  <c r="BX141" i="13"/>
  <c r="BW141" i="13"/>
  <c r="BV141" i="13"/>
  <c r="BU141" i="13"/>
  <c r="BT141" i="13"/>
  <c r="BS141" i="13"/>
  <c r="BR141" i="13"/>
  <c r="BQ141" i="13"/>
  <c r="BP141" i="13"/>
  <c r="BO141" i="13"/>
  <c r="BN141" i="13"/>
  <c r="BM141" i="13"/>
  <c r="BL141" i="13"/>
  <c r="BK141" i="13"/>
  <c r="BJ141" i="13"/>
  <c r="BI141" i="13"/>
  <c r="BH141" i="13"/>
  <c r="BG141" i="13"/>
  <c r="BF141" i="13"/>
  <c r="BE141" i="13"/>
  <c r="BD141" i="13"/>
  <c r="BC141" i="13"/>
  <c r="BB141" i="13"/>
  <c r="BA141" i="13"/>
  <c r="AZ141" i="13"/>
  <c r="AY141" i="13"/>
  <c r="AX141" i="13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CJ140" i="13"/>
  <c r="CI140" i="13"/>
  <c r="CH140" i="13"/>
  <c r="CG140" i="13"/>
  <c r="CF140" i="13"/>
  <c r="CE140" i="13"/>
  <c r="CD140" i="13"/>
  <c r="CC140" i="13"/>
  <c r="CB140" i="13"/>
  <c r="CA140" i="13"/>
  <c r="BZ140" i="13"/>
  <c r="BY140" i="13"/>
  <c r="BX140" i="13"/>
  <c r="BW140" i="13"/>
  <c r="BV140" i="13"/>
  <c r="BU140" i="13"/>
  <c r="BT140" i="13"/>
  <c r="BS140" i="13"/>
  <c r="BR140" i="13"/>
  <c r="BQ140" i="13"/>
  <c r="BP140" i="13"/>
  <c r="BO140" i="13"/>
  <c r="BN140" i="13"/>
  <c r="BM140" i="13"/>
  <c r="BL140" i="13"/>
  <c r="BK140" i="13"/>
  <c r="BJ140" i="13"/>
  <c r="BI140" i="13"/>
  <c r="BH140" i="13"/>
  <c r="BG140" i="13"/>
  <c r="BF140" i="13"/>
  <c r="BE140" i="13"/>
  <c r="BD140" i="13"/>
  <c r="BC140" i="13"/>
  <c r="BB140" i="13"/>
  <c r="BA140" i="13"/>
  <c r="AZ140" i="13"/>
  <c r="AY140" i="13"/>
  <c r="AX140" i="13"/>
  <c r="AW140" i="13"/>
  <c r="AV140" i="13"/>
  <c r="AU140" i="13"/>
  <c r="AT140" i="13"/>
  <c r="AS140" i="13"/>
  <c r="AR140" i="13"/>
  <c r="AQ140" i="13"/>
  <c r="AP140" i="13"/>
  <c r="AO140" i="13"/>
  <c r="AN140" i="13"/>
  <c r="AM140" i="13"/>
  <c r="AL140" i="13"/>
  <c r="AK140" i="13"/>
  <c r="AJ140" i="13"/>
  <c r="AI140" i="13"/>
  <c r="AH140" i="13"/>
  <c r="AG140" i="13"/>
  <c r="AF140" i="13"/>
  <c r="CJ139" i="13"/>
  <c r="CI139" i="13"/>
  <c r="CH139" i="13"/>
  <c r="CG139" i="13"/>
  <c r="CF139" i="13"/>
  <c r="CE139" i="13"/>
  <c r="CD139" i="13"/>
  <c r="CC139" i="13"/>
  <c r="CB139" i="13"/>
  <c r="CA139" i="13"/>
  <c r="BZ139" i="13"/>
  <c r="BY139" i="13"/>
  <c r="BX139" i="13"/>
  <c r="BW139" i="13"/>
  <c r="BV139" i="13"/>
  <c r="BU139" i="13"/>
  <c r="BT139" i="13"/>
  <c r="BS139" i="13"/>
  <c r="BR139" i="13"/>
  <c r="BQ139" i="13"/>
  <c r="BP139" i="13"/>
  <c r="BO139" i="13"/>
  <c r="BN139" i="13"/>
  <c r="BM139" i="13"/>
  <c r="BL139" i="13"/>
  <c r="BK139" i="13"/>
  <c r="BJ139" i="13"/>
  <c r="BI139" i="13"/>
  <c r="BH139" i="13"/>
  <c r="BG139" i="13"/>
  <c r="BF139" i="13"/>
  <c r="BE139" i="13"/>
  <c r="BD139" i="13"/>
  <c r="BC139" i="13"/>
  <c r="BB139" i="13"/>
  <c r="BA139" i="13"/>
  <c r="AZ139" i="13"/>
  <c r="AY139" i="13"/>
  <c r="AX139" i="13"/>
  <c r="AW139" i="13"/>
  <c r="AV139" i="13"/>
  <c r="AU139" i="13"/>
  <c r="AT139" i="13"/>
  <c r="AS139" i="13"/>
  <c r="AR139" i="13"/>
  <c r="AQ139" i="13"/>
  <c r="AP139" i="13"/>
  <c r="AO139" i="13"/>
  <c r="AN139" i="13"/>
  <c r="AM139" i="13"/>
  <c r="AL139" i="13"/>
  <c r="AK139" i="13"/>
  <c r="AJ139" i="13"/>
  <c r="AI139" i="13"/>
  <c r="AH139" i="13"/>
  <c r="AG139" i="13"/>
  <c r="AF139" i="13"/>
  <c r="CJ138" i="13"/>
  <c r="CI138" i="13"/>
  <c r="CH138" i="13"/>
  <c r="CG138" i="13"/>
  <c r="CF138" i="13"/>
  <c r="CE138" i="13"/>
  <c r="CD138" i="13"/>
  <c r="CC138" i="13"/>
  <c r="CB138" i="13"/>
  <c r="CA138" i="13"/>
  <c r="BZ138" i="13"/>
  <c r="BY138" i="13"/>
  <c r="BX138" i="13"/>
  <c r="BW138" i="13"/>
  <c r="BV138" i="13"/>
  <c r="BU138" i="13"/>
  <c r="BT138" i="13"/>
  <c r="BS138" i="13"/>
  <c r="BR138" i="13"/>
  <c r="BQ138" i="13"/>
  <c r="BP138" i="13"/>
  <c r="BO138" i="13"/>
  <c r="BN138" i="13"/>
  <c r="BM138" i="13"/>
  <c r="BL138" i="13"/>
  <c r="BK138" i="13"/>
  <c r="BJ138" i="13"/>
  <c r="BI138" i="13"/>
  <c r="BH138" i="13"/>
  <c r="BG138" i="13"/>
  <c r="BF138" i="13"/>
  <c r="BE138" i="13"/>
  <c r="BD138" i="13"/>
  <c r="BC138" i="13"/>
  <c r="BB138" i="13"/>
  <c r="BA138" i="13"/>
  <c r="AZ138" i="13"/>
  <c r="AY138" i="13"/>
  <c r="AX138" i="13"/>
  <c r="AW138" i="13"/>
  <c r="AV138" i="13"/>
  <c r="AU138" i="13"/>
  <c r="AT138" i="13"/>
  <c r="AS138" i="13"/>
  <c r="AR138" i="13"/>
  <c r="AQ138" i="13"/>
  <c r="AP138" i="13"/>
  <c r="AO138" i="13"/>
  <c r="AN138" i="13"/>
  <c r="AM138" i="13"/>
  <c r="AL138" i="13"/>
  <c r="AK138" i="13"/>
  <c r="AJ138" i="13"/>
  <c r="AI138" i="13"/>
  <c r="AH138" i="13"/>
  <c r="AG138" i="13"/>
  <c r="AF138" i="13"/>
  <c r="CJ137" i="13"/>
  <c r="CI137" i="13"/>
  <c r="CH137" i="13"/>
  <c r="CG137" i="13"/>
  <c r="CF137" i="13"/>
  <c r="CE137" i="13"/>
  <c r="CD137" i="13"/>
  <c r="CC137" i="13"/>
  <c r="CB137" i="13"/>
  <c r="CA137" i="13"/>
  <c r="BZ137" i="13"/>
  <c r="BY137" i="13"/>
  <c r="BX137" i="13"/>
  <c r="BW137" i="13"/>
  <c r="BV137" i="13"/>
  <c r="BU137" i="13"/>
  <c r="BT137" i="13"/>
  <c r="BS137" i="13"/>
  <c r="BR137" i="13"/>
  <c r="BQ137" i="13"/>
  <c r="BP137" i="13"/>
  <c r="BO137" i="13"/>
  <c r="BN137" i="13"/>
  <c r="BM137" i="13"/>
  <c r="BL137" i="13"/>
  <c r="BK137" i="13"/>
  <c r="BJ137" i="13"/>
  <c r="BI137" i="13"/>
  <c r="BH137" i="13"/>
  <c r="BG137" i="13"/>
  <c r="BF137" i="13"/>
  <c r="BE137" i="13"/>
  <c r="BD137" i="13"/>
  <c r="BC137" i="13"/>
  <c r="BB137" i="13"/>
  <c r="BA137" i="13"/>
  <c r="AZ137" i="13"/>
  <c r="AY137" i="13"/>
  <c r="AX137" i="13"/>
  <c r="AW137" i="13"/>
  <c r="AV137" i="13"/>
  <c r="AU137" i="13"/>
  <c r="AT137" i="13"/>
  <c r="AS137" i="13"/>
  <c r="AR137" i="13"/>
  <c r="AQ137" i="13"/>
  <c r="AP137" i="13"/>
  <c r="AO137" i="13"/>
  <c r="AN137" i="13"/>
  <c r="AM137" i="13"/>
  <c r="AL137" i="13"/>
  <c r="AK137" i="13"/>
  <c r="AJ137" i="13"/>
  <c r="AI137" i="13"/>
  <c r="AH137" i="13"/>
  <c r="AG137" i="13"/>
  <c r="AF137" i="13"/>
  <c r="CJ136" i="13"/>
  <c r="CI136" i="13"/>
  <c r="CH136" i="13"/>
  <c r="CG136" i="13"/>
  <c r="CF136" i="13"/>
  <c r="CE136" i="13"/>
  <c r="CD136" i="13"/>
  <c r="CC136" i="13"/>
  <c r="CB136" i="13"/>
  <c r="CA136" i="13"/>
  <c r="BZ136" i="13"/>
  <c r="BY136" i="13"/>
  <c r="BX136" i="13"/>
  <c r="BW136" i="13"/>
  <c r="BV136" i="13"/>
  <c r="BU136" i="13"/>
  <c r="BT136" i="13"/>
  <c r="BS136" i="13"/>
  <c r="BR136" i="13"/>
  <c r="BQ136" i="13"/>
  <c r="BP136" i="13"/>
  <c r="BO136" i="13"/>
  <c r="BN136" i="13"/>
  <c r="BM136" i="13"/>
  <c r="BL136" i="13"/>
  <c r="BK136" i="13"/>
  <c r="BJ136" i="13"/>
  <c r="BI136" i="13"/>
  <c r="BH136" i="13"/>
  <c r="BG136" i="13"/>
  <c r="BF136" i="13"/>
  <c r="BE136" i="13"/>
  <c r="BD136" i="13"/>
  <c r="BC136" i="13"/>
  <c r="BB136" i="13"/>
  <c r="BA136" i="13"/>
  <c r="AZ136" i="13"/>
  <c r="AY136" i="13"/>
  <c r="AX136" i="13"/>
  <c r="AW136" i="13"/>
  <c r="AV136" i="13"/>
  <c r="AU136" i="13"/>
  <c r="AT136" i="13"/>
  <c r="AS136" i="13"/>
  <c r="AR136" i="13"/>
  <c r="AQ136" i="13"/>
  <c r="AP136" i="13"/>
  <c r="AO136" i="13"/>
  <c r="AN136" i="13"/>
  <c r="AM136" i="13"/>
  <c r="AL136" i="13"/>
  <c r="AK136" i="13"/>
  <c r="AJ136" i="13"/>
  <c r="AI136" i="13"/>
  <c r="AH136" i="13"/>
  <c r="AG136" i="13"/>
  <c r="AF136" i="13"/>
  <c r="CJ135" i="13"/>
  <c r="CI135" i="13"/>
  <c r="CH135" i="13"/>
  <c r="CG135" i="13"/>
  <c r="CF135" i="13"/>
  <c r="CE135" i="13"/>
  <c r="CD135" i="13"/>
  <c r="CC135" i="13"/>
  <c r="CB135" i="13"/>
  <c r="CA135" i="13"/>
  <c r="BZ135" i="13"/>
  <c r="BY135" i="13"/>
  <c r="BX135" i="13"/>
  <c r="BW135" i="13"/>
  <c r="BV135" i="13"/>
  <c r="BU135" i="13"/>
  <c r="BT135" i="13"/>
  <c r="BS135" i="13"/>
  <c r="BR135" i="13"/>
  <c r="BQ135" i="13"/>
  <c r="BP135" i="13"/>
  <c r="BO135" i="13"/>
  <c r="BN135" i="13"/>
  <c r="BM135" i="13"/>
  <c r="BL135" i="13"/>
  <c r="BK135" i="13"/>
  <c r="BJ135" i="13"/>
  <c r="BI135" i="13"/>
  <c r="BH135" i="13"/>
  <c r="BG135" i="13"/>
  <c r="BF135" i="13"/>
  <c r="BE135" i="13"/>
  <c r="BD135" i="13"/>
  <c r="BC135" i="13"/>
  <c r="BB135" i="13"/>
  <c r="BA135" i="13"/>
  <c r="AZ135" i="13"/>
  <c r="AY135" i="13"/>
  <c r="AX135" i="13"/>
  <c r="AW135" i="13"/>
  <c r="AV135" i="13"/>
  <c r="AU135" i="13"/>
  <c r="AT135" i="13"/>
  <c r="AS135" i="13"/>
  <c r="AR135" i="13"/>
  <c r="AQ135" i="13"/>
  <c r="AP135" i="13"/>
  <c r="AO135" i="13"/>
  <c r="AN135" i="13"/>
  <c r="AM135" i="13"/>
  <c r="AL135" i="13"/>
  <c r="AK135" i="13"/>
  <c r="AJ135" i="13"/>
  <c r="AI135" i="13"/>
  <c r="AH135" i="13"/>
  <c r="AG135" i="13"/>
  <c r="AF135" i="13"/>
  <c r="CJ134" i="13"/>
  <c r="CI134" i="13"/>
  <c r="CH134" i="13"/>
  <c r="CG134" i="13"/>
  <c r="CF134" i="13"/>
  <c r="CE134" i="13"/>
  <c r="CD134" i="13"/>
  <c r="CC134" i="13"/>
  <c r="CB134" i="13"/>
  <c r="CA134" i="13"/>
  <c r="BZ134" i="13"/>
  <c r="BY134" i="13"/>
  <c r="BX134" i="13"/>
  <c r="BW134" i="13"/>
  <c r="BV134" i="13"/>
  <c r="BU134" i="13"/>
  <c r="BT134" i="13"/>
  <c r="BS134" i="13"/>
  <c r="BR134" i="13"/>
  <c r="BQ134" i="13"/>
  <c r="BP134" i="13"/>
  <c r="BO134" i="13"/>
  <c r="BN134" i="13"/>
  <c r="BM134" i="13"/>
  <c r="BL134" i="13"/>
  <c r="BK134" i="13"/>
  <c r="BJ134" i="13"/>
  <c r="BI134" i="13"/>
  <c r="BH134" i="13"/>
  <c r="BG134" i="13"/>
  <c r="BF134" i="13"/>
  <c r="BE134" i="13"/>
  <c r="BD134" i="13"/>
  <c r="BC134" i="13"/>
  <c r="BB134" i="13"/>
  <c r="BA134" i="13"/>
  <c r="AZ134" i="13"/>
  <c r="AY134" i="13"/>
  <c r="AX134" i="13"/>
  <c r="AW134" i="13"/>
  <c r="AV134" i="13"/>
  <c r="AU134" i="13"/>
  <c r="AT134" i="13"/>
  <c r="AS134" i="13"/>
  <c r="AR134" i="13"/>
  <c r="AQ134" i="13"/>
  <c r="AP134" i="13"/>
  <c r="AO134" i="13"/>
  <c r="AN134" i="13"/>
  <c r="AM134" i="13"/>
  <c r="AL134" i="13"/>
  <c r="AK134" i="13"/>
  <c r="AJ134" i="13"/>
  <c r="AI134" i="13"/>
  <c r="AH134" i="13"/>
  <c r="AG134" i="13"/>
  <c r="AF134" i="13"/>
  <c r="CJ133" i="13"/>
  <c r="CI133" i="13"/>
  <c r="CH133" i="13"/>
  <c r="CG133" i="13"/>
  <c r="CF133" i="13"/>
  <c r="CE133" i="13"/>
  <c r="CD133" i="13"/>
  <c r="CC133" i="13"/>
  <c r="CB133" i="13"/>
  <c r="CA133" i="13"/>
  <c r="BZ133" i="13"/>
  <c r="BY133" i="13"/>
  <c r="BX133" i="13"/>
  <c r="BW133" i="13"/>
  <c r="BV133" i="13"/>
  <c r="BU133" i="13"/>
  <c r="BT133" i="13"/>
  <c r="BS133" i="13"/>
  <c r="BR133" i="13"/>
  <c r="BQ133" i="13"/>
  <c r="BP133" i="13"/>
  <c r="BO133" i="13"/>
  <c r="BN133" i="13"/>
  <c r="BM133" i="13"/>
  <c r="BL133" i="13"/>
  <c r="BK133" i="13"/>
  <c r="BJ133" i="13"/>
  <c r="BI133" i="13"/>
  <c r="BH133" i="13"/>
  <c r="BG133" i="13"/>
  <c r="BF133" i="13"/>
  <c r="BE133" i="13"/>
  <c r="BD133" i="13"/>
  <c r="BC133" i="13"/>
  <c r="BB133" i="13"/>
  <c r="BA133" i="13"/>
  <c r="AZ133" i="13"/>
  <c r="AY133" i="13"/>
  <c r="AX133" i="13"/>
  <c r="AW133" i="13"/>
  <c r="AV133" i="13"/>
  <c r="AU133" i="13"/>
  <c r="AT133" i="13"/>
  <c r="AS133" i="13"/>
  <c r="AR133" i="13"/>
  <c r="AQ133" i="13"/>
  <c r="AP133" i="13"/>
  <c r="AO133" i="13"/>
  <c r="AN133" i="13"/>
  <c r="AM133" i="13"/>
  <c r="AL133" i="13"/>
  <c r="AK133" i="13"/>
  <c r="AJ133" i="13"/>
  <c r="AI133" i="13"/>
  <c r="AH133" i="13"/>
  <c r="AG133" i="13"/>
  <c r="AF133" i="13"/>
  <c r="CJ132" i="13"/>
  <c r="CI132" i="13"/>
  <c r="CH132" i="13"/>
  <c r="CG132" i="13"/>
  <c r="CF132" i="13"/>
  <c r="CE132" i="13"/>
  <c r="CD132" i="13"/>
  <c r="CC132" i="13"/>
  <c r="CB132" i="13"/>
  <c r="CA132" i="13"/>
  <c r="BZ132" i="13"/>
  <c r="BY132" i="13"/>
  <c r="BX132" i="13"/>
  <c r="BW132" i="13"/>
  <c r="BV132" i="13"/>
  <c r="BU132" i="13"/>
  <c r="BT132" i="13"/>
  <c r="BS132" i="13"/>
  <c r="BR132" i="13"/>
  <c r="BQ132" i="13"/>
  <c r="BP132" i="13"/>
  <c r="BO132" i="13"/>
  <c r="BN132" i="13"/>
  <c r="BM132" i="13"/>
  <c r="BL132" i="13"/>
  <c r="BK132" i="13"/>
  <c r="BJ132" i="13"/>
  <c r="BI132" i="13"/>
  <c r="BH132" i="13"/>
  <c r="BG132" i="13"/>
  <c r="BF132" i="13"/>
  <c r="BE132" i="13"/>
  <c r="BD132" i="13"/>
  <c r="BC132" i="13"/>
  <c r="BB132" i="13"/>
  <c r="BA132" i="13"/>
  <c r="AZ132" i="13"/>
  <c r="AY132" i="13"/>
  <c r="AX132" i="13"/>
  <c r="AW132" i="13"/>
  <c r="AV132" i="13"/>
  <c r="AU132" i="13"/>
  <c r="AT132" i="13"/>
  <c r="AS132" i="13"/>
  <c r="AR132" i="13"/>
  <c r="AQ132" i="13"/>
  <c r="AP132" i="13"/>
  <c r="AO132" i="13"/>
  <c r="AN132" i="13"/>
  <c r="AM132" i="13"/>
  <c r="AL132" i="13"/>
  <c r="AK132" i="13"/>
  <c r="AJ132" i="13"/>
  <c r="AI132" i="13"/>
  <c r="AH132" i="13"/>
  <c r="AG132" i="13"/>
  <c r="AF132" i="13"/>
  <c r="CJ131" i="13"/>
  <c r="CI131" i="13"/>
  <c r="CH131" i="13"/>
  <c r="CG131" i="13"/>
  <c r="CF131" i="13"/>
  <c r="CE131" i="13"/>
  <c r="CD131" i="13"/>
  <c r="CC131" i="13"/>
  <c r="CB131" i="13"/>
  <c r="CA131" i="13"/>
  <c r="BZ131" i="13"/>
  <c r="BY131" i="13"/>
  <c r="BX131" i="13"/>
  <c r="BW131" i="13"/>
  <c r="BV131" i="13"/>
  <c r="BU131" i="13"/>
  <c r="BT131" i="13"/>
  <c r="BS131" i="13"/>
  <c r="BR131" i="13"/>
  <c r="BQ131" i="13"/>
  <c r="BP131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D131" i="13"/>
  <c r="BC131" i="13"/>
  <c r="BB131" i="13"/>
  <c r="BA131" i="13"/>
  <c r="AZ131" i="13"/>
  <c r="AY131" i="13"/>
  <c r="AX131" i="13"/>
  <c r="AW131" i="13"/>
  <c r="AV131" i="13"/>
  <c r="AU131" i="13"/>
  <c r="AT131" i="13"/>
  <c r="AS131" i="13"/>
  <c r="AR131" i="13"/>
  <c r="AQ131" i="13"/>
  <c r="AP131" i="13"/>
  <c r="AO131" i="13"/>
  <c r="AN131" i="13"/>
  <c r="AM131" i="13"/>
  <c r="AL131" i="13"/>
  <c r="AK131" i="13"/>
  <c r="AJ131" i="13"/>
  <c r="AI131" i="13"/>
  <c r="AH131" i="13"/>
  <c r="AG131" i="13"/>
  <c r="AF131" i="13"/>
  <c r="CJ130" i="13"/>
  <c r="CI130" i="13"/>
  <c r="CH130" i="13"/>
  <c r="CG130" i="13"/>
  <c r="CF130" i="13"/>
  <c r="CE130" i="13"/>
  <c r="CD130" i="13"/>
  <c r="CC130" i="13"/>
  <c r="CB130" i="13"/>
  <c r="CA130" i="13"/>
  <c r="BZ130" i="13"/>
  <c r="BY130" i="13"/>
  <c r="BX130" i="13"/>
  <c r="BW130" i="13"/>
  <c r="BV130" i="13"/>
  <c r="BU130" i="13"/>
  <c r="BT130" i="13"/>
  <c r="BS130" i="13"/>
  <c r="BR130" i="13"/>
  <c r="BQ130" i="13"/>
  <c r="BP130" i="13"/>
  <c r="BO130" i="13"/>
  <c r="BN130" i="13"/>
  <c r="BM130" i="13"/>
  <c r="BL130" i="13"/>
  <c r="BK130" i="13"/>
  <c r="BJ130" i="13"/>
  <c r="BI130" i="13"/>
  <c r="BH130" i="13"/>
  <c r="BG130" i="13"/>
  <c r="BF130" i="13"/>
  <c r="BE130" i="13"/>
  <c r="BD130" i="13"/>
  <c r="BC130" i="13"/>
  <c r="BB130" i="13"/>
  <c r="BA130" i="13"/>
  <c r="AZ130" i="13"/>
  <c r="AY130" i="13"/>
  <c r="AX130" i="13"/>
  <c r="AW130" i="13"/>
  <c r="AV130" i="13"/>
  <c r="AU130" i="13"/>
  <c r="AT130" i="13"/>
  <c r="AS130" i="13"/>
  <c r="AR130" i="13"/>
  <c r="AQ130" i="13"/>
  <c r="AP130" i="13"/>
  <c r="AO130" i="13"/>
  <c r="AN130" i="13"/>
  <c r="AM130" i="13"/>
  <c r="AL130" i="13"/>
  <c r="AK130" i="13"/>
  <c r="AJ130" i="13"/>
  <c r="AI130" i="13"/>
  <c r="AH130" i="13"/>
  <c r="AG130" i="13"/>
  <c r="AF130" i="13"/>
  <c r="CJ129" i="13"/>
  <c r="CI129" i="13"/>
  <c r="CH129" i="13"/>
  <c r="CG129" i="13"/>
  <c r="CF129" i="13"/>
  <c r="CE129" i="13"/>
  <c r="CD129" i="13"/>
  <c r="CC129" i="13"/>
  <c r="CB129" i="13"/>
  <c r="CA129" i="13"/>
  <c r="BZ129" i="13"/>
  <c r="BY129" i="13"/>
  <c r="BX129" i="13"/>
  <c r="BW129" i="13"/>
  <c r="BV129" i="13"/>
  <c r="BU129" i="13"/>
  <c r="BT129" i="13"/>
  <c r="BS129" i="13"/>
  <c r="BR129" i="13"/>
  <c r="BQ129" i="13"/>
  <c r="BP129" i="13"/>
  <c r="BO129" i="13"/>
  <c r="BN129" i="13"/>
  <c r="BM129" i="13"/>
  <c r="BL129" i="13"/>
  <c r="BK129" i="13"/>
  <c r="BJ129" i="13"/>
  <c r="BI129" i="13"/>
  <c r="BH129" i="13"/>
  <c r="BG129" i="13"/>
  <c r="BF129" i="13"/>
  <c r="BE129" i="13"/>
  <c r="BD129" i="13"/>
  <c r="BC129" i="13"/>
  <c r="BB129" i="13"/>
  <c r="BA129" i="13"/>
  <c r="AZ129" i="13"/>
  <c r="AY129" i="13"/>
  <c r="AX129" i="13"/>
  <c r="AW129" i="13"/>
  <c r="AV129" i="13"/>
  <c r="AU129" i="13"/>
  <c r="AT129" i="13"/>
  <c r="AS129" i="13"/>
  <c r="AR129" i="13"/>
  <c r="AQ129" i="13"/>
  <c r="AP129" i="13"/>
  <c r="AO129" i="13"/>
  <c r="AN129" i="13"/>
  <c r="AM129" i="13"/>
  <c r="AL129" i="13"/>
  <c r="AK129" i="13"/>
  <c r="AJ129" i="13"/>
  <c r="AI129" i="13"/>
  <c r="AH129" i="13"/>
  <c r="AG129" i="13"/>
  <c r="AF129" i="13"/>
  <c r="CJ128" i="13"/>
  <c r="CI128" i="13"/>
  <c r="CH128" i="13"/>
  <c r="CG128" i="13"/>
  <c r="CF128" i="13"/>
  <c r="CE128" i="13"/>
  <c r="CD128" i="13"/>
  <c r="CC128" i="13"/>
  <c r="CB128" i="13"/>
  <c r="CA128" i="13"/>
  <c r="BZ128" i="13"/>
  <c r="BY128" i="13"/>
  <c r="BX128" i="13"/>
  <c r="BW128" i="13"/>
  <c r="BV128" i="13"/>
  <c r="BU128" i="13"/>
  <c r="BT128" i="13"/>
  <c r="BS128" i="13"/>
  <c r="BR128" i="13"/>
  <c r="BQ128" i="13"/>
  <c r="BP128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B128" i="13"/>
  <c r="BA128" i="13"/>
  <c r="AZ128" i="13"/>
  <c r="AY128" i="13"/>
  <c r="AX128" i="13"/>
  <c r="AW128" i="13"/>
  <c r="AV128" i="13"/>
  <c r="AU128" i="13"/>
  <c r="AT128" i="13"/>
  <c r="AS128" i="13"/>
  <c r="AR128" i="13"/>
  <c r="AQ128" i="13"/>
  <c r="AP128" i="13"/>
  <c r="AO128" i="13"/>
  <c r="AN128" i="13"/>
  <c r="AM128" i="13"/>
  <c r="AL128" i="13"/>
  <c r="AK128" i="13"/>
  <c r="AJ128" i="13"/>
  <c r="AI128" i="13"/>
  <c r="AH128" i="13"/>
  <c r="AG128" i="13"/>
  <c r="AF128" i="13"/>
  <c r="CJ127" i="13"/>
  <c r="CI127" i="13"/>
  <c r="CH127" i="13"/>
  <c r="CG127" i="13"/>
  <c r="CF127" i="13"/>
  <c r="CE127" i="13"/>
  <c r="CD127" i="13"/>
  <c r="CC127" i="13"/>
  <c r="CB127" i="13"/>
  <c r="CA127" i="13"/>
  <c r="BZ127" i="13"/>
  <c r="BY127" i="13"/>
  <c r="BX127" i="13"/>
  <c r="BW127" i="13"/>
  <c r="BV127" i="13"/>
  <c r="BU127" i="13"/>
  <c r="BT127" i="13"/>
  <c r="BS127" i="13"/>
  <c r="BR127" i="13"/>
  <c r="BQ127" i="13"/>
  <c r="BP127" i="13"/>
  <c r="BO127" i="13"/>
  <c r="BN127" i="13"/>
  <c r="BM127" i="13"/>
  <c r="BL127" i="13"/>
  <c r="BK127" i="13"/>
  <c r="BJ127" i="13"/>
  <c r="BI127" i="13"/>
  <c r="BH127" i="13"/>
  <c r="BG127" i="13"/>
  <c r="BF127" i="13"/>
  <c r="BE127" i="13"/>
  <c r="BD127" i="13"/>
  <c r="BC127" i="13"/>
  <c r="BB127" i="13"/>
  <c r="BA127" i="13"/>
  <c r="AZ127" i="13"/>
  <c r="AY127" i="13"/>
  <c r="AX127" i="13"/>
  <c r="AW127" i="13"/>
  <c r="AV127" i="13"/>
  <c r="AU127" i="13"/>
  <c r="AT127" i="13"/>
  <c r="AS127" i="13"/>
  <c r="AR127" i="13"/>
  <c r="AQ127" i="13"/>
  <c r="AP127" i="13"/>
  <c r="AO127" i="13"/>
  <c r="AN127" i="13"/>
  <c r="AM127" i="13"/>
  <c r="AL127" i="13"/>
  <c r="AK127" i="13"/>
  <c r="AJ127" i="13"/>
  <c r="AI127" i="13"/>
  <c r="AH127" i="13"/>
  <c r="AG127" i="13"/>
  <c r="AF127" i="13"/>
  <c r="CJ126" i="13"/>
  <c r="CI126" i="13"/>
  <c r="CH126" i="13"/>
  <c r="CG126" i="13"/>
  <c r="CF126" i="13"/>
  <c r="CE126" i="13"/>
  <c r="CD126" i="13"/>
  <c r="CC126" i="13"/>
  <c r="CB126" i="13"/>
  <c r="CA126" i="13"/>
  <c r="BZ126" i="13"/>
  <c r="BY126" i="13"/>
  <c r="BX126" i="13"/>
  <c r="BW126" i="13"/>
  <c r="BV126" i="13"/>
  <c r="BU126" i="13"/>
  <c r="BT126" i="13"/>
  <c r="BS126" i="13"/>
  <c r="BR126" i="13"/>
  <c r="BQ126" i="13"/>
  <c r="BP126" i="13"/>
  <c r="BO126" i="13"/>
  <c r="BN126" i="13"/>
  <c r="BM126" i="13"/>
  <c r="BL126" i="13"/>
  <c r="BK126" i="13"/>
  <c r="BJ126" i="13"/>
  <c r="BI126" i="13"/>
  <c r="BH126" i="13"/>
  <c r="BG126" i="13"/>
  <c r="BF126" i="13"/>
  <c r="BE126" i="13"/>
  <c r="BD126" i="13"/>
  <c r="BC126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AO126" i="13"/>
  <c r="AN126" i="13"/>
  <c r="AM126" i="13"/>
  <c r="AL126" i="13"/>
  <c r="AK126" i="13"/>
  <c r="AJ126" i="13"/>
  <c r="AI126" i="13"/>
  <c r="AH126" i="13"/>
  <c r="AG126" i="13"/>
  <c r="AF126" i="13"/>
  <c r="CJ125" i="13"/>
  <c r="CI125" i="13"/>
  <c r="CH125" i="13"/>
  <c r="CG125" i="13"/>
  <c r="CF125" i="13"/>
  <c r="CE125" i="13"/>
  <c r="CD125" i="13"/>
  <c r="CC125" i="13"/>
  <c r="CB125" i="13"/>
  <c r="CA125" i="13"/>
  <c r="BZ125" i="13"/>
  <c r="BY125" i="13"/>
  <c r="BX125" i="13"/>
  <c r="BW125" i="13"/>
  <c r="BV125" i="13"/>
  <c r="BU125" i="13"/>
  <c r="BT125" i="13"/>
  <c r="BS125" i="13"/>
  <c r="BR125" i="13"/>
  <c r="BQ125" i="13"/>
  <c r="BP125" i="13"/>
  <c r="BO125" i="13"/>
  <c r="BN125" i="13"/>
  <c r="BM125" i="13"/>
  <c r="BL125" i="13"/>
  <c r="BK125" i="13"/>
  <c r="BJ125" i="13"/>
  <c r="BI125" i="13"/>
  <c r="BH125" i="13"/>
  <c r="BG125" i="13"/>
  <c r="BF125" i="13"/>
  <c r="BE125" i="13"/>
  <c r="BD125" i="13"/>
  <c r="BC125" i="13"/>
  <c r="BB125" i="13"/>
  <c r="BA125" i="13"/>
  <c r="AZ125" i="13"/>
  <c r="AY125" i="13"/>
  <c r="AX125" i="13"/>
  <c r="AW125" i="13"/>
  <c r="AV125" i="13"/>
  <c r="AU125" i="13"/>
  <c r="AT125" i="13"/>
  <c r="AS125" i="13"/>
  <c r="AR125" i="13"/>
  <c r="AQ125" i="13"/>
  <c r="AP125" i="13"/>
  <c r="AO125" i="13"/>
  <c r="AN125" i="13"/>
  <c r="AM125" i="13"/>
  <c r="AL125" i="13"/>
  <c r="AK125" i="13"/>
  <c r="AJ125" i="13"/>
  <c r="AI125" i="13"/>
  <c r="AH125" i="13"/>
  <c r="AG125" i="13"/>
  <c r="AF125" i="13"/>
  <c r="CJ124" i="13"/>
  <c r="CI124" i="13"/>
  <c r="CH124" i="13"/>
  <c r="CG124" i="13"/>
  <c r="CF124" i="13"/>
  <c r="CE124" i="13"/>
  <c r="CD124" i="13"/>
  <c r="CC124" i="13"/>
  <c r="CB124" i="13"/>
  <c r="CA124" i="13"/>
  <c r="BZ124" i="13"/>
  <c r="BY124" i="13"/>
  <c r="BX124" i="13"/>
  <c r="BW124" i="13"/>
  <c r="BV124" i="13"/>
  <c r="BU124" i="13"/>
  <c r="BT124" i="13"/>
  <c r="BS124" i="13"/>
  <c r="BR124" i="13"/>
  <c r="BQ124" i="13"/>
  <c r="BP124" i="13"/>
  <c r="BO124" i="13"/>
  <c r="BN124" i="13"/>
  <c r="BM124" i="13"/>
  <c r="BL124" i="13"/>
  <c r="BK124" i="13"/>
  <c r="BJ124" i="13"/>
  <c r="BI124" i="13"/>
  <c r="BH124" i="13"/>
  <c r="BG124" i="13"/>
  <c r="BF124" i="13"/>
  <c r="BE124" i="13"/>
  <c r="BD124" i="13"/>
  <c r="BC124" i="13"/>
  <c r="BB124" i="13"/>
  <c r="BA124" i="13"/>
  <c r="AZ124" i="13"/>
  <c r="AY124" i="13"/>
  <c r="AX124" i="13"/>
  <c r="AW124" i="13"/>
  <c r="AV124" i="13"/>
  <c r="AU124" i="13"/>
  <c r="AT124" i="13"/>
  <c r="AS124" i="13"/>
  <c r="AR124" i="13"/>
  <c r="AQ124" i="13"/>
  <c r="AP124" i="13"/>
  <c r="AO124" i="13"/>
  <c r="AN124" i="13"/>
  <c r="AM124" i="13"/>
  <c r="AL124" i="13"/>
  <c r="AK124" i="13"/>
  <c r="AJ124" i="13"/>
  <c r="AI124" i="13"/>
  <c r="AH124" i="13"/>
  <c r="AG124" i="13"/>
  <c r="AF124" i="13"/>
  <c r="CJ123" i="13"/>
  <c r="CI123" i="13"/>
  <c r="CH123" i="13"/>
  <c r="CG123" i="13"/>
  <c r="CF123" i="13"/>
  <c r="CE123" i="13"/>
  <c r="CD123" i="13"/>
  <c r="CC123" i="13"/>
  <c r="CB123" i="13"/>
  <c r="CA123" i="13"/>
  <c r="BZ123" i="13"/>
  <c r="BY123" i="13"/>
  <c r="BX123" i="13"/>
  <c r="BW123" i="13"/>
  <c r="BV123" i="13"/>
  <c r="BU123" i="13"/>
  <c r="BT123" i="13"/>
  <c r="BS123" i="13"/>
  <c r="BR123" i="13"/>
  <c r="BQ123" i="13"/>
  <c r="BP123" i="13"/>
  <c r="BO123" i="13"/>
  <c r="BN123" i="13"/>
  <c r="BM123" i="13"/>
  <c r="BL123" i="13"/>
  <c r="BK123" i="13"/>
  <c r="BJ123" i="13"/>
  <c r="BI123" i="13"/>
  <c r="BH123" i="13"/>
  <c r="BG123" i="13"/>
  <c r="BF123" i="13"/>
  <c r="BE123" i="13"/>
  <c r="BD123" i="13"/>
  <c r="BC123" i="13"/>
  <c r="BB123" i="13"/>
  <c r="BA123" i="13"/>
  <c r="AZ123" i="13"/>
  <c r="AY123" i="13"/>
  <c r="AX123" i="13"/>
  <c r="AW123" i="13"/>
  <c r="AV123" i="13"/>
  <c r="AU123" i="13"/>
  <c r="AT123" i="13"/>
  <c r="AS123" i="13"/>
  <c r="AR123" i="13"/>
  <c r="AQ123" i="13"/>
  <c r="AP123" i="13"/>
  <c r="AO123" i="13"/>
  <c r="AN123" i="13"/>
  <c r="AM123" i="13"/>
  <c r="AL123" i="13"/>
  <c r="AK123" i="13"/>
  <c r="AJ123" i="13"/>
  <c r="AI123" i="13"/>
  <c r="AH123" i="13"/>
  <c r="AG123" i="13"/>
  <c r="AF123" i="13"/>
  <c r="CJ122" i="13"/>
  <c r="CI122" i="13"/>
  <c r="CH122" i="13"/>
  <c r="CG122" i="13"/>
  <c r="CF122" i="13"/>
  <c r="CE122" i="13"/>
  <c r="CD122" i="13"/>
  <c r="CC122" i="13"/>
  <c r="CB122" i="13"/>
  <c r="CA122" i="13"/>
  <c r="BZ122" i="13"/>
  <c r="BY122" i="13"/>
  <c r="BX122" i="13"/>
  <c r="BW122" i="13"/>
  <c r="BV122" i="13"/>
  <c r="BU122" i="13"/>
  <c r="BT122" i="13"/>
  <c r="BS122" i="13"/>
  <c r="BR122" i="13"/>
  <c r="BQ122" i="13"/>
  <c r="BP122" i="13"/>
  <c r="BO122" i="13"/>
  <c r="BN122" i="13"/>
  <c r="BM122" i="13"/>
  <c r="BL122" i="13"/>
  <c r="BK122" i="13"/>
  <c r="BJ122" i="13"/>
  <c r="BI122" i="13"/>
  <c r="BH122" i="13"/>
  <c r="BG122" i="13"/>
  <c r="BF122" i="13"/>
  <c r="BE122" i="13"/>
  <c r="BD122" i="13"/>
  <c r="BC122" i="13"/>
  <c r="BB122" i="13"/>
  <c r="BA122" i="13"/>
  <c r="AZ122" i="13"/>
  <c r="AY122" i="13"/>
  <c r="AX122" i="13"/>
  <c r="AW122" i="13"/>
  <c r="AV122" i="13"/>
  <c r="AU122" i="13"/>
  <c r="AT122" i="13"/>
  <c r="AS122" i="13"/>
  <c r="AR122" i="13"/>
  <c r="AQ122" i="13"/>
  <c r="AP122" i="13"/>
  <c r="AO122" i="13"/>
  <c r="AN122" i="13"/>
  <c r="AM122" i="13"/>
  <c r="AL122" i="13"/>
  <c r="AK122" i="13"/>
  <c r="AJ122" i="13"/>
  <c r="AI122" i="13"/>
  <c r="AH122" i="13"/>
  <c r="AG122" i="13"/>
  <c r="AF122" i="13"/>
  <c r="CJ121" i="13"/>
  <c r="CI121" i="13"/>
  <c r="CH121" i="13"/>
  <c r="CG121" i="13"/>
  <c r="CF121" i="13"/>
  <c r="CE121" i="13"/>
  <c r="CD121" i="13"/>
  <c r="CC121" i="13"/>
  <c r="CB121" i="13"/>
  <c r="CA121" i="13"/>
  <c r="BZ121" i="13"/>
  <c r="BY121" i="13"/>
  <c r="BX121" i="13"/>
  <c r="BW121" i="13"/>
  <c r="BV121" i="13"/>
  <c r="BU121" i="13"/>
  <c r="BT121" i="13"/>
  <c r="BS121" i="13"/>
  <c r="BR121" i="13"/>
  <c r="BQ121" i="13"/>
  <c r="BP121" i="13"/>
  <c r="BO121" i="13"/>
  <c r="BN121" i="13"/>
  <c r="BM121" i="13"/>
  <c r="BL121" i="13"/>
  <c r="BK121" i="13"/>
  <c r="BJ121" i="13"/>
  <c r="BI121" i="13"/>
  <c r="BH121" i="13"/>
  <c r="BG121" i="13"/>
  <c r="BF121" i="13"/>
  <c r="BE121" i="13"/>
  <c r="BD121" i="13"/>
  <c r="BC121" i="13"/>
  <c r="BB121" i="13"/>
  <c r="BA121" i="13"/>
  <c r="AZ121" i="13"/>
  <c r="AY121" i="13"/>
  <c r="AX121" i="13"/>
  <c r="AW121" i="13"/>
  <c r="AV121" i="13"/>
  <c r="AU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CJ120" i="13"/>
  <c r="CI120" i="13"/>
  <c r="CH120" i="13"/>
  <c r="CG120" i="13"/>
  <c r="CF120" i="13"/>
  <c r="CE120" i="13"/>
  <c r="CD120" i="13"/>
  <c r="CC120" i="13"/>
  <c r="CB120" i="13"/>
  <c r="CA120" i="13"/>
  <c r="BZ120" i="13"/>
  <c r="BY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AN120" i="13"/>
  <c r="AM120" i="13"/>
  <c r="AL120" i="13"/>
  <c r="AK120" i="13"/>
  <c r="AJ120" i="13"/>
  <c r="AI120" i="13"/>
  <c r="AH120" i="13"/>
  <c r="AG120" i="13"/>
  <c r="AF120" i="13"/>
  <c r="CJ119" i="13"/>
  <c r="CI119" i="13"/>
  <c r="CH119" i="13"/>
  <c r="CG119" i="13"/>
  <c r="CF119" i="13"/>
  <c r="CE119" i="13"/>
  <c r="CD119" i="13"/>
  <c r="CC119" i="13"/>
  <c r="CB119" i="13"/>
  <c r="CA119" i="13"/>
  <c r="BZ119" i="13"/>
  <c r="BY119" i="13"/>
  <c r="BX119" i="13"/>
  <c r="BW119" i="13"/>
  <c r="BV119" i="13"/>
  <c r="BU119" i="13"/>
  <c r="BT119" i="13"/>
  <c r="BS119" i="13"/>
  <c r="BR119" i="13"/>
  <c r="BQ119" i="13"/>
  <c r="BP119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AO119" i="13"/>
  <c r="AN119" i="13"/>
  <c r="AM119" i="13"/>
  <c r="AL119" i="13"/>
  <c r="AK119" i="13"/>
  <c r="AJ119" i="13"/>
  <c r="AI119" i="13"/>
  <c r="AH119" i="13"/>
  <c r="AG119" i="13"/>
  <c r="AF119" i="13"/>
  <c r="CJ118" i="13"/>
  <c r="CI118" i="13"/>
  <c r="CH118" i="13"/>
  <c r="CG118" i="13"/>
  <c r="CF118" i="13"/>
  <c r="CE118" i="13"/>
  <c r="CD118" i="13"/>
  <c r="CC118" i="13"/>
  <c r="CB118" i="13"/>
  <c r="CA118" i="13"/>
  <c r="BZ118" i="13"/>
  <c r="BY118" i="13"/>
  <c r="BX118" i="13"/>
  <c r="BW118" i="13"/>
  <c r="BV118" i="13"/>
  <c r="BU118" i="13"/>
  <c r="BT118" i="13"/>
  <c r="BS118" i="13"/>
  <c r="BR118" i="13"/>
  <c r="BQ118" i="13"/>
  <c r="BP118" i="13"/>
  <c r="BO118" i="13"/>
  <c r="BN118" i="13"/>
  <c r="BM118" i="13"/>
  <c r="BL118" i="13"/>
  <c r="BK118" i="13"/>
  <c r="BJ118" i="13"/>
  <c r="BI118" i="13"/>
  <c r="BH118" i="13"/>
  <c r="BG118" i="13"/>
  <c r="BF118" i="13"/>
  <c r="BE118" i="13"/>
  <c r="BD118" i="13"/>
  <c r="BC118" i="13"/>
  <c r="BB118" i="13"/>
  <c r="BA118" i="13"/>
  <c r="AZ118" i="13"/>
  <c r="AY118" i="13"/>
  <c r="AX118" i="13"/>
  <c r="AW118" i="13"/>
  <c r="AV118" i="13"/>
  <c r="AU118" i="13"/>
  <c r="AT118" i="13"/>
  <c r="AS118" i="13"/>
  <c r="AR118" i="13"/>
  <c r="AQ118" i="13"/>
  <c r="AP118" i="13"/>
  <c r="AO118" i="13"/>
  <c r="AN118" i="13"/>
  <c r="AM118" i="13"/>
  <c r="AL118" i="13"/>
  <c r="AK118" i="13"/>
  <c r="AJ118" i="13"/>
  <c r="AI118" i="13"/>
  <c r="AH118" i="13"/>
  <c r="AG118" i="13"/>
  <c r="AF118" i="13"/>
  <c r="CJ117" i="13"/>
  <c r="CI117" i="13"/>
  <c r="CH117" i="13"/>
  <c r="CG117" i="13"/>
  <c r="CF117" i="13"/>
  <c r="CE117" i="13"/>
  <c r="CD117" i="13"/>
  <c r="CC117" i="13"/>
  <c r="CB117" i="13"/>
  <c r="CA117" i="13"/>
  <c r="BZ117" i="13"/>
  <c r="BY117" i="13"/>
  <c r="BX117" i="13"/>
  <c r="BW117" i="13"/>
  <c r="BV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CJ116" i="13"/>
  <c r="CI116" i="13"/>
  <c r="CH116" i="13"/>
  <c r="CG116" i="13"/>
  <c r="CF116" i="13"/>
  <c r="CE116" i="13"/>
  <c r="CD116" i="13"/>
  <c r="CC116" i="13"/>
  <c r="CB116" i="13"/>
  <c r="CA116" i="13"/>
  <c r="BZ116" i="13"/>
  <c r="BY116" i="13"/>
  <c r="BX116" i="13"/>
  <c r="BW116" i="13"/>
  <c r="BV116" i="13"/>
  <c r="BU116" i="13"/>
  <c r="BT116" i="13"/>
  <c r="BS116" i="13"/>
  <c r="BR116" i="13"/>
  <c r="BQ116" i="13"/>
  <c r="BP116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AO116" i="13"/>
  <c r="AN116" i="13"/>
  <c r="AM116" i="13"/>
  <c r="AL116" i="13"/>
  <c r="AK116" i="13"/>
  <c r="AJ116" i="13"/>
  <c r="AI116" i="13"/>
  <c r="AH116" i="13"/>
  <c r="AG116" i="13"/>
  <c r="AF116" i="13"/>
  <c r="CJ115" i="13"/>
  <c r="CI115" i="13"/>
  <c r="CH115" i="13"/>
  <c r="CG115" i="13"/>
  <c r="CF115" i="13"/>
  <c r="CE115" i="13"/>
  <c r="CD115" i="13"/>
  <c r="CC115" i="13"/>
  <c r="CB115" i="13"/>
  <c r="CA115" i="13"/>
  <c r="BZ115" i="13"/>
  <c r="BY115" i="13"/>
  <c r="BX115" i="13"/>
  <c r="BW115" i="13"/>
  <c r="BV115" i="13"/>
  <c r="BU115" i="13"/>
  <c r="BT115" i="13"/>
  <c r="BS115" i="13"/>
  <c r="BR115" i="13"/>
  <c r="BQ115" i="13"/>
  <c r="BP115" i="13"/>
  <c r="BO115" i="13"/>
  <c r="BN115" i="13"/>
  <c r="BM115" i="13"/>
  <c r="BL115" i="13"/>
  <c r="BK115" i="13"/>
  <c r="BJ115" i="13"/>
  <c r="BI115" i="13"/>
  <c r="BH115" i="13"/>
  <c r="BG115" i="13"/>
  <c r="BF115" i="13"/>
  <c r="BE115" i="13"/>
  <c r="BD115" i="13"/>
  <c r="BC115" i="13"/>
  <c r="BB115" i="13"/>
  <c r="BA115" i="13"/>
  <c r="AZ115" i="13"/>
  <c r="AY115" i="13"/>
  <c r="AX115" i="13"/>
  <c r="AW115" i="13"/>
  <c r="AV115" i="13"/>
  <c r="AU115" i="13"/>
  <c r="AT115" i="13"/>
  <c r="AS115" i="13"/>
  <c r="AR115" i="13"/>
  <c r="AQ115" i="13"/>
  <c r="AP115" i="13"/>
  <c r="AO115" i="13"/>
  <c r="AN115" i="13"/>
  <c r="AM115" i="13"/>
  <c r="AL115" i="13"/>
  <c r="AK115" i="13"/>
  <c r="AJ115" i="13"/>
  <c r="AI115" i="13"/>
  <c r="AH115" i="13"/>
  <c r="AG115" i="13"/>
  <c r="AF115" i="13"/>
  <c r="CJ114" i="13"/>
  <c r="CI114" i="13"/>
  <c r="CH114" i="13"/>
  <c r="CG114" i="13"/>
  <c r="CF114" i="13"/>
  <c r="CE114" i="13"/>
  <c r="CD114" i="13"/>
  <c r="CC114" i="13"/>
  <c r="CB114" i="13"/>
  <c r="CA114" i="13"/>
  <c r="BZ114" i="13"/>
  <c r="BY114" i="13"/>
  <c r="BX114" i="13"/>
  <c r="BW114" i="13"/>
  <c r="BV114" i="13"/>
  <c r="BU114" i="13"/>
  <c r="BT114" i="13"/>
  <c r="BS114" i="13"/>
  <c r="BR114" i="13"/>
  <c r="BQ114" i="13"/>
  <c r="BP114" i="13"/>
  <c r="BO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B114" i="13"/>
  <c r="BA114" i="13"/>
  <c r="AZ114" i="13"/>
  <c r="AY114" i="13"/>
  <c r="AX114" i="13"/>
  <c r="AW114" i="13"/>
  <c r="AV114" i="13"/>
  <c r="AU114" i="13"/>
  <c r="AT114" i="13"/>
  <c r="AS114" i="13"/>
  <c r="AR114" i="13"/>
  <c r="AQ114" i="13"/>
  <c r="AP114" i="13"/>
  <c r="AO114" i="13"/>
  <c r="AN114" i="13"/>
  <c r="AM114" i="13"/>
  <c r="AL114" i="13"/>
  <c r="AK114" i="13"/>
  <c r="AJ114" i="13"/>
  <c r="AI114" i="13"/>
  <c r="AH114" i="13"/>
  <c r="AG114" i="13"/>
  <c r="AF114" i="13"/>
  <c r="CJ113" i="13"/>
  <c r="CI113" i="13"/>
  <c r="CH113" i="13"/>
  <c r="CG113" i="13"/>
  <c r="CF113" i="13"/>
  <c r="CE113" i="13"/>
  <c r="CD113" i="13"/>
  <c r="CC113" i="13"/>
  <c r="CB113" i="13"/>
  <c r="CA113" i="13"/>
  <c r="BZ113" i="13"/>
  <c r="BY113" i="13"/>
  <c r="BX113" i="13"/>
  <c r="BW113" i="13"/>
  <c r="BV113" i="13"/>
  <c r="BU113" i="13"/>
  <c r="BT113" i="13"/>
  <c r="BS113" i="13"/>
  <c r="BR113" i="13"/>
  <c r="BQ113" i="13"/>
  <c r="BP113" i="13"/>
  <c r="BO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CJ112" i="13"/>
  <c r="CI112" i="13"/>
  <c r="CH112" i="13"/>
  <c r="CG112" i="13"/>
  <c r="CF112" i="13"/>
  <c r="CE112" i="13"/>
  <c r="CD112" i="13"/>
  <c r="CC112" i="13"/>
  <c r="CB112" i="13"/>
  <c r="CA112" i="13"/>
  <c r="BZ112" i="13"/>
  <c r="BY112" i="13"/>
  <c r="BX112" i="13"/>
  <c r="BW112" i="13"/>
  <c r="BV112" i="13"/>
  <c r="BU112" i="13"/>
  <c r="BT112" i="13"/>
  <c r="BS112" i="13"/>
  <c r="BR112" i="13"/>
  <c r="BQ112" i="13"/>
  <c r="BP112" i="13"/>
  <c r="BO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B112" i="13"/>
  <c r="BA112" i="13"/>
  <c r="AZ112" i="13"/>
  <c r="AY112" i="13"/>
  <c r="AX112" i="13"/>
  <c r="AW112" i="13"/>
  <c r="AV112" i="13"/>
  <c r="AU112" i="13"/>
  <c r="AT112" i="13"/>
  <c r="AS112" i="13"/>
  <c r="AR112" i="13"/>
  <c r="AQ112" i="13"/>
  <c r="AP112" i="13"/>
  <c r="AO112" i="13"/>
  <c r="AN112" i="13"/>
  <c r="AM112" i="13"/>
  <c r="AL112" i="13"/>
  <c r="AK112" i="13"/>
  <c r="AJ112" i="13"/>
  <c r="AI112" i="13"/>
  <c r="AH112" i="13"/>
  <c r="AG112" i="13"/>
  <c r="AF112" i="13"/>
  <c r="CJ111" i="13"/>
  <c r="CI111" i="13"/>
  <c r="CH111" i="13"/>
  <c r="CG111" i="13"/>
  <c r="CF111" i="13"/>
  <c r="CE111" i="13"/>
  <c r="CD111" i="13"/>
  <c r="CC111" i="13"/>
  <c r="CB111" i="13"/>
  <c r="CA111" i="13"/>
  <c r="BZ111" i="13"/>
  <c r="BY111" i="13"/>
  <c r="BX111" i="13"/>
  <c r="BW111" i="13"/>
  <c r="BV111" i="13"/>
  <c r="BU111" i="13"/>
  <c r="BT111" i="13"/>
  <c r="BS111" i="13"/>
  <c r="BR111" i="13"/>
  <c r="BQ111" i="13"/>
  <c r="BP111" i="13"/>
  <c r="BO111" i="13"/>
  <c r="BN111" i="13"/>
  <c r="BM111" i="13"/>
  <c r="BL111" i="13"/>
  <c r="BK111" i="13"/>
  <c r="BJ111" i="13"/>
  <c r="BI111" i="13"/>
  <c r="BH111" i="13"/>
  <c r="BG111" i="13"/>
  <c r="BF111" i="13"/>
  <c r="BE111" i="13"/>
  <c r="BD111" i="13"/>
  <c r="BC111" i="13"/>
  <c r="BB111" i="13"/>
  <c r="BA111" i="13"/>
  <c r="AZ111" i="13"/>
  <c r="AY111" i="13"/>
  <c r="AX111" i="13"/>
  <c r="AW111" i="13"/>
  <c r="AV111" i="13"/>
  <c r="AU111" i="13"/>
  <c r="AT111" i="13"/>
  <c r="AS111" i="13"/>
  <c r="AR111" i="13"/>
  <c r="AQ111" i="13"/>
  <c r="AP111" i="13"/>
  <c r="AO111" i="13"/>
  <c r="AN111" i="13"/>
  <c r="AM111" i="13"/>
  <c r="AL111" i="13"/>
  <c r="AK111" i="13"/>
  <c r="AJ111" i="13"/>
  <c r="AI111" i="13"/>
  <c r="AH111" i="13"/>
  <c r="AG111" i="13"/>
  <c r="AF111" i="13"/>
  <c r="CJ110" i="13"/>
  <c r="CI110" i="13"/>
  <c r="CH110" i="13"/>
  <c r="CG110" i="13"/>
  <c r="CF110" i="13"/>
  <c r="CE110" i="13"/>
  <c r="CD110" i="13"/>
  <c r="CC110" i="13"/>
  <c r="CB110" i="13"/>
  <c r="CA110" i="13"/>
  <c r="BZ110" i="13"/>
  <c r="BY110" i="13"/>
  <c r="BX110" i="13"/>
  <c r="BW110" i="13"/>
  <c r="BV110" i="13"/>
  <c r="BU110" i="13"/>
  <c r="BT110" i="13"/>
  <c r="BS110" i="13"/>
  <c r="BR110" i="13"/>
  <c r="BQ110" i="13"/>
  <c r="BP110" i="13"/>
  <c r="BO110" i="13"/>
  <c r="BN110" i="13"/>
  <c r="BM110" i="13"/>
  <c r="BL110" i="13"/>
  <c r="BK110" i="13"/>
  <c r="BJ110" i="13"/>
  <c r="BI110" i="13"/>
  <c r="BH110" i="13"/>
  <c r="BG110" i="13"/>
  <c r="BF110" i="13"/>
  <c r="BE110" i="13"/>
  <c r="BD110" i="13"/>
  <c r="BC110" i="13"/>
  <c r="BB110" i="13"/>
  <c r="BA110" i="13"/>
  <c r="AZ110" i="13"/>
  <c r="AY110" i="13"/>
  <c r="AX110" i="13"/>
  <c r="AW110" i="13"/>
  <c r="AV110" i="13"/>
  <c r="AU110" i="13"/>
  <c r="AT110" i="13"/>
  <c r="AS110" i="13"/>
  <c r="AR110" i="13"/>
  <c r="AQ110" i="13"/>
  <c r="AP110" i="13"/>
  <c r="AO110" i="13"/>
  <c r="AN110" i="13"/>
  <c r="AM110" i="13"/>
  <c r="AL110" i="13"/>
  <c r="AK110" i="13"/>
  <c r="AJ110" i="13"/>
  <c r="AI110" i="13"/>
  <c r="AH110" i="13"/>
  <c r="AG110" i="13"/>
  <c r="AF110" i="13"/>
  <c r="CJ109" i="13"/>
  <c r="CI109" i="13"/>
  <c r="CH109" i="13"/>
  <c r="CG109" i="13"/>
  <c r="CF109" i="13"/>
  <c r="CE109" i="13"/>
  <c r="CD109" i="13"/>
  <c r="CC109" i="13"/>
  <c r="CB109" i="13"/>
  <c r="CA109" i="13"/>
  <c r="BZ109" i="13"/>
  <c r="BY109" i="13"/>
  <c r="BX109" i="13"/>
  <c r="BW109" i="13"/>
  <c r="BV109" i="13"/>
  <c r="BU109" i="13"/>
  <c r="BT109" i="13"/>
  <c r="BS109" i="13"/>
  <c r="BR109" i="13"/>
  <c r="BQ109" i="13"/>
  <c r="BP109" i="13"/>
  <c r="BO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AV109" i="13"/>
  <c r="AU109" i="13"/>
  <c r="AT109" i="13"/>
  <c r="AS109" i="13"/>
  <c r="AR109" i="13"/>
  <c r="AQ109" i="13"/>
  <c r="AP109" i="13"/>
  <c r="AO109" i="13"/>
  <c r="AN109" i="13"/>
  <c r="AM109" i="13"/>
  <c r="AL109" i="13"/>
  <c r="AK109" i="13"/>
  <c r="AJ109" i="13"/>
  <c r="AI109" i="13"/>
  <c r="AH109" i="13"/>
  <c r="AG109" i="13"/>
  <c r="AF109" i="13"/>
  <c r="CJ108" i="13"/>
  <c r="CI108" i="13"/>
  <c r="CH108" i="13"/>
  <c r="CG108" i="13"/>
  <c r="CF108" i="13"/>
  <c r="CE108" i="13"/>
  <c r="CD108" i="13"/>
  <c r="CC108" i="13"/>
  <c r="CB108" i="13"/>
  <c r="CA108" i="13"/>
  <c r="BZ108" i="13"/>
  <c r="BY108" i="13"/>
  <c r="BX108" i="13"/>
  <c r="BW108" i="13"/>
  <c r="BV108" i="13"/>
  <c r="BU108" i="13"/>
  <c r="BT108" i="13"/>
  <c r="BS108" i="13"/>
  <c r="BR108" i="13"/>
  <c r="BQ108" i="13"/>
  <c r="BP108" i="13"/>
  <c r="BO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B108" i="13"/>
  <c r="BA108" i="13"/>
  <c r="AZ108" i="13"/>
  <c r="AY108" i="13"/>
  <c r="AX108" i="13"/>
  <c r="AW108" i="13"/>
  <c r="AV108" i="13"/>
  <c r="AU108" i="13"/>
  <c r="AT108" i="13"/>
  <c r="AS108" i="13"/>
  <c r="AR108" i="13"/>
  <c r="AQ108" i="13"/>
  <c r="AP108" i="13"/>
  <c r="AO108" i="13"/>
  <c r="AN108" i="13"/>
  <c r="AM108" i="13"/>
  <c r="AL108" i="13"/>
  <c r="AK108" i="13"/>
  <c r="AJ108" i="13"/>
  <c r="AI108" i="13"/>
  <c r="AH108" i="13"/>
  <c r="AG108" i="13"/>
  <c r="AF108" i="13"/>
  <c r="CJ107" i="13"/>
  <c r="CI107" i="13"/>
  <c r="CH107" i="13"/>
  <c r="CG107" i="13"/>
  <c r="CF107" i="13"/>
  <c r="CE107" i="13"/>
  <c r="CD107" i="13"/>
  <c r="CC107" i="13"/>
  <c r="CB107" i="13"/>
  <c r="CA107" i="13"/>
  <c r="BZ107" i="13"/>
  <c r="BY107" i="13"/>
  <c r="BX107" i="13"/>
  <c r="BW107" i="13"/>
  <c r="BV107" i="13"/>
  <c r="BU107" i="13"/>
  <c r="BT107" i="13"/>
  <c r="BS107" i="13"/>
  <c r="BR107" i="13"/>
  <c r="BQ107" i="13"/>
  <c r="BP107" i="13"/>
  <c r="BO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B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AO107" i="13"/>
  <c r="AN107" i="13"/>
  <c r="AM107" i="13"/>
  <c r="AL107" i="13"/>
  <c r="AK107" i="13"/>
  <c r="AJ107" i="13"/>
  <c r="AI107" i="13"/>
  <c r="AH107" i="13"/>
  <c r="AG107" i="13"/>
  <c r="AF107" i="13"/>
  <c r="CJ106" i="13"/>
  <c r="CI106" i="13"/>
  <c r="CH106" i="13"/>
  <c r="CG106" i="13"/>
  <c r="CF106" i="13"/>
  <c r="CE106" i="13"/>
  <c r="CD106" i="13"/>
  <c r="CC106" i="13"/>
  <c r="CB106" i="13"/>
  <c r="CA106" i="13"/>
  <c r="BZ106" i="13"/>
  <c r="BY106" i="13"/>
  <c r="BX106" i="13"/>
  <c r="BW106" i="13"/>
  <c r="BV106" i="13"/>
  <c r="BU106" i="13"/>
  <c r="BT106" i="13"/>
  <c r="BS106" i="13"/>
  <c r="BR106" i="13"/>
  <c r="BQ106" i="13"/>
  <c r="BP106" i="13"/>
  <c r="BO106" i="13"/>
  <c r="BN106" i="13"/>
  <c r="BM106" i="13"/>
  <c r="BL106" i="13"/>
  <c r="BK106" i="13"/>
  <c r="BJ106" i="13"/>
  <c r="BI106" i="13"/>
  <c r="BH106" i="13"/>
  <c r="BG106" i="13"/>
  <c r="BF106" i="13"/>
  <c r="BE106" i="13"/>
  <c r="BD106" i="13"/>
  <c r="BC106" i="13"/>
  <c r="BB106" i="13"/>
  <c r="BA106" i="13"/>
  <c r="AZ106" i="13"/>
  <c r="AY106" i="13"/>
  <c r="AX106" i="13"/>
  <c r="AW106" i="13"/>
  <c r="AV106" i="13"/>
  <c r="AU106" i="13"/>
  <c r="AT106" i="13"/>
  <c r="AS106" i="13"/>
  <c r="AR106" i="13"/>
  <c r="AQ106" i="13"/>
  <c r="AP106" i="13"/>
  <c r="AO106" i="13"/>
  <c r="AN106" i="13"/>
  <c r="AM106" i="13"/>
  <c r="AL106" i="13"/>
  <c r="AK106" i="13"/>
  <c r="AJ106" i="13"/>
  <c r="AI106" i="13"/>
  <c r="AH106" i="13"/>
  <c r="AG106" i="13"/>
  <c r="AF106" i="13"/>
  <c r="CJ105" i="13"/>
  <c r="CI105" i="13"/>
  <c r="CH105" i="13"/>
  <c r="CG105" i="13"/>
  <c r="CF105" i="13"/>
  <c r="CE105" i="13"/>
  <c r="CD105" i="13"/>
  <c r="CC105" i="13"/>
  <c r="CB105" i="13"/>
  <c r="CA105" i="13"/>
  <c r="BZ105" i="13"/>
  <c r="BY105" i="13"/>
  <c r="BX105" i="13"/>
  <c r="BW105" i="13"/>
  <c r="BV105" i="13"/>
  <c r="BU105" i="13"/>
  <c r="BT105" i="13"/>
  <c r="BS105" i="13"/>
  <c r="BR105" i="13"/>
  <c r="BQ105" i="13"/>
  <c r="BP105" i="13"/>
  <c r="BO105" i="13"/>
  <c r="BN105" i="13"/>
  <c r="BM105" i="13"/>
  <c r="BL105" i="13"/>
  <c r="BK105" i="13"/>
  <c r="BJ105" i="13"/>
  <c r="BI105" i="13"/>
  <c r="BH105" i="13"/>
  <c r="BG105" i="13"/>
  <c r="BF105" i="13"/>
  <c r="BE105" i="13"/>
  <c r="BD105" i="13"/>
  <c r="BC105" i="13"/>
  <c r="BB105" i="13"/>
  <c r="BA105" i="13"/>
  <c r="AZ105" i="13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M105" i="13"/>
  <c r="AL105" i="13"/>
  <c r="AK105" i="13"/>
  <c r="AJ105" i="13"/>
  <c r="AI105" i="13"/>
  <c r="AH105" i="13"/>
  <c r="AG105" i="13"/>
  <c r="AF105" i="13"/>
  <c r="CJ104" i="13"/>
  <c r="CI104" i="13"/>
  <c r="CH104" i="13"/>
  <c r="CG104" i="13"/>
  <c r="CF104" i="13"/>
  <c r="CE104" i="13"/>
  <c r="CD104" i="13"/>
  <c r="CC104" i="13"/>
  <c r="CB104" i="13"/>
  <c r="CA104" i="13"/>
  <c r="BZ104" i="13"/>
  <c r="BY104" i="13"/>
  <c r="BX104" i="13"/>
  <c r="BW104" i="13"/>
  <c r="BV104" i="13"/>
  <c r="BU104" i="13"/>
  <c r="BT104" i="13"/>
  <c r="BS104" i="13"/>
  <c r="BR104" i="13"/>
  <c r="BQ104" i="13"/>
  <c r="BP104" i="13"/>
  <c r="BO104" i="13"/>
  <c r="BN104" i="13"/>
  <c r="BM104" i="13"/>
  <c r="BL104" i="13"/>
  <c r="BK104" i="13"/>
  <c r="BJ104" i="13"/>
  <c r="BI104" i="13"/>
  <c r="BH104" i="13"/>
  <c r="BG104" i="13"/>
  <c r="BF104" i="13"/>
  <c r="BE104" i="13"/>
  <c r="BD104" i="13"/>
  <c r="BC104" i="13"/>
  <c r="BB104" i="13"/>
  <c r="BA104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M104" i="13"/>
  <c r="AL104" i="13"/>
  <c r="AK104" i="13"/>
  <c r="AJ104" i="13"/>
  <c r="AI104" i="13"/>
  <c r="AH104" i="13"/>
  <c r="AG104" i="13"/>
  <c r="AF104" i="13"/>
  <c r="CJ103" i="13"/>
  <c r="CI103" i="13"/>
  <c r="CH103" i="13"/>
  <c r="CG103" i="13"/>
  <c r="CF103" i="13"/>
  <c r="CE103" i="13"/>
  <c r="CD103" i="13"/>
  <c r="CC103" i="13"/>
  <c r="CB103" i="13"/>
  <c r="CA103" i="13"/>
  <c r="BZ103" i="13"/>
  <c r="BY103" i="13"/>
  <c r="BX103" i="13"/>
  <c r="BW103" i="13"/>
  <c r="BV103" i="13"/>
  <c r="BU103" i="13"/>
  <c r="BT103" i="13"/>
  <c r="BS103" i="13"/>
  <c r="BR103" i="13"/>
  <c r="BQ103" i="13"/>
  <c r="BP103" i="13"/>
  <c r="BO103" i="13"/>
  <c r="BN103" i="13"/>
  <c r="BM103" i="13"/>
  <c r="BL103" i="13"/>
  <c r="BK103" i="13"/>
  <c r="BJ103" i="13"/>
  <c r="BI103" i="13"/>
  <c r="BH103" i="13"/>
  <c r="BG103" i="13"/>
  <c r="BF103" i="13"/>
  <c r="BE103" i="13"/>
  <c r="BD103" i="13"/>
  <c r="BC103" i="13"/>
  <c r="BB103" i="13"/>
  <c r="BA103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M103" i="13"/>
  <c r="AL103" i="13"/>
  <c r="AK103" i="13"/>
  <c r="AJ103" i="13"/>
  <c r="AI103" i="13"/>
  <c r="AH103" i="13"/>
  <c r="AG103" i="13"/>
  <c r="AF103" i="13"/>
  <c r="CJ102" i="13"/>
  <c r="CI102" i="13"/>
  <c r="CH102" i="13"/>
  <c r="CG102" i="13"/>
  <c r="CF102" i="13"/>
  <c r="CE102" i="13"/>
  <c r="CD102" i="13"/>
  <c r="CC102" i="13"/>
  <c r="CB102" i="13"/>
  <c r="CA102" i="13"/>
  <c r="BZ102" i="13"/>
  <c r="BY102" i="13"/>
  <c r="BX102" i="13"/>
  <c r="BW102" i="13"/>
  <c r="BV102" i="13"/>
  <c r="BU102" i="13"/>
  <c r="BT102" i="13"/>
  <c r="BS102" i="13"/>
  <c r="BR102" i="13"/>
  <c r="BQ102" i="13"/>
  <c r="BP102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M102" i="13"/>
  <c r="AL102" i="13"/>
  <c r="AK102" i="13"/>
  <c r="AJ102" i="13"/>
  <c r="AI102" i="13"/>
  <c r="AH102" i="13"/>
  <c r="AG102" i="13"/>
  <c r="AF102" i="13"/>
  <c r="CJ101" i="13"/>
  <c r="CI101" i="13"/>
  <c r="CH101" i="13"/>
  <c r="CG101" i="13"/>
  <c r="CF101" i="13"/>
  <c r="CE101" i="13"/>
  <c r="CD101" i="13"/>
  <c r="CC101" i="13"/>
  <c r="CB101" i="13"/>
  <c r="CA101" i="13"/>
  <c r="BZ101" i="13"/>
  <c r="BY101" i="13"/>
  <c r="BX101" i="13"/>
  <c r="BW101" i="13"/>
  <c r="BV101" i="13"/>
  <c r="BU101" i="13"/>
  <c r="BT101" i="13"/>
  <c r="BS101" i="13"/>
  <c r="BR101" i="13"/>
  <c r="BQ101" i="13"/>
  <c r="BP101" i="13"/>
  <c r="BO101" i="13"/>
  <c r="BN101" i="13"/>
  <c r="BM101" i="13"/>
  <c r="BL101" i="13"/>
  <c r="BK101" i="13"/>
  <c r="BJ101" i="13"/>
  <c r="BI101" i="13"/>
  <c r="BH101" i="13"/>
  <c r="BG101" i="13"/>
  <c r="BF101" i="13"/>
  <c r="BE101" i="13"/>
  <c r="BD101" i="13"/>
  <c r="BC101" i="13"/>
  <c r="BB101" i="13"/>
  <c r="BA101" i="13"/>
  <c r="AZ101" i="13"/>
  <c r="AY101" i="13"/>
  <c r="AX101" i="13"/>
  <c r="AW101" i="13"/>
  <c r="AV101" i="13"/>
  <c r="AU101" i="13"/>
  <c r="AT101" i="13"/>
  <c r="AS101" i="13"/>
  <c r="AR101" i="13"/>
  <c r="AQ101" i="13"/>
  <c r="AP101" i="13"/>
  <c r="AO101" i="13"/>
  <c r="AN101" i="13"/>
  <c r="AM101" i="13"/>
  <c r="AL101" i="13"/>
  <c r="AK101" i="13"/>
  <c r="AJ101" i="13"/>
  <c r="AI101" i="13"/>
  <c r="AH101" i="13"/>
  <c r="AG101" i="13"/>
  <c r="AF101" i="13"/>
  <c r="CJ100" i="13"/>
  <c r="CI100" i="13"/>
  <c r="CH100" i="13"/>
  <c r="CG100" i="13"/>
  <c r="CF100" i="13"/>
  <c r="CE100" i="13"/>
  <c r="CD100" i="13"/>
  <c r="CC100" i="13"/>
  <c r="CB100" i="13"/>
  <c r="CA100" i="13"/>
  <c r="BZ100" i="13"/>
  <c r="BY100" i="13"/>
  <c r="BX100" i="13"/>
  <c r="BW100" i="13"/>
  <c r="BV100" i="13"/>
  <c r="BU100" i="13"/>
  <c r="BT100" i="13"/>
  <c r="BS100" i="13"/>
  <c r="BR100" i="13"/>
  <c r="BQ100" i="13"/>
  <c r="BP100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AO100" i="13"/>
  <c r="AN100" i="13"/>
  <c r="AM100" i="13"/>
  <c r="AL100" i="13"/>
  <c r="AK100" i="13"/>
  <c r="AJ100" i="13"/>
  <c r="AI100" i="13"/>
  <c r="AH100" i="13"/>
  <c r="AG100" i="13"/>
  <c r="AF100" i="13"/>
  <c r="CJ99" i="13"/>
  <c r="CI99" i="13"/>
  <c r="CH99" i="13"/>
  <c r="CG99" i="13"/>
  <c r="CF99" i="13"/>
  <c r="CE99" i="13"/>
  <c r="CD99" i="13"/>
  <c r="CC99" i="13"/>
  <c r="CB99" i="13"/>
  <c r="CA99" i="13"/>
  <c r="BZ99" i="13"/>
  <c r="BY99" i="13"/>
  <c r="BX99" i="13"/>
  <c r="BW99" i="13"/>
  <c r="BV99" i="13"/>
  <c r="BU99" i="13"/>
  <c r="BT99" i="13"/>
  <c r="BS99" i="13"/>
  <c r="BR99" i="13"/>
  <c r="BQ99" i="13"/>
  <c r="BP99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AO99" i="13"/>
  <c r="AN99" i="13"/>
  <c r="AM99" i="13"/>
  <c r="AL99" i="13"/>
  <c r="AK99" i="13"/>
  <c r="AJ99" i="13"/>
  <c r="AI99" i="13"/>
  <c r="AH99" i="13"/>
  <c r="AG99" i="13"/>
  <c r="AF99" i="13"/>
  <c r="CJ98" i="13"/>
  <c r="CI98" i="13"/>
  <c r="CH98" i="13"/>
  <c r="CG98" i="13"/>
  <c r="CF98" i="13"/>
  <c r="CE98" i="13"/>
  <c r="CD98" i="13"/>
  <c r="CC98" i="13"/>
  <c r="CB98" i="13"/>
  <c r="CA98" i="13"/>
  <c r="BZ98" i="13"/>
  <c r="BY98" i="13"/>
  <c r="BX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CJ97" i="13"/>
  <c r="CI97" i="13"/>
  <c r="CH97" i="13"/>
  <c r="CG97" i="13"/>
  <c r="CF97" i="13"/>
  <c r="CE97" i="13"/>
  <c r="CD97" i="13"/>
  <c r="CC97" i="13"/>
  <c r="CB97" i="13"/>
  <c r="CA97" i="13"/>
  <c r="BZ97" i="13"/>
  <c r="BY97" i="13"/>
  <c r="BX97" i="13"/>
  <c r="BW97" i="13"/>
  <c r="BV97" i="13"/>
  <c r="BU97" i="13"/>
  <c r="BT97" i="13"/>
  <c r="BS97" i="13"/>
  <c r="BR97" i="13"/>
  <c r="BQ97" i="13"/>
  <c r="BP97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AO97" i="13"/>
  <c r="AN97" i="13"/>
  <c r="AM97" i="13"/>
  <c r="AL97" i="13"/>
  <c r="AK97" i="13"/>
  <c r="AJ97" i="13"/>
  <c r="AI97" i="13"/>
  <c r="AH97" i="13"/>
  <c r="AG97" i="13"/>
  <c r="AF97" i="13"/>
  <c r="CJ96" i="13"/>
  <c r="CI96" i="13"/>
  <c r="CH96" i="13"/>
  <c r="CG96" i="13"/>
  <c r="CF96" i="13"/>
  <c r="CE96" i="13"/>
  <c r="CD96" i="13"/>
  <c r="CC96" i="13"/>
  <c r="CB96" i="13"/>
  <c r="CA96" i="13"/>
  <c r="BZ96" i="13"/>
  <c r="BY96" i="13"/>
  <c r="BX96" i="13"/>
  <c r="BW96" i="13"/>
  <c r="BV96" i="13"/>
  <c r="BU96" i="13"/>
  <c r="BT96" i="13"/>
  <c r="BS96" i="13"/>
  <c r="BR96" i="13"/>
  <c r="BQ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AF96" i="13"/>
  <c r="CJ95" i="13"/>
  <c r="CI95" i="13"/>
  <c r="CH95" i="13"/>
  <c r="CG95" i="13"/>
  <c r="CF95" i="13"/>
  <c r="CE95" i="13"/>
  <c r="CD95" i="13"/>
  <c r="CC95" i="13"/>
  <c r="CB95" i="13"/>
  <c r="CA95" i="13"/>
  <c r="BZ95" i="13"/>
  <c r="BY95" i="13"/>
  <c r="BX95" i="13"/>
  <c r="BW95" i="13"/>
  <c r="BV95" i="13"/>
  <c r="BU95" i="13"/>
  <c r="BT95" i="13"/>
  <c r="BS95" i="13"/>
  <c r="BR95" i="13"/>
  <c r="BQ95" i="13"/>
  <c r="BP95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AO95" i="13"/>
  <c r="AN95" i="13"/>
  <c r="AM95" i="13"/>
  <c r="AL95" i="13"/>
  <c r="AK95" i="13"/>
  <c r="AJ95" i="13"/>
  <c r="AI95" i="13"/>
  <c r="AH95" i="13"/>
  <c r="AG95" i="13"/>
  <c r="AF95" i="13"/>
  <c r="CJ94" i="13"/>
  <c r="CI94" i="13"/>
  <c r="CH94" i="13"/>
  <c r="CG94" i="13"/>
  <c r="CF94" i="13"/>
  <c r="CE94" i="13"/>
  <c r="CD94" i="13"/>
  <c r="CC94" i="13"/>
  <c r="CB94" i="13"/>
  <c r="CA94" i="13"/>
  <c r="BZ94" i="13"/>
  <c r="BY94" i="13"/>
  <c r="BX94" i="13"/>
  <c r="BW94" i="13"/>
  <c r="BV94" i="13"/>
  <c r="BU94" i="13"/>
  <c r="BT94" i="13"/>
  <c r="BS94" i="13"/>
  <c r="BR94" i="13"/>
  <c r="BQ94" i="13"/>
  <c r="BP94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AO94" i="13"/>
  <c r="AN94" i="13"/>
  <c r="AM94" i="13"/>
  <c r="AL94" i="13"/>
  <c r="AK94" i="13"/>
  <c r="AJ94" i="13"/>
  <c r="AI94" i="13"/>
  <c r="AH94" i="13"/>
  <c r="AG94" i="13"/>
  <c r="AF94" i="13"/>
  <c r="CJ93" i="13"/>
  <c r="CI93" i="13"/>
  <c r="CH93" i="13"/>
  <c r="CG93" i="13"/>
  <c r="CF93" i="13"/>
  <c r="CE93" i="13"/>
  <c r="CD93" i="13"/>
  <c r="CC93" i="13"/>
  <c r="CB93" i="13"/>
  <c r="CA93" i="13"/>
  <c r="BZ93" i="13"/>
  <c r="BY93" i="13"/>
  <c r="BX93" i="13"/>
  <c r="BW93" i="13"/>
  <c r="BV93" i="13"/>
  <c r="BU93" i="13"/>
  <c r="BT93" i="13"/>
  <c r="BS93" i="13"/>
  <c r="BR93" i="13"/>
  <c r="BQ93" i="13"/>
  <c r="BP93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AO93" i="13"/>
  <c r="AN93" i="13"/>
  <c r="AM93" i="13"/>
  <c r="AL93" i="13"/>
  <c r="AK93" i="13"/>
  <c r="AJ93" i="13"/>
  <c r="AI93" i="13"/>
  <c r="AH93" i="13"/>
  <c r="AG93" i="13"/>
  <c r="AF93" i="13"/>
  <c r="CJ92" i="13"/>
  <c r="CI92" i="13"/>
  <c r="CH92" i="13"/>
  <c r="CG92" i="13"/>
  <c r="CF92" i="13"/>
  <c r="CE92" i="13"/>
  <c r="CD92" i="13"/>
  <c r="CC92" i="13"/>
  <c r="CB92" i="13"/>
  <c r="CA92" i="13"/>
  <c r="BZ92" i="13"/>
  <c r="BY92" i="13"/>
  <c r="BX92" i="13"/>
  <c r="BW92" i="13"/>
  <c r="BV92" i="13"/>
  <c r="BU92" i="13"/>
  <c r="BT92" i="13"/>
  <c r="BS92" i="13"/>
  <c r="BR92" i="13"/>
  <c r="BQ92" i="13"/>
  <c r="BP92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AO92" i="13"/>
  <c r="AN92" i="13"/>
  <c r="AM92" i="13"/>
  <c r="AL92" i="13"/>
  <c r="AK92" i="13"/>
  <c r="AJ92" i="13"/>
  <c r="AI92" i="13"/>
  <c r="AH92" i="13"/>
  <c r="AG92" i="13"/>
  <c r="AF92" i="13"/>
  <c r="CJ91" i="13"/>
  <c r="CI91" i="13"/>
  <c r="CH91" i="13"/>
  <c r="CG91" i="13"/>
  <c r="CF91" i="13"/>
  <c r="CE91" i="13"/>
  <c r="CD91" i="13"/>
  <c r="CC91" i="13"/>
  <c r="CB91" i="13"/>
  <c r="CA91" i="13"/>
  <c r="BZ91" i="13"/>
  <c r="BY91" i="13"/>
  <c r="BX91" i="13"/>
  <c r="BW91" i="13"/>
  <c r="BV91" i="13"/>
  <c r="BU91" i="13"/>
  <c r="BT91" i="13"/>
  <c r="BS91" i="13"/>
  <c r="BR91" i="13"/>
  <c r="BQ91" i="13"/>
  <c r="BP91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AO91" i="13"/>
  <c r="AN91" i="13"/>
  <c r="AM91" i="13"/>
  <c r="AL91" i="13"/>
  <c r="AK91" i="13"/>
  <c r="AJ91" i="13"/>
  <c r="AI91" i="13"/>
  <c r="AH91" i="13"/>
  <c r="AG91" i="13"/>
  <c r="AF91" i="13"/>
  <c r="CJ90" i="13"/>
  <c r="CI90" i="13"/>
  <c r="CH90" i="13"/>
  <c r="CG90" i="13"/>
  <c r="CF90" i="13"/>
  <c r="CE90" i="13"/>
  <c r="CD90" i="13"/>
  <c r="CC90" i="13"/>
  <c r="CB90" i="13"/>
  <c r="CA90" i="13"/>
  <c r="BZ90" i="13"/>
  <c r="BY90" i="13"/>
  <c r="BX90" i="13"/>
  <c r="BW90" i="13"/>
  <c r="BV90" i="13"/>
  <c r="BU90" i="13"/>
  <c r="BT90" i="13"/>
  <c r="BS90" i="13"/>
  <c r="BR90" i="13"/>
  <c r="BQ90" i="13"/>
  <c r="BP90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AO90" i="13"/>
  <c r="AN90" i="13"/>
  <c r="AM90" i="13"/>
  <c r="AL90" i="13"/>
  <c r="AK90" i="13"/>
  <c r="AJ90" i="13"/>
  <c r="AI90" i="13"/>
  <c r="AH90" i="13"/>
  <c r="AG90" i="13"/>
  <c r="AF90" i="13"/>
  <c r="CJ89" i="13"/>
  <c r="CI89" i="13"/>
  <c r="CH89" i="13"/>
  <c r="CG89" i="13"/>
  <c r="CF89" i="13"/>
  <c r="CE89" i="13"/>
  <c r="CD89" i="13"/>
  <c r="CC89" i="13"/>
  <c r="CB89" i="13"/>
  <c r="CA89" i="13"/>
  <c r="BZ89" i="13"/>
  <c r="BY89" i="13"/>
  <c r="BX89" i="13"/>
  <c r="BW89" i="13"/>
  <c r="BV89" i="13"/>
  <c r="BU89" i="13"/>
  <c r="BT89" i="13"/>
  <c r="BS89" i="13"/>
  <c r="BR89" i="13"/>
  <c r="BQ89" i="13"/>
  <c r="BP89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AO89" i="13"/>
  <c r="AN89" i="13"/>
  <c r="AM89" i="13"/>
  <c r="AL89" i="13"/>
  <c r="AK89" i="13"/>
  <c r="AJ89" i="13"/>
  <c r="AI89" i="13"/>
  <c r="AH89" i="13"/>
  <c r="AG89" i="13"/>
  <c r="AF89" i="13"/>
  <c r="CJ88" i="13"/>
  <c r="CI88" i="13"/>
  <c r="CH88" i="13"/>
  <c r="CG88" i="13"/>
  <c r="CF88" i="13"/>
  <c r="CE88" i="13"/>
  <c r="CD88" i="13"/>
  <c r="CC88" i="13"/>
  <c r="CB88" i="13"/>
  <c r="CA88" i="13"/>
  <c r="BZ88" i="13"/>
  <c r="BY88" i="13"/>
  <c r="BX88" i="13"/>
  <c r="BW88" i="13"/>
  <c r="BV88" i="13"/>
  <c r="BU88" i="13"/>
  <c r="BT88" i="13"/>
  <c r="BS88" i="13"/>
  <c r="BR88" i="13"/>
  <c r="BQ88" i="13"/>
  <c r="BP88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AO88" i="13"/>
  <c r="AN88" i="13"/>
  <c r="AM88" i="13"/>
  <c r="AL88" i="13"/>
  <c r="AK88" i="13"/>
  <c r="AJ88" i="13"/>
  <c r="AI88" i="13"/>
  <c r="AH88" i="13"/>
  <c r="AG88" i="13"/>
  <c r="AF88" i="13"/>
  <c r="CJ87" i="13"/>
  <c r="CI87" i="13"/>
  <c r="CH87" i="13"/>
  <c r="CG87" i="13"/>
  <c r="CF87" i="13"/>
  <c r="CE87" i="13"/>
  <c r="CD87" i="13"/>
  <c r="CC87" i="13"/>
  <c r="CB87" i="13"/>
  <c r="CA87" i="13"/>
  <c r="BZ87" i="13"/>
  <c r="BY87" i="13"/>
  <c r="BX87" i="13"/>
  <c r="BW87" i="13"/>
  <c r="BV87" i="13"/>
  <c r="BU87" i="13"/>
  <c r="BT87" i="13"/>
  <c r="BS87" i="13"/>
  <c r="BR87" i="13"/>
  <c r="BQ87" i="13"/>
  <c r="BP87" i="13"/>
  <c r="BO87" i="13"/>
  <c r="BN87" i="13"/>
  <c r="BM87" i="13"/>
  <c r="BL87" i="13"/>
  <c r="BK87" i="13"/>
  <c r="BJ87" i="13"/>
  <c r="BI87" i="13"/>
  <c r="BH87" i="13"/>
  <c r="BG87" i="13"/>
  <c r="BF87" i="13"/>
  <c r="BE87" i="13"/>
  <c r="BD87" i="13"/>
  <c r="BC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AJ87" i="13"/>
  <c r="AI87" i="13"/>
  <c r="AH87" i="13"/>
  <c r="AG87" i="13"/>
  <c r="AF87" i="13"/>
  <c r="CJ86" i="13"/>
  <c r="CI86" i="13"/>
  <c r="CH86" i="13"/>
  <c r="CG86" i="13"/>
  <c r="CF86" i="13"/>
  <c r="CE86" i="13"/>
  <c r="CD86" i="13"/>
  <c r="CC86" i="13"/>
  <c r="CB86" i="13"/>
  <c r="CA86" i="13"/>
  <c r="BZ86" i="13"/>
  <c r="BY86" i="13"/>
  <c r="BX86" i="13"/>
  <c r="BW86" i="13"/>
  <c r="BV86" i="13"/>
  <c r="BU86" i="13"/>
  <c r="BT86" i="13"/>
  <c r="BS86" i="13"/>
  <c r="BR86" i="13"/>
  <c r="BQ86" i="13"/>
  <c r="BP86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AO86" i="13"/>
  <c r="AN86" i="13"/>
  <c r="AM86" i="13"/>
  <c r="AL86" i="13"/>
  <c r="AK86" i="13"/>
  <c r="AJ86" i="13"/>
  <c r="AI86" i="13"/>
  <c r="AH86" i="13"/>
  <c r="AG86" i="13"/>
  <c r="AF86" i="13"/>
  <c r="CJ85" i="13"/>
  <c r="CI85" i="13"/>
  <c r="CH85" i="13"/>
  <c r="CG85" i="13"/>
  <c r="CF85" i="13"/>
  <c r="CE85" i="13"/>
  <c r="CD85" i="13"/>
  <c r="CC85" i="13"/>
  <c r="CB85" i="13"/>
  <c r="CA85" i="13"/>
  <c r="BZ85" i="13"/>
  <c r="BY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CJ84" i="13"/>
  <c r="CI84" i="13"/>
  <c r="CH84" i="13"/>
  <c r="CG84" i="13"/>
  <c r="CF84" i="13"/>
  <c r="CE84" i="13"/>
  <c r="CD84" i="13"/>
  <c r="CC84" i="13"/>
  <c r="CB84" i="13"/>
  <c r="CA84" i="13"/>
  <c r="BZ84" i="13"/>
  <c r="BY84" i="13"/>
  <c r="BX84" i="13"/>
  <c r="BW84" i="13"/>
  <c r="BV84" i="13"/>
  <c r="BU84" i="13"/>
  <c r="BT84" i="13"/>
  <c r="BS84" i="13"/>
  <c r="BR84" i="13"/>
  <c r="BQ84" i="13"/>
  <c r="BP84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CJ83" i="13"/>
  <c r="CI83" i="13"/>
  <c r="CH83" i="13"/>
  <c r="CG83" i="13"/>
  <c r="CF83" i="13"/>
  <c r="CE83" i="13"/>
  <c r="CD83" i="13"/>
  <c r="CC83" i="13"/>
  <c r="CB83" i="13"/>
  <c r="CA83" i="13"/>
  <c r="BZ83" i="13"/>
  <c r="BY83" i="13"/>
  <c r="BX83" i="13"/>
  <c r="BW83" i="13"/>
  <c r="BV83" i="13"/>
  <c r="BU83" i="13"/>
  <c r="BT83" i="13"/>
  <c r="BS83" i="13"/>
  <c r="BR83" i="13"/>
  <c r="BQ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AO83" i="13"/>
  <c r="AN83" i="13"/>
  <c r="AM83" i="13"/>
  <c r="AL83" i="13"/>
  <c r="AK83" i="13"/>
  <c r="AJ83" i="13"/>
  <c r="AI83" i="13"/>
  <c r="AH83" i="13"/>
  <c r="AG83" i="13"/>
  <c r="AF83" i="13"/>
  <c r="CJ82" i="13"/>
  <c r="CI82" i="13"/>
  <c r="CH82" i="13"/>
  <c r="CG82" i="13"/>
  <c r="CF82" i="13"/>
  <c r="CE82" i="13"/>
  <c r="CD82" i="13"/>
  <c r="CC82" i="13"/>
  <c r="CB82" i="13"/>
  <c r="CA82" i="13"/>
  <c r="BZ82" i="13"/>
  <c r="BY82" i="13"/>
  <c r="BX82" i="13"/>
  <c r="BW82" i="13"/>
  <c r="BV82" i="13"/>
  <c r="BU82" i="13"/>
  <c r="BT82" i="13"/>
  <c r="BS82" i="13"/>
  <c r="BR82" i="13"/>
  <c r="BQ82" i="13"/>
  <c r="BP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AO82" i="13"/>
  <c r="AN82" i="13"/>
  <c r="AM82" i="13"/>
  <c r="AL82" i="13"/>
  <c r="AK82" i="13"/>
  <c r="AJ82" i="13"/>
  <c r="AI82" i="13"/>
  <c r="AH82" i="13"/>
  <c r="AG82" i="13"/>
  <c r="AF82" i="13"/>
  <c r="CJ81" i="13"/>
  <c r="CI81" i="13"/>
  <c r="CH81" i="13"/>
  <c r="CG81" i="13"/>
  <c r="CF81" i="13"/>
  <c r="CE81" i="13"/>
  <c r="CD81" i="13"/>
  <c r="CC81" i="13"/>
  <c r="CB81" i="13"/>
  <c r="CA81" i="13"/>
  <c r="BZ81" i="13"/>
  <c r="BY81" i="13"/>
  <c r="BX81" i="13"/>
  <c r="BW81" i="13"/>
  <c r="BV81" i="13"/>
  <c r="BU81" i="13"/>
  <c r="BT81" i="13"/>
  <c r="BS81" i="13"/>
  <c r="BR81" i="13"/>
  <c r="BQ81" i="13"/>
  <c r="BP81" i="13"/>
  <c r="BO81" i="13"/>
  <c r="BN81" i="13"/>
  <c r="BM81" i="13"/>
  <c r="BL81" i="13"/>
  <c r="BK81" i="13"/>
  <c r="BJ81" i="13"/>
  <c r="BI81" i="13"/>
  <c r="BH81" i="13"/>
  <c r="BG81" i="13"/>
  <c r="BF81" i="13"/>
  <c r="BE81" i="13"/>
  <c r="BD81" i="13"/>
  <c r="BC81" i="13"/>
  <c r="BB81" i="13"/>
  <c r="BA81" i="13"/>
  <c r="AZ81" i="13"/>
  <c r="AY81" i="13"/>
  <c r="AX81" i="13"/>
  <c r="AW81" i="13"/>
  <c r="AV81" i="13"/>
  <c r="AU81" i="13"/>
  <c r="AT81" i="13"/>
  <c r="AS81" i="13"/>
  <c r="AR81" i="13"/>
  <c r="AQ81" i="13"/>
  <c r="AP81" i="13"/>
  <c r="AO81" i="13"/>
  <c r="AN81" i="13"/>
  <c r="AM81" i="13"/>
  <c r="AL81" i="13"/>
  <c r="AK81" i="13"/>
  <c r="AJ81" i="13"/>
  <c r="AI81" i="13"/>
  <c r="AH81" i="13"/>
  <c r="AG81" i="13"/>
  <c r="AF81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CJ4" i="13"/>
  <c r="CI4" i="13"/>
  <c r="CH4" i="13"/>
  <c r="CG4" i="13"/>
  <c r="CF4" i="13"/>
  <c r="CE4" i="13"/>
  <c r="CD4" i="13"/>
  <c r="CC4" i="13"/>
  <c r="CB4" i="13"/>
  <c r="CA4" i="13"/>
  <c r="BZ4" i="13"/>
  <c r="BY4" i="13"/>
  <c r="BX4" i="13"/>
  <c r="BW4" i="13"/>
  <c r="BV4" i="13"/>
  <c r="BU4" i="13"/>
  <c r="BT4" i="13"/>
  <c r="BS4" i="13"/>
  <c r="BR4" i="13"/>
  <c r="BQ4" i="13"/>
  <c r="BP4" i="13"/>
  <c r="BO4" i="13"/>
  <c r="BN4" i="13"/>
  <c r="BM4" i="13"/>
  <c r="BL4" i="13"/>
  <c r="BK4" i="13"/>
  <c r="BJ4" i="13"/>
  <c r="BI4" i="13"/>
  <c r="BH4" i="13"/>
  <c r="BG4" i="13"/>
  <c r="BF4" i="13"/>
  <c r="BE4" i="13"/>
  <c r="BD4" i="13"/>
  <c r="BC4" i="13"/>
  <c r="BB4" i="13"/>
  <c r="BA4" i="13"/>
  <c r="AZ4" i="13"/>
  <c r="AY4" i="13"/>
  <c r="AX4" i="13"/>
  <c r="AW4" i="13"/>
  <c r="AV4" i="13"/>
  <c r="AU4" i="13"/>
  <c r="AT4" i="13"/>
  <c r="AS4" i="13"/>
  <c r="AR4" i="13"/>
  <c r="AQ4" i="13"/>
  <c r="AP4" i="13"/>
  <c r="AO4" i="13"/>
  <c r="AN4" i="13"/>
  <c r="AM4" i="13"/>
  <c r="AL4" i="13"/>
  <c r="AK4" i="13"/>
  <c r="AJ4" i="13"/>
  <c r="AI4" i="13"/>
  <c r="AH4" i="13"/>
  <c r="AG4" i="13"/>
  <c r="AF4" i="13"/>
  <c r="AP27" i="14"/>
  <c r="AO27" i="14"/>
  <c r="AN27" i="14"/>
  <c r="AM27" i="14"/>
  <c r="AL27" i="14"/>
  <c r="AG27" i="14"/>
  <c r="AF27" i="14"/>
  <c r="W27" i="14"/>
  <c r="V27" i="14"/>
  <c r="T27" i="14"/>
  <c r="S27" i="14"/>
  <c r="R27" i="14"/>
  <c r="Q27" i="14"/>
  <c r="P27" i="14"/>
  <c r="O27" i="14"/>
  <c r="N27" i="14"/>
  <c r="M27" i="14"/>
  <c r="L27" i="14"/>
  <c r="K27" i="14"/>
  <c r="J27" i="14"/>
  <c r="H27" i="14"/>
  <c r="G27" i="14"/>
  <c r="F27" i="14"/>
  <c r="E27" i="14"/>
  <c r="AP26" i="14"/>
  <c r="AO26" i="14"/>
  <c r="AN26" i="14"/>
  <c r="AM26" i="14"/>
  <c r="AL26" i="14"/>
  <c r="AG26" i="14"/>
  <c r="AF26" i="14"/>
  <c r="W26" i="14"/>
  <c r="V26" i="14"/>
  <c r="T26" i="14"/>
  <c r="S26" i="14"/>
  <c r="R26" i="14"/>
  <c r="Q26" i="14"/>
  <c r="P26" i="14"/>
  <c r="O26" i="14"/>
  <c r="N26" i="14"/>
  <c r="M26" i="14"/>
  <c r="L26" i="14"/>
  <c r="K26" i="14"/>
  <c r="J26" i="14"/>
  <c r="H26" i="14"/>
  <c r="G26" i="14"/>
  <c r="F26" i="14"/>
  <c r="E26" i="14"/>
  <c r="AP25" i="14"/>
  <c r="AO25" i="14"/>
  <c r="AN25" i="14"/>
  <c r="AM25" i="14"/>
  <c r="AL25" i="14"/>
  <c r="AG25" i="14"/>
  <c r="AF25" i="14"/>
  <c r="W25" i="14"/>
  <c r="V25" i="14"/>
  <c r="T25" i="14"/>
  <c r="S25" i="14"/>
  <c r="R25" i="14"/>
  <c r="Q25" i="14"/>
  <c r="P25" i="14"/>
  <c r="O25" i="14"/>
  <c r="N25" i="14"/>
  <c r="M25" i="14"/>
  <c r="L25" i="14"/>
  <c r="K25" i="14"/>
  <c r="J25" i="14"/>
  <c r="H25" i="14"/>
  <c r="G25" i="14"/>
  <c r="F25" i="14"/>
  <c r="E25" i="14"/>
  <c r="AP24" i="14"/>
  <c r="AO24" i="14"/>
  <c r="AN24" i="14"/>
  <c r="AM24" i="14"/>
  <c r="AL24" i="14"/>
  <c r="AG24" i="14"/>
  <c r="AF24" i="14"/>
  <c r="W24" i="14"/>
  <c r="V24" i="14"/>
  <c r="T24" i="14"/>
  <c r="S24" i="14"/>
  <c r="R24" i="14"/>
  <c r="Q24" i="14"/>
  <c r="P24" i="14"/>
  <c r="O24" i="14"/>
  <c r="N24" i="14"/>
  <c r="M24" i="14"/>
  <c r="L24" i="14"/>
  <c r="K24" i="14"/>
  <c r="J24" i="14"/>
  <c r="H24" i="14"/>
  <c r="G24" i="14"/>
  <c r="F24" i="14"/>
  <c r="E24" i="14"/>
  <c r="AP23" i="14"/>
  <c r="AO23" i="14"/>
  <c r="AN23" i="14"/>
  <c r="AM23" i="14"/>
  <c r="AL23" i="14"/>
  <c r="AG23" i="14"/>
  <c r="AF23" i="14"/>
  <c r="W23" i="14"/>
  <c r="V23" i="14"/>
  <c r="T23" i="14"/>
  <c r="S23" i="14"/>
  <c r="R23" i="14"/>
  <c r="Q23" i="14"/>
  <c r="P23" i="14"/>
  <c r="O23" i="14"/>
  <c r="N23" i="14"/>
  <c r="M23" i="14"/>
  <c r="L23" i="14"/>
  <c r="K23" i="14"/>
  <c r="J23" i="14"/>
  <c r="H23" i="14"/>
  <c r="G23" i="14"/>
  <c r="F23" i="14"/>
  <c r="E23" i="14"/>
  <c r="AP22" i="14"/>
  <c r="AO22" i="14"/>
  <c r="AN22" i="14"/>
  <c r="AM22" i="14"/>
  <c r="AL22" i="14"/>
  <c r="AG22" i="14"/>
  <c r="AF22" i="14"/>
  <c r="W22" i="14"/>
  <c r="V22" i="14"/>
  <c r="T22" i="14"/>
  <c r="S22" i="14"/>
  <c r="R22" i="14"/>
  <c r="Q22" i="14"/>
  <c r="P22" i="14"/>
  <c r="O22" i="14"/>
  <c r="N22" i="14"/>
  <c r="M22" i="14"/>
  <c r="L22" i="14"/>
  <c r="K22" i="14"/>
  <c r="J22" i="14"/>
  <c r="H22" i="14"/>
  <c r="G22" i="14"/>
  <c r="F22" i="14"/>
  <c r="E22" i="14"/>
  <c r="AP21" i="14"/>
  <c r="AO21" i="14"/>
  <c r="AN21" i="14"/>
  <c r="AM21" i="14"/>
  <c r="AL21" i="14"/>
  <c r="AG21" i="14"/>
  <c r="AF21" i="14"/>
  <c r="W21" i="14"/>
  <c r="V21" i="14"/>
  <c r="T21" i="14"/>
  <c r="S21" i="14"/>
  <c r="R21" i="14"/>
  <c r="Q21" i="14"/>
  <c r="P21" i="14"/>
  <c r="O21" i="14"/>
  <c r="N21" i="14"/>
  <c r="M21" i="14"/>
  <c r="L21" i="14"/>
  <c r="K21" i="14"/>
  <c r="J21" i="14"/>
  <c r="H21" i="14"/>
  <c r="G21" i="14"/>
  <c r="F21" i="14"/>
  <c r="E21" i="14"/>
  <c r="AP20" i="14"/>
  <c r="AO20" i="14"/>
  <c r="AN20" i="14"/>
  <c r="AM20" i="14"/>
  <c r="AL20" i="14"/>
  <c r="AG20" i="14"/>
  <c r="AF20" i="14"/>
  <c r="W20" i="14"/>
  <c r="V20" i="14"/>
  <c r="T20" i="14"/>
  <c r="S20" i="14"/>
  <c r="R20" i="14"/>
  <c r="Q20" i="14"/>
  <c r="P20" i="14"/>
  <c r="O20" i="14"/>
  <c r="N20" i="14"/>
  <c r="M20" i="14"/>
  <c r="L20" i="14"/>
  <c r="K20" i="14"/>
  <c r="J20" i="14"/>
  <c r="H20" i="14"/>
  <c r="G20" i="14"/>
  <c r="F20" i="14"/>
  <c r="E20" i="14"/>
  <c r="AP19" i="14"/>
  <c r="AO19" i="14"/>
  <c r="AN19" i="14"/>
  <c r="AM19" i="14"/>
  <c r="AL19" i="14"/>
  <c r="AG19" i="14"/>
  <c r="AF19" i="14"/>
  <c r="W19" i="14"/>
  <c r="V19" i="14"/>
  <c r="T19" i="14"/>
  <c r="S19" i="14"/>
  <c r="R19" i="14"/>
  <c r="Q19" i="14"/>
  <c r="P19" i="14"/>
  <c r="O19" i="14"/>
  <c r="N19" i="14"/>
  <c r="M19" i="14"/>
  <c r="L19" i="14"/>
  <c r="K19" i="14"/>
  <c r="J19" i="14"/>
  <c r="H19" i="14"/>
  <c r="G19" i="14"/>
  <c r="F19" i="14"/>
  <c r="E19" i="14"/>
  <c r="AP18" i="14"/>
  <c r="AO18" i="14"/>
  <c r="AN18" i="14"/>
  <c r="AM18" i="14"/>
  <c r="AL18" i="14"/>
  <c r="AG18" i="14"/>
  <c r="AF18" i="14"/>
  <c r="W18" i="14"/>
  <c r="V18" i="14"/>
  <c r="T18" i="14"/>
  <c r="S18" i="14"/>
  <c r="R18" i="14"/>
  <c r="Q18" i="14"/>
  <c r="P18" i="14"/>
  <c r="O18" i="14"/>
  <c r="N18" i="14"/>
  <c r="M18" i="14"/>
  <c r="L18" i="14"/>
  <c r="K18" i="14"/>
  <c r="J18" i="14"/>
  <c r="H18" i="14"/>
  <c r="G18" i="14"/>
  <c r="F18" i="14"/>
  <c r="E18" i="14"/>
  <c r="AP17" i="14"/>
  <c r="AO17" i="14"/>
  <c r="AN17" i="14"/>
  <c r="AM17" i="14"/>
  <c r="AL17" i="14"/>
  <c r="AG17" i="14"/>
  <c r="AF17" i="14"/>
  <c r="W17" i="14"/>
  <c r="V17" i="14"/>
  <c r="T17" i="14"/>
  <c r="S17" i="14"/>
  <c r="R17" i="14"/>
  <c r="Q17" i="14"/>
  <c r="P17" i="14"/>
  <c r="O17" i="14"/>
  <c r="N17" i="14"/>
  <c r="M17" i="14"/>
  <c r="L17" i="14"/>
  <c r="K17" i="14"/>
  <c r="J17" i="14"/>
  <c r="H17" i="14"/>
  <c r="G17" i="14"/>
  <c r="F17" i="14"/>
  <c r="E17" i="14"/>
  <c r="AP16" i="14"/>
  <c r="AO16" i="14"/>
  <c r="AN16" i="14"/>
  <c r="AM16" i="14"/>
  <c r="AL16" i="14"/>
  <c r="AG16" i="14"/>
  <c r="AF16" i="14"/>
  <c r="W16" i="14"/>
  <c r="V16" i="14"/>
  <c r="T16" i="14"/>
  <c r="S16" i="14"/>
  <c r="R16" i="14"/>
  <c r="Q16" i="14"/>
  <c r="P16" i="14"/>
  <c r="O16" i="14"/>
  <c r="N16" i="14"/>
  <c r="M16" i="14"/>
  <c r="L16" i="14"/>
  <c r="K16" i="14"/>
  <c r="J16" i="14"/>
  <c r="H16" i="14"/>
  <c r="G16" i="14"/>
  <c r="F16" i="14"/>
  <c r="E16" i="14"/>
  <c r="AP15" i="14"/>
  <c r="AO15" i="14"/>
  <c r="AN15" i="14"/>
  <c r="AM15" i="14"/>
  <c r="AL15" i="14"/>
  <c r="AG15" i="14"/>
  <c r="AF15" i="14"/>
  <c r="W15" i="14"/>
  <c r="V15" i="14"/>
  <c r="T15" i="14"/>
  <c r="S15" i="14"/>
  <c r="R15" i="14"/>
  <c r="Q15" i="14"/>
  <c r="P15" i="14"/>
  <c r="O15" i="14"/>
  <c r="N15" i="14"/>
  <c r="M15" i="14"/>
  <c r="L15" i="14"/>
  <c r="K15" i="14"/>
  <c r="J15" i="14"/>
  <c r="H15" i="14"/>
  <c r="G15" i="14"/>
  <c r="F15" i="14"/>
  <c r="E15" i="14"/>
  <c r="AP14" i="14"/>
  <c r="AO14" i="14"/>
  <c r="AN14" i="14"/>
  <c r="AM14" i="14"/>
  <c r="AL14" i="14"/>
  <c r="AG14" i="14"/>
  <c r="AF14" i="14"/>
  <c r="W14" i="14"/>
  <c r="V14" i="14"/>
  <c r="T14" i="14"/>
  <c r="S14" i="14"/>
  <c r="R14" i="14"/>
  <c r="Q14" i="14"/>
  <c r="P14" i="14"/>
  <c r="O14" i="14"/>
  <c r="N14" i="14"/>
  <c r="M14" i="14"/>
  <c r="L14" i="14"/>
  <c r="K14" i="14"/>
  <c r="J14" i="14"/>
  <c r="H14" i="14"/>
  <c r="G14" i="14"/>
  <c r="F14" i="14"/>
  <c r="E14" i="14"/>
  <c r="AP13" i="14"/>
  <c r="AO13" i="14"/>
  <c r="AN13" i="14"/>
  <c r="AM13" i="14"/>
  <c r="AL13" i="14"/>
  <c r="AG13" i="14"/>
  <c r="AF13" i="14"/>
  <c r="W13" i="14"/>
  <c r="V13" i="14"/>
  <c r="T13" i="14"/>
  <c r="S13" i="14"/>
  <c r="R13" i="14"/>
  <c r="Q13" i="14"/>
  <c r="P13" i="14"/>
  <c r="O13" i="14"/>
  <c r="N13" i="14"/>
  <c r="M13" i="14"/>
  <c r="L13" i="14"/>
  <c r="K13" i="14"/>
  <c r="J13" i="14"/>
  <c r="H13" i="14"/>
  <c r="G13" i="14"/>
  <c r="F13" i="14"/>
  <c r="E13" i="14"/>
  <c r="AP12" i="14"/>
  <c r="AO12" i="14"/>
  <c r="AN12" i="14"/>
  <c r="AM12" i="14"/>
  <c r="AL12" i="14"/>
  <c r="AG12" i="14"/>
  <c r="AF12" i="14"/>
  <c r="W12" i="14"/>
  <c r="V12" i="14"/>
  <c r="T12" i="14"/>
  <c r="S12" i="14"/>
  <c r="R12" i="14"/>
  <c r="Q12" i="14"/>
  <c r="P12" i="14"/>
  <c r="O12" i="14"/>
  <c r="N12" i="14"/>
  <c r="M12" i="14"/>
  <c r="L12" i="14"/>
  <c r="K12" i="14"/>
  <c r="J12" i="14"/>
  <c r="H12" i="14"/>
  <c r="G12" i="14"/>
  <c r="F12" i="14"/>
  <c r="E12" i="14"/>
  <c r="AP11" i="14"/>
  <c r="AO11" i="14"/>
  <c r="AN11" i="14"/>
  <c r="AM11" i="14"/>
  <c r="AL11" i="14"/>
  <c r="AG11" i="14"/>
  <c r="AF11" i="14"/>
  <c r="W11" i="14"/>
  <c r="V11" i="14"/>
  <c r="T11" i="14"/>
  <c r="S11" i="14"/>
  <c r="R11" i="14"/>
  <c r="Q11" i="14"/>
  <c r="P11" i="14"/>
  <c r="O11" i="14"/>
  <c r="N11" i="14"/>
  <c r="M11" i="14"/>
  <c r="L11" i="14"/>
  <c r="K11" i="14"/>
  <c r="J11" i="14"/>
  <c r="H11" i="14"/>
  <c r="G11" i="14"/>
  <c r="F11" i="14"/>
  <c r="E11" i="14"/>
  <c r="AP10" i="14"/>
  <c r="AO10" i="14"/>
  <c r="AN10" i="14"/>
  <c r="AM10" i="14"/>
  <c r="AL10" i="14"/>
  <c r="AG10" i="14"/>
  <c r="AF10" i="14"/>
  <c r="W10" i="14"/>
  <c r="V10" i="14"/>
  <c r="T10" i="14"/>
  <c r="S10" i="14"/>
  <c r="R10" i="14"/>
  <c r="Q10" i="14"/>
  <c r="P10" i="14"/>
  <c r="O10" i="14"/>
  <c r="N10" i="14"/>
  <c r="M10" i="14"/>
  <c r="L10" i="14"/>
  <c r="K10" i="14"/>
  <c r="J10" i="14"/>
  <c r="H10" i="14"/>
  <c r="G10" i="14"/>
  <c r="F10" i="14"/>
  <c r="E10" i="14"/>
  <c r="AP9" i="14"/>
  <c r="AO9" i="14"/>
  <c r="AN9" i="14"/>
  <c r="AM9" i="14"/>
  <c r="AL9" i="14"/>
  <c r="AG9" i="14"/>
  <c r="AF9" i="14"/>
  <c r="W9" i="14"/>
  <c r="V9" i="14"/>
  <c r="T9" i="14"/>
  <c r="S9" i="14"/>
  <c r="R9" i="14"/>
  <c r="Q9" i="14"/>
  <c r="P9" i="14"/>
  <c r="O9" i="14"/>
  <c r="N9" i="14"/>
  <c r="M9" i="14"/>
  <c r="L9" i="14"/>
  <c r="K9" i="14"/>
  <c r="J9" i="14"/>
  <c r="H9" i="14"/>
  <c r="G9" i="14"/>
  <c r="F9" i="14"/>
  <c r="E9" i="14"/>
  <c r="AP8" i="14"/>
  <c r="AO8" i="14"/>
  <c r="AN8" i="14"/>
  <c r="AM8" i="14"/>
  <c r="AL8" i="14"/>
  <c r="AG8" i="14"/>
  <c r="AF8" i="14"/>
  <c r="W8" i="14"/>
  <c r="V8" i="14"/>
  <c r="T8" i="14"/>
  <c r="S8" i="14"/>
  <c r="R8" i="14"/>
  <c r="Q8" i="14"/>
  <c r="P8" i="14"/>
  <c r="O8" i="14"/>
  <c r="N8" i="14"/>
  <c r="M8" i="14"/>
  <c r="L8" i="14"/>
  <c r="K8" i="14"/>
  <c r="J8" i="14"/>
  <c r="H8" i="14"/>
  <c r="G8" i="14"/>
  <c r="F8" i="14"/>
  <c r="E8" i="14"/>
  <c r="AP7" i="14"/>
  <c r="AO7" i="14"/>
  <c r="AN7" i="14"/>
  <c r="AM7" i="14"/>
  <c r="AL7" i="14"/>
  <c r="AG7" i="14"/>
  <c r="AF7" i="14"/>
  <c r="W7" i="14"/>
  <c r="V7" i="14"/>
  <c r="T7" i="14"/>
  <c r="S7" i="14"/>
  <c r="R7" i="14"/>
  <c r="Q7" i="14"/>
  <c r="P7" i="14"/>
  <c r="O7" i="14"/>
  <c r="N7" i="14"/>
  <c r="M7" i="14"/>
  <c r="L7" i="14"/>
  <c r="K7" i="14"/>
  <c r="J7" i="14"/>
  <c r="H7" i="14"/>
  <c r="G7" i="14"/>
  <c r="F7" i="14"/>
  <c r="E7" i="14"/>
  <c r="AP6" i="14"/>
  <c r="AO6" i="14"/>
  <c r="AN6" i="14"/>
  <c r="AM6" i="14"/>
  <c r="AL6" i="14"/>
  <c r="AG6" i="14"/>
  <c r="AF6" i="14"/>
  <c r="W6" i="14"/>
  <c r="V6" i="14"/>
  <c r="T6" i="14"/>
  <c r="S6" i="14"/>
  <c r="R6" i="14"/>
  <c r="Q6" i="14"/>
  <c r="P6" i="14"/>
  <c r="O6" i="14"/>
  <c r="N6" i="14"/>
  <c r="M6" i="14"/>
  <c r="L6" i="14"/>
  <c r="K6" i="14"/>
  <c r="J6" i="14"/>
  <c r="F6" i="14"/>
  <c r="E6" i="14"/>
  <c r="AP5" i="14"/>
  <c r="AO5" i="14"/>
  <c r="AN5" i="14"/>
  <c r="AM5" i="14"/>
  <c r="AL5" i="14"/>
  <c r="AG5" i="14"/>
  <c r="AF5" i="14"/>
  <c r="W5" i="14"/>
  <c r="V5" i="14"/>
  <c r="T5" i="14"/>
  <c r="S5" i="14"/>
  <c r="R5" i="14"/>
  <c r="Q5" i="14"/>
  <c r="P5" i="14"/>
  <c r="O5" i="14"/>
  <c r="N5" i="14"/>
  <c r="M5" i="14"/>
  <c r="L5" i="14"/>
  <c r="K5" i="14"/>
  <c r="J5" i="14"/>
  <c r="F5" i="14"/>
  <c r="E5" i="14"/>
  <c r="AP4" i="14"/>
  <c r="AO4" i="14"/>
  <c r="AN4" i="14"/>
  <c r="AM4" i="14"/>
  <c r="AL4" i="14"/>
  <c r="AG4" i="14"/>
  <c r="AF4" i="14"/>
  <c r="W4" i="14"/>
  <c r="V4" i="14"/>
  <c r="T4" i="14"/>
  <c r="S4" i="14"/>
  <c r="R4" i="14"/>
  <c r="Q4" i="14"/>
  <c r="P4" i="14"/>
  <c r="O4" i="14"/>
  <c r="N4" i="14"/>
  <c r="M4" i="14"/>
  <c r="L4" i="14"/>
  <c r="K4" i="14"/>
  <c r="J4" i="14"/>
  <c r="F4" i="14"/>
  <c r="E4" i="14"/>
  <c r="J139" i="12"/>
  <c r="I139" i="12"/>
  <c r="G139" i="12"/>
  <c r="E139" i="12"/>
  <c r="J137" i="12"/>
  <c r="H133" i="12"/>
  <c r="R132" i="12"/>
  <c r="H132" i="12"/>
  <c r="H131" i="12"/>
  <c r="F129" i="12"/>
  <c r="L128" i="12"/>
  <c r="K128" i="12"/>
  <c r="H128" i="12" s="1"/>
  <c r="J128" i="12"/>
  <c r="I128" i="12"/>
  <c r="G113" i="12"/>
  <c r="E113" i="12"/>
  <c r="P108" i="12"/>
  <c r="H103" i="12"/>
  <c r="H102" i="12"/>
  <c r="H101" i="12"/>
  <c r="H100" i="12"/>
  <c r="K97" i="12"/>
  <c r="H97" i="12"/>
  <c r="E97" i="12"/>
  <c r="D97" i="12"/>
  <c r="K96" i="12"/>
  <c r="H92" i="12"/>
  <c r="E92" i="12"/>
  <c r="D92" i="12"/>
  <c r="H86" i="12"/>
  <c r="H76" i="12"/>
  <c r="H75" i="12"/>
  <c r="N72" i="12"/>
  <c r="M72" i="12"/>
  <c r="L72" i="12"/>
  <c r="K72" i="12"/>
  <c r="N71" i="12"/>
  <c r="M71" i="12"/>
  <c r="L71" i="12"/>
  <c r="K71" i="12"/>
  <c r="N70" i="12"/>
  <c r="M70" i="12"/>
  <c r="L70" i="12"/>
  <c r="K70" i="12"/>
  <c r="H66" i="12"/>
  <c r="H64" i="12"/>
  <c r="H63" i="12"/>
  <c r="H60" i="12"/>
  <c r="F60" i="12"/>
  <c r="H59" i="12"/>
  <c r="F59" i="12"/>
  <c r="H44" i="12"/>
  <c r="G44" i="12"/>
  <c r="H43" i="12"/>
  <c r="H31" i="12"/>
  <c r="H30" i="12"/>
  <c r="F28" i="12"/>
  <c r="D28" i="12"/>
  <c r="H27" i="12"/>
  <c r="F27" i="12"/>
  <c r="D27" i="12"/>
  <c r="H25" i="12"/>
  <c r="F25" i="12"/>
  <c r="N24" i="12"/>
  <c r="M24" i="12"/>
  <c r="L24" i="12"/>
  <c r="K24" i="12"/>
  <c r="J24" i="12"/>
  <c r="H24" i="12"/>
  <c r="F24" i="12"/>
  <c r="N23" i="12"/>
  <c r="M23" i="12"/>
  <c r="L23" i="12"/>
  <c r="K23" i="12"/>
  <c r="J23" i="12"/>
  <c r="F23" i="12"/>
  <c r="M22" i="12"/>
  <c r="L22" i="12"/>
  <c r="K22" i="12"/>
  <c r="J22" i="12"/>
  <c r="H22" i="12"/>
  <c r="F22" i="12"/>
  <c r="O21" i="12"/>
  <c r="M21" i="12"/>
  <c r="L21" i="12"/>
  <c r="K21" i="12"/>
  <c r="J21" i="12"/>
  <c r="H21" i="12"/>
  <c r="F21" i="12"/>
  <c r="O20" i="12"/>
  <c r="M20" i="12"/>
  <c r="L20" i="12"/>
  <c r="K20" i="12"/>
  <c r="J20" i="12"/>
  <c r="H20" i="12"/>
  <c r="F20" i="12"/>
  <c r="H19" i="12"/>
  <c r="F19" i="12"/>
  <c r="H18" i="12"/>
  <c r="F18" i="12"/>
  <c r="C15" i="12"/>
  <c r="B15" i="12"/>
  <c r="C11" i="12"/>
  <c r="H3" i="12"/>
  <c r="B47" i="6"/>
  <c r="C45" i="6"/>
  <c r="C41" i="6"/>
  <c r="C39" i="6"/>
  <c r="C37" i="6"/>
  <c r="H3" i="6"/>
  <c r="H17" i="4"/>
  <c r="G17" i="4"/>
  <c r="H16" i="4"/>
  <c r="G16" i="4"/>
  <c r="H15" i="4"/>
  <c r="G15" i="4"/>
  <c r="F15" i="12"/>
  <c r="C108" i="12"/>
  <c r="E15" i="12"/>
  <c r="D15" i="12"/>
  <c r="C107" i="12"/>
  <c r="B107" i="12"/>
  <c r="H11" i="12"/>
  <c r="F11" i="12"/>
  <c r="C109" i="12"/>
  <c r="B109" i="12"/>
  <c r="H109" i="12"/>
  <c r="E11" i="12"/>
  <c r="D11" i="12"/>
  <c r="H15" i="12"/>
  <c r="G15" i="12"/>
  <c r="G11" i="12"/>
  <c r="H107" i="12"/>
  <c r="B108" i="12"/>
  <c r="H108" i="12"/>
  <c r="H51" i="12" l="1"/>
  <c r="F83" i="12"/>
  <c r="H36" i="12"/>
  <c r="H37" i="12"/>
  <c r="H77" i="12"/>
  <c r="H78" i="12"/>
  <c r="H84" i="12"/>
  <c r="H85" i="12" s="1"/>
  <c r="F84" i="12"/>
  <c r="F85" i="12" s="1"/>
  <c r="H50" i="12"/>
  <c r="H52" i="12"/>
  <c r="H83" i="12"/>
  <c r="H35" i="12"/>
  <c r="E86" i="12" l="1"/>
  <c r="I85" i="12"/>
  <c r="H39" i="12"/>
  <c r="L27" i="12"/>
  <c r="K27" i="12"/>
  <c r="L26" i="12"/>
  <c r="K26" i="12"/>
  <c r="H41" i="12"/>
  <c r="D45" i="12" s="1"/>
  <c r="H40" i="12"/>
  <c r="D44" i="12" s="1"/>
  <c r="H79" i="12"/>
  <c r="E80" i="12" s="1"/>
  <c r="H56" i="12"/>
  <c r="K30" i="12"/>
  <c r="H55" i="12"/>
  <c r="H65" i="12" s="1"/>
  <c r="I65" i="12" s="1"/>
  <c r="L30" i="12"/>
  <c r="M69" i="12" s="1"/>
  <c r="M67" i="12" s="1"/>
  <c r="H54" i="12"/>
  <c r="K29" i="12"/>
  <c r="L29" i="12"/>
  <c r="G86" i="12"/>
  <c r="I86" i="12"/>
  <c r="N91" i="12" l="1"/>
  <c r="L92" i="12"/>
  <c r="N69" i="12"/>
  <c r="N67" i="12" s="1"/>
  <c r="I80" i="12"/>
  <c r="F80" i="12"/>
  <c r="L69" i="12"/>
  <c r="L67" i="12" s="1"/>
  <c r="K91" i="12"/>
  <c r="M92" i="12"/>
  <c r="M93" i="12" s="1"/>
  <c r="I44" i="12"/>
  <c r="F44" i="12"/>
  <c r="I45" i="12"/>
  <c r="F45" i="12"/>
  <c r="F113" i="12"/>
  <c r="F139" i="12"/>
  <c r="D43" i="12"/>
  <c r="M91" i="12"/>
  <c r="K69" i="12"/>
  <c r="K67" i="12" s="1"/>
  <c r="L91" i="12"/>
  <c r="N92" i="12"/>
  <c r="N94" i="12" s="1"/>
  <c r="K92" i="12"/>
  <c r="K93" i="12" l="1"/>
  <c r="L94" i="12"/>
  <c r="L90" i="12"/>
  <c r="B140" i="12"/>
  <c r="L139" i="12"/>
  <c r="H69" i="12"/>
  <c r="H71" i="12"/>
  <c r="I71" i="12" s="1"/>
  <c r="H72" i="12"/>
  <c r="H70" i="12"/>
  <c r="B114" i="12"/>
  <c r="N113" i="12"/>
  <c r="N90" i="12"/>
  <c r="M89" i="12"/>
  <c r="F43" i="12"/>
  <c r="I43" i="12"/>
  <c r="K89" i="12"/>
  <c r="A114" i="12" l="1"/>
  <c r="C114" i="12"/>
  <c r="E114" i="12"/>
  <c r="H90" i="12"/>
  <c r="H91" i="12" s="1"/>
  <c r="H89" i="12"/>
  <c r="C140" i="12"/>
  <c r="A140" i="12"/>
  <c r="I140" i="12"/>
  <c r="E140" i="12"/>
  <c r="H94" i="12"/>
  <c r="H95" i="12"/>
  <c r="H96" i="12" s="1"/>
  <c r="D140" i="12"/>
  <c r="D114" i="12"/>
  <c r="G114" i="12" l="1"/>
  <c r="F114" i="12"/>
  <c r="F140" i="12"/>
  <c r="G140" i="12"/>
  <c r="J140" i="12" s="1"/>
  <c r="L97" i="12"/>
  <c r="I97" i="12"/>
  <c r="L96" i="12"/>
  <c r="I96" i="12"/>
  <c r="B141" i="12" l="1"/>
  <c r="L140" i="12"/>
  <c r="H139" i="12"/>
  <c r="I113" i="12"/>
  <c r="B115" i="12"/>
  <c r="N114" i="12"/>
  <c r="J113" i="12" l="1"/>
  <c r="E115" i="12"/>
  <c r="C115" i="12"/>
  <c r="A115" i="12"/>
  <c r="E141" i="12"/>
  <c r="C141" i="12"/>
  <c r="A141" i="12"/>
  <c r="I141" i="12"/>
  <c r="K113" i="12"/>
  <c r="L113" i="12"/>
  <c r="D115" i="12"/>
  <c r="D141" i="12"/>
  <c r="G141" i="12" l="1"/>
  <c r="J141" i="12" s="1"/>
  <c r="F141" i="12"/>
  <c r="G115" i="12"/>
  <c r="F115" i="12"/>
  <c r="H113" i="12"/>
  <c r="I114" i="12" l="1"/>
  <c r="B116" i="12"/>
  <c r="N115" i="12"/>
  <c r="B142" i="12"/>
  <c r="L141" i="12"/>
  <c r="H140" i="12"/>
  <c r="E142" i="12" l="1"/>
  <c r="C142" i="12"/>
  <c r="A142" i="12"/>
  <c r="I142" i="12"/>
  <c r="E116" i="12"/>
  <c r="C116" i="12"/>
  <c r="A116" i="12"/>
  <c r="J114" i="12"/>
  <c r="D142" i="12"/>
  <c r="K114" i="12"/>
  <c r="D116" i="12"/>
  <c r="L114" i="12"/>
  <c r="G116" i="12" l="1"/>
  <c r="F116" i="12"/>
  <c r="H114" i="12"/>
  <c r="F142" i="12"/>
  <c r="G142" i="12"/>
  <c r="J142" i="12" s="1"/>
  <c r="B143" i="12" l="1"/>
  <c r="L142" i="12"/>
  <c r="H141" i="12"/>
  <c r="I115" i="12"/>
  <c r="B117" i="12"/>
  <c r="N116" i="12"/>
  <c r="E117" i="12" l="1"/>
  <c r="C117" i="12"/>
  <c r="A117" i="12"/>
  <c r="J115" i="12"/>
  <c r="E143" i="12"/>
  <c r="C143" i="12"/>
  <c r="I143" i="12"/>
  <c r="A143" i="12"/>
  <c r="D117" i="12"/>
  <c r="L115" i="12"/>
  <c r="K115" i="12"/>
  <c r="D143" i="12"/>
  <c r="G143" i="12" l="1"/>
  <c r="J143" i="12" s="1"/>
  <c r="F143" i="12"/>
  <c r="H115" i="12"/>
  <c r="G117" i="12"/>
  <c r="F117" i="12"/>
  <c r="I116" i="12" l="1"/>
  <c r="B118" i="12"/>
  <c r="N117" i="12"/>
  <c r="B144" i="12"/>
  <c r="L143" i="12"/>
  <c r="H142" i="12"/>
  <c r="E144" i="12" l="1"/>
  <c r="C144" i="12"/>
  <c r="A144" i="12"/>
  <c r="I144" i="12"/>
  <c r="E118" i="12"/>
  <c r="C118" i="12"/>
  <c r="A118" i="12"/>
  <c r="J116" i="12"/>
  <c r="D144" i="12"/>
  <c r="L116" i="12"/>
  <c r="D118" i="12"/>
  <c r="K116" i="12"/>
  <c r="H116" i="12" l="1"/>
  <c r="G118" i="12"/>
  <c r="F118" i="12"/>
  <c r="G144" i="12"/>
  <c r="J144" i="12" s="1"/>
  <c r="F144" i="12"/>
  <c r="B145" i="12" l="1"/>
  <c r="L144" i="12"/>
  <c r="H143" i="12"/>
  <c r="N118" i="12"/>
  <c r="B119" i="12"/>
  <c r="I117" i="12"/>
  <c r="J117" i="12" l="1"/>
  <c r="E119" i="12"/>
  <c r="C119" i="12"/>
  <c r="A119" i="12"/>
  <c r="I145" i="12"/>
  <c r="E145" i="12"/>
  <c r="A145" i="12"/>
  <c r="C145" i="12"/>
  <c r="L117" i="12"/>
  <c r="K117" i="12"/>
  <c r="D119" i="12"/>
  <c r="D145" i="12"/>
  <c r="G145" i="12" l="1"/>
  <c r="J145" i="12" s="1"/>
  <c r="F145" i="12"/>
  <c r="F119" i="12"/>
  <c r="G119" i="12"/>
  <c r="H117" i="12"/>
  <c r="B120" i="12" l="1"/>
  <c r="N119" i="12"/>
  <c r="I118" i="12"/>
  <c r="B146" i="12"/>
  <c r="L145" i="12"/>
  <c r="H144" i="12"/>
  <c r="I146" i="12" l="1"/>
  <c r="D146" i="12"/>
  <c r="E146" i="12"/>
  <c r="C146" i="12"/>
  <c r="A146" i="12"/>
  <c r="H145" i="12"/>
  <c r="J118" i="12"/>
  <c r="E120" i="12"/>
  <c r="C120" i="12"/>
  <c r="A120" i="12"/>
  <c r="D120" i="12"/>
  <c r="L118" i="12"/>
  <c r="K118" i="12"/>
  <c r="H118" i="12" l="1"/>
  <c r="G120" i="12"/>
  <c r="F120" i="12"/>
  <c r="G146" i="12"/>
  <c r="J146" i="12" s="1"/>
  <c r="F146" i="12"/>
  <c r="B147" i="12" l="1"/>
  <c r="L146" i="12"/>
  <c r="B121" i="12"/>
  <c r="N120" i="12"/>
  <c r="I119" i="12"/>
  <c r="I147" i="12" l="1"/>
  <c r="E147" i="12"/>
  <c r="D147" i="12"/>
  <c r="A147" i="12"/>
  <c r="C147" i="12"/>
  <c r="H146" i="12"/>
  <c r="J119" i="12"/>
  <c r="C121" i="12"/>
  <c r="A121" i="12"/>
  <c r="E121" i="12"/>
  <c r="L119" i="12"/>
  <c r="K119" i="12"/>
  <c r="D121" i="12"/>
  <c r="F121" i="12" l="1"/>
  <c r="G121" i="12"/>
  <c r="H119" i="12"/>
  <c r="G147" i="12"/>
  <c r="J147" i="12" s="1"/>
  <c r="F147" i="12"/>
  <c r="L147" i="12" l="1"/>
  <c r="B148" i="12"/>
  <c r="B122" i="12"/>
  <c r="N121" i="12"/>
  <c r="I120" i="12"/>
  <c r="J120" i="12" l="1"/>
  <c r="C122" i="12"/>
  <c r="A122" i="12"/>
  <c r="E122" i="12"/>
  <c r="D122" i="12"/>
  <c r="I148" i="12"/>
  <c r="E148" i="12"/>
  <c r="D148" i="12"/>
  <c r="C148" i="12"/>
  <c r="A148" i="12"/>
  <c r="H147" i="12"/>
  <c r="L120" i="12"/>
  <c r="K120" i="12"/>
  <c r="H120" i="12" l="1"/>
  <c r="G148" i="12"/>
  <c r="J148" i="12" s="1"/>
  <c r="F148" i="12"/>
  <c r="G122" i="12"/>
  <c r="F122" i="12"/>
  <c r="L148" i="12" l="1"/>
  <c r="H148" i="12"/>
  <c r="B149" i="12"/>
  <c r="B123" i="12"/>
  <c r="N122" i="12"/>
  <c r="I121" i="12"/>
  <c r="K121" i="12" l="1"/>
  <c r="H121" i="12" s="1"/>
  <c r="J121" i="12"/>
  <c r="L121" i="12" s="1"/>
  <c r="A123" i="12"/>
  <c r="D123" i="12"/>
  <c r="E123" i="12"/>
  <c r="C123" i="12"/>
  <c r="A149" i="12"/>
  <c r="I149" i="12"/>
  <c r="E149" i="12"/>
  <c r="C149" i="12"/>
  <c r="D149" i="12"/>
  <c r="G149" i="12" l="1"/>
  <c r="J149" i="12" s="1"/>
  <c r="F149" i="12"/>
  <c r="G123" i="12"/>
  <c r="F123" i="12"/>
  <c r="B150" i="12" l="1"/>
  <c r="H149" i="12" s="1"/>
  <c r="L149" i="12"/>
  <c r="N123" i="12"/>
  <c r="B124" i="12"/>
  <c r="I122" i="12"/>
  <c r="K122" i="12" l="1"/>
  <c r="H122" i="12" s="1"/>
  <c r="J122" i="12"/>
  <c r="L122" i="12" s="1"/>
  <c r="A124" i="12"/>
  <c r="E124" i="12"/>
  <c r="D124" i="12"/>
  <c r="C124" i="12"/>
  <c r="A150" i="12"/>
  <c r="I150" i="12"/>
  <c r="D150" i="12"/>
  <c r="E150" i="12"/>
  <c r="C150" i="12"/>
  <c r="G150" i="12" l="1"/>
  <c r="J150" i="12" s="1"/>
  <c r="F150" i="12"/>
  <c r="F124" i="12"/>
  <c r="G124" i="12"/>
  <c r="N124" i="12" l="1"/>
  <c r="I123" i="12"/>
  <c r="B125" i="12"/>
  <c r="B151" i="12"/>
  <c r="L150" i="12"/>
  <c r="H150" i="12"/>
  <c r="C151" i="12" l="1"/>
  <c r="A151" i="12"/>
  <c r="E151" i="12"/>
  <c r="D151" i="12"/>
  <c r="I151" i="12"/>
  <c r="E125" i="12"/>
  <c r="D125" i="12"/>
  <c r="C125" i="12"/>
  <c r="A125" i="12"/>
  <c r="K123" i="12"/>
  <c r="J123" i="12"/>
  <c r="L123" i="12" s="1"/>
  <c r="H123" i="12" l="1"/>
  <c r="G125" i="12"/>
  <c r="F125" i="12"/>
  <c r="G151" i="12"/>
  <c r="J151" i="12" s="1"/>
  <c r="F151" i="12"/>
  <c r="B152" i="12" l="1"/>
  <c r="L151" i="12"/>
  <c r="H151" i="12"/>
  <c r="I124" i="12"/>
  <c r="B126" i="12"/>
  <c r="N125" i="12"/>
  <c r="D126" i="12" l="1"/>
  <c r="C126" i="12"/>
  <c r="A126" i="12"/>
  <c r="E126" i="12"/>
  <c r="K124" i="12"/>
  <c r="J124" i="12"/>
  <c r="L124" i="12" s="1"/>
  <c r="D152" i="12"/>
  <c r="C152" i="12"/>
  <c r="A152" i="12"/>
  <c r="I152" i="12"/>
  <c r="E152" i="12"/>
  <c r="F152" i="12" l="1"/>
  <c r="G152" i="12"/>
  <c r="J152" i="12" s="1"/>
  <c r="H124" i="12"/>
  <c r="G126" i="12"/>
  <c r="F126" i="12"/>
  <c r="I125" i="12" l="1"/>
  <c r="N126" i="12"/>
  <c r="B127" i="12"/>
  <c r="B153" i="12"/>
  <c r="L152" i="12"/>
  <c r="H152" i="12"/>
  <c r="E127" i="12" l="1"/>
  <c r="D127" i="12"/>
  <c r="C127" i="12"/>
  <c r="A127" i="12"/>
  <c r="E153" i="12"/>
  <c r="D153" i="12"/>
  <c r="C153" i="12"/>
  <c r="A153" i="12"/>
  <c r="I153" i="12"/>
  <c r="K125" i="12"/>
  <c r="J125" i="12"/>
  <c r="L125" i="12" s="1"/>
  <c r="G153" i="12" l="1"/>
  <c r="J153" i="12" s="1"/>
  <c r="F153" i="12"/>
  <c r="G127" i="12"/>
  <c r="F127" i="12"/>
  <c r="H125" i="12"/>
  <c r="E104" i="12" s="1"/>
  <c r="I126" i="12" l="1"/>
  <c r="B128" i="12"/>
  <c r="N127" i="12"/>
  <c r="H153" i="12"/>
  <c r="E134" i="12" s="1"/>
  <c r="L153" i="12"/>
  <c r="I104" i="12"/>
  <c r="F104" i="12"/>
  <c r="E128" i="12" l="1"/>
  <c r="D128" i="12"/>
  <c r="A128" i="12"/>
  <c r="C128" i="12"/>
  <c r="I134" i="12"/>
  <c r="F134" i="12"/>
  <c r="K126" i="12"/>
  <c r="J126" i="12"/>
  <c r="L126" i="12" s="1"/>
  <c r="G128" i="12" l="1"/>
  <c r="F128" i="12"/>
  <c r="H126" i="12"/>
  <c r="I127" i="12" l="1"/>
  <c r="N128" i="12"/>
  <c r="J127" i="12" l="1"/>
  <c r="L127" i="12" s="1"/>
  <c r="K127" i="12"/>
  <c r="H127" i="12" s="1"/>
</calcChain>
</file>

<file path=xl/comments1.xml><?xml version="1.0" encoding="utf-8"?>
<comments xmlns="http://schemas.openxmlformats.org/spreadsheetml/2006/main">
  <authors>
    <author>QUANG BAO</author>
  </authors>
  <commentList>
    <comment ref="A17" authorId="0" shapeId="0">
      <text>
        <r>
          <rPr>
            <sz val="9"/>
            <rFont val="Tahoma"/>
            <charset val="134"/>
          </rPr>
          <t xml:space="preserve">Max=300 cho mọi loại thép
</t>
        </r>
      </text>
    </comment>
  </commentList>
</comments>
</file>

<file path=xl/comments2.xml><?xml version="1.0" encoding="utf-8"?>
<comments xmlns="http://schemas.openxmlformats.org/spreadsheetml/2006/main">
  <authors>
    <author>C P</author>
  </authors>
  <commentList>
    <comment ref="M4" authorId="0" shapeId="0">
      <text>
        <r>
          <rPr>
            <b/>
            <sz val="9"/>
            <rFont val="Tahoma"/>
            <charset val="134"/>
          </rPr>
          <t>Nhập chiều dày lớp đất 
- Nếu không có khảo sát địa chất thì nhập 1 lớp đất thật dày ( ví dụ 20 m )</t>
        </r>
        <r>
          <rPr>
            <sz val="9"/>
            <rFont val="Tahoma"/>
            <charset val="134"/>
          </rPr>
          <t xml:space="preserve">
</t>
        </r>
      </text>
    </comment>
    <comment ref="N4" authorId="0" shapeId="0">
      <text>
        <r>
          <rPr>
            <sz val="9"/>
            <rFont val="Tahoma"/>
            <charset val="134"/>
          </rPr>
          <t xml:space="preserve">Nhập trọng lượng riêng lớp đất.
Nếu không có khảo sát địa chất thì già định 1.5-1.8 T/m3
( 1 g / cm3 = 1 T/m3)
</t>
        </r>
      </text>
    </comment>
    <comment ref="O4" authorId="0" shapeId="0">
      <text>
        <r>
          <rPr>
            <sz val="9"/>
            <rFont val="Tahoma"/>
            <charset val="134"/>
          </rPr>
          <t xml:space="preserve">+ Nhập góc ma sát trong lớp đất.
+ Phải đổi phút ra độ (ví dụ: 17 độ 08 phút thì nhập là 17 + 08/60 = 17.13 độ, sau đó nhập là 17.13  vì 1 độ  = 60 phút ).
+ Nếu không có khảo sát địa chất thì già định góc = 8-10
</t>
        </r>
      </text>
    </comment>
    <comment ref="P4" authorId="0" shapeId="0">
      <text>
        <r>
          <rPr>
            <b/>
            <sz val="9"/>
            <rFont val="Tahoma"/>
            <charset val="134"/>
          </rPr>
          <t>Nhập lực dính kết cho đất dính. Đơn vị T/m2
(Đất rời như cát thì C =0)
Nếu không có khảo sát địa chất thì nhập C = 0
1 kg/cm2 =10 T/m2</t>
        </r>
        <r>
          <rPr>
            <sz val="9"/>
            <rFont val="Tahoma"/>
            <charset val="134"/>
          </rPr>
          <t xml:space="preserve">
</t>
        </r>
      </text>
    </comment>
    <comment ref="Q4" authorId="0" shapeId="0">
      <text>
        <r>
          <rPr>
            <b/>
            <sz val="9"/>
            <rFont val="Tahoma"/>
            <charset val="134"/>
          </rPr>
          <t>Nhập mô đun tổng biến dạng ( Hay mô đun đàn hồi, đơn vị T/m2 ).
Nếu không có khảo sát địa chất mà lớp đất này ở phía dưới đáy móng, để tính lún không bị lỗi thì phải nhập giả thiết ví dụ: E = 900-1000 để tính lún móng. 
Nếu nhập 0 sẽ lỗi tính lún
1 kg/cm2 = 10 T/m2</t>
        </r>
        <r>
          <rPr>
            <sz val="9"/>
            <rFont val="Tahoma"/>
            <charset val="134"/>
          </rPr>
          <t xml:space="preserve">
</t>
        </r>
      </text>
    </comment>
    <comment ref="M5" authorId="0" shapeId="0">
      <text>
        <r>
          <rPr>
            <b/>
            <sz val="9"/>
            <rFont val="Tahoma"/>
            <charset val="134"/>
          </rPr>
          <t>Nhập chiều dày lớp đất 
- Nếu không có khảo sát địa chất thì nhập 1 lớp đất thật dày ( ví dụ 20 m )</t>
        </r>
        <r>
          <rPr>
            <sz val="9"/>
            <rFont val="Tahoma"/>
            <charset val="134"/>
          </rPr>
          <t xml:space="preserve">
</t>
        </r>
      </text>
    </comment>
    <comment ref="N5" authorId="0" shapeId="0">
      <text>
        <r>
          <rPr>
            <sz val="9"/>
            <rFont val="Tahoma"/>
            <charset val="134"/>
          </rPr>
          <t xml:space="preserve">Nhập trọng lượng riêng lớp đất.
Nếu không có khảo sát địa chất thì già định 1.5-1.8 T/m3
( 1 g / cm3 = 1 T/m3)
</t>
        </r>
      </text>
    </comment>
    <comment ref="O5" authorId="0" shapeId="0">
      <text>
        <r>
          <rPr>
            <sz val="9"/>
            <rFont val="Tahoma"/>
            <charset val="134"/>
          </rPr>
          <t xml:space="preserve">+ Nhập góc ma sát trong lớp đất.
+ Phải đổi phút ra độ (ví dụ: 17 độ 08 phút thì nhập là 17 + 08/60 = 17.13 độ, sau đó nhập là 17.13  vì 1 độ  = 60 phút ).
+ Nếu không có khảo sát địa chất thì già định góc = 8-10
</t>
        </r>
      </text>
    </comment>
    <comment ref="P5" authorId="0" shapeId="0">
      <text>
        <r>
          <rPr>
            <b/>
            <sz val="9"/>
            <rFont val="Tahoma"/>
            <charset val="134"/>
          </rPr>
          <t>Nhập lực dính kết cho đất dính. Đơn vị T/m2
(Đất rời như cát thì C =0)
Nếu không có khảo sát địa chất thì nhập C = 0
1 kg/cm2 =10 T/m2</t>
        </r>
        <r>
          <rPr>
            <sz val="9"/>
            <rFont val="Tahoma"/>
            <charset val="134"/>
          </rPr>
          <t xml:space="preserve">
</t>
        </r>
      </text>
    </comment>
    <comment ref="Q5" authorId="0" shapeId="0">
      <text>
        <r>
          <rPr>
            <b/>
            <sz val="9"/>
            <rFont val="Tahoma"/>
            <charset val="134"/>
          </rPr>
          <t>Nhập mô đun tổng biến dạng ( Hay mô đun đàn hồi, đơn vị T/m2 ).
Nếu không có khảo sát địa chất mà lớp đất này ở phía dưới đáy móng, để tính lún không bị lỗi thì phải nhập giả thiết ví dụ: E = 900-1000 để tính lún móng. 
Nếu nhập 0 sẽ lỗi tính lún
1 kg/cm2 = 10 T/m2</t>
        </r>
        <r>
          <rPr>
            <sz val="9"/>
            <rFont val="Tahoma"/>
            <charset val="134"/>
          </rPr>
          <t xml:space="preserve">
</t>
        </r>
      </text>
    </comment>
    <comment ref="M6" authorId="0" shapeId="0">
      <text>
        <r>
          <rPr>
            <b/>
            <sz val="9"/>
            <rFont val="Tahoma"/>
            <charset val="134"/>
          </rPr>
          <t>Nhập chiều dày lớp đất 
- Nếu không có khảo sát địa chất thì nhập 1 lớp đất thật dày ( ví dụ 20 m )</t>
        </r>
        <r>
          <rPr>
            <sz val="9"/>
            <rFont val="Tahoma"/>
            <charset val="134"/>
          </rPr>
          <t xml:space="preserve">
</t>
        </r>
      </text>
    </comment>
    <comment ref="N6" authorId="0" shapeId="0">
      <text>
        <r>
          <rPr>
            <sz val="9"/>
            <rFont val="Tahoma"/>
            <charset val="134"/>
          </rPr>
          <t xml:space="preserve">Nhập trọng lượng riêng lớp đất.
Nếu không có khảo sát địa chất thì già định 1.5-1.8 T/m3
( 1 g / cm3 = 1 T/m3)
</t>
        </r>
      </text>
    </comment>
    <comment ref="O6" authorId="0" shapeId="0">
      <text>
        <r>
          <rPr>
            <sz val="9"/>
            <rFont val="Tahoma"/>
            <charset val="134"/>
          </rPr>
          <t xml:space="preserve">+ Nhập góc ma sát trong lớp đất.
+ Phải đổi phút ra độ (ví dụ: 17 độ 08 phút thì nhập là 17 + 08/60 = 17.13 độ, sau đó nhập là 17.13  vì 1 độ  = 60 phút ).
+ Nếu không có khảo sát địa chất thì già định góc = 8-10
</t>
        </r>
      </text>
    </comment>
    <comment ref="P6" authorId="0" shapeId="0">
      <text>
        <r>
          <rPr>
            <b/>
            <sz val="9"/>
            <rFont val="Tahoma"/>
            <charset val="134"/>
          </rPr>
          <t>Nhập lực dính kết cho đất dính. Đơn vị T/m2
(Đất rời như cát thì C =0)
Nếu không có khảo sát địa chất thì nhập C = 0
1 kg/cm2 =10 T/m2</t>
        </r>
        <r>
          <rPr>
            <sz val="9"/>
            <rFont val="Tahoma"/>
            <charset val="134"/>
          </rPr>
          <t xml:space="preserve">
</t>
        </r>
      </text>
    </comment>
    <comment ref="Q6" authorId="0" shapeId="0">
      <text>
        <r>
          <rPr>
            <b/>
            <sz val="9"/>
            <rFont val="Tahoma"/>
            <charset val="134"/>
          </rPr>
          <t>Nhập mô đun tổng biến dạng ( Hay mô đun đàn hồi, đơn vị T/m2 ).
Nếu không có khảo sát địa chất mà lớp đất này ở phía dưới đáy móng, để tính lún không bị lỗi thì phải nhập giả thiết ví dụ: E = 900-1000 để tính lún móng. 
Nếu nhập 0 sẽ lỗi tính lún
1 kg/cm2 = 10 T/m2</t>
        </r>
        <r>
          <rPr>
            <sz val="9"/>
            <rFont val="Tahoma"/>
            <charset val="134"/>
          </rPr>
          <t xml:space="preserve">
</t>
        </r>
      </text>
    </comment>
    <comment ref="M7" authorId="0" shapeId="0">
      <text>
        <r>
          <rPr>
            <b/>
            <sz val="9"/>
            <rFont val="Tahoma"/>
            <charset val="134"/>
          </rPr>
          <t>Nhập chiều dày lớp đất 
- Nếu không có khảo sát địa chất thì nhập 1 lớp đất thật dày ( ví dụ 20 m )</t>
        </r>
        <r>
          <rPr>
            <sz val="9"/>
            <rFont val="Tahoma"/>
            <charset val="134"/>
          </rPr>
          <t xml:space="preserve">
</t>
        </r>
      </text>
    </comment>
    <comment ref="N7" authorId="0" shapeId="0">
      <text>
        <r>
          <rPr>
            <sz val="9"/>
            <rFont val="Tahoma"/>
            <charset val="134"/>
          </rPr>
          <t xml:space="preserve">Nhập trọng lượng riêng lớp đất.
Nếu không có khảo sát địa chất thì già định 1.5-1.8 T/m3
( 1 g / cm3 = 1 T/m3)
</t>
        </r>
      </text>
    </comment>
    <comment ref="O7" authorId="0" shapeId="0">
      <text>
        <r>
          <rPr>
            <sz val="9"/>
            <rFont val="Tahoma"/>
            <charset val="134"/>
          </rPr>
          <t xml:space="preserve">+ Nhập góc ma sát trong lớp đất.
+ Phải đổi phút ra độ (ví dụ: 17 độ 08 phút thì nhập là 17 + 08/60 = 17.13 độ, sau đó nhập là 17.13  vì 1 độ  = 60 phút ).
+ Nếu không có khảo sát địa chất thì già định góc = 8-10
</t>
        </r>
      </text>
    </comment>
    <comment ref="P7" authorId="0" shapeId="0">
      <text>
        <r>
          <rPr>
            <b/>
            <sz val="9"/>
            <rFont val="Tahoma"/>
            <charset val="134"/>
          </rPr>
          <t>Nhập lực dính kết cho đất dính. Đơn vị T/m2
(Đất rời như cát thì C =0)
Nếu không có khảo sát địa chất thì nhập C = 0
1 kg/cm2 =10 T/m2</t>
        </r>
        <r>
          <rPr>
            <sz val="9"/>
            <rFont val="Tahoma"/>
            <charset val="134"/>
          </rPr>
          <t xml:space="preserve">
</t>
        </r>
      </text>
    </comment>
    <comment ref="Q7" authorId="0" shapeId="0">
      <text>
        <r>
          <rPr>
            <b/>
            <sz val="9"/>
            <rFont val="Tahoma"/>
            <charset val="134"/>
          </rPr>
          <t>Nhập mô đun tổng biến dạng ( Hay mô đun đàn hồi, đơn vị T/m2 ).
Nếu không có khảo sát địa chất mà lớp đất này ở phía dưới đáy móng, để tính lún không bị lỗi thì phải nhập giả thiết ví dụ: E = 900-1000 để tính lún móng. 
Nếu nhập 0 sẽ lỗi tính lún
1 kg/cm2 = 10 T/m2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 P</author>
  </authors>
  <commentList>
    <comment ref="C21" authorId="0" shapeId="0">
      <text>
        <r>
          <rPr>
            <b/>
            <sz val="9"/>
            <rFont val="Tahoma"/>
            <charset val="134"/>
          </rPr>
          <t>Tính từ MDTN</t>
        </r>
        <r>
          <rPr>
            <sz val="9"/>
            <rFont val="Tahoma"/>
            <charset val="134"/>
          </rPr>
          <t xml:space="preserve">
</t>
        </r>
      </text>
    </comment>
    <comment ref="C27" authorId="0" shapeId="0">
      <text>
        <r>
          <rPr>
            <b/>
            <sz val="9"/>
            <rFont val="Tahoma"/>
            <charset val="134"/>
          </rPr>
          <t>+k=1: Nếu các chỉ tiêu cơ lý được xác định bằng thí nghiệm trực tiếp đối với đất.
+K=1,1: Nếu các chỉ tiêu đó tra theo bảng của quy phạm</t>
        </r>
      </text>
    </comment>
    <comment ref="C29" authorId="0" shapeId="0">
      <text>
        <r>
          <rPr>
            <b/>
            <sz val="9"/>
            <rFont val="Tahoma"/>
            <charset val="134"/>
          </rPr>
          <t>Nhập trọng lượng riêng lớp đất.
Nếu không có khảo sát địa chất thì già định 15-19 kN/m3
( 1 g / cm3 = 1 T/m3 = 10 kN/m3)</t>
        </r>
      </text>
    </comment>
    <comment ref="C31" authorId="0" shapeId="0">
      <text>
        <r>
          <rPr>
            <b/>
            <sz val="9"/>
            <rFont val="Tahoma"/>
            <charset val="134"/>
          </rPr>
          <t>γ'II =(Σγihi)/h
Trị tính toán trung bình của trọng lượng riêng hiệu quả của đất trong phạm vi h trên đáy móng
Nhập trọng lượng riêng lớp đất.
Nếu không có khảo sát địa chất thì già định 15-19 kN/m3
( 1 g / cm3 = 1 T/m3 = 10 kN/m3)</t>
        </r>
      </text>
    </comment>
    <comment ref="C33" authorId="0" shapeId="0">
      <text>
        <r>
          <rPr>
            <b/>
            <sz val="9"/>
            <rFont val="Tahoma"/>
            <charset val="134"/>
          </rPr>
          <t>Nhập lực dính kết cho đất dính. Đơn vị T/m2
(Đất rời như cát thì C =0)
Nếu không có khảo sát địa chất thì nhập C = 0
1 kg/cm2 =10 T/m2 = 100 kN/m2</t>
        </r>
        <r>
          <rPr>
            <sz val="9"/>
            <rFont val="Tahoma"/>
            <charset val="134"/>
          </rPr>
          <t xml:space="preserve">
</t>
        </r>
      </text>
    </comment>
    <comment ref="C35" authorId="0" shapeId="0">
      <text>
        <r>
          <rPr>
            <b/>
            <sz val="9"/>
            <rFont val="Tahoma"/>
            <charset val="134"/>
          </rPr>
          <t>+ Nhập góc ma sát trong lớp đất.
+ Phải đổi phút ra độ (ví dụ: 17 độ 08 phút thì nhập là 17 + 08/60 = 17.13 độ, sau đó nhập là 17.13  vì 1 độ  = 60 phút ).
+ Nếu không có khảo sát địa chất thì già định góc = 8-10</t>
        </r>
      </text>
    </comment>
  </commentList>
</comments>
</file>

<file path=xl/comments4.xml><?xml version="1.0" encoding="utf-8"?>
<comments xmlns="http://schemas.openxmlformats.org/spreadsheetml/2006/main">
  <authors>
    <author>QUANG BAO</author>
  </authors>
  <commentList>
    <comment ref="I106" authorId="0" shapeId="0">
      <text>
        <r>
          <rPr>
            <sz val="9"/>
            <rFont val="Tahoma"/>
            <charset val="134"/>
          </rPr>
          <t xml:space="preserve">Chiều dày các lớp đất dưới đáy móng quy ước trở xuống
</t>
        </r>
      </text>
    </comment>
    <comment ref="J106" authorId="0" shapeId="0">
      <text>
        <r>
          <rPr>
            <sz val="9"/>
            <rFont val="Tahoma"/>
            <charset val="134"/>
          </rPr>
          <t xml:space="preserve">- Dung trọng các lớp đất dưới đáy móng.
- Dưới mực nước ngầm lấy dung trọng đẩy nổi
</t>
        </r>
      </text>
    </comment>
    <comment ref="I137" authorId="0" shapeId="0">
      <text>
        <r>
          <rPr>
            <sz val="9"/>
            <rFont val="Tahoma"/>
            <charset val="134"/>
          </rPr>
          <t xml:space="preserve">Chia sao cho E không đổi trong phạm vi 1 lớp phân tố
</t>
        </r>
      </text>
    </comment>
    <comment ref="J137" authorId="0" shapeId="0">
      <text>
        <r>
          <rPr>
            <sz val="9"/>
            <rFont val="Tahoma"/>
            <charset val="134"/>
          </rPr>
          <t>E&gt;=5000kN/m2 : tính lún đến σ</t>
        </r>
        <r>
          <rPr>
            <vertAlign val="subscript"/>
            <sz val="9"/>
            <rFont val="Tahoma"/>
            <charset val="134"/>
          </rPr>
          <t>gl</t>
        </r>
        <r>
          <rPr>
            <sz val="9"/>
            <rFont val="Tahoma"/>
            <charset val="134"/>
          </rPr>
          <t xml:space="preserve"> &lt;=0.2σ</t>
        </r>
        <r>
          <rPr>
            <vertAlign val="subscript"/>
            <sz val="9"/>
            <rFont val="Tahoma"/>
            <charset val="134"/>
          </rPr>
          <t>bt</t>
        </r>
        <r>
          <rPr>
            <sz val="9"/>
            <rFont val="Tahoma"/>
            <charset val="134"/>
          </rPr>
          <t xml:space="preserve">
E&lt;5000kN/m2 : tính lún đến σ</t>
        </r>
        <r>
          <rPr>
            <vertAlign val="subscript"/>
            <sz val="9"/>
            <rFont val="Tahoma"/>
            <charset val="134"/>
          </rPr>
          <t>gl</t>
        </r>
        <r>
          <rPr>
            <sz val="9"/>
            <rFont val="Tahoma"/>
            <charset val="134"/>
          </rPr>
          <t xml:space="preserve"> &lt;= 0.1σ</t>
        </r>
        <r>
          <rPr>
            <vertAlign val="subscript"/>
            <sz val="9"/>
            <rFont val="Tahoma"/>
            <charset val="134"/>
          </rPr>
          <t>bt</t>
        </r>
      </text>
    </comment>
  </commentList>
</comments>
</file>

<file path=xl/comments5.xml><?xml version="1.0" encoding="utf-8"?>
<comments xmlns="http://schemas.openxmlformats.org/spreadsheetml/2006/main">
  <authors>
    <author>PC</author>
    <author>C P</author>
    <author>Duy Nguyen Van</author>
  </authors>
  <commentList>
    <comment ref="C2" authorId="0" shapeId="0">
      <text>
        <r>
          <rPr>
            <b/>
            <sz val="9"/>
            <rFont val="Tahoma"/>
            <charset val="134"/>
          </rPr>
          <t>Chiều rộng móng theo phương X</t>
        </r>
        <r>
          <rPr>
            <sz val="9"/>
            <rFont val="Tahoma"/>
            <charset val="134"/>
          </rPr>
          <t xml:space="preserve">
</t>
        </r>
      </text>
    </comment>
    <comment ref="D2" authorId="0" shapeId="0">
      <text>
        <r>
          <rPr>
            <b/>
            <sz val="9"/>
            <rFont val="Tahoma"/>
            <charset val="134"/>
          </rPr>
          <t>Chiều rộng móng theo phương Y.</t>
        </r>
      </text>
    </comment>
    <comment ref="E2" authorId="1" shapeId="0">
      <text>
        <r>
          <rPr>
            <b/>
            <sz val="9"/>
            <rFont val="Tahoma"/>
            <charset val="134"/>
          </rPr>
          <t>Chiều rộng cột cạnh X</t>
        </r>
        <r>
          <rPr>
            <sz val="9"/>
            <rFont val="Tahoma"/>
            <charset val="134"/>
          </rPr>
          <t xml:space="preserve">
</t>
        </r>
      </text>
    </comment>
    <comment ref="F2" authorId="1" shapeId="0">
      <text>
        <r>
          <rPr>
            <b/>
            <sz val="9"/>
            <rFont val="Tahoma"/>
            <charset val="134"/>
          </rPr>
          <t>Chiều rộng cột cạnh Y</t>
        </r>
        <r>
          <rPr>
            <sz val="9"/>
            <rFont val="Tahoma"/>
            <charset val="134"/>
          </rPr>
          <t xml:space="preserve">
</t>
        </r>
      </text>
    </comment>
    <comment ref="I2" authorId="1" shapeId="0">
      <text>
        <r>
          <rPr>
            <b/>
            <sz val="9"/>
            <rFont val="Tahoma"/>
            <charset val="134"/>
          </rPr>
          <t>Chiều cao móng</t>
        </r>
        <r>
          <rPr>
            <sz val="9"/>
            <rFont val="Tahoma"/>
            <charset val="134"/>
          </rPr>
          <t xml:space="preserve">
</t>
        </r>
      </text>
    </comment>
    <comment ref="J2" authorId="1" shapeId="0">
      <text>
        <r>
          <rPr>
            <b/>
            <sz val="9"/>
            <rFont val="Tahoma"/>
            <charset val="134"/>
          </rPr>
          <t>Bê tông bảo vệ móng</t>
        </r>
        <r>
          <rPr>
            <sz val="9"/>
            <rFont val="Tahoma"/>
            <charset val="134"/>
          </rPr>
          <t xml:space="preserve">
</t>
        </r>
      </text>
    </comment>
    <comment ref="K2" authorId="0" shapeId="0">
      <text>
        <r>
          <rPr>
            <b/>
            <sz val="9"/>
            <rFont val="Tahoma"/>
            <charset val="134"/>
          </rPr>
          <t>Chiều sâu đặt móng so với mặt đất tự nhiên</t>
        </r>
      </text>
    </comment>
    <comment ref="L2" authorId="0" shapeId="0">
      <text>
        <r>
          <rPr>
            <b/>
            <sz val="9"/>
            <rFont val="Tahoma"/>
            <charset val="134"/>
          </rPr>
          <t>Trọng lượng riêng trung bình của đất bên trên móng.</t>
        </r>
        <r>
          <rPr>
            <sz val="9"/>
            <rFont val="Tahoma"/>
            <charset val="134"/>
          </rPr>
          <t xml:space="preserve">
</t>
        </r>
      </text>
    </comment>
    <comment ref="M2" authorId="1" shapeId="0">
      <text>
        <r>
          <rPr>
            <sz val="9"/>
            <rFont val="Tahoma"/>
            <charset val="134"/>
          </rPr>
          <t xml:space="preserve">Chiều cao tôn nền
</t>
        </r>
      </text>
    </comment>
    <comment ref="N2" authorId="1" shapeId="0">
      <text>
        <r>
          <rPr>
            <b/>
            <sz val="9"/>
            <rFont val="Tahoma"/>
            <charset val="134"/>
          </rPr>
          <t>Hoạt tải nền</t>
        </r>
        <r>
          <rPr>
            <sz val="9"/>
            <rFont val="Tahoma"/>
            <charset val="134"/>
          </rPr>
          <t xml:space="preserve">
Nếu mô hình có model trệt thì không nhập hoạt tải này nữa</t>
        </r>
      </text>
    </comment>
    <comment ref="O2" authorId="0" shapeId="0">
      <text>
        <r>
          <rPr>
            <b/>
            <sz val="9"/>
            <rFont val="Tahoma"/>
            <charset val="134"/>
          </rPr>
          <t>Áp lực tiêu chuẩn đất nền.</t>
        </r>
      </text>
    </comment>
    <comment ref="P2" authorId="1" shapeId="0">
      <text>
        <r>
          <rPr>
            <b/>
            <sz val="9"/>
            <rFont val="Tahoma"/>
            <charset val="134"/>
          </rPr>
          <t>Góc nội ma sát
nếu không có kcđc lấy từ 8-10 độ (tính chống trượt)</t>
        </r>
        <r>
          <rPr>
            <sz val="9"/>
            <rFont val="Tahoma"/>
            <charset val="134"/>
          </rPr>
          <t xml:space="preserve">
</t>
        </r>
      </text>
    </comment>
    <comment ref="Q2" authorId="1" shapeId="0">
      <text>
        <r>
          <rPr>
            <b/>
            <sz val="9"/>
            <rFont val="Tahoma"/>
            <charset val="134"/>
          </rPr>
          <t>Lực dính đơn vị (dùng tính chống trượt)</t>
        </r>
        <r>
          <rPr>
            <sz val="9"/>
            <rFont val="Tahoma"/>
            <charset val="134"/>
          </rPr>
          <t xml:space="preserve">
</t>
        </r>
      </text>
    </comment>
    <comment ref="X2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Tổ hợp tiêu chuẩn SLS</t>
        </r>
      </text>
    </comment>
    <comment ref="Y2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Tổ hợp Tính Toán ULS</t>
        </r>
      </text>
    </comment>
    <comment ref="Z2" authorId="1" shapeId="0">
      <text>
        <r>
          <rPr>
            <b/>
            <sz val="9"/>
            <rFont val="Tahoma"/>
            <charset val="134"/>
          </rPr>
          <t>Combo nguy hiểm nhất</t>
        </r>
        <r>
          <rPr>
            <sz val="9"/>
            <rFont val="Tahoma"/>
            <charset val="134"/>
          </rPr>
          <t xml:space="preserve">
</t>
        </r>
      </text>
    </comment>
    <comment ref="AA2" authorId="1" shapeId="0">
      <text>
        <r>
          <rPr>
            <b/>
            <sz val="9"/>
            <rFont val="Tahoma"/>
            <charset val="134"/>
          </rPr>
          <t>Combo nguy hiểm nhất</t>
        </r>
        <r>
          <rPr>
            <sz val="9"/>
            <rFont val="Tahoma"/>
            <charset val="134"/>
          </rPr>
          <t xml:space="preserve">
</t>
        </r>
      </text>
    </comment>
    <comment ref="G3" authorId="1" shapeId="0">
      <text>
        <r>
          <rPr>
            <b/>
            <sz val="9"/>
            <rFont val="Tahoma"/>
            <charset val="134"/>
          </rPr>
          <t>Lệch tâm cột trục X</t>
        </r>
        <r>
          <rPr>
            <sz val="9"/>
            <rFont val="Tahoma"/>
            <charset val="134"/>
          </rPr>
          <t xml:space="preserve">
</t>
        </r>
      </text>
    </comment>
    <comment ref="H3" authorId="1" shapeId="0">
      <text>
        <r>
          <rPr>
            <b/>
            <sz val="9"/>
            <rFont val="Tahoma"/>
            <charset val="134"/>
          </rPr>
          <t>Lệch tâm cột trục Y</t>
        </r>
      </text>
    </comment>
  </commentList>
</comments>
</file>

<file path=xl/sharedStrings.xml><?xml version="1.0" encoding="utf-8"?>
<sst xmlns="http://schemas.openxmlformats.org/spreadsheetml/2006/main" count="2609" uniqueCount="478">
  <si>
    <r>
      <rPr>
        <b/>
        <sz val="10"/>
        <rFont val="Arial"/>
        <charset val="134"/>
      </rPr>
      <t>BẢNG TRA HỆ SỐ K</t>
    </r>
    <r>
      <rPr>
        <b/>
        <vertAlign val="subscript"/>
        <sz val="10"/>
        <rFont val="Arial"/>
        <charset val="134"/>
      </rPr>
      <t>O</t>
    </r>
  </si>
  <si>
    <r>
      <rPr>
        <sz val="10"/>
        <rFont val="VNI-Helve"/>
        <charset val="134"/>
      </rPr>
      <t>2Z/B</t>
    </r>
    <r>
      <rPr>
        <vertAlign val="subscript"/>
        <sz val="10"/>
        <rFont val="VNI-Helve"/>
        <charset val="134"/>
      </rPr>
      <t>qu</t>
    </r>
  </si>
  <si>
    <t>Aqu/Bqu</t>
  </si>
  <si>
    <t>Story</t>
  </si>
  <si>
    <t>Label</t>
  </si>
  <si>
    <t>CaseCombo</t>
  </si>
  <si>
    <t>FX</t>
  </si>
  <si>
    <t>FY</t>
  </si>
  <si>
    <t>FZ</t>
  </si>
  <si>
    <t>MX</t>
  </si>
  <si>
    <t>MY</t>
  </si>
  <si>
    <t>MZ</t>
  </si>
  <si>
    <t>Base</t>
  </si>
  <si>
    <t>SLS01</t>
  </si>
  <si>
    <t>SLS02</t>
  </si>
  <si>
    <t>SLS03</t>
  </si>
  <si>
    <t>SLS04</t>
  </si>
  <si>
    <t>SLS05</t>
  </si>
  <si>
    <t>SLS06</t>
  </si>
  <si>
    <t>SLS07</t>
  </si>
  <si>
    <t>SLS08</t>
  </si>
  <si>
    <t>SLS09</t>
  </si>
  <si>
    <t>SLS10</t>
  </si>
  <si>
    <t>ULS01</t>
  </si>
  <si>
    <t>ULS02</t>
  </si>
  <si>
    <t>ULS03</t>
  </si>
  <si>
    <t>ULS04</t>
  </si>
  <si>
    <t>ULS05</t>
  </si>
  <si>
    <t>ULS06</t>
  </si>
  <si>
    <t>ULS07</t>
  </si>
  <si>
    <t>ULS08</t>
  </si>
  <si>
    <t>ULS09</t>
  </si>
  <si>
    <t>ULS10</t>
  </si>
  <si>
    <t>UniqueName</t>
  </si>
  <si>
    <t>X</t>
  </si>
  <si>
    <t>Y</t>
  </si>
  <si>
    <t>Z</t>
  </si>
  <si>
    <t>SpecialPt</t>
  </si>
  <si>
    <t>BÊ TÔNG</t>
  </si>
  <si>
    <t>Cấp cường độ</t>
  </si>
  <si>
    <t>B15</t>
  </si>
  <si>
    <t>B20</t>
  </si>
  <si>
    <t>B22.5</t>
  </si>
  <si>
    <t>B25</t>
  </si>
  <si>
    <t>B30</t>
  </si>
  <si>
    <t>B35</t>
  </si>
  <si>
    <t>B40</t>
  </si>
  <si>
    <t>B45</t>
  </si>
  <si>
    <t>B50</t>
  </si>
  <si>
    <t>B55</t>
  </si>
  <si>
    <t>B60</t>
  </si>
  <si>
    <t>User</t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</si>
  <si>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 xml:space="preserve"> 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</si>
  <si>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bt</t>
    </r>
    <r>
      <rPr>
        <sz val="10"/>
        <color theme="1"/>
        <rFont val="Arial"/>
        <charset val="134"/>
      </rPr>
      <t xml:space="preserve"> 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</si>
  <si>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b,ser</t>
    </r>
    <r>
      <rPr>
        <sz val="10"/>
        <color theme="1"/>
        <rFont val="Arial"/>
        <charset val="134"/>
      </rPr>
      <t xml:space="preserve"> (MPa)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</si>
  <si>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bt,ser</t>
    </r>
    <r>
      <rPr>
        <sz val="10"/>
        <color theme="1"/>
        <rFont val="Arial"/>
        <charset val="134"/>
      </rPr>
      <t xml:space="preserve"> (MPa)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</si>
  <si>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 xml:space="preserve"> (MPa)</t>
    </r>
  </si>
  <si>
    <t>CỐT THÉP</t>
  </si>
  <si>
    <t>Mác thép</t>
  </si>
  <si>
    <t>CB240-T</t>
  </si>
  <si>
    <t>CB300-T</t>
  </si>
  <si>
    <t>CB300-V</t>
  </si>
  <si>
    <t>CB400-V</t>
  </si>
  <si>
    <t>CB500-V</t>
  </si>
  <si>
    <t>SD390</t>
  </si>
  <si>
    <t>SD490</t>
  </si>
  <si>
    <r>
      <rPr>
        <sz val="10"/>
        <color theme="1"/>
        <rFont val="Arial"/>
        <charset val="134"/>
      </rPr>
      <t xml:space="preserve">  f</t>
    </r>
    <r>
      <rPr>
        <vertAlign val="subscript"/>
        <sz val="10"/>
        <color theme="1"/>
        <rFont val="Arial"/>
        <charset val="134"/>
      </rPr>
      <t>y</t>
    </r>
    <r>
      <rPr>
        <sz val="10"/>
        <color theme="1"/>
        <rFont val="Arial"/>
        <charset val="134"/>
      </rPr>
      <t xml:space="preserve"> 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</si>
  <si>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 xml:space="preserve">  R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>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</si>
  <si>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 xml:space="preserve">  R</t>
    </r>
    <r>
      <rPr>
        <vertAlign val="subscript"/>
        <sz val="10"/>
        <color theme="1"/>
        <rFont val="Arial"/>
        <charset val="134"/>
      </rPr>
      <t>sc</t>
    </r>
    <r>
      <rPr>
        <sz val="10"/>
        <color theme="1"/>
        <rFont val="Arial"/>
        <charset val="134"/>
      </rPr>
      <t>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</si>
  <si>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 xml:space="preserve">  R</t>
    </r>
    <r>
      <rPr>
        <vertAlign val="subscript"/>
        <sz val="10"/>
        <color theme="1"/>
        <rFont val="Arial"/>
        <charset val="134"/>
      </rPr>
      <t>sw</t>
    </r>
    <r>
      <rPr>
        <sz val="10"/>
        <color theme="1"/>
        <rFont val="Arial"/>
        <charset val="134"/>
      </rPr>
      <t>(MPa)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</si>
  <si>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(</t>
    </r>
    <r>
      <rPr>
        <sz val="10"/>
        <color theme="1"/>
        <rFont val="Arial"/>
        <charset val="134"/>
      </rPr>
      <t xml:space="preserve"> MPa)</t>
    </r>
    <r>
      <rPr>
        <vertAlign val="subscript"/>
        <sz val="10"/>
        <color theme="1"/>
        <rFont val="Arial"/>
        <charset val="134"/>
      </rPr>
      <t xml:space="preserve"> </t>
    </r>
    <r>
      <rPr>
        <sz val="10"/>
        <color theme="1"/>
        <rFont val="Arial"/>
        <charset val="134"/>
      </rPr>
      <t xml:space="preserve"> </t>
    </r>
  </si>
  <si>
    <t>Thiết kế tự động</t>
  </si>
  <si>
    <t>THÉP</t>
  </si>
  <si>
    <t>KC</t>
  </si>
  <si>
    <t>FS</t>
  </si>
  <si>
    <t>Số hiệu</t>
  </si>
  <si>
    <t>Tên lớp đất - trạng thái</t>
  </si>
  <si>
    <t>Hi</t>
  </si>
  <si>
    <t>y</t>
  </si>
  <si>
    <t>p</t>
  </si>
  <si>
    <t>c</t>
  </si>
  <si>
    <t>E</t>
  </si>
  <si>
    <t>-</t>
  </si>
  <si>
    <t>m</t>
  </si>
  <si>
    <t>T/m3</t>
  </si>
  <si>
    <t>độ</t>
  </si>
  <si>
    <t>T/m2</t>
  </si>
  <si>
    <t>L 1</t>
  </si>
  <si>
    <t>Lớp đất tôn nền từ cốt sân đến nền nhà</t>
  </si>
  <si>
    <t>L 2</t>
  </si>
  <si>
    <t>Sét pha màu xám nâu, nâu vàng - trạng thái nửa cứng</t>
  </si>
  <si>
    <t>L 3</t>
  </si>
  <si>
    <t>Sét pha màu xám vàng, nâu vàng - trạng thái cứng</t>
  </si>
  <si>
    <t>L 4</t>
  </si>
  <si>
    <t>Đá vôi màu xám xanh</t>
  </si>
  <si>
    <t>DBIM</t>
  </si>
  <si>
    <t>Project Code / Mã dự án</t>
  </si>
  <si>
    <t>Rev.No.</t>
  </si>
  <si>
    <t>00</t>
  </si>
  <si>
    <t>Project / Dự án</t>
  </si>
  <si>
    <t>Date / Ngày</t>
  </si>
  <si>
    <t>The ownwner / Chủ đầu tư</t>
  </si>
  <si>
    <t>Design / Thiết kế</t>
  </si>
  <si>
    <t>Iterm / Hạng mục</t>
  </si>
  <si>
    <t>SỨC CHỊU TẢI ĐẤT NỀN</t>
  </si>
  <si>
    <t>Check / Kiểm tra</t>
  </si>
  <si>
    <t>Theo mục 4.6.9 TCVN 9362:2012 thì áp lực trung bình tác dụng lên nền ở dưới đáy móng</t>
  </si>
  <si>
    <t>không được vượt quá áp lực tính toán R (kPa) tác dụng lên nền theo công thức:</t>
  </si>
  <si>
    <t>Trong đó:</t>
  </si>
  <si>
    <t>b (m)</t>
  </si>
  <si>
    <t>Kích thước giả định móng theo phương X</t>
  </si>
  <si>
    <t>h (m)</t>
  </si>
  <si>
    <t>Kích thước giả định móng theo phương Y</t>
  </si>
  <si>
    <t>Zwt (m)</t>
  </si>
  <si>
    <t>Chiều sâu mực nước ngầm</t>
  </si>
  <si>
    <t>Df (m)</t>
  </si>
  <si>
    <t>Chiều sâu đặt móng</t>
  </si>
  <si>
    <r>
      <rPr>
        <sz val="10"/>
        <color theme="1"/>
        <rFont val="Arial"/>
        <charset val="134"/>
      </rPr>
      <t>m</t>
    </r>
    <r>
      <rPr>
        <vertAlign val="subscript"/>
        <sz val="10"/>
        <color theme="1"/>
        <rFont val="Arial"/>
        <charset val="134"/>
      </rPr>
      <t>1</t>
    </r>
  </si>
  <si>
    <t>Hệ số tra bảng 15 mục 4.6.10 TCVN 9362:2012</t>
  </si>
  <si>
    <r>
      <rPr>
        <sz val="10"/>
        <color theme="1"/>
        <rFont val="Arial"/>
        <charset val="134"/>
      </rPr>
      <t>m</t>
    </r>
    <r>
      <rPr>
        <vertAlign val="subscript"/>
        <sz val="10"/>
        <color theme="1"/>
        <rFont val="Arial"/>
        <charset val="134"/>
      </rPr>
      <t>2</t>
    </r>
  </si>
  <si>
    <r>
      <rPr>
        <sz val="10"/>
        <color theme="1"/>
        <rFont val="Arial"/>
        <charset val="134"/>
      </rPr>
      <t>k</t>
    </r>
    <r>
      <rPr>
        <vertAlign val="subscript"/>
        <sz val="10"/>
        <color theme="1"/>
        <rFont val="Arial"/>
        <charset val="134"/>
      </rPr>
      <t>tc</t>
    </r>
  </si>
  <si>
    <t>Hệ số mục 4.6.10 TCVN 9362:2012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</si>
  <si>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>II</t>
    </r>
    <r>
      <rPr>
        <sz val="10"/>
        <color theme="1"/>
        <rFont val="Arial"/>
        <charset val="134"/>
      </rPr>
      <t xml:space="preserve"> (kN/m</t>
    </r>
    <r>
      <rPr>
        <vertAlign val="superscript"/>
        <sz val="10"/>
        <color theme="1"/>
        <rFont val="Arial"/>
        <charset val="134"/>
      </rPr>
      <t>3)</t>
    </r>
  </si>
  <si>
    <t>Trọng lượng riêng của đất nằm dưới đáy móng, tham khảo hồ sơ địa chất</t>
  </si>
  <si>
    <r>
      <rPr>
        <sz val="10"/>
        <color theme="1"/>
        <rFont val="Symbol"/>
        <charset val="2"/>
      </rPr>
      <t>g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>II</t>
    </r>
    <r>
      <rPr>
        <sz val="10"/>
        <color theme="1"/>
        <rFont val="Arial"/>
        <charset val="134"/>
      </rPr>
      <t xml:space="preserve"> (kN/m</t>
    </r>
    <r>
      <rPr>
        <vertAlign val="superscript"/>
        <sz val="10"/>
        <color theme="1"/>
        <rFont val="Arial"/>
        <charset val="134"/>
      </rPr>
      <t>3</t>
    </r>
    <r>
      <rPr>
        <sz val="10"/>
        <color theme="1"/>
        <rFont val="Arial"/>
        <charset val="134"/>
      </rPr>
      <t>)</t>
    </r>
  </si>
  <si>
    <t>Trọng lượng riêng của đất nằm trên đáy móng, tham khảo hồ sơ địa chất</t>
  </si>
  <si>
    <r>
      <rPr>
        <sz val="10"/>
        <color theme="1"/>
        <rFont val="Arial"/>
        <charset val="134"/>
      </rPr>
      <t>c</t>
    </r>
    <r>
      <rPr>
        <vertAlign val="subscript"/>
        <sz val="10"/>
        <color theme="1"/>
        <rFont val="Arial"/>
        <charset val="134"/>
      </rPr>
      <t>II</t>
    </r>
    <r>
      <rPr>
        <sz val="10"/>
        <color theme="1"/>
        <rFont val="Arial"/>
        <charset val="134"/>
      </rPr>
      <t xml:space="preserve"> (kN/m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</si>
  <si>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t>Lực dính của đất nằm phía dưới đáy móng, tham khảo hồ sơ địa chất</t>
  </si>
  <si>
    <r>
      <rPr>
        <sz val="10"/>
        <color theme="1"/>
        <rFont val="Symbol"/>
        <charset val="2"/>
      </rPr>
      <t>j</t>
    </r>
    <r>
      <rPr>
        <vertAlign val="subscript"/>
        <sz val="10"/>
        <color theme="1"/>
        <rFont val="Arial"/>
        <charset val="134"/>
      </rPr>
      <t>II</t>
    </r>
  </si>
  <si>
    <t>Góc ma sát của đất nằm phía dưới đáy móng, tham khảo hồ sơ địa chất</t>
  </si>
  <si>
    <t>A</t>
  </si>
  <si>
    <t>Hệ số tra bảng 14 TCVN 9362:2012</t>
  </si>
  <si>
    <t>B</t>
  </si>
  <si>
    <t>D</t>
  </si>
  <si>
    <r>
      <rPr>
        <sz val="10"/>
        <color theme="1"/>
        <rFont val="Arial"/>
        <charset val="134"/>
      </rPr>
      <t>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(m)</t>
    </r>
  </si>
  <si>
    <t>Chiều sâu đến nền tầng hầm</t>
  </si>
  <si>
    <r>
      <rPr>
        <sz val="10"/>
        <color theme="1"/>
        <rFont val="Arial"/>
        <charset val="134"/>
      </rPr>
      <t>R (kN/m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</si>
  <si>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t>Sức chịu tải đất nền</t>
  </si>
  <si>
    <t>Notes Etabs:</t>
  </si>
  <si>
    <t>Momen (+): Quay xung quanh trục cùng chiều kim đồng hồ (hướng theo trục - quy tắc bàn tay phải)</t>
  </si>
  <si>
    <t>Lực cắt (+):  Dọc theo hướng trục</t>
  </si>
  <si>
    <t xml:space="preserve">MÓNG ĐƠN </t>
  </si>
  <si>
    <t>1. PHẢN LỰC</t>
  </si>
  <si>
    <t>Điểm</t>
  </si>
  <si>
    <t>Tổ hợp</t>
  </si>
  <si>
    <t>Tải tính toán (kN-m)</t>
  </si>
  <si>
    <t>Qx</t>
  </si>
  <si>
    <t>Qy</t>
  </si>
  <si>
    <t>Nz</t>
  </si>
  <si>
    <t>Mx</t>
  </si>
  <si>
    <t>My</t>
  </si>
  <si>
    <t>Tải tiêu chuẩn (kN-m)</t>
  </si>
  <si>
    <t>Qtcx</t>
  </si>
  <si>
    <t>Qtcy</t>
  </si>
  <si>
    <t>Ntcz</t>
  </si>
  <si>
    <t>Mtcx</t>
  </si>
  <si>
    <t>Mtcy</t>
  </si>
  <si>
    <t>2. DỮ LIỆU CHUNG</t>
  </si>
  <si>
    <t xml:space="preserve">    - Bề rộng cột:</t>
  </si>
  <si>
    <r>
      <rPr>
        <sz val="10"/>
        <color theme="1"/>
        <rFont val="Arial"/>
        <charset val="134"/>
      </rPr>
      <t>x</t>
    </r>
    <r>
      <rPr>
        <vertAlign val="subscript"/>
        <sz val="10"/>
        <color theme="1"/>
        <rFont val="Arial"/>
        <charset val="134"/>
      </rPr>
      <t>c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</si>
  <si>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y</t>
    </r>
    <r>
      <rPr>
        <vertAlign val="subscript"/>
        <sz val="10"/>
        <color theme="1"/>
        <rFont val="Arial"/>
        <charset val="134"/>
      </rPr>
      <t>c</t>
    </r>
    <r>
      <rPr>
        <sz val="10"/>
        <color theme="1"/>
        <rFont val="Arial"/>
        <charset val="134"/>
      </rPr>
      <t xml:space="preserve"> =</t>
    </r>
  </si>
  <si>
    <t>CỘT</t>
  </si>
  <si>
    <t>MÓNG</t>
  </si>
  <si>
    <t>TRỤC Y</t>
  </si>
  <si>
    <t xml:space="preserve">    - Kích thước móng:</t>
  </si>
  <si>
    <r>
      <rPr>
        <sz val="10"/>
        <color theme="1"/>
        <rFont val="Arial"/>
        <charset val="134"/>
      </rPr>
      <t>L</t>
    </r>
    <r>
      <rPr>
        <vertAlign val="subscript"/>
        <sz val="10"/>
        <color theme="1"/>
        <rFont val="Arial"/>
        <charset val="134"/>
      </rPr>
      <t>x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</si>
  <si>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L</t>
    </r>
    <r>
      <rPr>
        <vertAlign val="subscript"/>
        <sz val="10"/>
        <color theme="1"/>
        <rFont val="Arial"/>
        <charset val="134"/>
      </rPr>
      <t>y</t>
    </r>
    <r>
      <rPr>
        <sz val="10"/>
        <color theme="1"/>
        <rFont val="Arial"/>
        <charset val="134"/>
      </rPr>
      <t xml:space="preserve"> =</t>
    </r>
  </si>
  <si>
    <t>Xi</t>
  </si>
  <si>
    <t>Yi</t>
  </si>
  <si>
    <t xml:space="preserve">    - Độ lệch tâm cột:</t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</si>
  <si>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x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</si>
  <si>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y</t>
    </r>
    <r>
      <rPr>
        <sz val="10"/>
        <color theme="1"/>
        <rFont val="Arial"/>
        <charset val="134"/>
      </rPr>
      <t xml:space="preserve"> =</t>
    </r>
  </si>
  <si>
    <t xml:space="preserve">    - Chiều cao / Sâu móng</t>
  </si>
  <si>
    <r>
      <rPr>
        <sz val="10"/>
        <color theme="1"/>
        <rFont val="Arial"/>
        <charset val="134"/>
      </rPr>
      <t>H</t>
    </r>
    <r>
      <rPr>
        <vertAlign val="subscript"/>
        <sz val="10"/>
        <color theme="1"/>
        <rFont val="Arial"/>
        <charset val="134"/>
      </rPr>
      <t>f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</si>
  <si>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D</t>
    </r>
    <r>
      <rPr>
        <vertAlign val="subscript"/>
        <sz val="10"/>
        <color theme="1"/>
        <rFont val="Arial"/>
        <charset val="134"/>
      </rPr>
      <t>f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</si>
  <si>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 xml:space="preserve">    - BTBV / Chiều cao h</t>
    </r>
    <r>
      <rPr>
        <vertAlign val="subscript"/>
        <sz val="10"/>
        <color theme="1"/>
        <rFont val="Arial"/>
        <charset val="134"/>
      </rPr>
      <t>0</t>
    </r>
    <r>
      <rPr>
        <sz val="10"/>
        <color theme="1"/>
        <rFont val="Arial"/>
        <charset val="134"/>
      </rPr>
      <t xml:space="preserve"> móng:</t>
    </r>
  </si>
  <si>
    <t>a =</t>
  </si>
  <si>
    <r>
      <rPr>
        <sz val="10"/>
        <color theme="1"/>
        <rFont val="Arial"/>
        <charset val="134"/>
      </rPr>
      <t>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=</t>
    </r>
  </si>
  <si>
    <t>TRỤC X</t>
  </si>
  <si>
    <t xml:space="preserve">    - Diện tích móng: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</si>
  <si>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f</t>
    </r>
    <r>
      <rPr>
        <sz val="10"/>
        <color theme="1"/>
        <rFont val="Arial"/>
        <charset val="134"/>
      </rPr>
      <t xml:space="preserve"> =</t>
    </r>
  </si>
  <si>
    <t xml:space="preserve">    - Mômen chống uốn:</t>
  </si>
  <si>
    <r>
      <rPr>
        <sz val="10"/>
        <color theme="1"/>
        <rFont val="Arial"/>
        <charset val="134"/>
      </rPr>
      <t>W</t>
    </r>
    <r>
      <rPr>
        <vertAlign val="subscript"/>
        <sz val="10"/>
        <color theme="1"/>
        <rFont val="Arial"/>
        <charset val="134"/>
      </rPr>
      <t>x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</si>
  <si>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W</t>
    </r>
    <r>
      <rPr>
        <vertAlign val="subscript"/>
        <sz val="10"/>
        <color theme="1"/>
        <rFont val="Arial"/>
        <charset val="134"/>
      </rPr>
      <t>Y</t>
    </r>
    <r>
      <rPr>
        <sz val="10"/>
        <color theme="1"/>
        <rFont val="Arial"/>
        <charset val="134"/>
      </rPr>
      <t xml:space="preserve"> =</t>
    </r>
  </si>
  <si>
    <t xml:space="preserve">    - H tôn nền / hoạt tải nền:</t>
  </si>
  <si>
    <r>
      <rPr>
        <sz val="10"/>
        <color theme="1"/>
        <rFont val="Arial"/>
        <charset val="134"/>
      </rPr>
      <t>h</t>
    </r>
    <r>
      <rPr>
        <vertAlign val="subscript"/>
        <sz val="10"/>
        <color theme="1"/>
        <rFont val="Arial"/>
        <charset val="134"/>
      </rPr>
      <t>tn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</si>
  <si>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p</t>
    </r>
    <r>
      <rPr>
        <vertAlign val="subscript"/>
        <sz val="10"/>
        <color theme="1"/>
        <rFont val="Arial"/>
        <charset val="134"/>
      </rPr>
      <t>g</t>
    </r>
    <r>
      <rPr>
        <sz val="10"/>
        <color theme="1"/>
        <rFont val="Arial"/>
        <charset val="134"/>
      </rPr>
      <t xml:space="preserve"> =</t>
    </r>
  </si>
  <si>
    <t xml:space="preserve">     * Vật liệu :</t>
  </si>
  <si>
    <r>
      <rPr>
        <sz val="10"/>
        <color theme="1"/>
        <rFont val="Arial"/>
        <charset val="134"/>
      </rPr>
      <t>p</t>
    </r>
    <r>
      <rPr>
        <vertAlign val="superscript"/>
        <sz val="10"/>
        <color theme="1"/>
        <rFont val="Arial"/>
        <charset val="134"/>
      </rPr>
      <t>tc</t>
    </r>
    <r>
      <rPr>
        <vertAlign val="subscript"/>
        <sz val="10"/>
        <color theme="1"/>
        <rFont val="Arial"/>
        <charset val="134"/>
      </rPr>
      <t>A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</si>
  <si>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 xml:space="preserve"> = p</t>
    </r>
    <r>
      <rPr>
        <vertAlign val="superscript"/>
        <sz val="10"/>
        <color theme="1"/>
        <rFont val="Arial"/>
        <charset val="134"/>
      </rPr>
      <t>tc</t>
    </r>
    <r>
      <rPr>
        <vertAlign val="subscript"/>
        <sz val="10"/>
        <color theme="1"/>
        <rFont val="Arial"/>
        <charset val="134"/>
      </rPr>
      <t>B</t>
    </r>
  </si>
  <si>
    <t xml:space="preserve">    - Bê tông:</t>
  </si>
  <si>
    <t>Rb =</t>
  </si>
  <si>
    <t>Rbt =</t>
  </si>
  <si>
    <r>
      <rPr>
        <sz val="10"/>
        <color theme="1"/>
        <rFont val="Arial"/>
        <charset val="134"/>
      </rPr>
      <t>p</t>
    </r>
    <r>
      <rPr>
        <vertAlign val="superscript"/>
        <sz val="10"/>
        <color theme="1"/>
        <rFont val="Arial"/>
        <charset val="134"/>
      </rPr>
      <t>tc</t>
    </r>
    <r>
      <rPr>
        <vertAlign val="subscript"/>
        <sz val="10"/>
        <color theme="1"/>
        <rFont val="Arial"/>
        <charset val="134"/>
      </rPr>
      <t>D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</si>
  <si>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 xml:space="preserve"> = p</t>
    </r>
    <r>
      <rPr>
        <vertAlign val="superscript"/>
        <sz val="10"/>
        <color theme="1"/>
        <rFont val="Arial"/>
        <charset val="134"/>
      </rPr>
      <t>tc</t>
    </r>
    <r>
      <rPr>
        <vertAlign val="subscript"/>
        <sz val="10"/>
        <color theme="1"/>
        <rFont val="Arial"/>
        <charset val="134"/>
      </rPr>
      <t xml:space="preserve">C </t>
    </r>
  </si>
  <si>
    <t xml:space="preserve">    - Cốt thép:</t>
  </si>
  <si>
    <t>Rs =</t>
  </si>
  <si>
    <t xml:space="preserve">     * Áp lực tiêu chuẩn đất nền</t>
  </si>
  <si>
    <r>
      <rPr>
        <sz val="10"/>
        <color theme="1"/>
        <rFont val="Arial"/>
        <charset val="134"/>
      </rPr>
      <t>p</t>
    </r>
    <r>
      <rPr>
        <vertAlign val="subscript"/>
        <sz val="10"/>
        <color theme="1"/>
        <rFont val="Arial"/>
        <charset val="134"/>
      </rPr>
      <t>A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</si>
  <si>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 xml:space="preserve"> = P</t>
    </r>
    <r>
      <rPr>
        <vertAlign val="subscript"/>
        <sz val="10"/>
        <color theme="1"/>
        <rFont val="Arial"/>
        <charset val="134"/>
      </rPr>
      <t>B</t>
    </r>
  </si>
  <si>
    <t xml:space="preserve">    - Trọng lượng riêng trung bình của đất bên trên móng :</t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</si>
  <si>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 xml:space="preserve">tb </t>
    </r>
    <r>
      <rPr>
        <sz val="10"/>
        <rFont val="Arial"/>
        <charset val="134"/>
      </rPr>
      <t>=</t>
    </r>
  </si>
  <si>
    <r>
      <rPr>
        <sz val="10"/>
        <color theme="1"/>
        <rFont val="Arial"/>
        <charset val="134"/>
      </rPr>
      <t>p</t>
    </r>
    <r>
      <rPr>
        <vertAlign val="subscript"/>
        <sz val="10"/>
        <color theme="1"/>
        <rFont val="Arial"/>
        <charset val="134"/>
      </rPr>
      <t>D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</si>
  <si>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 xml:space="preserve"> = p</t>
    </r>
    <r>
      <rPr>
        <vertAlign val="subscript"/>
        <sz val="10"/>
        <color theme="1"/>
        <rFont val="Arial"/>
        <charset val="134"/>
      </rPr>
      <t xml:space="preserve">C </t>
    </r>
  </si>
  <si>
    <t xml:space="preserve">    - Áp lực tiêu chuẩn đất nền tính toán :</t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</si>
  <si>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tcc </t>
    </r>
    <r>
      <rPr>
        <sz val="10"/>
        <color theme="1"/>
        <rFont val="Arial"/>
        <charset val="134"/>
      </rPr>
      <t>=</t>
    </r>
  </si>
  <si>
    <t>3. KIỂM TRA ỨNG SUẤT DƯỚI ĐÁY MÓNG</t>
  </si>
  <si>
    <t xml:space="preserve">     * Kiểm tra với tổ hợp tiêu chuẩn:</t>
  </si>
  <si>
    <t xml:space="preserve">     - Tải trọng tại tâm đáy móng</t>
  </si>
  <si>
    <r>
      <rPr>
        <sz val="10"/>
        <color theme="1"/>
        <rFont val="Arial"/>
        <charset val="134"/>
      </rPr>
      <t>ΣN</t>
    </r>
    <r>
      <rPr>
        <vertAlign val="superscript"/>
        <sz val="10"/>
        <color theme="1"/>
        <rFont val="Arial"/>
        <charset val="134"/>
      </rPr>
      <t>tc</t>
    </r>
    <r>
      <rPr>
        <sz val="10"/>
        <color theme="1"/>
        <rFont val="Arial"/>
        <charset val="134"/>
      </rPr>
      <t xml:space="preserve"> = N</t>
    </r>
    <r>
      <rPr>
        <vertAlign val="superscript"/>
        <sz val="10"/>
        <color theme="1"/>
        <rFont val="Arial"/>
        <charset val="134"/>
      </rPr>
      <t>tc</t>
    </r>
    <r>
      <rPr>
        <sz val="10"/>
        <color theme="1"/>
        <rFont val="Arial"/>
        <charset val="134"/>
      </rPr>
      <t xml:space="preserve"> =</t>
    </r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</si>
  <si>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>x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 xml:space="preserve"> = M</t>
    </r>
    <r>
      <rPr>
        <vertAlign val="subscript"/>
        <sz val="10"/>
        <rFont val="Arial"/>
        <charset val="134"/>
      </rPr>
      <t>x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 xml:space="preserve"> - Q</t>
    </r>
    <r>
      <rPr>
        <vertAlign val="subscript"/>
        <sz val="10"/>
        <rFont val="Arial"/>
        <charset val="134"/>
      </rPr>
      <t>y</t>
    </r>
    <r>
      <rPr>
        <vertAlign val="superscript"/>
        <sz val="10"/>
        <rFont val="Arial"/>
        <charset val="134"/>
      </rPr>
      <t xml:space="preserve">tc </t>
    </r>
    <r>
      <rPr>
        <sz val="10"/>
        <rFont val="Arial"/>
        <charset val="134"/>
      </rPr>
      <t>* H</t>
    </r>
    <r>
      <rPr>
        <vertAlign val="subscript"/>
        <sz val="10"/>
        <rFont val="Arial"/>
        <charset val="134"/>
      </rPr>
      <t>f -</t>
    </r>
    <r>
      <rPr>
        <sz val="10"/>
        <rFont val="Arial"/>
        <charset val="134"/>
      </rPr>
      <t xml:space="preserve"> N</t>
    </r>
    <r>
      <rPr>
        <vertAlign val="superscript"/>
        <sz val="10"/>
        <rFont val="Arial"/>
        <charset val="134"/>
      </rPr>
      <t xml:space="preserve">tc </t>
    </r>
    <r>
      <rPr>
        <sz val="10"/>
        <rFont val="Arial"/>
        <charset val="134"/>
      </rPr>
      <t>*e</t>
    </r>
    <r>
      <rPr>
        <vertAlign val="subscript"/>
        <sz val="10"/>
        <rFont val="Arial"/>
        <charset val="134"/>
      </rPr>
      <t xml:space="preserve">y 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</si>
  <si>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>y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 xml:space="preserve"> = M</t>
    </r>
    <r>
      <rPr>
        <vertAlign val="subscript"/>
        <sz val="10"/>
        <rFont val="Arial"/>
        <charset val="134"/>
      </rPr>
      <t>y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 xml:space="preserve"> + Q</t>
    </r>
    <r>
      <rPr>
        <vertAlign val="subscript"/>
        <sz val="10"/>
        <rFont val="Arial"/>
        <charset val="134"/>
      </rPr>
      <t>x</t>
    </r>
    <r>
      <rPr>
        <vertAlign val="superscript"/>
        <sz val="10"/>
        <rFont val="Arial"/>
        <charset val="134"/>
      </rPr>
      <t xml:space="preserve">tc </t>
    </r>
    <r>
      <rPr>
        <sz val="10"/>
        <rFont val="Arial"/>
        <charset val="134"/>
      </rPr>
      <t>* H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N</t>
    </r>
    <r>
      <rPr>
        <vertAlign val="superscript"/>
        <sz val="10"/>
        <rFont val="Arial"/>
        <charset val="134"/>
      </rPr>
      <t xml:space="preserve">tc </t>
    </r>
    <r>
      <rPr>
        <sz val="10"/>
        <rFont val="Arial"/>
        <charset val="134"/>
      </rPr>
      <t>*e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=</t>
    </r>
  </si>
  <si>
    <t xml:space="preserve">     - Áp lực tiêu chuẩn dưới đáy móng</t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</si>
  <si>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 xml:space="preserve"> = ΣN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>/A</t>
    </r>
    <r>
      <rPr>
        <vertAlign val="subscript"/>
        <sz val="10"/>
        <rFont val="Arial"/>
        <charset val="134"/>
      </rPr>
      <t>f</t>
    </r>
    <r>
      <rPr>
        <sz val="10"/>
        <rFont val="Arial"/>
        <charset val="134"/>
      </rPr>
      <t xml:space="preserve">  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p</t>
    </r>
    <r>
      <rPr>
        <vertAlign val="subscript"/>
        <sz val="10"/>
        <rFont val="Arial"/>
        <charset val="134"/>
      </rPr>
      <t>g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</si>
  <si>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max</t>
    </r>
    <r>
      <rPr>
        <sz val="10"/>
        <rFont val="Arial"/>
        <charset val="134"/>
      </rPr>
      <t xml:space="preserve"> = ΣN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>/A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+ 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 xml:space="preserve">y  </t>
    </r>
    <r>
      <rPr>
        <sz val="10"/>
        <rFont val="Arial"/>
        <charset val="134"/>
      </rPr>
      <t>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 xml:space="preserve">f  </t>
    </r>
    <r>
      <rPr>
        <sz val="10"/>
        <rFont val="Arial"/>
        <charset val="134"/>
      </rPr>
      <t>+ p</t>
    </r>
    <r>
      <rPr>
        <vertAlign val="subscript"/>
        <sz val="10"/>
        <rFont val="Arial"/>
        <charset val="134"/>
      </rPr>
      <t>g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</si>
  <si>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min</t>
    </r>
    <r>
      <rPr>
        <sz val="10"/>
        <rFont val="Arial"/>
        <charset val="134"/>
      </rPr>
      <t xml:space="preserve"> = ΣN</t>
    </r>
    <r>
      <rPr>
        <vertAlign val="superscript"/>
        <sz val="10"/>
        <rFont val="Arial"/>
        <charset val="134"/>
      </rPr>
      <t>tc</t>
    </r>
    <r>
      <rPr>
        <sz val="10"/>
        <rFont val="Arial"/>
        <charset val="134"/>
      </rPr>
      <t>/A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- 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- 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>y +</t>
    </r>
    <r>
      <rPr>
        <sz val="10"/>
        <rFont val="Arial"/>
        <charset val="134"/>
      </rPr>
      <t xml:space="preserve"> 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p</t>
    </r>
    <r>
      <rPr>
        <vertAlign val="subscript"/>
        <sz val="10"/>
        <rFont val="Arial"/>
        <charset val="134"/>
      </rPr>
      <t>g</t>
    </r>
    <r>
      <rPr>
        <sz val="10"/>
        <rFont val="Arial"/>
        <charset val="134"/>
      </rPr>
      <t>=</t>
    </r>
  </si>
  <si>
    <t xml:space="preserve">     - Kiểm tra :</t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</si>
  <si>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tb </t>
    </r>
    <r>
      <rPr>
        <sz val="10"/>
        <rFont val="Arial"/>
        <charset val="134"/>
      </rPr>
      <t>=</t>
    </r>
  </si>
  <si>
    <t>Rtc =</t>
  </si>
  <si>
    <t>Hệ số:</t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</si>
  <si>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max 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</si>
  <si>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min </t>
    </r>
    <r>
      <rPr>
        <sz val="10"/>
        <rFont val="Arial"/>
        <charset val="134"/>
      </rPr>
      <t>=</t>
    </r>
  </si>
  <si>
    <t>4. KIỂM TRA CHIỀU CAO MÓNG:</t>
  </si>
  <si>
    <t xml:space="preserve">     * Áp lực tính toán dưới đáy móng :</t>
  </si>
  <si>
    <t>ΣN = N =</t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</si>
  <si>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= M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- Q</t>
    </r>
    <r>
      <rPr>
        <vertAlign val="subscript"/>
        <sz val="10"/>
        <rFont val="Arial"/>
        <charset val="134"/>
      </rPr>
      <t>y</t>
    </r>
    <r>
      <rPr>
        <vertAlign val="superscript"/>
        <sz val="10"/>
        <rFont val="Arial"/>
        <charset val="134"/>
      </rPr>
      <t xml:space="preserve"> </t>
    </r>
    <r>
      <rPr>
        <sz val="10"/>
        <rFont val="Arial"/>
        <charset val="134"/>
      </rPr>
      <t>* H</t>
    </r>
    <r>
      <rPr>
        <vertAlign val="subscript"/>
        <sz val="10"/>
        <rFont val="Arial"/>
        <charset val="134"/>
      </rPr>
      <t>f -</t>
    </r>
    <r>
      <rPr>
        <sz val="10"/>
        <rFont val="Arial"/>
        <charset val="134"/>
      </rPr>
      <t xml:space="preserve"> N *e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 xml:space="preserve"> =</t>
    </r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</si>
  <si>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 xml:space="preserve"> = M</t>
    </r>
    <r>
      <rPr>
        <vertAlign val="subscript"/>
        <sz val="10"/>
        <rFont val="Arial"/>
        <charset val="134"/>
      </rPr>
      <t xml:space="preserve">y </t>
    </r>
    <r>
      <rPr>
        <sz val="10"/>
        <rFont val="Arial"/>
        <charset val="134"/>
      </rPr>
      <t>+ Q</t>
    </r>
    <r>
      <rPr>
        <vertAlign val="subscript"/>
        <sz val="10"/>
        <rFont val="Arial"/>
        <charset val="134"/>
      </rPr>
      <t>x</t>
    </r>
    <r>
      <rPr>
        <vertAlign val="superscript"/>
        <sz val="10"/>
        <rFont val="Arial"/>
        <charset val="134"/>
      </rPr>
      <t xml:space="preserve"> </t>
    </r>
    <r>
      <rPr>
        <sz val="10"/>
        <rFont val="Arial"/>
        <charset val="134"/>
      </rPr>
      <t>* H</t>
    </r>
    <r>
      <rPr>
        <vertAlign val="subscript"/>
        <sz val="10"/>
        <rFont val="Arial"/>
        <charset val="134"/>
      </rPr>
      <t xml:space="preserve">f  </t>
    </r>
    <r>
      <rPr>
        <sz val="10"/>
        <rFont val="Arial"/>
        <charset val="134"/>
      </rPr>
      <t>+ N * e</t>
    </r>
    <r>
      <rPr>
        <vertAlign val="subscript"/>
        <sz val="10"/>
        <rFont val="Arial"/>
        <charset val="134"/>
      </rPr>
      <t xml:space="preserve">x </t>
    </r>
    <r>
      <rPr>
        <sz val="10"/>
        <rFont val="Arial"/>
        <charset val="134"/>
      </rPr>
      <t>=</t>
    </r>
  </si>
  <si>
    <t xml:space="preserve">     - Áp lực tính toán dưới đáy móng</t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</si>
  <si>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 xml:space="preserve"> = ΣN/A</t>
    </r>
    <r>
      <rPr>
        <vertAlign val="subscript"/>
        <sz val="10"/>
        <rFont val="Arial"/>
        <charset val="134"/>
      </rPr>
      <t>f</t>
    </r>
    <r>
      <rPr>
        <sz val="10"/>
        <rFont val="Arial"/>
        <charset val="134"/>
      </rPr>
      <t xml:space="preserve">  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>f</t>
    </r>
    <r>
      <rPr>
        <sz val="10"/>
        <rFont val="Arial"/>
        <charset val="134"/>
      </rPr>
      <t xml:space="preserve"> +p</t>
    </r>
    <r>
      <rPr>
        <vertAlign val="subscript"/>
        <sz val="10"/>
        <rFont val="Arial"/>
        <charset val="134"/>
      </rPr>
      <t>g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</si>
  <si>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max</t>
    </r>
    <r>
      <rPr>
        <sz val="10"/>
        <rFont val="Arial"/>
        <charset val="134"/>
      </rPr>
      <t xml:space="preserve"> = ΣN/A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ΣM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+ ΣM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 xml:space="preserve">y </t>
    </r>
    <r>
      <rPr>
        <sz val="10"/>
        <rFont val="Arial"/>
        <charset val="134"/>
      </rPr>
      <t>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>f</t>
    </r>
    <r>
      <rPr>
        <sz val="10"/>
        <rFont val="Arial"/>
        <charset val="134"/>
      </rPr>
      <t xml:space="preserve"> + p</t>
    </r>
    <r>
      <rPr>
        <vertAlign val="subscript"/>
        <sz val="10"/>
        <rFont val="Arial"/>
        <charset val="134"/>
      </rPr>
      <t>g</t>
    </r>
    <r>
      <rPr>
        <sz val="10"/>
        <rFont val="Arial"/>
        <charset val="134"/>
      </rPr>
      <t xml:space="preserve"> =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</si>
  <si>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min</t>
    </r>
    <r>
      <rPr>
        <sz val="10"/>
        <rFont val="Arial"/>
        <charset val="134"/>
      </rPr>
      <t xml:space="preserve"> = ΣN/A</t>
    </r>
    <r>
      <rPr>
        <vertAlign val="subscript"/>
        <sz val="10"/>
        <rFont val="Arial"/>
        <charset val="134"/>
      </rPr>
      <t xml:space="preserve">f  </t>
    </r>
    <r>
      <rPr>
        <sz val="10"/>
        <rFont val="Arial"/>
        <charset val="134"/>
      </rPr>
      <t>- ΣM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- ΣM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/W</t>
    </r>
    <r>
      <rPr>
        <vertAlign val="subscript"/>
        <sz val="10"/>
        <rFont val="Arial"/>
        <charset val="134"/>
      </rPr>
      <t xml:space="preserve">y </t>
    </r>
    <r>
      <rPr>
        <sz val="10"/>
        <rFont val="Arial"/>
        <charset val="134"/>
      </rPr>
      <t xml:space="preserve"> + γ</t>
    </r>
    <r>
      <rPr>
        <vertAlign val="subscript"/>
        <sz val="10"/>
        <rFont val="Arial"/>
        <charset val="134"/>
      </rPr>
      <t>tb</t>
    </r>
    <r>
      <rPr>
        <sz val="10"/>
        <rFont val="Arial"/>
        <charset val="134"/>
      </rPr>
      <t>*D</t>
    </r>
    <r>
      <rPr>
        <vertAlign val="subscript"/>
        <sz val="10"/>
        <rFont val="Arial"/>
        <charset val="134"/>
      </rPr>
      <t xml:space="preserve">f </t>
    </r>
    <r>
      <rPr>
        <sz val="10"/>
        <rFont val="Arial"/>
        <charset val="134"/>
      </rPr>
      <t>+ p</t>
    </r>
    <r>
      <rPr>
        <vertAlign val="subscript"/>
        <sz val="10"/>
        <rFont val="Arial"/>
        <charset val="134"/>
      </rPr>
      <t xml:space="preserve">g </t>
    </r>
    <r>
      <rPr>
        <sz val="10"/>
        <rFont val="Arial"/>
        <charset val="134"/>
      </rPr>
      <t>=</t>
    </r>
  </si>
  <si>
    <t xml:space="preserve">     * Kiểm tra chọc thủng móng</t>
  </si>
  <si>
    <t xml:space="preserve">     - KC mép cột đến mép móng:</t>
  </si>
  <si>
    <t xml:space="preserve">cx1 = </t>
  </si>
  <si>
    <t xml:space="preserve">cy1 = </t>
  </si>
  <si>
    <t xml:space="preserve">cx2 = </t>
  </si>
  <si>
    <t xml:space="preserve">cy2 = </t>
  </si>
  <si>
    <t xml:space="preserve">     * TH1: Tháp xuyên thủng xung quanh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</si>
  <si>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>ct</t>
    </r>
    <r>
      <rPr>
        <sz val="10"/>
        <rFont val="Arial"/>
        <charset val="134"/>
      </rPr>
      <t xml:space="preserve"> ≤ N</t>
    </r>
    <r>
      <rPr>
        <vertAlign val="subscript"/>
        <sz val="10"/>
        <rFont val="Arial"/>
        <charset val="134"/>
      </rPr>
      <t>kt</t>
    </r>
    <r>
      <rPr>
        <sz val="10"/>
        <rFont val="Arial"/>
        <charset val="134"/>
      </rPr>
      <t xml:space="preserve"> =0.75*R</t>
    </r>
    <r>
      <rPr>
        <vertAlign val="subscript"/>
        <sz val="10"/>
        <rFont val="Arial"/>
        <charset val="134"/>
      </rPr>
      <t>bt</t>
    </r>
    <r>
      <rPr>
        <sz val="10"/>
        <rFont val="Arial"/>
        <charset val="134"/>
      </rPr>
      <t>*u</t>
    </r>
    <r>
      <rPr>
        <vertAlign val="subscript"/>
        <sz val="10"/>
        <rFont val="Arial"/>
        <charset val="134"/>
      </rPr>
      <t>m1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>0</t>
    </r>
  </si>
  <si>
    <t>+ Chu vi trung bình tháp chọc thủng:</t>
  </si>
  <si>
    <r>
      <rPr>
        <sz val="10"/>
        <rFont val="Arial"/>
        <charset val="134"/>
      </rPr>
      <t>u</t>
    </r>
    <r>
      <rPr>
        <vertAlign val="subscript"/>
        <sz val="10"/>
        <rFont val="Arial"/>
        <charset val="134"/>
      </rPr>
      <t>m1</t>
    </r>
    <r>
      <rPr>
        <sz val="10"/>
        <rFont val="Arial"/>
        <charset val="134"/>
      </rPr>
      <t xml:space="preserve"> = </t>
    </r>
  </si>
  <si>
    <t>+ Diện tích ngoài đáy tháp chọc thủng :</t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</si>
  <si>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 xml:space="preserve">= </t>
    </r>
  </si>
  <si>
    <t>- Lực gây đâm thủng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</si>
  <si>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>ct</t>
    </r>
    <r>
      <rPr>
        <sz val="10"/>
        <rFont val="Arial"/>
        <charset val="134"/>
      </rPr>
      <t xml:space="preserve"> =p</t>
    </r>
    <r>
      <rPr>
        <vertAlign val="subscript"/>
        <sz val="10"/>
        <rFont val="Arial"/>
        <charset val="134"/>
      </rPr>
      <t>max</t>
    </r>
    <r>
      <rPr>
        <sz val="10"/>
        <rFont val="Arial"/>
        <charset val="134"/>
      </rPr>
      <t>*A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=</t>
    </r>
  </si>
  <si>
    <t>- Lực kháng thủng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</si>
  <si>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>kt</t>
    </r>
    <r>
      <rPr>
        <sz val="10"/>
        <rFont val="Arial"/>
        <charset val="134"/>
      </rPr>
      <t xml:space="preserve"> = 0.75*R</t>
    </r>
    <r>
      <rPr>
        <vertAlign val="subscript"/>
        <sz val="10"/>
        <rFont val="Arial"/>
        <charset val="134"/>
      </rPr>
      <t>bt</t>
    </r>
    <r>
      <rPr>
        <sz val="10"/>
        <rFont val="Arial"/>
        <charset val="134"/>
      </rPr>
      <t>*u</t>
    </r>
    <r>
      <rPr>
        <vertAlign val="subscript"/>
        <sz val="10"/>
        <rFont val="Arial"/>
        <charset val="134"/>
      </rPr>
      <t>m1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 xml:space="preserve">0 </t>
    </r>
    <r>
      <rPr>
        <sz val="10"/>
        <rFont val="Arial"/>
        <charset val="134"/>
      </rPr>
      <t>=</t>
    </r>
  </si>
  <si>
    <t xml:space="preserve">     * TH2: Tháp xuyên thủng 1 mặt bên</t>
  </si>
  <si>
    <t>D/C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</si>
  <si>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>ct</t>
    </r>
    <r>
      <rPr>
        <sz val="10"/>
        <rFont val="Arial"/>
        <charset val="134"/>
      </rPr>
      <t xml:space="preserve"> ≤ N</t>
    </r>
    <r>
      <rPr>
        <vertAlign val="subscript"/>
        <sz val="10"/>
        <rFont val="Arial"/>
        <charset val="134"/>
      </rPr>
      <t>kt</t>
    </r>
    <r>
      <rPr>
        <sz val="10"/>
        <rFont val="Arial"/>
        <charset val="134"/>
      </rPr>
      <t xml:space="preserve"> =0.75*R</t>
    </r>
    <r>
      <rPr>
        <vertAlign val="subscript"/>
        <sz val="10"/>
        <rFont val="Arial"/>
        <charset val="134"/>
      </rPr>
      <t>bt</t>
    </r>
    <r>
      <rPr>
        <sz val="10"/>
        <rFont val="Arial"/>
        <charset val="134"/>
      </rPr>
      <t>*u</t>
    </r>
    <r>
      <rPr>
        <vertAlign val="subscript"/>
        <sz val="10"/>
        <rFont val="Arial"/>
        <charset val="134"/>
      </rPr>
      <t>m2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>0</t>
    </r>
  </si>
  <si>
    <t>Mặt</t>
  </si>
  <si>
    <t>AB</t>
  </si>
  <si>
    <t>BC</t>
  </si>
  <si>
    <t>CD</t>
  </si>
  <si>
    <t>DA</t>
  </si>
  <si>
    <r>
      <rPr>
        <sz val="10"/>
        <rFont val="Arial"/>
        <charset val="134"/>
      </rPr>
      <t>u</t>
    </r>
    <r>
      <rPr>
        <vertAlign val="subscript"/>
        <sz val="10"/>
        <rFont val="Arial"/>
        <charset val="134"/>
      </rPr>
      <t>m2</t>
    </r>
    <r>
      <rPr>
        <sz val="10"/>
        <rFont val="Arial"/>
        <charset val="134"/>
      </rPr>
      <t xml:space="preserve"> = </t>
    </r>
  </si>
  <si>
    <t>Nct</t>
  </si>
  <si>
    <t>Nkt</t>
  </si>
  <si>
    <t>um2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</si>
  <si>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>kt</t>
    </r>
    <r>
      <rPr>
        <sz val="10"/>
        <rFont val="Arial"/>
        <charset val="134"/>
      </rPr>
      <t xml:space="preserve"> = 0.75*R</t>
    </r>
    <r>
      <rPr>
        <vertAlign val="subscript"/>
        <sz val="10"/>
        <rFont val="Arial"/>
        <charset val="134"/>
      </rPr>
      <t>bt</t>
    </r>
    <r>
      <rPr>
        <sz val="10"/>
        <rFont val="Arial"/>
        <charset val="134"/>
      </rPr>
      <t>*u</t>
    </r>
    <r>
      <rPr>
        <vertAlign val="subscript"/>
        <sz val="10"/>
        <rFont val="Arial"/>
        <charset val="134"/>
      </rPr>
      <t>m2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 xml:space="preserve">0 </t>
    </r>
    <r>
      <rPr>
        <sz val="10"/>
        <rFont val="Arial"/>
        <charset val="134"/>
      </rPr>
      <t>=</t>
    </r>
  </si>
  <si>
    <t>Act</t>
  </si>
  <si>
    <t>5. KIỂM TRA ỔN ĐỊNH TRƯỢT ĐÁY MÓNG</t>
  </si>
  <si>
    <t xml:space="preserve">     - Góc nội ma sát :</t>
  </si>
  <si>
    <t>φ =</t>
  </si>
  <si>
    <t xml:space="preserve">     - Lực dính đơn vị :</t>
  </si>
  <si>
    <r>
      <rPr>
        <sz val="10"/>
        <rFont val="Arial"/>
        <charset val="134"/>
      </rPr>
      <t>c</t>
    </r>
    <r>
      <rPr>
        <vertAlign val="subscript"/>
        <sz val="10"/>
        <rFont val="Arial"/>
        <charset val="134"/>
      </rPr>
      <t xml:space="preserve">II </t>
    </r>
    <r>
      <rPr>
        <sz val="10"/>
        <rFont val="Arial"/>
        <charset val="134"/>
      </rPr>
      <t>=</t>
    </r>
  </si>
  <si>
    <t xml:space="preserve">     - Lực gây trượt theo phương X :</t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</si>
  <si>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>x max</t>
    </r>
    <r>
      <rPr>
        <sz val="10"/>
        <rFont val="Arial"/>
        <charset val="134"/>
      </rPr>
      <t>=</t>
    </r>
  </si>
  <si>
    <t xml:space="preserve">     - Lực gây trượt theo phương Y :</t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</si>
  <si>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 xml:space="preserve">ymax </t>
    </r>
    <r>
      <rPr>
        <sz val="10"/>
        <rFont val="Arial"/>
        <charset val="134"/>
      </rPr>
      <t>=</t>
    </r>
  </si>
  <si>
    <t xml:space="preserve">     - Lực chống trượt :</t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</si>
  <si>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>ct</t>
    </r>
    <r>
      <rPr>
        <sz val="10"/>
        <rFont val="Arial"/>
        <charset val="134"/>
      </rPr>
      <t xml:space="preserve"> = N</t>
    </r>
    <r>
      <rPr>
        <vertAlign val="superscript"/>
        <sz val="11"/>
        <rFont val="Arial"/>
        <charset val="134"/>
      </rPr>
      <t xml:space="preserve"> </t>
    </r>
    <r>
      <rPr>
        <sz val="11"/>
        <rFont val="Arial"/>
        <charset val="134"/>
      </rPr>
      <t xml:space="preserve">*tan(φ)+c*Lx*Ly = </t>
    </r>
  </si>
  <si>
    <r>
      <rPr>
        <sz val="10"/>
        <rFont val="Arial"/>
        <charset val="134"/>
      </rPr>
      <t xml:space="preserve">     k</t>
    </r>
    <r>
      <rPr>
        <vertAlign val="subscript"/>
        <sz val="10"/>
        <rFont val="Arial"/>
        <charset val="134"/>
      </rPr>
      <t>t</t>
    </r>
    <r>
      <rPr>
        <sz val="10"/>
        <rFont val="Arial"/>
        <charset val="134"/>
      </rPr>
      <t xml:space="preserve"> =H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/ max(H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, H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) =</t>
    </r>
  </si>
  <si>
    <r>
      <rPr>
        <sz val="10"/>
        <rFont val="Arial"/>
        <charset val="134"/>
      </rPr>
      <t>[k</t>
    </r>
    <r>
      <rPr>
        <vertAlign val="subscript"/>
        <sz val="10"/>
        <rFont val="Arial"/>
        <charset val="134"/>
      </rPr>
      <t xml:space="preserve">t </t>
    </r>
    <r>
      <rPr>
        <sz val="10"/>
        <rFont val="Arial"/>
        <charset val="134"/>
      </rPr>
      <t>] =</t>
    </r>
  </si>
  <si>
    <t>6. KIỂM TRA LẬT</t>
  </si>
  <si>
    <t xml:space="preserve">     - Momen gây lật :</t>
  </si>
  <si>
    <t>ΣMx =</t>
  </si>
  <si>
    <t>ΣMy =</t>
  </si>
  <si>
    <t xml:space="preserve">     - Momen chống lật :</t>
  </si>
  <si>
    <t>ΣMclx =</t>
  </si>
  <si>
    <t>ΣMcly =</t>
  </si>
  <si>
    <r>
      <rPr>
        <sz val="10"/>
        <rFont val="Arial"/>
        <charset val="134"/>
      </rPr>
      <t>k</t>
    </r>
    <r>
      <rPr>
        <vertAlign val="subscript"/>
        <sz val="10"/>
        <rFont val="Arial"/>
        <charset val="134"/>
      </rPr>
      <t>l</t>
    </r>
    <r>
      <rPr>
        <sz val="10"/>
        <rFont val="Arial"/>
        <charset val="134"/>
      </rPr>
      <t xml:space="preserve"> =ΣM</t>
    </r>
    <r>
      <rPr>
        <vertAlign val="superscript"/>
        <sz val="10"/>
        <rFont val="Arial"/>
        <charset val="134"/>
      </rPr>
      <t>cl</t>
    </r>
    <r>
      <rPr>
        <sz val="10"/>
        <rFont val="Arial"/>
        <charset val="134"/>
      </rPr>
      <t xml:space="preserve"> / ΣM</t>
    </r>
    <r>
      <rPr>
        <sz val="10"/>
        <rFont val="Arial"/>
        <charset val="134"/>
      </rPr>
      <t xml:space="preserve"> =</t>
    </r>
  </si>
  <si>
    <r>
      <rPr>
        <sz val="10"/>
        <rFont val="Arial"/>
        <charset val="134"/>
      </rPr>
      <t>k</t>
    </r>
    <r>
      <rPr>
        <vertAlign val="subscript"/>
        <sz val="10"/>
        <rFont val="Arial"/>
        <charset val="134"/>
      </rPr>
      <t>l</t>
    </r>
    <r>
      <rPr>
        <sz val="10"/>
        <rFont val="Arial"/>
        <charset val="134"/>
      </rPr>
      <t xml:space="preserve"> =</t>
    </r>
  </si>
  <si>
    <t>7. TÍNH TOÁN CỐT THÉP MÓNG</t>
  </si>
  <si>
    <t xml:space="preserve">     * Cốt thép theo phương X:</t>
  </si>
  <si>
    <t>Phương</t>
  </si>
  <si>
    <t>- Áp lực tại mép chân cột</t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</si>
  <si>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1x</t>
    </r>
    <r>
      <rPr>
        <sz val="10"/>
        <rFont val="Arial"/>
        <charset val="134"/>
      </rPr>
      <t xml:space="preserve"> =</t>
    </r>
  </si>
  <si>
    <t>My(kNm/m)</t>
  </si>
  <si>
    <t>- Mômen quanh trục Y: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</si>
  <si>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 xml:space="preserve"> =</t>
    </r>
  </si>
  <si>
    <t>Mx(kNm/m)</t>
  </si>
  <si>
    <t>- Diện tích thép phương X:</t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</si>
  <si>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sx </t>
    </r>
    <r>
      <rPr>
        <sz val="10"/>
        <rFont val="Arial"/>
        <charset val="134"/>
      </rPr>
      <t>=M</t>
    </r>
    <r>
      <rPr>
        <vertAlign val="subscript"/>
        <sz val="10"/>
        <rFont val="Arial"/>
        <charset val="134"/>
      </rPr>
      <t xml:space="preserve">Y </t>
    </r>
    <r>
      <rPr>
        <sz val="10"/>
        <rFont val="Arial"/>
        <charset val="134"/>
      </rPr>
      <t>/ (0.9*R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>) =</t>
    </r>
  </si>
  <si>
    <t>pmax</t>
  </si>
  <si>
    <t>-Chọn: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</si>
  <si>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=</t>
    </r>
  </si>
  <si>
    <t>pmin</t>
  </si>
  <si>
    <t xml:space="preserve">    * Cốt thép theo phương Y:</t>
  </si>
  <si>
    <t>p1x(My)</t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</si>
  <si>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1y</t>
    </r>
    <r>
      <rPr>
        <sz val="10"/>
        <rFont val="Arial"/>
        <charset val="134"/>
      </rPr>
      <t xml:space="preserve"> =</t>
    </r>
  </si>
  <si>
    <t>p1y(Mx)</t>
  </si>
  <si>
    <t>- Mômen quanh trục X: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</si>
  <si>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 xml:space="preserve"> = </t>
    </r>
  </si>
  <si>
    <t>- Diện tích thép phương Y:</t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</si>
  <si>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sy </t>
    </r>
    <r>
      <rPr>
        <sz val="10"/>
        <rFont val="Arial"/>
        <charset val="134"/>
      </rPr>
      <t>=M</t>
    </r>
    <r>
      <rPr>
        <vertAlign val="subscript"/>
        <sz val="10"/>
        <rFont val="Arial"/>
        <charset val="134"/>
      </rPr>
      <t xml:space="preserve">X </t>
    </r>
    <r>
      <rPr>
        <sz val="10"/>
        <rFont val="Arial"/>
        <charset val="134"/>
      </rPr>
      <t>/ (0.9*R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*h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>)=</t>
    </r>
  </si>
  <si>
    <r>
      <rPr>
        <sz val="10"/>
        <rFont val="Arial"/>
        <charset val="134"/>
      </rPr>
      <t>μ =A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/bh</t>
    </r>
    <r>
      <rPr>
        <vertAlign val="subscript"/>
        <sz val="10"/>
        <rFont val="Arial"/>
        <charset val="134"/>
      </rPr>
      <t>o</t>
    </r>
    <r>
      <rPr>
        <sz val="10"/>
        <rFont val="Arial"/>
        <charset val="134"/>
      </rPr>
      <t xml:space="preserve"> =</t>
    </r>
  </si>
  <si>
    <t>8. KIỂM TRA LÚN (p-e)</t>
  </si>
  <si>
    <t xml:space="preserve">    - Trọng lượng riêng của đất bên trên móng:</t>
  </si>
  <si>
    <r>
      <rPr>
        <sz val="10"/>
        <rFont val="Arial"/>
        <charset val="134"/>
      </rPr>
      <t>γ'</t>
    </r>
    <r>
      <rPr>
        <vertAlign val="subscript"/>
        <sz val="10"/>
        <rFont val="Arial"/>
        <charset val="134"/>
      </rPr>
      <t>II</t>
    </r>
    <r>
      <rPr>
        <sz val="10"/>
        <rFont val="Arial"/>
        <charset val="134"/>
      </rPr>
      <t xml:space="preserve"> =</t>
    </r>
  </si>
  <si>
    <t xml:space="preserve">     - Bề rộng  qui ước tính lún : </t>
  </si>
  <si>
    <r>
      <rPr>
        <sz val="10"/>
        <rFont val="Arial"/>
        <charset val="134"/>
      </rPr>
      <t>B</t>
    </r>
    <r>
      <rPr>
        <vertAlign val="subscript"/>
        <sz val="10"/>
        <rFont val="Arial"/>
        <charset val="134"/>
      </rPr>
      <t>qu</t>
    </r>
    <r>
      <rPr>
        <sz val="10"/>
        <rFont val="Arial"/>
        <charset val="134"/>
      </rPr>
      <t xml:space="preserve"> =</t>
    </r>
  </si>
  <si>
    <t xml:space="preserve">     - Tỉ số chiều dài / chiều rộng :</t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</si>
  <si>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qu </t>
    </r>
    <r>
      <rPr>
        <sz val="10"/>
        <rFont val="Arial"/>
        <charset val="134"/>
      </rPr>
      <t>/B</t>
    </r>
    <r>
      <rPr>
        <vertAlign val="subscript"/>
        <sz val="10"/>
        <rFont val="Arial"/>
        <charset val="134"/>
      </rPr>
      <t xml:space="preserve">qu </t>
    </r>
    <r>
      <rPr>
        <sz val="10"/>
        <rFont val="Arial"/>
        <charset val="134"/>
      </rPr>
      <t xml:space="preserve">= </t>
    </r>
  </si>
  <si>
    <t xml:space="preserve">     - Chiều dày các lớp phân tố :</t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</si>
  <si>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 xml:space="preserve">i </t>
    </r>
    <r>
      <rPr>
        <sz val="10"/>
        <rFont val="Arial"/>
        <charset val="134"/>
      </rPr>
      <t>=B</t>
    </r>
    <r>
      <rPr>
        <vertAlign val="subscript"/>
        <sz val="10"/>
        <rFont val="Arial"/>
        <charset val="134"/>
      </rPr>
      <t>qu</t>
    </r>
    <r>
      <rPr>
        <sz val="10"/>
        <rFont val="Arial"/>
        <charset val="134"/>
      </rPr>
      <t xml:space="preserve">/5 = </t>
    </r>
  </si>
  <si>
    <t xml:space="preserve">     - Độ lún S =</t>
  </si>
  <si>
    <r>
      <rPr>
        <sz val="10"/>
        <rFont val="Arial"/>
        <charset val="134"/>
      </rPr>
      <t>[S]</t>
    </r>
    <r>
      <rPr>
        <vertAlign val="subscript"/>
        <sz val="10"/>
        <rFont val="Arial"/>
        <charset val="134"/>
      </rPr>
      <t xml:space="preserve">gh 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</si>
  <si>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i</t>
    </r>
    <r>
      <rPr>
        <sz val="10"/>
        <rFont val="Arial"/>
        <charset val="134"/>
      </rPr>
      <t>(kN/m</t>
    </r>
    <r>
      <rPr>
        <vertAlign val="superscript"/>
        <sz val="10"/>
        <rFont val="Arial"/>
        <charset val="134"/>
      </rPr>
      <t>2</t>
    </r>
    <r>
      <rPr>
        <sz val="10"/>
        <rFont val="Arial"/>
        <charset val="134"/>
      </rPr>
      <t>)</t>
    </r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</si>
  <si>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 xml:space="preserve">i </t>
    </r>
    <r>
      <rPr>
        <sz val="10"/>
        <rFont val="Arial"/>
        <charset val="134"/>
      </rPr>
      <t>(m)</t>
    </r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</si>
  <si>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 xml:space="preserve">i </t>
    </r>
    <r>
      <rPr>
        <sz val="10"/>
        <rFont val="Arial"/>
        <charset val="134"/>
      </rPr>
      <t>(kN/m</t>
    </r>
    <r>
      <rPr>
        <vertAlign val="superscript"/>
        <sz val="10"/>
        <rFont val="Arial"/>
        <charset val="134"/>
      </rPr>
      <t>3</t>
    </r>
    <r>
      <rPr>
        <sz val="10"/>
        <rFont val="Arial"/>
        <charset val="134"/>
      </rPr>
      <t>)</t>
    </r>
  </si>
  <si>
    <t>e1</t>
  </si>
  <si>
    <t>Giới hạn dừng tính lún :</t>
  </si>
  <si>
    <t>e2</t>
  </si>
  <si>
    <t>Đất yếu</t>
  </si>
  <si>
    <t>σbt  ≥</t>
  </si>
  <si>
    <t>σgl</t>
  </si>
  <si>
    <t>e3</t>
  </si>
  <si>
    <t>z</t>
  </si>
  <si>
    <r>
      <rPr>
        <sz val="10"/>
        <rFont val="Arial"/>
        <charset val="134"/>
      </rPr>
      <t>2z/B</t>
    </r>
    <r>
      <rPr>
        <vertAlign val="subscript"/>
        <sz val="10"/>
        <rFont val="Arial"/>
        <charset val="134"/>
      </rPr>
      <t>qu</t>
    </r>
  </si>
  <si>
    <r>
      <rPr>
        <sz val="10"/>
        <rFont val="Arial"/>
        <charset val="134"/>
      </rPr>
      <t>K</t>
    </r>
    <r>
      <rPr>
        <vertAlign val="subscript"/>
        <sz val="10"/>
        <rFont val="Arial"/>
        <charset val="134"/>
      </rPr>
      <t>o</t>
    </r>
  </si>
  <si>
    <r>
      <rPr>
        <sz val="10"/>
        <rFont val="Times New Roman"/>
        <charset val="134"/>
      </rPr>
      <t>γ</t>
    </r>
    <r>
      <rPr>
        <vertAlign val="subscript"/>
        <sz val="10"/>
        <rFont val="Arial"/>
        <charset val="134"/>
      </rPr>
      <t>i</t>
    </r>
  </si>
  <si>
    <r>
      <rPr>
        <sz val="10"/>
        <rFont val="Times New Roman"/>
        <charset val="134"/>
      </rPr>
      <t>σ</t>
    </r>
    <r>
      <rPr>
        <vertAlign val="subscript"/>
        <sz val="10"/>
        <rFont val="Arial"/>
        <charset val="134"/>
      </rPr>
      <t>gl</t>
    </r>
  </si>
  <si>
    <r>
      <rPr>
        <sz val="10"/>
        <rFont val="Arial"/>
        <charset val="134"/>
      </rPr>
      <t>σ</t>
    </r>
    <r>
      <rPr>
        <vertAlign val="subscript"/>
        <sz val="10"/>
        <rFont val="Arial"/>
        <charset val="134"/>
      </rPr>
      <t>bt</t>
    </r>
  </si>
  <si>
    <r>
      <rPr>
        <sz val="10"/>
        <rFont val="Arial"/>
        <charset val="134"/>
      </rPr>
      <t>S</t>
    </r>
    <r>
      <rPr>
        <vertAlign val="subscript"/>
        <sz val="10"/>
        <rFont val="Arial"/>
        <charset val="134"/>
      </rPr>
      <t>i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</si>
  <si>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1i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</si>
  <si>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2i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</si>
  <si>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1i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</si>
  <si>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2i</t>
    </r>
  </si>
  <si>
    <t>Kiểm tra</t>
  </si>
  <si>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3</t>
    </r>
  </si>
  <si>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</si>
  <si>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t>cm</t>
  </si>
  <si>
    <t>9. KIỂM TRA LÚN ( E )</t>
  </si>
  <si>
    <t>Lớp đất</t>
  </si>
  <si>
    <t>Hi (m)</t>
  </si>
  <si>
    <t>γi (kN/m3)</t>
  </si>
  <si>
    <t>Ei (kN/m2)</t>
  </si>
  <si>
    <t>Giới hạn lún</t>
  </si>
  <si>
    <t>σbt</t>
  </si>
  <si>
    <t>MÓNG ĐƠN</t>
  </si>
  <si>
    <t>AUTOCAD</t>
  </si>
  <si>
    <t>Tên
Móng</t>
  </si>
  <si>
    <t>Point</t>
  </si>
  <si>
    <r>
      <rPr>
        <sz val="10"/>
        <color rgb="FF0000FF"/>
        <rFont val="Arial"/>
        <charset val="134"/>
      </rPr>
      <t>B</t>
    </r>
    <r>
      <rPr>
        <vertAlign val="subscript"/>
        <sz val="10"/>
        <color rgb="FF0000FF"/>
        <rFont val="Arial"/>
        <charset val="134"/>
      </rPr>
      <t>x</t>
    </r>
  </si>
  <si>
    <r>
      <rPr>
        <sz val="10"/>
        <color rgb="FF0000FF"/>
        <rFont val="Arial"/>
        <charset val="134"/>
      </rPr>
      <t>B</t>
    </r>
    <r>
      <rPr>
        <vertAlign val="subscript"/>
        <sz val="10"/>
        <color rgb="FF0000FF"/>
        <rFont val="Arial"/>
        <charset val="134"/>
      </rPr>
      <t>y</t>
    </r>
  </si>
  <si>
    <r>
      <rPr>
        <b/>
        <sz val="10"/>
        <color rgb="FF0000FF"/>
        <rFont val="Arial"/>
        <charset val="134"/>
      </rPr>
      <t>C</t>
    </r>
    <r>
      <rPr>
        <b/>
        <vertAlign val="subscript"/>
        <sz val="10"/>
        <color rgb="FF0000FF"/>
        <rFont val="Arial"/>
        <charset val="134"/>
      </rPr>
      <t>x</t>
    </r>
  </si>
  <si>
    <r>
      <rPr>
        <b/>
        <sz val="10"/>
        <color rgb="FF0000FF"/>
        <rFont val="Arial"/>
        <charset val="134"/>
      </rPr>
      <t>C</t>
    </r>
    <r>
      <rPr>
        <b/>
        <vertAlign val="subscript"/>
        <sz val="10"/>
        <color rgb="FF0000FF"/>
        <rFont val="Arial"/>
        <charset val="134"/>
      </rPr>
      <t>y</t>
    </r>
  </si>
  <si>
    <t>Lệnh tâm cột</t>
  </si>
  <si>
    <r>
      <rPr>
        <b/>
        <sz val="10"/>
        <color rgb="FF0000FF"/>
        <rFont val="Arial"/>
        <charset val="134"/>
      </rPr>
      <t>H</t>
    </r>
    <r>
      <rPr>
        <b/>
        <vertAlign val="subscript"/>
        <sz val="10"/>
        <color rgb="FF0000FF"/>
        <rFont val="Arial"/>
        <charset val="134"/>
      </rPr>
      <t>f</t>
    </r>
  </si>
  <si>
    <t>a</t>
  </si>
  <si>
    <r>
      <rPr>
        <b/>
        <sz val="10"/>
        <color rgb="FF0000FF"/>
        <rFont val="Arial"/>
        <charset val="134"/>
      </rPr>
      <t>D</t>
    </r>
    <r>
      <rPr>
        <b/>
        <vertAlign val="subscript"/>
        <sz val="10"/>
        <color rgb="FF0000FF"/>
        <rFont val="Arial"/>
        <charset val="134"/>
      </rPr>
      <t>f</t>
    </r>
  </si>
  <si>
    <r>
      <rPr>
        <b/>
        <sz val="10"/>
        <color rgb="FF0000FF"/>
        <rFont val="Symbol"/>
        <charset val="2"/>
      </rPr>
      <t>g</t>
    </r>
    <r>
      <rPr>
        <b/>
        <vertAlign val="subscript"/>
        <sz val="10"/>
        <color rgb="FF0000FF"/>
        <rFont val="Arial"/>
        <charset val="134"/>
      </rPr>
      <t xml:space="preserve">tb </t>
    </r>
  </si>
  <si>
    <t>Htn</t>
  </si>
  <si>
    <r>
      <rPr>
        <b/>
        <sz val="10"/>
        <color rgb="FF0000FF"/>
        <rFont val="Arial"/>
        <charset val="134"/>
      </rPr>
      <t>p</t>
    </r>
    <r>
      <rPr>
        <b/>
        <vertAlign val="subscript"/>
        <sz val="10"/>
        <color rgb="FF0000FF"/>
        <rFont val="Arial"/>
        <charset val="134"/>
      </rPr>
      <t>g</t>
    </r>
  </si>
  <si>
    <r>
      <rPr>
        <b/>
        <sz val="10"/>
        <color rgb="FF0000FF"/>
        <rFont val="Arial"/>
        <charset val="134"/>
      </rPr>
      <t>R</t>
    </r>
    <r>
      <rPr>
        <b/>
        <vertAlign val="subscript"/>
        <sz val="10"/>
        <color rgb="FF0000FF"/>
        <rFont val="Arial"/>
        <charset val="134"/>
      </rPr>
      <t>II</t>
    </r>
    <r>
      <rPr>
        <b/>
        <vertAlign val="superscript"/>
        <sz val="10"/>
        <color rgb="FF0000FF"/>
        <rFont val="Arial"/>
        <charset val="134"/>
      </rPr>
      <t>tc</t>
    </r>
  </si>
  <si>
    <t>φ</t>
  </si>
  <si>
    <r>
      <rPr>
        <sz val="10"/>
        <color rgb="FF0000FF"/>
        <rFont val="Arial"/>
        <charset val="134"/>
      </rPr>
      <t>c</t>
    </r>
    <r>
      <rPr>
        <vertAlign val="subscript"/>
        <sz val="10"/>
        <color rgb="FF0000FF"/>
        <rFont val="Arial"/>
        <charset val="134"/>
      </rPr>
      <t>II</t>
    </r>
  </si>
  <si>
    <t>Mác
BT</t>
  </si>
  <si>
    <t>Rb</t>
  </si>
  <si>
    <t>Rbt</t>
  </si>
  <si>
    <t>Mác
Thép</t>
  </si>
  <si>
    <t>Rs</t>
  </si>
  <si>
    <t>K.TRA
ĐẤT NỀN</t>
  </si>
  <si>
    <t>K.TRA
X.THỦNG</t>
  </si>
  <si>
    <t>SLS</t>
  </si>
  <si>
    <t>ULS</t>
  </si>
  <si>
    <t>M</t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</si>
  <si>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 xml:space="preserve">s 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</si>
  <si>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 xml:space="preserve">sCHỌN </t>
    </r>
  </si>
  <si>
    <t>Tọa độ</t>
  </si>
  <si>
    <r>
      <rPr>
        <b/>
        <sz val="10"/>
        <color rgb="FF0000FF"/>
        <rFont val="Arial"/>
        <charset val="134"/>
      </rPr>
      <t>e</t>
    </r>
    <r>
      <rPr>
        <b/>
        <vertAlign val="subscript"/>
        <sz val="10"/>
        <color rgb="FF0000FF"/>
        <rFont val="Arial"/>
        <charset val="134"/>
      </rPr>
      <t>x</t>
    </r>
    <r>
      <rPr>
        <b/>
        <sz val="10"/>
        <color rgb="FF0000FF"/>
        <rFont val="Arial"/>
        <charset val="134"/>
      </rPr>
      <t xml:space="preserve"> (m)</t>
    </r>
  </si>
  <si>
    <r>
      <rPr>
        <b/>
        <sz val="10"/>
        <color rgb="FF0000FF"/>
        <rFont val="Arial"/>
        <charset val="134"/>
      </rPr>
      <t>e</t>
    </r>
    <r>
      <rPr>
        <b/>
        <vertAlign val="subscript"/>
        <sz val="10"/>
        <color rgb="FF0000FF"/>
        <rFont val="Arial"/>
        <charset val="134"/>
      </rPr>
      <t>y</t>
    </r>
    <r>
      <rPr>
        <b/>
        <sz val="10"/>
        <color rgb="FF0000FF"/>
        <rFont val="Arial"/>
        <charset val="134"/>
      </rPr>
      <t xml:space="preserve"> (m)</t>
    </r>
  </si>
  <si>
    <r>
      <rPr>
        <b/>
        <sz val="10"/>
        <color rgb="FF0000FF"/>
        <rFont val="Arial"/>
        <charset val="134"/>
      </rPr>
      <t>kN/m</t>
    </r>
    <r>
      <rPr>
        <b/>
        <vertAlign val="superscript"/>
        <sz val="10"/>
        <color rgb="FF0000FF"/>
        <rFont val="Arial"/>
        <charset val="134"/>
      </rPr>
      <t>3</t>
    </r>
  </si>
  <si>
    <t>kN/m2</t>
  </si>
  <si>
    <r>
      <rPr>
        <b/>
        <sz val="10"/>
        <color rgb="FF0000FF"/>
        <rFont val="Arial"/>
        <charset val="134"/>
      </rPr>
      <t>kN/m</t>
    </r>
    <r>
      <rPr>
        <b/>
        <vertAlign val="superscript"/>
        <sz val="10"/>
        <color rgb="FF0000FF"/>
        <rFont val="Arial"/>
        <charset val="134"/>
      </rPr>
      <t>2</t>
    </r>
  </si>
  <si>
    <t>Mpa</t>
  </si>
  <si>
    <t>kN.m</t>
  </si>
  <si>
    <r>
      <rPr>
        <b/>
        <sz val="10"/>
        <rFont val="Arial"/>
        <charset val="134"/>
      </rPr>
      <t>cm</t>
    </r>
    <r>
      <rPr>
        <b/>
        <vertAlign val="superscript"/>
        <sz val="10"/>
        <rFont val="Arial"/>
        <charset val="134"/>
      </rPr>
      <t>2</t>
    </r>
  </si>
  <si>
    <t>d</t>
  </si>
  <si>
    <r>
      <rPr>
        <b/>
        <sz val="10"/>
        <rFont val="Arial"/>
        <charset val="134"/>
      </rPr>
      <t>cm</t>
    </r>
    <r>
      <rPr>
        <b/>
        <vertAlign val="superscript"/>
        <sz val="10"/>
        <rFont val="Arial"/>
        <charset val="134"/>
      </rPr>
      <t>2</t>
    </r>
    <r>
      <rPr>
        <b/>
        <sz val="10"/>
        <rFont val="Arial"/>
        <charset val="134"/>
      </rPr>
      <t>/m</t>
    </r>
  </si>
  <si>
    <t>Góc</t>
  </si>
  <si>
    <t>Handle</t>
  </si>
  <si>
    <t>THÔNG SỐ CHUNG</t>
  </si>
  <si>
    <t>TÍNH TOÁN MÓNG ĐƠN</t>
  </si>
  <si>
    <t>Combo</t>
  </si>
  <si>
    <t>FX(F1)</t>
  </si>
  <si>
    <t>FY(F2)</t>
  </si>
  <si>
    <t>FZ(F3)</t>
  </si>
  <si>
    <t>MX(M1)</t>
  </si>
  <si>
    <t>MY(M2)</t>
  </si>
  <si>
    <t>Lx</t>
  </si>
  <si>
    <t>Ly</t>
  </si>
  <si>
    <t>xc</t>
  </si>
  <si>
    <t>yc</t>
  </si>
  <si>
    <t>ex</t>
  </si>
  <si>
    <t>ey</t>
  </si>
  <si>
    <t>Hf</t>
  </si>
  <si>
    <t>Df</t>
  </si>
  <si>
    <t>γtb</t>
  </si>
  <si>
    <t>htn</t>
  </si>
  <si>
    <t>pg</t>
  </si>
  <si>
    <t>Rtcc</t>
  </si>
  <si>
    <t>Cu</t>
  </si>
  <si>
    <t>BT</t>
  </si>
  <si>
    <t>Af</t>
  </si>
  <si>
    <t>Wx</t>
  </si>
  <si>
    <t>Wy</t>
  </si>
  <si>
    <t>ho</t>
  </si>
  <si>
    <t>cx1</t>
  </si>
  <si>
    <t>cx2</t>
  </si>
  <si>
    <t>cy1</t>
  </si>
  <si>
    <t>cy2</t>
  </si>
  <si>
    <t>um1</t>
  </si>
  <si>
    <t>Tải trọng tính toán</t>
  </si>
  <si>
    <t>Tải trọng tiêu chuẩn</t>
  </si>
  <si>
    <t>Áp lực tính toán</t>
  </si>
  <si>
    <t>Áp lực tiêu chuẩn</t>
  </si>
  <si>
    <t>Chọc thủng xung quanh</t>
  </si>
  <si>
    <t>Chọc thủng tháp mặt bên</t>
  </si>
  <si>
    <t>Kiểm tra trượt</t>
  </si>
  <si>
    <t>Kiểm tra lật</t>
  </si>
  <si>
    <t>Ứng suất dưới đáy móng</t>
  </si>
  <si>
    <t>Tính toán cốt thép</t>
  </si>
  <si>
    <t>Tên
móng</t>
  </si>
  <si>
    <t>Joint
 Label</t>
  </si>
  <si>
    <t>kN</t>
  </si>
  <si>
    <t>kN-m</t>
  </si>
  <si>
    <t>MPa</t>
  </si>
  <si>
    <t>ΣN 
kN</t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</si>
  <si>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 xml:space="preserve">x 
</t>
    </r>
    <r>
      <rPr>
        <sz val="10"/>
        <rFont val="Arial"/>
        <charset val="134"/>
      </rPr>
      <t>kN.m</t>
    </r>
  </si>
  <si>
    <r>
      <rPr>
        <sz val="10"/>
        <rFont val="Arial"/>
        <charset val="134"/>
      </rPr>
      <t>ΣM</t>
    </r>
    <r>
      <rPr>
        <vertAlign val="subscript"/>
        <sz val="10"/>
        <rFont val="Arial"/>
        <charset val="134"/>
      </rPr>
      <t xml:space="preserve">y 
</t>
    </r>
    <r>
      <rPr>
        <sz val="10"/>
        <rFont val="Arial"/>
        <charset val="134"/>
      </rPr>
      <t>kN.m</t>
    </r>
  </si>
  <si>
    <r>
      <rPr>
        <sz val="10"/>
        <rFont val="Arial"/>
        <charset val="134"/>
      </rPr>
      <t>ΣN</t>
    </r>
    <r>
      <rPr>
        <vertAlign val="superscript"/>
        <sz val="10"/>
        <rFont val="Arial"/>
        <charset val="134"/>
      </rPr>
      <t xml:space="preserve">tc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</si>
  <si>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x
</t>
    </r>
    <r>
      <rPr>
        <sz val="10"/>
        <rFont val="Arial"/>
        <charset val="134"/>
      </rPr>
      <t>kN.m</t>
    </r>
  </si>
  <si>
    <r>
      <rPr>
        <sz val="10"/>
        <rFont val="Arial"/>
        <charset val="134"/>
      </rPr>
      <t>ΣM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y
</t>
    </r>
    <r>
      <rPr>
        <sz val="10"/>
        <rFont val="Arial"/>
        <charset val="134"/>
      </rPr>
      <t>kN.m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</si>
  <si>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max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</si>
  <si>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min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</si>
  <si>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tb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</si>
  <si>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max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</si>
  <si>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min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</si>
  <si>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perscript"/>
        <sz val="10"/>
        <rFont val="Arial"/>
        <charset val="134"/>
      </rPr>
      <t>tc</t>
    </r>
    <r>
      <rPr>
        <vertAlign val="subscript"/>
        <sz val="10"/>
        <rFont val="Arial"/>
        <charset val="134"/>
      </rPr>
      <t xml:space="preserve">tb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</si>
  <si>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t>Check</t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</si>
  <si>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ct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</si>
  <si>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kt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</si>
  <si>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(AB)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</si>
  <si>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(BC)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</si>
  <si>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(CD)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</si>
  <si>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ct </t>
    </r>
    <r>
      <rPr>
        <sz val="10"/>
        <rFont val="Arial"/>
        <charset val="134"/>
      </rPr>
      <t>(DA)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</si>
  <si>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kt </t>
    </r>
    <r>
      <rPr>
        <sz val="10"/>
        <rFont val="Arial"/>
        <charset val="134"/>
      </rPr>
      <t>(AB)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</si>
  <si>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kt </t>
    </r>
    <r>
      <rPr>
        <sz val="10"/>
        <rFont val="Arial"/>
        <charset val="134"/>
      </rPr>
      <t>(BC)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</si>
  <si>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kt </t>
    </r>
    <r>
      <rPr>
        <sz val="10"/>
        <rFont val="Arial"/>
        <charset val="134"/>
      </rPr>
      <t>(CD)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</si>
  <si>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N</t>
    </r>
    <r>
      <rPr>
        <vertAlign val="subscript"/>
        <sz val="10"/>
        <rFont val="Arial"/>
        <charset val="134"/>
      </rPr>
      <t xml:space="preserve">kt </t>
    </r>
    <r>
      <rPr>
        <sz val="10"/>
        <rFont val="Arial"/>
        <charset val="134"/>
      </rPr>
      <t>(DA)</t>
    </r>
    <r>
      <rPr>
        <vertAlign val="subscript"/>
        <sz val="10"/>
        <rFont val="Arial"/>
        <charset val="134"/>
      </rPr>
      <t xml:space="preserve">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</si>
  <si>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H</t>
    </r>
    <r>
      <rPr>
        <vertAlign val="subscript"/>
        <sz val="10"/>
        <rFont val="Arial"/>
        <charset val="134"/>
      </rPr>
      <t xml:space="preserve">ct
</t>
    </r>
    <r>
      <rPr>
        <sz val="10"/>
        <rFont val="Arial"/>
        <charset val="134"/>
      </rPr>
      <t>kN</t>
    </r>
  </si>
  <si>
    <r>
      <rPr>
        <sz val="10"/>
        <rFont val="Arial"/>
        <charset val="134"/>
      </rPr>
      <t>k</t>
    </r>
    <r>
      <rPr>
        <vertAlign val="subscript"/>
        <sz val="10"/>
        <rFont val="Arial"/>
        <charset val="134"/>
      </rPr>
      <t>t</t>
    </r>
  </si>
  <si>
    <t>KL</t>
  </si>
  <si>
    <r>
      <rPr>
        <sz val="10"/>
        <color theme="1"/>
        <rFont val="Arial"/>
        <charset val="134"/>
      </rPr>
      <t>k</t>
    </r>
    <r>
      <rPr>
        <vertAlign val="subscript"/>
        <sz val="10"/>
        <color theme="1"/>
        <rFont val="Arial"/>
        <charset val="134"/>
      </rPr>
      <t>l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</si>
  <si>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A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</si>
  <si>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B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</si>
  <si>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C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</si>
  <si>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 xml:space="preserve">D
</t>
    </r>
    <r>
      <rPr>
        <sz val="10"/>
        <rFont val="Arial"/>
        <charset val="134"/>
      </rPr>
      <t>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</si>
  <si>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1x</t>
    </r>
    <r>
      <rPr>
        <sz val="10"/>
        <rFont val="Arial"/>
        <charset val="134"/>
      </rPr>
      <t>(BC)
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</si>
  <si>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1x</t>
    </r>
    <r>
      <rPr>
        <sz val="10"/>
        <rFont val="Arial"/>
        <charset val="134"/>
      </rPr>
      <t>(DA)
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</si>
  <si>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1y</t>
    </r>
    <r>
      <rPr>
        <sz val="10"/>
        <rFont val="Arial"/>
        <charset val="134"/>
      </rPr>
      <t>(AB)
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</si>
  <si>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P</t>
    </r>
    <r>
      <rPr>
        <vertAlign val="subscript"/>
        <sz val="10"/>
        <rFont val="Arial"/>
        <charset val="134"/>
      </rPr>
      <t>1y</t>
    </r>
    <r>
      <rPr>
        <sz val="10"/>
        <rFont val="Arial"/>
        <charset val="134"/>
      </rPr>
      <t>(CD)
kN/m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</si>
  <si>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 xml:space="preserve">x-x
</t>
    </r>
    <r>
      <rPr>
        <sz val="10"/>
        <rFont val="Arial"/>
        <charset val="134"/>
      </rPr>
      <t>kN.m/m</t>
    </r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</si>
  <si>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 xml:space="preserve">y-y
</t>
    </r>
    <r>
      <rPr>
        <sz val="10"/>
        <rFont val="Arial"/>
        <charset val="134"/>
      </rPr>
      <t>kN.m/m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</si>
  <si>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sx 
</t>
    </r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2</t>
    </r>
    <r>
      <rPr>
        <sz val="10"/>
        <rFont val="Arial"/>
        <charset val="134"/>
      </rPr>
      <t>/m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</si>
  <si>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 xml:space="preserve">sy 
</t>
    </r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2</t>
    </r>
    <r>
      <rPr>
        <sz val="10"/>
        <rFont val="Arial"/>
        <charset val="134"/>
      </rPr>
      <t>/m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</si>
</sst>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8" formatCode="0.0"/>
    <numFmt numFmtId="169" formatCode="&quot;&quot;0.00&quot; m&quot;"/>
    <numFmt numFmtId="170" formatCode="&quot;&quot;0.00&quot; m2&quot;"/>
    <numFmt numFmtId="171" formatCode="&quot;&quot;0.00&quot; m3&quot;"/>
    <numFmt numFmtId="172" formatCode="&quot;&quot;0.00&quot; kN/m2&quot;"/>
    <numFmt numFmtId="173" formatCode="&quot;&quot;0.00&quot; MPa&quot;"/>
    <numFmt numFmtId="174" formatCode="&quot;&quot;0&quot; MPa&quot;"/>
    <numFmt numFmtId="175" formatCode="&quot;&quot;0.0&quot; kN/m3&quot;"/>
    <numFmt numFmtId="176" formatCode="&quot;&quot;0.0&quot; kN/m2&quot;"/>
    <numFmt numFmtId="177" formatCode="&quot;&quot;0.00&quot; kN&quot;"/>
    <numFmt numFmtId="178" formatCode="&quot;&quot;0.00&quot; kNm&quot;"/>
    <numFmt numFmtId="179" formatCode="0.000000000000"/>
    <numFmt numFmtId="180" formatCode="&quot;&quot;0.00&quot; độ&quot;"/>
    <numFmt numFmtId="181" formatCode="&quot;&quot;0.00&quot; kNm/m&quot;"/>
    <numFmt numFmtId="182" formatCode="&quot;&quot;0.00&quot; mm2/m&quot;"/>
    <numFmt numFmtId="183" formatCode="&quot;Ф&quot;#"/>
    <numFmt numFmtId="184" formatCode="\a###"/>
    <numFmt numFmtId="185" formatCode="&quot;&quot;0.00&quot; %&quot;"/>
    <numFmt numFmtId="186" formatCode="&quot;&quot;0.00&quot; cm&quot;"/>
    <numFmt numFmtId="187" formatCode="0.000"/>
  </numFmts>
  <fonts count="43">
    <font>
      <sz val="11"/>
      <color theme="1"/>
      <name val="Calibri"/>
      <charset val="163"/>
      <scheme val="minor"/>
    </font>
    <font>
      <b/>
      <sz val="11"/>
      <color theme="1"/>
      <name val="Calibri"/>
      <charset val="163"/>
      <scheme val="minor"/>
    </font>
    <font>
      <sz val="11"/>
      <color rgb="FF0000FF"/>
      <name val="Calibri"/>
      <charset val="163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sz val="10"/>
      <name val="Arial"/>
      <charset val="134"/>
    </font>
    <font>
      <sz val="11"/>
      <name val="Calibri"/>
      <charset val="163"/>
      <scheme val="minor"/>
    </font>
    <font>
      <b/>
      <sz val="15"/>
      <color rgb="FF00B050"/>
      <name val="Arial"/>
      <charset val="134"/>
    </font>
    <font>
      <b/>
      <sz val="12"/>
      <color rgb="FF00B050"/>
      <name val="Arial"/>
      <charset val="134"/>
    </font>
    <font>
      <b/>
      <sz val="10"/>
      <color rgb="FF0000FF"/>
      <name val="Arial"/>
      <charset val="134"/>
    </font>
    <font>
      <b/>
      <sz val="10"/>
      <name val="Arial"/>
      <charset val="134"/>
    </font>
    <font>
      <sz val="10"/>
      <color rgb="FF0000FF"/>
      <name val="Arial"/>
      <charset val="134"/>
    </font>
    <font>
      <b/>
      <sz val="12"/>
      <name val="Arial"/>
      <charset val="134"/>
    </font>
    <font>
      <b/>
      <i/>
      <sz val="15"/>
      <name val="Arial"/>
      <charset val="134"/>
    </font>
    <font>
      <i/>
      <sz val="10"/>
      <name val="Arial"/>
      <charset val="134"/>
    </font>
    <font>
      <b/>
      <sz val="10"/>
      <color rgb="FFFF0000"/>
      <name val="Arial"/>
      <charset val="134"/>
    </font>
    <font>
      <sz val="10"/>
      <color rgb="FFFF0000"/>
      <name val="Arial"/>
      <charset val="134"/>
    </font>
    <font>
      <b/>
      <i/>
      <sz val="10"/>
      <color theme="1"/>
      <name val="Arial"/>
      <charset val="134"/>
    </font>
    <font>
      <b/>
      <i/>
      <sz val="10"/>
      <name val="Arial"/>
      <charset val="134"/>
    </font>
    <font>
      <i/>
      <sz val="10"/>
      <color theme="1"/>
      <name val="Arial"/>
      <charset val="134"/>
    </font>
    <font>
      <sz val="10"/>
      <color indexed="12"/>
      <name val="Arial"/>
      <charset val="134"/>
    </font>
    <font>
      <sz val="10"/>
      <name val="VNI-Helve"/>
      <charset val="134"/>
    </font>
    <font>
      <sz val="11"/>
      <color theme="1"/>
      <name val="Arial"/>
      <charset val="163"/>
    </font>
    <font>
      <sz val="12"/>
      <name val="VNI-Helve-Condense"/>
      <charset val="134"/>
    </font>
    <font>
      <sz val="11"/>
      <color theme="1"/>
      <name val="Calibri"/>
      <charset val="134"/>
      <scheme val="minor"/>
    </font>
    <font>
      <vertAlign val="subscript"/>
      <sz val="10"/>
      <name val="Arial"/>
      <charset val="134"/>
    </font>
    <font>
      <vertAlign val="superscript"/>
      <sz val="10"/>
      <name val="Arial"/>
      <charset val="134"/>
    </font>
    <font>
      <b/>
      <vertAlign val="subscript"/>
      <sz val="10"/>
      <name val="Arial"/>
      <charset val="134"/>
    </font>
    <font>
      <sz val="10"/>
      <color theme="1"/>
      <name val="Symbol"/>
      <charset val="2"/>
    </font>
    <font>
      <vertAlign val="subscript"/>
      <sz val="10"/>
      <color theme="1"/>
      <name val="Arial"/>
      <charset val="134"/>
    </font>
    <font>
      <b/>
      <vertAlign val="superscript"/>
      <sz val="10"/>
      <color rgb="FF0000FF"/>
      <name val="Arial"/>
      <charset val="134"/>
    </font>
    <font>
      <vertAlign val="superscript"/>
      <sz val="10"/>
      <color theme="1"/>
      <name val="Arial"/>
      <charset val="134"/>
    </font>
    <font>
      <b/>
      <vertAlign val="subscript"/>
      <sz val="10"/>
      <color rgb="FF0000FF"/>
      <name val="Arial"/>
      <charset val="134"/>
    </font>
    <font>
      <sz val="10"/>
      <name val="Times New Roman"/>
      <charset val="134"/>
    </font>
    <font>
      <b/>
      <vertAlign val="superscript"/>
      <sz val="10"/>
      <name val="Arial"/>
      <charset val="134"/>
    </font>
    <font>
      <vertAlign val="subscript"/>
      <sz val="10"/>
      <color rgb="FF0000FF"/>
      <name val="Arial"/>
      <charset val="134"/>
    </font>
    <font>
      <b/>
      <sz val="10"/>
      <color rgb="FF0000FF"/>
      <name val="Symbol"/>
      <charset val="2"/>
    </font>
    <font>
      <vertAlign val="subscript"/>
      <sz val="10"/>
      <name val="VNI-Helve"/>
      <charset val="134"/>
    </font>
    <font>
      <vertAlign val="superscript"/>
      <sz val="11"/>
      <name val="Arial"/>
      <charset val="134"/>
    </font>
    <font>
      <sz val="11"/>
      <name val="Arial"/>
      <charset val="134"/>
    </font>
    <font>
      <sz val="9"/>
      <name val="Tahoma"/>
      <charset val="134"/>
    </font>
    <font>
      <vertAlign val="subscript"/>
      <sz val="9"/>
      <name val="Tahoma"/>
      <charset val="134"/>
    </font>
    <font>
      <b/>
      <sz val="9"/>
      <name val="Tahoma"/>
      <charset val="134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22" fillId="0" borderId="0"/>
    <xf numFmtId="0" fontId="5" fillId="0" borderId="0"/>
    <xf numFmtId="0" fontId="23" fillId="0" borderId="0"/>
    <xf numFmtId="0" fontId="23" fillId="0" borderId="0"/>
    <xf numFmtId="0" fontId="24" fillId="0" borderId="0"/>
    <xf numFmtId="0" fontId="24" fillId="0" borderId="0"/>
  </cellStyleXfs>
  <cellXfs count="196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6" applyFont="1" applyFill="1" applyBorder="1" applyAlignment="1">
      <alignment horizontal="center" vertical="center" wrapText="1"/>
    </xf>
    <xf numFmtId="0" fontId="4" fillId="2" borderId="1" xfId="6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4" borderId="1" xfId="4" applyFont="1" applyFill="1" applyBorder="1" applyAlignment="1">
      <alignment horizontal="center" vertical="center"/>
    </xf>
    <xf numFmtId="0" fontId="11" fillId="4" borderId="1" xfId="4" applyFont="1" applyFill="1" applyBorder="1" applyAlignment="1">
      <alignment horizontal="center" vertical="center"/>
    </xf>
    <xf numFmtId="0" fontId="9" fillId="4" borderId="1" xfId="4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4" borderId="1" xfId="4" applyFont="1" applyFill="1" applyBorder="1" applyAlignment="1">
      <alignment horizontal="center" vertical="center" wrapText="1"/>
    </xf>
    <xf numFmtId="0" fontId="10" fillId="4" borderId="2" xfId="4" applyFont="1" applyFill="1" applyBorder="1" applyAlignment="1">
      <alignment horizontal="center" vertical="center"/>
    </xf>
    <xf numFmtId="0" fontId="11" fillId="0" borderId="1" xfId="4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11" fillId="0" borderId="1" xfId="3" applyNumberFormat="1" applyFont="1" applyFill="1" applyBorder="1" applyAlignment="1">
      <alignment horizontal="center" vertical="center"/>
    </xf>
    <xf numFmtId="0" fontId="11" fillId="0" borderId="1" xfId="3" applyFont="1" applyFill="1" applyBorder="1" applyAlignment="1">
      <alignment horizontal="center" vertical="center"/>
    </xf>
    <xf numFmtId="168" fontId="11" fillId="0" borderId="1" xfId="3" applyNumberFormat="1" applyFont="1" applyFill="1" applyBorder="1" applyAlignment="1">
      <alignment horizontal="center" vertical="center"/>
    </xf>
    <xf numFmtId="0" fontId="5" fillId="0" borderId="1" xfId="4" applyFont="1" applyFill="1" applyBorder="1" applyAlignment="1">
      <alignment horizontal="center" vertical="center"/>
    </xf>
    <xf numFmtId="2" fontId="5" fillId="0" borderId="1" xfId="4" applyNumberFormat="1" applyFont="1" applyFill="1" applyBorder="1" applyAlignment="1">
      <alignment horizontal="center" vertical="center"/>
    </xf>
    <xf numFmtId="0" fontId="5" fillId="0" borderId="2" xfId="4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168" fontId="14" fillId="7" borderId="1" xfId="1" applyNumberFormat="1" applyFont="1" applyFill="1" applyBorder="1" applyAlignment="1">
      <alignment vertical="center"/>
    </xf>
    <xf numFmtId="14" fontId="14" fillId="7" borderId="1" xfId="1" applyNumberFormat="1" applyFont="1" applyFill="1" applyBorder="1" applyAlignment="1">
      <alignment horizontal="left" vertical="center"/>
    </xf>
    <xf numFmtId="0" fontId="3" fillId="5" borderId="0" xfId="0" applyFont="1" applyFill="1" applyAlignment="1">
      <alignment vertical="center"/>
    </xf>
    <xf numFmtId="0" fontId="4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2" fontId="11" fillId="5" borderId="0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right" vertical="center"/>
    </xf>
    <xf numFmtId="169" fontId="11" fillId="5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vertical="center"/>
    </xf>
    <xf numFmtId="169" fontId="5" fillId="5" borderId="1" xfId="0" applyNumberFormat="1" applyFont="1" applyFill="1" applyBorder="1" applyAlignment="1">
      <alignment horizontal="left" vertical="center"/>
    </xf>
    <xf numFmtId="170" fontId="5" fillId="5" borderId="1" xfId="0" applyNumberFormat="1" applyFont="1" applyFill="1" applyBorder="1" applyAlignment="1">
      <alignment horizontal="left" vertical="center"/>
    </xf>
    <xf numFmtId="171" fontId="5" fillId="5" borderId="1" xfId="0" applyNumberFormat="1" applyFont="1" applyFill="1" applyBorder="1" applyAlignment="1">
      <alignment horizontal="left" vertical="center"/>
    </xf>
    <xf numFmtId="172" fontId="11" fillId="5" borderId="1" xfId="0" applyNumberFormat="1" applyFont="1" applyFill="1" applyBorder="1" applyAlignment="1">
      <alignment horizontal="left" vertical="center"/>
    </xf>
    <xf numFmtId="0" fontId="11" fillId="5" borderId="1" xfId="0" applyFont="1" applyFill="1" applyBorder="1" applyAlignment="1">
      <alignment vertical="center"/>
    </xf>
    <xf numFmtId="173" fontId="5" fillId="5" borderId="1" xfId="0" applyNumberFormat="1" applyFont="1" applyFill="1" applyBorder="1" applyAlignment="1">
      <alignment horizontal="left" vertical="center"/>
    </xf>
    <xf numFmtId="174" fontId="5" fillId="5" borderId="1" xfId="0" applyNumberFormat="1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right" vertical="center"/>
    </xf>
    <xf numFmtId="175" fontId="11" fillId="5" borderId="1" xfId="0" applyNumberFormat="1" applyFont="1" applyFill="1" applyBorder="1" applyAlignment="1">
      <alignment horizontal="left" vertical="center"/>
    </xf>
    <xf numFmtId="0" fontId="4" fillId="5" borderId="0" xfId="0" applyFont="1" applyFill="1" applyBorder="1" applyAlignment="1">
      <alignment horizontal="right" vertical="center"/>
    </xf>
    <xf numFmtId="176" fontId="11" fillId="5" borderId="1" xfId="0" applyNumberFormat="1" applyFont="1" applyFill="1" applyBorder="1" applyAlignment="1">
      <alignment horizontal="left" vertical="center"/>
    </xf>
    <xf numFmtId="177" fontId="5" fillId="5" borderId="1" xfId="0" applyNumberFormat="1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/>
    </xf>
    <xf numFmtId="178" fontId="16" fillId="5" borderId="1" xfId="0" applyNumberFormat="1" applyFont="1" applyFill="1" applyBorder="1" applyAlignment="1">
      <alignment horizontal="left" vertical="center"/>
    </xf>
    <xf numFmtId="172" fontId="5" fillId="5" borderId="1" xfId="0" applyNumberFormat="1" applyFont="1" applyFill="1" applyBorder="1" applyAlignment="1">
      <alignment horizontal="left" vertical="center"/>
    </xf>
    <xf numFmtId="179" fontId="4" fillId="5" borderId="0" xfId="0" applyNumberFormat="1" applyFont="1" applyFill="1" applyAlignment="1">
      <alignment vertical="center"/>
    </xf>
    <xf numFmtId="0" fontId="4" fillId="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left" vertic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5" fillId="5" borderId="0" xfId="0" applyFont="1" applyFill="1" applyBorder="1" applyAlignment="1">
      <alignment horizontal="right"/>
    </xf>
    <xf numFmtId="180" fontId="11" fillId="5" borderId="1" xfId="0" applyNumberFormat="1" applyFont="1" applyFill="1" applyBorder="1" applyAlignment="1">
      <alignment horizontal="left" vertical="center"/>
    </xf>
    <xf numFmtId="177" fontId="5" fillId="5" borderId="6" xfId="0" applyNumberFormat="1" applyFont="1" applyFill="1" applyBorder="1" applyAlignment="1">
      <alignment horizontal="left" vertical="center"/>
    </xf>
    <xf numFmtId="2" fontId="4" fillId="5" borderId="0" xfId="0" applyNumberFormat="1" applyFont="1" applyFill="1" applyAlignment="1">
      <alignment vertical="center"/>
    </xf>
    <xf numFmtId="0" fontId="11" fillId="5" borderId="1" xfId="0" applyNumberFormat="1" applyFont="1" applyFill="1" applyBorder="1" applyAlignment="1">
      <alignment horizontal="left" vertical="center"/>
    </xf>
    <xf numFmtId="178" fontId="5" fillId="5" borderId="1" xfId="0" applyNumberFormat="1" applyFont="1" applyFill="1" applyBorder="1" applyAlignment="1">
      <alignment horizontal="left" vertical="center"/>
    </xf>
    <xf numFmtId="2" fontId="4" fillId="5" borderId="1" xfId="0" applyNumberFormat="1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2" fontId="4" fillId="6" borderId="1" xfId="0" applyNumberFormat="1" applyFont="1" applyFill="1" applyBorder="1" applyAlignment="1">
      <alignment horizontal="center" vertical="center"/>
    </xf>
    <xf numFmtId="181" fontId="5" fillId="5" borderId="1" xfId="0" applyNumberFormat="1" applyFont="1" applyFill="1" applyBorder="1" applyAlignment="1">
      <alignment horizontal="left" vertical="center"/>
    </xf>
    <xf numFmtId="182" fontId="5" fillId="5" borderId="1" xfId="0" applyNumberFormat="1" applyFont="1" applyFill="1" applyBorder="1" applyAlignment="1">
      <alignment horizontal="left" vertical="center"/>
    </xf>
    <xf numFmtId="183" fontId="20" fillId="5" borderId="0" xfId="0" applyNumberFormat="1" applyFont="1" applyFill="1" applyBorder="1" applyAlignment="1"/>
    <xf numFmtId="184" fontId="20" fillId="5" borderId="0" xfId="0" applyNumberFormat="1" applyFont="1" applyFill="1" applyBorder="1" applyAlignment="1">
      <alignment horizontal="left"/>
    </xf>
    <xf numFmtId="185" fontId="5" fillId="5" borderId="0" xfId="0" applyNumberFormat="1" applyFont="1" applyFill="1" applyAlignment="1">
      <alignment horizontal="left" vertical="center"/>
    </xf>
    <xf numFmtId="185" fontId="5" fillId="5" borderId="1" xfId="0" applyNumberFormat="1" applyFont="1" applyFill="1" applyBorder="1" applyAlignment="1">
      <alignment horizontal="left" vertical="center"/>
    </xf>
    <xf numFmtId="186" fontId="5" fillId="5" borderId="0" xfId="0" applyNumberFormat="1" applyFont="1" applyFill="1" applyBorder="1" applyAlignment="1">
      <alignment horizontal="left" vertical="center"/>
    </xf>
    <xf numFmtId="186" fontId="5" fillId="5" borderId="1" xfId="0" applyNumberFormat="1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2" fontId="5" fillId="9" borderId="1" xfId="0" applyNumberFormat="1" applyFont="1" applyFill="1" applyBorder="1" applyAlignment="1" applyProtection="1">
      <alignment horizontal="center" vertical="center"/>
      <protection hidden="1"/>
    </xf>
    <xf numFmtId="0" fontId="5" fillId="9" borderId="1" xfId="0" applyFont="1" applyFill="1" applyBorder="1" applyAlignment="1">
      <alignment horizontal="center"/>
    </xf>
    <xf numFmtId="187" fontId="5" fillId="9" borderId="1" xfId="0" applyNumberFormat="1" applyFont="1" applyFill="1" applyBorder="1" applyAlignment="1" applyProtection="1">
      <alignment horizontal="center" vertical="center"/>
      <protection hidden="1"/>
    </xf>
    <xf numFmtId="0" fontId="10" fillId="9" borderId="1" xfId="0" applyFont="1" applyFill="1" applyBorder="1" applyAlignment="1">
      <alignment horizontal="center"/>
    </xf>
    <xf numFmtId="2" fontId="4" fillId="5" borderId="1" xfId="0" applyNumberFormat="1" applyFont="1" applyFill="1" applyBorder="1" applyAlignment="1">
      <alignment horizontal="center" vertical="center"/>
    </xf>
    <xf numFmtId="2" fontId="16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2" fontId="5" fillId="10" borderId="1" xfId="0" applyNumberFormat="1" applyFont="1" applyFill="1" applyBorder="1" applyAlignment="1" applyProtection="1">
      <alignment horizontal="center" vertical="center"/>
      <protection hidden="1"/>
    </xf>
    <xf numFmtId="0" fontId="5" fillId="10" borderId="1" xfId="0" applyFont="1" applyFill="1" applyBorder="1" applyAlignment="1">
      <alignment horizontal="center" vertical="center"/>
    </xf>
    <xf numFmtId="187" fontId="5" fillId="10" borderId="1" xfId="0" applyNumberFormat="1" applyFont="1" applyFill="1" applyBorder="1" applyAlignment="1" applyProtection="1">
      <alignment horizontal="center" vertical="center"/>
      <protection hidden="1"/>
    </xf>
    <xf numFmtId="0" fontId="4" fillId="5" borderId="0" xfId="1" applyFont="1" applyFill="1" applyBorder="1" applyAlignment="1">
      <alignment horizontal="left" vertical="center"/>
    </xf>
    <xf numFmtId="0" fontId="4" fillId="5" borderId="0" xfId="1" applyFont="1" applyFill="1" applyBorder="1" applyAlignment="1">
      <alignment vertical="center"/>
    </xf>
    <xf numFmtId="0" fontId="0" fillId="2" borderId="1" xfId="0" applyFill="1" applyBorder="1"/>
    <xf numFmtId="0" fontId="0" fillId="0" borderId="1" xfId="0" applyBorder="1"/>
    <xf numFmtId="0" fontId="3" fillId="12" borderId="6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3" fillId="10" borderId="1" xfId="0" applyFont="1" applyFill="1" applyBorder="1" applyAlignment="1" applyProtection="1">
      <alignment vertical="center"/>
      <protection locked="0" hidden="1"/>
    </xf>
    <xf numFmtId="0" fontId="4" fillId="10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 applyProtection="1">
      <alignment horizontal="center" vertical="center"/>
      <protection hidden="1"/>
    </xf>
    <xf numFmtId="2" fontId="4" fillId="14" borderId="1" xfId="0" applyNumberFormat="1" applyFont="1" applyFill="1" applyBorder="1" applyAlignment="1" applyProtection="1">
      <alignment vertical="center"/>
      <protection hidden="1"/>
    </xf>
    <xf numFmtId="168" fontId="4" fillId="0" borderId="1" xfId="0" applyNumberFormat="1" applyFont="1" applyFill="1" applyBorder="1" applyAlignment="1">
      <alignment horizontal="center" vertical="center"/>
    </xf>
    <xf numFmtId="168" fontId="11" fillId="13" borderId="1" xfId="0" applyNumberFormat="1" applyFont="1" applyFill="1" applyBorder="1" applyAlignment="1" applyProtection="1">
      <alignment horizontal="center" vertical="center"/>
      <protection locked="0" hidden="1"/>
    </xf>
    <xf numFmtId="2" fontId="4" fillId="0" borderId="1" xfId="0" applyNumberFormat="1" applyFont="1" applyFill="1" applyBorder="1" applyAlignment="1">
      <alignment horizontal="center" vertical="center"/>
    </xf>
    <xf numFmtId="2" fontId="11" fillId="13" borderId="1" xfId="0" applyNumberFormat="1" applyFont="1" applyFill="1" applyBorder="1" applyAlignment="1" applyProtection="1">
      <alignment horizontal="center" vertical="center"/>
      <protection locked="0" hidden="1"/>
    </xf>
    <xf numFmtId="1" fontId="4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center" vertical="center"/>
      <protection hidden="1"/>
    </xf>
    <xf numFmtId="2" fontId="4" fillId="3" borderId="1" xfId="0" applyNumberFormat="1" applyFont="1" applyFill="1" applyBorder="1" applyAlignment="1" applyProtection="1">
      <alignment vertical="center"/>
      <protection hidden="1"/>
    </xf>
    <xf numFmtId="1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locked="0" hidden="1"/>
    </xf>
    <xf numFmtId="1" fontId="11" fillId="13" borderId="1" xfId="0" applyNumberFormat="1" applyFont="1" applyFill="1" applyBorder="1" applyAlignment="1" applyProtection="1">
      <alignment horizontal="center" vertical="center"/>
      <protection hidden="1"/>
    </xf>
    <xf numFmtId="1" fontId="4" fillId="0" borderId="1" xfId="0" applyNumberFormat="1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Protection="1">
      <protection hidden="1"/>
    </xf>
    <xf numFmtId="0" fontId="21" fillId="0" borderId="0" xfId="0" applyFont="1" applyProtection="1">
      <protection hidden="1"/>
    </xf>
    <xf numFmtId="2" fontId="21" fillId="10" borderId="9" xfId="0" applyNumberFormat="1" applyFont="1" applyFill="1" applyBorder="1" applyAlignment="1" applyProtection="1">
      <alignment horizontal="center"/>
      <protection hidden="1"/>
    </xf>
    <xf numFmtId="2" fontId="21" fillId="15" borderId="10" xfId="0" applyNumberFormat="1" applyFont="1" applyFill="1" applyBorder="1" applyAlignment="1" applyProtection="1">
      <alignment horizontal="center" vertical="center"/>
      <protection hidden="1"/>
    </xf>
    <xf numFmtId="2" fontId="21" fillId="16" borderId="10" xfId="0" applyNumberFormat="1" applyFont="1" applyFill="1" applyBorder="1" applyAlignment="1" applyProtection="1">
      <alignment horizontal="center" vertical="center"/>
      <protection hidden="1"/>
    </xf>
    <xf numFmtId="2" fontId="21" fillId="16" borderId="11" xfId="0" applyNumberFormat="1" applyFont="1" applyFill="1" applyBorder="1" applyAlignment="1" applyProtection="1">
      <alignment horizontal="center" vertical="center"/>
      <protection hidden="1"/>
    </xf>
    <xf numFmtId="2" fontId="21" fillId="15" borderId="1" xfId="0" applyNumberFormat="1" applyFont="1" applyFill="1" applyBorder="1" applyAlignment="1" applyProtection="1">
      <alignment horizontal="center"/>
      <protection hidden="1"/>
    </xf>
    <xf numFmtId="2" fontId="21" fillId="15" borderId="12" xfId="0" applyNumberFormat="1" applyFont="1" applyFill="1" applyBorder="1" applyAlignment="1" applyProtection="1">
      <alignment horizontal="center"/>
      <protection hidden="1"/>
    </xf>
    <xf numFmtId="2" fontId="21" fillId="10" borderId="9" xfId="0" applyNumberFormat="1" applyFont="1" applyFill="1" applyBorder="1" applyProtection="1">
      <protection hidden="1"/>
    </xf>
    <xf numFmtId="187" fontId="21" fillId="0" borderId="1" xfId="0" applyNumberFormat="1" applyFont="1" applyFill="1" applyBorder="1" applyAlignment="1" applyProtection="1">
      <alignment horizontal="center"/>
      <protection hidden="1"/>
    </xf>
    <xf numFmtId="187" fontId="21" fillId="0" borderId="12" xfId="0" applyNumberFormat="1" applyFont="1" applyFill="1" applyBorder="1" applyAlignment="1" applyProtection="1">
      <alignment horizontal="center"/>
      <protection hidden="1"/>
    </xf>
    <xf numFmtId="187" fontId="21" fillId="0" borderId="1" xfId="0" applyNumberFormat="1" applyFont="1" applyBorder="1" applyAlignment="1" applyProtection="1">
      <alignment horizontal="center"/>
      <protection hidden="1"/>
    </xf>
    <xf numFmtId="187" fontId="21" fillId="0" borderId="12" xfId="0" applyNumberFormat="1" applyFont="1" applyBorder="1" applyAlignment="1" applyProtection="1">
      <alignment horizontal="center"/>
      <protection hidden="1"/>
    </xf>
    <xf numFmtId="2" fontId="21" fillId="10" borderId="13" xfId="0" applyNumberFormat="1" applyFont="1" applyFill="1" applyBorder="1" applyProtection="1">
      <protection hidden="1"/>
    </xf>
    <xf numFmtId="187" fontId="21" fillId="0" borderId="14" xfId="0" applyNumberFormat="1" applyFont="1" applyBorder="1" applyAlignment="1" applyProtection="1">
      <alignment horizontal="center"/>
      <protection hidden="1"/>
    </xf>
    <xf numFmtId="187" fontId="21" fillId="0" borderId="15" xfId="0" applyNumberFormat="1" applyFont="1" applyBorder="1" applyAlignment="1" applyProtection="1">
      <alignment horizontal="center"/>
      <protection hidden="1"/>
    </xf>
    <xf numFmtId="2" fontId="21" fillId="10" borderId="9" xfId="0" quotePrefix="1" applyNumberFormat="1" applyFont="1" applyFill="1" applyBorder="1" applyAlignment="1" applyProtection="1">
      <alignment horizontal="center"/>
      <protection hidden="1"/>
    </xf>
    <xf numFmtId="0" fontId="4" fillId="5" borderId="0" xfId="0" quotePrefix="1" applyFont="1" applyFill="1" applyAlignment="1">
      <alignment vertical="center"/>
    </xf>
    <xf numFmtId="0" fontId="11" fillId="3" borderId="1" xfId="4" applyFont="1" applyFill="1" applyBorder="1" applyAlignment="1">
      <alignment horizontal="center" vertical="center"/>
    </xf>
    <xf numFmtId="0" fontId="18" fillId="11" borderId="1" xfId="1" applyFont="1" applyFill="1" applyBorder="1" applyAlignment="1">
      <alignment horizontal="left" vertical="center" wrapText="1"/>
    </xf>
    <xf numFmtId="0" fontId="14" fillId="11" borderId="1" xfId="1" applyFont="1" applyFill="1" applyBorder="1" applyAlignment="1">
      <alignment horizontal="left" vertical="center"/>
    </xf>
    <xf numFmtId="168" fontId="14" fillId="11" borderId="1" xfId="1" applyNumberFormat="1" applyFont="1" applyFill="1" applyBorder="1" applyAlignment="1">
      <alignment horizontal="left" vertical="center"/>
    </xf>
    <xf numFmtId="14" fontId="14" fillId="11" borderId="1" xfId="1" applyNumberFormat="1" applyFont="1" applyFill="1" applyBorder="1" applyAlignment="1">
      <alignment horizontal="left" vertical="center"/>
    </xf>
    <xf numFmtId="0" fontId="14" fillId="11" borderId="1" xfId="1" applyNumberFormat="1" applyFont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4" fillId="5" borderId="0" xfId="1" applyFont="1" applyFill="1" applyBorder="1" applyAlignment="1">
      <alignment horizontal="right" vertical="center"/>
    </xf>
    <xf numFmtId="0" fontId="3" fillId="5" borderId="0" xfId="1" applyFont="1" applyFill="1" applyBorder="1" applyAlignment="1">
      <alignment horizontal="center" vertical="center"/>
    </xf>
    <xf numFmtId="0" fontId="13" fillId="7" borderId="1" xfId="1" applyFont="1" applyFill="1" applyBorder="1" applyAlignment="1">
      <alignment horizontal="left" vertical="center" wrapText="1"/>
    </xf>
    <xf numFmtId="0" fontId="14" fillId="7" borderId="1" xfId="1" applyFont="1" applyFill="1" applyBorder="1" applyAlignment="1">
      <alignment horizontal="left" vertical="center"/>
    </xf>
    <xf numFmtId="0" fontId="14" fillId="7" borderId="1" xfId="1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68" fontId="14" fillId="7" borderId="1" xfId="1" applyNumberFormat="1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2" fontId="5" fillId="9" borderId="1" xfId="0" applyNumberFormat="1" applyFont="1" applyFill="1" applyBorder="1" applyAlignment="1" applyProtection="1">
      <alignment horizontal="center" vertical="center"/>
      <protection hidden="1"/>
    </xf>
    <xf numFmtId="2" fontId="5" fillId="10" borderId="1" xfId="0" applyNumberFormat="1" applyFont="1" applyFill="1" applyBorder="1" applyAlignment="1" applyProtection="1">
      <alignment horizontal="center" vertical="center"/>
      <protection hidden="1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7" fillId="3" borderId="2" xfId="4" applyFont="1" applyFill="1" applyBorder="1" applyAlignment="1">
      <alignment horizontal="center" vertical="center"/>
    </xf>
    <xf numFmtId="0" fontId="7" fillId="3" borderId="3" xfId="4" applyFont="1" applyFill="1" applyBorder="1" applyAlignment="1">
      <alignment horizontal="center" vertical="center"/>
    </xf>
    <xf numFmtId="0" fontId="7" fillId="3" borderId="4" xfId="4" applyFont="1" applyFill="1" applyBorder="1" applyAlignment="1">
      <alignment horizontal="center" vertical="center"/>
    </xf>
    <xf numFmtId="0" fontId="8" fillId="3" borderId="5" xfId="4" applyFont="1" applyFill="1" applyBorder="1" applyAlignment="1">
      <alignment horizontal="center" vertical="center"/>
    </xf>
    <xf numFmtId="0" fontId="8" fillId="3" borderId="0" xfId="4" applyFont="1" applyFill="1" applyBorder="1" applyAlignment="1">
      <alignment horizontal="center" vertical="center"/>
    </xf>
    <xf numFmtId="0" fontId="9" fillId="4" borderId="1" xfId="4" applyFont="1" applyFill="1" applyBorder="1" applyAlignment="1">
      <alignment horizontal="center" vertical="center"/>
    </xf>
    <xf numFmtId="0" fontId="11" fillId="4" borderId="1" xfId="4" applyFont="1" applyFill="1" applyBorder="1" applyAlignment="1">
      <alignment horizontal="center" vertical="center"/>
    </xf>
    <xf numFmtId="0" fontId="12" fillId="4" borderId="2" xfId="4" applyFont="1" applyFill="1" applyBorder="1" applyAlignment="1">
      <alignment horizontal="center" vertical="center"/>
    </xf>
    <xf numFmtId="0" fontId="12" fillId="4" borderId="3" xfId="4" applyFont="1" applyFill="1" applyBorder="1" applyAlignment="1">
      <alignment horizontal="center" vertical="center"/>
    </xf>
    <xf numFmtId="0" fontId="12" fillId="4" borderId="4" xfId="4" applyFont="1" applyFill="1" applyBorder="1" applyAlignment="1">
      <alignment horizontal="center" vertical="center"/>
    </xf>
    <xf numFmtId="0" fontId="9" fillId="4" borderId="1" xfId="4" applyFont="1" applyFill="1" applyBorder="1" applyAlignment="1">
      <alignment horizontal="center" vertical="center" wrapText="1"/>
    </xf>
    <xf numFmtId="0" fontId="9" fillId="4" borderId="6" xfId="4" applyFont="1" applyFill="1" applyBorder="1" applyAlignment="1">
      <alignment horizontal="center" vertical="center" wrapText="1"/>
    </xf>
    <xf numFmtId="0" fontId="9" fillId="4" borderId="7" xfId="4" applyFont="1" applyFill="1" applyBorder="1" applyAlignment="1">
      <alignment horizontal="center" vertical="center" wrapText="1"/>
    </xf>
    <xf numFmtId="0" fontId="5" fillId="4" borderId="1" xfId="4" applyFont="1" applyFill="1" applyBorder="1" applyAlignment="1">
      <alignment horizontal="center" vertical="center" wrapText="1"/>
    </xf>
    <xf numFmtId="0" fontId="10" fillId="4" borderId="1" xfId="4" applyFont="1" applyFill="1" applyBorder="1" applyAlignment="1">
      <alignment horizontal="center" vertical="center"/>
    </xf>
    <xf numFmtId="0" fontId="3" fillId="2" borderId="2" xfId="6" applyFont="1" applyFill="1" applyBorder="1" applyAlignment="1">
      <alignment horizontal="center" vertical="center"/>
    </xf>
    <xf numFmtId="0" fontId="3" fillId="2" borderId="3" xfId="6" applyFont="1" applyFill="1" applyBorder="1" applyAlignment="1">
      <alignment horizontal="center" vertical="center"/>
    </xf>
    <xf numFmtId="0" fontId="3" fillId="2" borderId="4" xfId="6" applyFont="1" applyFill="1" applyBorder="1" applyAlignment="1">
      <alignment horizontal="center" vertical="center"/>
    </xf>
    <xf numFmtId="0" fontId="3" fillId="2" borderId="1" xfId="6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7">
    <cellStyle name="Normal" xfId="0" builtinId="0"/>
    <cellStyle name="Normal 10" xfId="1"/>
    <cellStyle name="Normal 2" xfId="2"/>
    <cellStyle name="Normal 2 2" xfId="3"/>
    <cellStyle name="Normal 3" xfId="4"/>
    <cellStyle name="Normal 7" xfId="5"/>
    <cellStyle name="Normal 9" xfId="6"/>
  </cellStyles>
  <dxfs count="1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00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715009861850295E-2"/>
          <c:y val="0.104048161060313"/>
          <c:w val="0.88075403777339401"/>
          <c:h val="0.86410472782634196"/>
        </c:manualLayout>
      </c:layout>
      <c:scatterChart>
        <c:scatterStyle val="lineMarker"/>
        <c:varyColors val="0"/>
        <c:ser>
          <c:idx val="1"/>
          <c:order val="0"/>
          <c:tx>
            <c:v>COLUMN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xVal>
            <c:numRef>
              <c:f>MongDon!$J$20:$J$24</c:f>
              <c:numCache>
                <c:formatCode>General</c:formatCode>
                <c:ptCount val="5"/>
                <c:pt idx="0">
                  <c:v>-0.11</c:v>
                </c:pt>
                <c:pt idx="1">
                  <c:v>-0.11</c:v>
                </c:pt>
                <c:pt idx="2">
                  <c:v>0.11</c:v>
                </c:pt>
                <c:pt idx="3">
                  <c:v>0.11</c:v>
                </c:pt>
                <c:pt idx="4">
                  <c:v>-0.11</c:v>
                </c:pt>
              </c:numCache>
            </c:numRef>
          </c:xVal>
          <c:yVal>
            <c:numRef>
              <c:f>MongDon!$K$20:$K$24</c:f>
              <c:numCache>
                <c:formatCode>General</c:formatCode>
                <c:ptCount val="5"/>
                <c:pt idx="0">
                  <c:v>-0.11</c:v>
                </c:pt>
                <c:pt idx="1">
                  <c:v>0.11</c:v>
                </c:pt>
                <c:pt idx="2">
                  <c:v>0.11</c:v>
                </c:pt>
                <c:pt idx="3">
                  <c:v>-0.11</c:v>
                </c:pt>
                <c:pt idx="4">
                  <c:v>-0.11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A-47B0-99EB-271F020EE36C}"/>
            </c:ext>
          </c:extLst>
        </c:ser>
        <c:ser>
          <c:idx val="2"/>
          <c:order val="1"/>
          <c:tx>
            <c:v>PIPECAP</c:v>
          </c:tx>
          <c:spPr>
            <a:ln w="25400" cap="rnd" cmpd="sng" algn="ctr">
              <a:solidFill>
                <a:srgbClr val="00FFFF"/>
              </a:solidFill>
              <a:prstDash val="solid"/>
              <a:round/>
            </a:ln>
          </c:spPr>
          <c:marker>
            <c:symbol val="dash"/>
            <c:size val="5"/>
            <c:spPr>
              <a:noFill/>
              <a:ln w="9525" cap="flat" cmpd="sng" algn="ctr">
                <a:noFill/>
                <a:prstDash val="solid"/>
                <a:round/>
              </a:ln>
            </c:spPr>
          </c:marker>
          <c:dLbls>
            <c:dLbl>
              <c:idx val="0"/>
              <c:layout>
                <c:manualLayout>
                  <c:x val="-0.125596399139732"/>
                  <c:y val="1.1256461591004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D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CA-47B0-99EB-271F020EE36C}"/>
                </c:ext>
              </c:extLst>
            </c:dLbl>
            <c:dLbl>
              <c:idx val="1"/>
              <c:layout>
                <c:manualLayout>
                  <c:x val="-0.11609015542425"/>
                  <c:y val="-6.20866793851782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CA-47B0-99EB-271F020EE36C}"/>
                </c:ext>
              </c:extLst>
            </c:dLbl>
            <c:dLbl>
              <c:idx val="2"/>
              <c:layout>
                <c:manualLayout>
                  <c:x val="-1.9546255387613301E-2"/>
                  <c:y val="-5.20644426637425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CA-47B0-99EB-271F020EE36C}"/>
                </c:ext>
              </c:extLst>
            </c:dLbl>
            <c:dLbl>
              <c:idx val="3"/>
              <c:layout>
                <c:manualLayout>
                  <c:x val="-9.9102790468875001E-3"/>
                  <c:y val="-4.6309274838103603E-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CA-47B0-99EB-271F020EE36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CA-47B0-99EB-271F020EE36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150" b="0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MongDon!$L$20:$L$24</c:f>
              <c:numCache>
                <c:formatCode>General</c:formatCode>
                <c:ptCount val="5"/>
                <c:pt idx="0">
                  <c:v>-0.6</c:v>
                </c:pt>
                <c:pt idx="1">
                  <c:v>-0.6</c:v>
                </c:pt>
                <c:pt idx="2">
                  <c:v>0.6</c:v>
                </c:pt>
                <c:pt idx="3">
                  <c:v>0.6</c:v>
                </c:pt>
                <c:pt idx="4">
                  <c:v>-0.6</c:v>
                </c:pt>
              </c:numCache>
            </c:numRef>
          </c:xVal>
          <c:yVal>
            <c:numRef>
              <c:f>MongDon!$M$20:$M$24</c:f>
              <c:numCache>
                <c:formatCode>General</c:formatCode>
                <c:ptCount val="5"/>
                <c:pt idx="0">
                  <c:v>-0.6</c:v>
                </c:pt>
                <c:pt idx="1">
                  <c:v>0.6</c:v>
                </c:pt>
                <c:pt idx="2">
                  <c:v>0.6</c:v>
                </c:pt>
                <c:pt idx="3">
                  <c:v>-0.6</c:v>
                </c:pt>
                <c:pt idx="4">
                  <c:v>-0.6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CA-47B0-99EB-271F020EE36C}"/>
            </c:ext>
          </c:extLst>
        </c:ser>
        <c:ser>
          <c:idx val="0"/>
          <c:order val="2"/>
          <c:tx>
            <c:v>TRUC Y</c:v>
          </c:tx>
          <c:marker>
            <c:symbol val="none"/>
          </c:marker>
          <c:xVal>
            <c:numRef>
              <c:f>MongDon!$N$20:$N$21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MongDon!$O$20:$O$21</c:f>
              <c:numCache>
                <c:formatCode>General</c:formatCode>
                <c:ptCount val="2"/>
                <c:pt idx="0">
                  <c:v>-0.6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CA-47B0-99EB-271F020EE36C}"/>
            </c:ext>
          </c:extLst>
        </c:ser>
        <c:ser>
          <c:idx val="3"/>
          <c:order val="3"/>
          <c:tx>
            <c:v>TRUC X</c:v>
          </c:tx>
          <c:marker>
            <c:symbol val="none"/>
          </c:marker>
          <c:xVal>
            <c:numRef>
              <c:f>MongDon!$N$23:$N$24</c:f>
              <c:numCache>
                <c:formatCode>General</c:formatCode>
                <c:ptCount val="2"/>
                <c:pt idx="0">
                  <c:v>-0.6</c:v>
                </c:pt>
                <c:pt idx="1">
                  <c:v>0.6</c:v>
                </c:pt>
              </c:numCache>
            </c:numRef>
          </c:xVal>
          <c:yVal>
            <c:numRef>
              <c:f>MongDon!$O$23:$O$24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CA-47B0-99EB-271F020E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465480"/>
        <c:axId val="331468616"/>
      </c:scatterChart>
      <c:valAx>
        <c:axId val="331465480"/>
        <c:scaling>
          <c:orientation val="minMax"/>
        </c:scaling>
        <c:delete val="1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150" b="0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18258115060516"/>
              <c:y val="3.941839049197230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468616"/>
        <c:crosses val="autoZero"/>
        <c:crossBetween val="midCat"/>
        <c:majorUnit val="0.5"/>
      </c:valAx>
      <c:valAx>
        <c:axId val="331468616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rgbClr val="FFFFFF"/>
              </a:solidFill>
              <a:prstDash val="solid"/>
              <a:round/>
            </a:ln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150" b="0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 baseline="0"/>
                  <a:t> X</a:t>
                </a:r>
              </a:p>
            </c:rich>
          </c:tx>
          <c:layout>
            <c:manualLayout>
              <c:xMode val="edge"/>
              <c:yMode val="edge"/>
              <c:x val="0.81793680993942097"/>
              <c:y val="0.420913268516887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465480"/>
        <c:crosses val="autoZero"/>
        <c:crossBetween val="midCat"/>
        <c:majorUnit val="0.5"/>
      </c:valAx>
      <c:spPr>
        <a:solidFill>
          <a:srgbClr val="FFFFFF">
            <a:alpha val="0"/>
          </a:srgbClr>
        </a:solidFill>
        <a:ln w="25400">
          <a:noFill/>
        </a:ln>
      </c:spPr>
    </c:plotArea>
    <c:plotVisOnly val="1"/>
    <c:dispBlanksAs val="gap"/>
    <c:showDLblsOverMax val="0"/>
    <c:extLst>
      <c:ext uri="{0b15fc19-7d7d-44ad-8c2d-2c3a37ce22c3}">
        <chartProps xmlns="https://web.wps.cn/et/2018/main" chartId="{1460ec9f-2b68-4b2c-a423-05358c8610de}"/>
      </c:ext>
    </c:extLst>
  </c:chart>
  <c:spPr>
    <a:solidFill>
      <a:srgbClr val="FFFFFF"/>
    </a:solidFill>
    <a:ln w="9525" cap="flat" cmpd="sng" algn="ctr">
      <a:noFill/>
      <a:prstDash val="solid"/>
      <a:round/>
    </a:ln>
  </c:spPr>
  <c:txPr>
    <a:bodyPr/>
    <a:lstStyle/>
    <a:p>
      <a:pPr>
        <a:defRPr lang="en-US" sz="115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142874</xdr:rowOff>
    </xdr:from>
    <xdr:to>
      <xdr:col>9</xdr:col>
      <xdr:colOff>186832</xdr:colOff>
      <xdr:row>62</xdr:row>
      <xdr:rowOff>106999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904740"/>
          <a:ext cx="5587365" cy="70129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0</xdr:row>
      <xdr:rowOff>0</xdr:rowOff>
    </xdr:from>
    <xdr:to>
      <xdr:col>9</xdr:col>
      <xdr:colOff>116724</xdr:colOff>
      <xdr:row>24</xdr:row>
      <xdr:rowOff>47625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0"/>
          <a:ext cx="5469255" cy="461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644128</xdr:colOff>
      <xdr:row>9</xdr:row>
      <xdr:rowOff>144067</xdr:rowOff>
    </xdr:from>
    <xdr:to>
      <xdr:col>6</xdr:col>
      <xdr:colOff>216694</xdr:colOff>
      <xdr:row>11</xdr:row>
      <xdr:rowOff>82746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1858010"/>
          <a:ext cx="2921635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19049</xdr:colOff>
      <xdr:row>3</xdr:row>
      <xdr:rowOff>75373</xdr:rowOff>
    </xdr:from>
    <xdr:to>
      <xdr:col>12</xdr:col>
      <xdr:colOff>389282</xdr:colOff>
      <xdr:row>15</xdr:row>
      <xdr:rowOff>107674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iamdoc\a\A&amp;B-hong\quotation\nam%202002\nokia%20hcmc\My%20Documents\MINH%20NGUYET\My%20Documents\CTY%20586\P.KHKD\DINH\DONG%20THAP\CA%20GAO\DT-CAGA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-PC\Users\1.%20DataHien\1.Cac%20bang%20tinh\dam(356)9lenh%20tam%20xien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ngTrinh\NhaThuDuc\_DataKetCau_TS(dc)_17-05-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-PC\Users\1.%20DataHien\3.Cong%20Trinh\3.Trung%20son\Cty%20SPA\1.DHCN\1.HoSoKyThuat_TruongDHCongNghe_Quan8\Excel\Hien\Bang%20tinh%20dam\dam(356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-PC\Users\NewData\COT%20TCXDVN%20356aaaaaaaaaa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ai%20Lieu/02.%20EBook%20Duynv/02.%20EXCEL/05.%20Tinh%20Mong/02.%20Tinh%20Mong%20Don/01.%20Mong%20Don_Ve+TT%20Anh%20Hien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ata_pro\Kata-05-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"/>
      <sheetName val="GIAVLIEU"/>
      <sheetName val="XM"/>
      <sheetName val="NC"/>
      <sheetName val="LINHTINH"/>
      <sheetName val="PTDG"/>
      <sheetName val="PHAN-CAU"/>
      <sheetName val="TONGHOP1"/>
      <sheetName val="TT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 LIEU"/>
      <sheetName val="DAM"/>
      <sheetName val="COT"/>
      <sheetName val="COT (3)"/>
      <sheetName val="DAM (2)"/>
      <sheetName val="COT (2)"/>
      <sheetName val="COT (4)"/>
      <sheetName val="bang tr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BTCT for Etabs"/>
      <sheetName val="Data_VatLieu"/>
      <sheetName val="Data_TT&amp;HT"/>
      <sheetName val="Coc"/>
      <sheetName val="Mong(Safe)"/>
      <sheetName val="Giang Mong(Safe)"/>
      <sheetName val="GM(S_E_T)"/>
      <sheetName val="San(Safe)"/>
      <sheetName val="Cot(Etabs)"/>
      <sheetName val="Vach(Etabs)"/>
      <sheetName val="Dam(T)"/>
      <sheetName val="TINH Rct"/>
      <sheetName val="MongBang"/>
      <sheetName val="MongCoc"/>
      <sheetName val="bang tra"/>
      <sheetName val="Dam(T)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 LIEU"/>
      <sheetName val="KhoiThiNghiem"/>
      <sheetName val="KhoiLopHoc"/>
      <sheetName val="bang tra thep"/>
    </sheetNames>
    <sheetDataSet>
      <sheetData sheetId="0"/>
      <sheetData sheetId="1"/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_cot"/>
      <sheetName val="T_cot (2)"/>
      <sheetName val="Tables"/>
    </sheetNames>
    <sheetDataSet>
      <sheetData sheetId="0" refreshError="1"/>
      <sheetData sheetId="1" refreshError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NH Rct"/>
      <sheetName val="REPORT_RTC"/>
      <sheetName val="TINH MONG DON (TM)"/>
      <sheetName val="REPORT_OD"/>
      <sheetName val="REPORT_IMAGE"/>
      <sheetName val="REPORT_REACTION"/>
      <sheetName val="Sheet2"/>
      <sheetName val="Sheet1"/>
      <sheetName val="LUN"/>
      <sheetName val="Reaction"/>
      <sheetName val="Reaction (2)"/>
      <sheetName val="ToaDo"/>
      <sheetName val="MB"/>
      <sheetName val="NoiLuc2016"/>
      <sheetName val="Mong"/>
      <sheetName val="Cot"/>
      <sheetName val="MongDon"/>
      <sheetName val="KheNut"/>
      <sheetName val="Dam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1"/>
  <sheetViews>
    <sheetView workbookViewId="0">
      <selection activeCell="A26" sqref="A26:C33"/>
    </sheetView>
  </sheetViews>
  <sheetFormatPr defaultColWidth="9" defaultRowHeight="15"/>
  <sheetData>
    <row r="1" spans="1:12" ht="15.7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</row>
    <row r="2" spans="1:12" ht="15.75">
      <c r="A2" s="148" t="s">
        <v>1</v>
      </c>
      <c r="B2" s="135" t="s">
        <v>2</v>
      </c>
      <c r="C2" s="136"/>
      <c r="D2" s="136"/>
      <c r="E2" s="136"/>
      <c r="F2" s="136"/>
      <c r="G2" s="136"/>
      <c r="H2" s="136"/>
      <c r="I2" s="136"/>
      <c r="J2" s="136"/>
      <c r="K2" s="136"/>
      <c r="L2" s="137"/>
    </row>
    <row r="3" spans="1:12" ht="15.75">
      <c r="A3" s="134"/>
      <c r="B3" s="138">
        <v>1</v>
      </c>
      <c r="C3" s="138">
        <v>1.2</v>
      </c>
      <c r="D3" s="138">
        <v>1.4</v>
      </c>
      <c r="E3" s="138">
        <v>1.6</v>
      </c>
      <c r="F3" s="138">
        <v>1.8</v>
      </c>
      <c r="G3" s="138">
        <v>2</v>
      </c>
      <c r="H3" s="138">
        <v>2.4</v>
      </c>
      <c r="I3" s="138">
        <v>2.8</v>
      </c>
      <c r="J3" s="138">
        <v>3.2</v>
      </c>
      <c r="K3" s="138">
        <v>4</v>
      </c>
      <c r="L3" s="139">
        <v>5</v>
      </c>
    </row>
    <row r="4" spans="1:12" ht="15.75">
      <c r="A4" s="140">
        <v>0</v>
      </c>
      <c r="B4" s="141">
        <v>1</v>
      </c>
      <c r="C4" s="141">
        <v>1</v>
      </c>
      <c r="D4" s="141">
        <v>1</v>
      </c>
      <c r="E4" s="141">
        <v>1</v>
      </c>
      <c r="F4" s="141">
        <v>1</v>
      </c>
      <c r="G4" s="141">
        <v>1</v>
      </c>
      <c r="H4" s="141">
        <v>1</v>
      </c>
      <c r="I4" s="141">
        <v>1</v>
      </c>
      <c r="J4" s="141">
        <v>1</v>
      </c>
      <c r="K4" s="141">
        <v>1</v>
      </c>
      <c r="L4" s="142">
        <v>1</v>
      </c>
    </row>
    <row r="5" spans="1:12" ht="15.75">
      <c r="A5" s="140">
        <v>0.4</v>
      </c>
      <c r="B5" s="141">
        <v>0.96</v>
      </c>
      <c r="C5" s="141">
        <v>0.96799999999999997</v>
      </c>
      <c r="D5" s="141">
        <v>0.97199999999999998</v>
      </c>
      <c r="E5" s="141">
        <v>0.97399999999999998</v>
      </c>
      <c r="F5" s="141">
        <v>0.97499999999999998</v>
      </c>
      <c r="G5" s="141">
        <v>0.97599999999999998</v>
      </c>
      <c r="H5" s="141">
        <v>0.97599999999999998</v>
      </c>
      <c r="I5" s="141">
        <v>0.97699999999999998</v>
      </c>
      <c r="J5" s="141">
        <v>0.97699999999999998</v>
      </c>
      <c r="K5" s="141">
        <v>0.97699999999999998</v>
      </c>
      <c r="L5" s="142">
        <v>0.97699999999999998</v>
      </c>
    </row>
    <row r="6" spans="1:12" ht="15.75">
      <c r="A6" s="140">
        <v>0.8</v>
      </c>
      <c r="B6" s="141">
        <v>0.8</v>
      </c>
      <c r="C6" s="141">
        <v>0.83</v>
      </c>
      <c r="D6" s="141">
        <v>0.84799999999999998</v>
      </c>
      <c r="E6" s="141">
        <v>0.85899999999999999</v>
      </c>
      <c r="F6" s="141">
        <v>0.86599999999999999</v>
      </c>
      <c r="G6" s="141">
        <v>0.87</v>
      </c>
      <c r="H6" s="141">
        <v>0.875</v>
      </c>
      <c r="I6" s="141">
        <v>0.878</v>
      </c>
      <c r="J6" s="141">
        <v>0.879</v>
      </c>
      <c r="K6" s="141">
        <v>0.88</v>
      </c>
      <c r="L6" s="142">
        <v>0.88100000000000001</v>
      </c>
    </row>
    <row r="7" spans="1:12" ht="15.75">
      <c r="A7" s="140">
        <v>1.2</v>
      </c>
      <c r="B7" s="141">
        <v>0.60599999999999998</v>
      </c>
      <c r="C7" s="141">
        <v>0.65200000000000002</v>
      </c>
      <c r="D7" s="141">
        <v>0.65200000000000002</v>
      </c>
      <c r="E7" s="141">
        <v>0.70299999999999996</v>
      </c>
      <c r="F7" s="141">
        <v>0.71699999999999997</v>
      </c>
      <c r="G7" s="141">
        <v>0.72699999999999998</v>
      </c>
      <c r="H7" s="141">
        <v>0.74</v>
      </c>
      <c r="I7" s="141">
        <v>0.746</v>
      </c>
      <c r="J7" s="141">
        <v>0.749</v>
      </c>
      <c r="K7" s="141">
        <v>0.753</v>
      </c>
      <c r="L7" s="142">
        <v>0.754</v>
      </c>
    </row>
    <row r="8" spans="1:12" ht="15.75">
      <c r="A8" s="140">
        <v>1.6</v>
      </c>
      <c r="B8" s="141">
        <v>0.44900000000000001</v>
      </c>
      <c r="C8" s="141">
        <v>0.496</v>
      </c>
      <c r="D8" s="141">
        <v>0.49</v>
      </c>
      <c r="E8" s="141">
        <v>0.55800000000000005</v>
      </c>
      <c r="F8" s="141">
        <v>0.57799999999999996</v>
      </c>
      <c r="G8" s="141">
        <v>0.59299999999999997</v>
      </c>
      <c r="H8" s="141">
        <v>0.61199999999999999</v>
      </c>
      <c r="I8" s="141">
        <v>0.623</v>
      </c>
      <c r="J8" s="141">
        <v>0.63</v>
      </c>
      <c r="K8" s="141">
        <v>0.63600000000000001</v>
      </c>
      <c r="L8" s="142">
        <v>0.63900000000000001</v>
      </c>
    </row>
    <row r="9" spans="1:12" ht="15.75">
      <c r="A9" s="140">
        <v>2</v>
      </c>
      <c r="B9" s="141">
        <v>0.33600000000000002</v>
      </c>
      <c r="C9" s="141">
        <v>0.379</v>
      </c>
      <c r="D9" s="141">
        <v>0.379</v>
      </c>
      <c r="E9" s="141">
        <v>0.441</v>
      </c>
      <c r="F9" s="141">
        <v>0.46300000000000002</v>
      </c>
      <c r="G9" s="141">
        <v>0.48099999999999998</v>
      </c>
      <c r="H9" s="141">
        <v>0.505</v>
      </c>
      <c r="I9" s="141">
        <v>0.52</v>
      </c>
      <c r="J9" s="141">
        <v>0.52900000000000003</v>
      </c>
      <c r="K9" s="141">
        <v>0.54</v>
      </c>
      <c r="L9" s="142">
        <v>0.54500000000000004</v>
      </c>
    </row>
    <row r="10" spans="1:12" ht="15.75">
      <c r="A10" s="140">
        <v>2.4</v>
      </c>
      <c r="B10" s="141">
        <v>0.25700000000000001</v>
      </c>
      <c r="C10" s="141">
        <v>0.29399999999999998</v>
      </c>
      <c r="D10" s="141">
        <v>0.29399999999999998</v>
      </c>
      <c r="E10" s="141">
        <v>0.35199999999999998</v>
      </c>
      <c r="F10" s="141">
        <v>0.374</v>
      </c>
      <c r="G10" s="141">
        <v>0.39200000000000002</v>
      </c>
      <c r="H10" s="141">
        <v>0.41899999999999998</v>
      </c>
      <c r="I10" s="141">
        <v>0.437</v>
      </c>
      <c r="J10" s="141">
        <v>0.44900000000000001</v>
      </c>
      <c r="K10" s="141">
        <v>0.46200000000000002</v>
      </c>
      <c r="L10" s="142">
        <v>0.47</v>
      </c>
    </row>
    <row r="11" spans="1:12" ht="15.75">
      <c r="A11" s="140">
        <v>2.8</v>
      </c>
      <c r="B11" s="141">
        <v>0.20100000000000001</v>
      </c>
      <c r="C11" s="141">
        <v>0.23200000000000001</v>
      </c>
      <c r="D11" s="141">
        <v>0.23200000000000001</v>
      </c>
      <c r="E11" s="141">
        <v>0.28399999999999997</v>
      </c>
      <c r="F11" s="141">
        <v>0.30399999999999999</v>
      </c>
      <c r="G11" s="141">
        <v>0.32100000000000001</v>
      </c>
      <c r="H11" s="141">
        <v>0.35</v>
      </c>
      <c r="I11" s="141">
        <v>0.36899999999999999</v>
      </c>
      <c r="J11" s="141">
        <v>0.38300000000000001</v>
      </c>
      <c r="K11" s="141">
        <v>0.4</v>
      </c>
      <c r="L11" s="142">
        <v>0.41</v>
      </c>
    </row>
    <row r="12" spans="1:12" ht="15.75">
      <c r="A12" s="140">
        <v>3.2</v>
      </c>
      <c r="B12" s="141">
        <v>0.16</v>
      </c>
      <c r="C12" s="141">
        <v>0.187</v>
      </c>
      <c r="D12" s="141">
        <v>0.187</v>
      </c>
      <c r="E12" s="141">
        <v>0.23200000000000001</v>
      </c>
      <c r="F12" s="141">
        <v>0.251</v>
      </c>
      <c r="G12" s="141">
        <v>0.26700000000000002</v>
      </c>
      <c r="H12" s="141">
        <v>0.29399999999999998</v>
      </c>
      <c r="I12" s="141">
        <v>0.314</v>
      </c>
      <c r="J12" s="141">
        <v>0.32900000000000001</v>
      </c>
      <c r="K12" s="141">
        <v>0.34799999999999998</v>
      </c>
      <c r="L12" s="142">
        <v>0.36</v>
      </c>
    </row>
    <row r="13" spans="1:12" ht="15.75">
      <c r="A13" s="140">
        <v>3.6</v>
      </c>
      <c r="B13" s="141">
        <v>0.13</v>
      </c>
      <c r="C13" s="141">
        <v>0.153</v>
      </c>
      <c r="D13" s="141">
        <v>0.153</v>
      </c>
      <c r="E13" s="141">
        <v>0.192</v>
      </c>
      <c r="F13" s="141">
        <v>0.20899999999999999</v>
      </c>
      <c r="G13" s="141">
        <v>0.224</v>
      </c>
      <c r="H13" s="141">
        <v>0.25</v>
      </c>
      <c r="I13" s="141">
        <v>0.27</v>
      </c>
      <c r="J13" s="141">
        <v>0.28299999999999997</v>
      </c>
      <c r="K13" s="141">
        <v>0.30499999999999999</v>
      </c>
      <c r="L13" s="142">
        <v>0.32</v>
      </c>
    </row>
    <row r="14" spans="1:12" ht="15.75">
      <c r="A14" s="140">
        <v>4</v>
      </c>
      <c r="B14" s="141">
        <v>0.108</v>
      </c>
      <c r="C14" s="141">
        <v>0.127</v>
      </c>
      <c r="D14" s="141">
        <v>0.127</v>
      </c>
      <c r="E14" s="141">
        <v>0.161</v>
      </c>
      <c r="F14" s="141">
        <v>0.17599999999999999</v>
      </c>
      <c r="G14" s="141">
        <v>0.19</v>
      </c>
      <c r="H14" s="141">
        <v>0.214</v>
      </c>
      <c r="I14" s="141">
        <v>0.23300000000000001</v>
      </c>
      <c r="J14" s="141">
        <v>0.248</v>
      </c>
      <c r="K14" s="141">
        <v>0.27</v>
      </c>
      <c r="L14" s="142">
        <v>0.28499999999999998</v>
      </c>
    </row>
    <row r="15" spans="1:12" ht="15.75">
      <c r="A15" s="140">
        <v>4.4000000000000004</v>
      </c>
      <c r="B15" s="141">
        <v>9.0999999999999998E-2</v>
      </c>
      <c r="C15" s="141">
        <v>0.107</v>
      </c>
      <c r="D15" s="141">
        <v>0.107</v>
      </c>
      <c r="E15" s="141">
        <v>0.13700000000000001</v>
      </c>
      <c r="F15" s="141">
        <v>0.15</v>
      </c>
      <c r="G15" s="141">
        <v>0.16300000000000001</v>
      </c>
      <c r="H15" s="141">
        <v>0.185</v>
      </c>
      <c r="I15" s="141">
        <v>0.20300000000000001</v>
      </c>
      <c r="J15" s="141">
        <v>0.218</v>
      </c>
      <c r="K15" s="141">
        <v>0.23899999999999999</v>
      </c>
      <c r="L15" s="142">
        <v>0.25600000000000001</v>
      </c>
    </row>
    <row r="16" spans="1:12" ht="15.75">
      <c r="A16" s="140">
        <v>4.8</v>
      </c>
      <c r="B16" s="141">
        <v>7.6999999999999999E-2</v>
      </c>
      <c r="C16" s="141">
        <v>9.1999999999999998E-2</v>
      </c>
      <c r="D16" s="141">
        <v>9.1999999999999998E-2</v>
      </c>
      <c r="E16" s="141">
        <v>0.11799999999999999</v>
      </c>
      <c r="F16" s="141">
        <v>0.13</v>
      </c>
      <c r="G16" s="141">
        <v>0.14099999999999999</v>
      </c>
      <c r="H16" s="141">
        <v>0.161</v>
      </c>
      <c r="I16" s="141">
        <v>0.17799999999999999</v>
      </c>
      <c r="J16" s="141">
        <v>0.192</v>
      </c>
      <c r="K16" s="141">
        <v>0.21299999999999999</v>
      </c>
      <c r="L16" s="142">
        <v>0.23</v>
      </c>
    </row>
    <row r="17" spans="1:12" ht="15.75">
      <c r="A17" s="140">
        <v>5.2</v>
      </c>
      <c r="B17" s="141">
        <v>6.6000000000000003E-2</v>
      </c>
      <c r="C17" s="141">
        <v>7.9000000000000001E-2</v>
      </c>
      <c r="D17" s="141">
        <v>7.9000000000000001E-2</v>
      </c>
      <c r="E17" s="141">
        <v>0.10199999999999999</v>
      </c>
      <c r="F17" s="141">
        <v>0.112</v>
      </c>
      <c r="G17" s="141">
        <v>0.123</v>
      </c>
      <c r="H17" s="141">
        <v>0.14099999999999999</v>
      </c>
      <c r="I17" s="141">
        <v>0.157</v>
      </c>
      <c r="J17" s="141">
        <v>0.17199999999999999</v>
      </c>
      <c r="K17" s="141">
        <v>0.191</v>
      </c>
      <c r="L17" s="142">
        <v>0.20799999999999999</v>
      </c>
    </row>
    <row r="18" spans="1:12" ht="15.75">
      <c r="A18" s="140">
        <v>5.6</v>
      </c>
      <c r="B18" s="141">
        <v>5.8000000000000003E-2</v>
      </c>
      <c r="C18" s="141">
        <v>6.9000000000000006E-2</v>
      </c>
      <c r="D18" s="141">
        <v>6.9000000000000006E-2</v>
      </c>
      <c r="E18" s="141">
        <v>8.8999999999999996E-2</v>
      </c>
      <c r="F18" s="141">
        <v>0.09</v>
      </c>
      <c r="G18" s="141">
        <v>0.108</v>
      </c>
      <c r="H18" s="141">
        <v>0.124</v>
      </c>
      <c r="I18" s="141">
        <v>0.13900000000000001</v>
      </c>
      <c r="J18" s="141">
        <v>0.152</v>
      </c>
      <c r="K18" s="141">
        <v>0.17199999999999999</v>
      </c>
      <c r="L18" s="142">
        <v>0.189</v>
      </c>
    </row>
    <row r="19" spans="1:12" ht="15.75">
      <c r="A19" s="140">
        <v>6</v>
      </c>
      <c r="B19" s="141">
        <v>5.0999999999999997E-2</v>
      </c>
      <c r="C19" s="141">
        <v>0.06</v>
      </c>
      <c r="D19" s="141">
        <v>0.06</v>
      </c>
      <c r="E19" s="141">
        <v>7.8E-2</v>
      </c>
      <c r="F19" s="141">
        <v>8.6999999999999994E-2</v>
      </c>
      <c r="G19" s="141">
        <v>9.5000000000000001E-2</v>
      </c>
      <c r="H19" s="141">
        <v>0.11</v>
      </c>
      <c r="I19" s="141">
        <v>0.124</v>
      </c>
      <c r="J19" s="141">
        <v>0.13600000000000001</v>
      </c>
      <c r="K19" s="141">
        <v>0.155</v>
      </c>
      <c r="L19" s="142">
        <v>0.17199999999999999</v>
      </c>
    </row>
    <row r="20" spans="1:12" ht="15.75">
      <c r="A20" s="140">
        <v>6.4</v>
      </c>
      <c r="B20" s="141">
        <v>4.4999999999999998E-2</v>
      </c>
      <c r="C20" s="141">
        <v>5.2999999999999999E-2</v>
      </c>
      <c r="D20" s="141">
        <v>5.2999999999999999E-2</v>
      </c>
      <c r="E20" s="141">
        <v>7.0000000000000007E-2</v>
      </c>
      <c r="F20" s="141">
        <v>7.6999999999999999E-2</v>
      </c>
      <c r="G20" s="141">
        <v>8.5000000000000006E-2</v>
      </c>
      <c r="H20" s="141">
        <v>9.8000000000000004E-2</v>
      </c>
      <c r="I20" s="141">
        <v>0.111</v>
      </c>
      <c r="J20" s="141">
        <v>0.122</v>
      </c>
      <c r="K20" s="141">
        <v>0.14099999999999999</v>
      </c>
      <c r="L20" s="142">
        <v>0.158</v>
      </c>
    </row>
    <row r="21" spans="1:12" ht="15.75">
      <c r="A21" s="140">
        <v>6.8</v>
      </c>
      <c r="B21" s="143">
        <v>0.04</v>
      </c>
      <c r="C21" s="143">
        <v>4.8000000000000001E-2</v>
      </c>
      <c r="D21" s="143">
        <v>4.8000000000000001E-2</v>
      </c>
      <c r="E21" s="143">
        <v>6.2E-2</v>
      </c>
      <c r="F21" s="143">
        <v>6.9000000000000006E-2</v>
      </c>
      <c r="G21" s="143">
        <v>7.5999999999999998E-2</v>
      </c>
      <c r="H21" s="143">
        <v>8.7999999999999995E-2</v>
      </c>
      <c r="I21" s="143">
        <v>0.1</v>
      </c>
      <c r="J21" s="143">
        <v>0.11</v>
      </c>
      <c r="K21" s="143">
        <v>0.128</v>
      </c>
      <c r="L21" s="144">
        <v>0.14399999999999999</v>
      </c>
    </row>
    <row r="22" spans="1:12" ht="15.75">
      <c r="A22" s="140">
        <v>7.2</v>
      </c>
      <c r="B22" s="143">
        <v>3.5999999999999997E-2</v>
      </c>
      <c r="C22" s="143">
        <v>4.2000000000000003E-2</v>
      </c>
      <c r="D22" s="143">
        <v>4.2000000000000003E-2</v>
      </c>
      <c r="E22" s="143">
        <v>5.6000000000000001E-2</v>
      </c>
      <c r="F22" s="143">
        <v>6.2E-2</v>
      </c>
      <c r="G22" s="143">
        <v>6.8000000000000005E-2</v>
      </c>
      <c r="H22" s="143">
        <v>0.08</v>
      </c>
      <c r="I22" s="143">
        <v>0.09</v>
      </c>
      <c r="J22" s="143">
        <v>0.1</v>
      </c>
      <c r="K22" s="143">
        <v>0.11700000000000001</v>
      </c>
      <c r="L22" s="144">
        <v>0.13300000000000001</v>
      </c>
    </row>
    <row r="23" spans="1:12" ht="15.75">
      <c r="A23" s="140">
        <v>7.6</v>
      </c>
      <c r="B23" s="143">
        <v>3.2000000000000001E-2</v>
      </c>
      <c r="C23" s="143">
        <v>3.7999999999999999E-2</v>
      </c>
      <c r="D23" s="143">
        <v>3.7999999999999999E-2</v>
      </c>
      <c r="E23" s="143">
        <v>0.05</v>
      </c>
      <c r="F23" s="143">
        <v>5.6000000000000001E-2</v>
      </c>
      <c r="G23" s="143">
        <v>6.2E-2</v>
      </c>
      <c r="H23" s="143">
        <v>7.1999999999999995E-2</v>
      </c>
      <c r="I23" s="143">
        <v>8.2000000000000003E-2</v>
      </c>
      <c r="J23" s="143">
        <v>9.0999999999999998E-2</v>
      </c>
      <c r="K23" s="143">
        <v>0.107</v>
      </c>
      <c r="L23" s="144">
        <v>0.123</v>
      </c>
    </row>
    <row r="24" spans="1:12" ht="15.75">
      <c r="A24" s="140">
        <v>8</v>
      </c>
      <c r="B24" s="143">
        <v>2.9000000000000001E-2</v>
      </c>
      <c r="C24" s="143">
        <v>3.5000000000000003E-2</v>
      </c>
      <c r="D24" s="143">
        <v>3.5000000000000003E-2</v>
      </c>
      <c r="E24" s="143">
        <v>4.5999999999999999E-2</v>
      </c>
      <c r="F24" s="143">
        <v>5.0999999999999997E-2</v>
      </c>
      <c r="G24" s="143">
        <v>5.6000000000000001E-2</v>
      </c>
      <c r="H24" s="143">
        <v>6.6000000000000003E-2</v>
      </c>
      <c r="I24" s="143">
        <v>7.4999999999999997E-2</v>
      </c>
      <c r="J24" s="143">
        <v>8.4000000000000005E-2</v>
      </c>
      <c r="K24" s="143">
        <v>9.8000000000000004E-2</v>
      </c>
      <c r="L24" s="144">
        <v>0.113</v>
      </c>
    </row>
    <row r="25" spans="1:12" ht="15.75">
      <c r="A25" s="140">
        <v>8.4</v>
      </c>
      <c r="B25" s="143">
        <v>2.5999999999999999E-2</v>
      </c>
      <c r="C25" s="143">
        <v>3.2000000000000001E-2</v>
      </c>
      <c r="D25" s="143">
        <v>3.2000000000000001E-2</v>
      </c>
      <c r="E25" s="143">
        <v>4.2000000000000003E-2</v>
      </c>
      <c r="F25" s="143">
        <v>4.5999999999999999E-2</v>
      </c>
      <c r="G25" s="143">
        <v>5.0999999999999997E-2</v>
      </c>
      <c r="H25" s="143">
        <v>0.06</v>
      </c>
      <c r="I25" s="143">
        <v>6.9000000000000006E-2</v>
      </c>
      <c r="J25" s="143">
        <v>7.6999999999999999E-2</v>
      </c>
      <c r="K25" s="143">
        <v>9.0999999999999998E-2</v>
      </c>
      <c r="L25" s="144">
        <v>0.105</v>
      </c>
    </row>
    <row r="26" spans="1:12" ht="15.75">
      <c r="A26" s="140">
        <v>8.8000000000000007</v>
      </c>
      <c r="B26" s="143">
        <v>2.4E-2</v>
      </c>
      <c r="C26" s="143">
        <v>2.9000000000000001E-2</v>
      </c>
      <c r="D26" s="143">
        <v>2.9000000000000001E-2</v>
      </c>
      <c r="E26" s="143">
        <v>3.7999999999999999E-2</v>
      </c>
      <c r="F26" s="143">
        <v>4.2000000000000003E-2</v>
      </c>
      <c r="G26" s="143">
        <v>4.7E-2</v>
      </c>
      <c r="H26" s="143">
        <v>5.5E-2</v>
      </c>
      <c r="I26" s="143">
        <v>6.3E-2</v>
      </c>
      <c r="J26" s="143">
        <v>7.0000000000000007E-2</v>
      </c>
      <c r="K26" s="143">
        <v>8.4000000000000005E-2</v>
      </c>
      <c r="L26" s="144">
        <v>9.8000000000000004E-2</v>
      </c>
    </row>
    <row r="27" spans="1:12" ht="15.75">
      <c r="A27" s="140">
        <v>9.1999999999999993</v>
      </c>
      <c r="B27" s="143">
        <v>2.1999999999999999E-2</v>
      </c>
      <c r="C27" s="143">
        <v>2.5999999999999999E-2</v>
      </c>
      <c r="D27" s="143">
        <v>2.5999999999999999E-2</v>
      </c>
      <c r="E27" s="143">
        <v>3.5000000000000003E-2</v>
      </c>
      <c r="F27" s="143">
        <v>3.9E-2</v>
      </c>
      <c r="G27" s="143">
        <v>4.2999999999999997E-2</v>
      </c>
      <c r="H27" s="143">
        <v>5.0999999999999997E-2</v>
      </c>
      <c r="I27" s="143">
        <v>5.8000000000000003E-2</v>
      </c>
      <c r="J27" s="143">
        <v>6.5000000000000002E-2</v>
      </c>
      <c r="K27" s="143">
        <v>7.8E-2</v>
      </c>
      <c r="L27" s="144">
        <v>9.0999999999999998E-2</v>
      </c>
    </row>
    <row r="28" spans="1:12" ht="15.75">
      <c r="A28" s="140">
        <v>9.6</v>
      </c>
      <c r="B28" s="143">
        <v>0.02</v>
      </c>
      <c r="C28" s="143">
        <v>2.4E-2</v>
      </c>
      <c r="D28" s="143">
        <v>2.4E-2</v>
      </c>
      <c r="E28" s="143">
        <v>3.2000000000000001E-2</v>
      </c>
      <c r="F28" s="143">
        <v>3.5999999999999997E-2</v>
      </c>
      <c r="G28" s="143">
        <v>0.04</v>
      </c>
      <c r="H28" s="143">
        <v>4.7E-2</v>
      </c>
      <c r="I28" s="143">
        <v>5.3999999999999999E-2</v>
      </c>
      <c r="J28" s="143">
        <v>0.06</v>
      </c>
      <c r="K28" s="143">
        <v>7.1999999999999995E-2</v>
      </c>
      <c r="L28" s="144">
        <v>8.5000000000000006E-2</v>
      </c>
    </row>
    <row r="29" spans="1:12" ht="15.75">
      <c r="A29" s="140">
        <v>10</v>
      </c>
      <c r="B29" s="143">
        <v>1.9E-2</v>
      </c>
      <c r="C29" s="143">
        <v>2.1999999999999999E-2</v>
      </c>
      <c r="D29" s="143">
        <v>2.1999999999999999E-2</v>
      </c>
      <c r="E29" s="143">
        <v>0.03</v>
      </c>
      <c r="F29" s="143">
        <v>3.3000000000000002E-2</v>
      </c>
      <c r="G29" s="143">
        <v>3.6999999999999998E-2</v>
      </c>
      <c r="H29" s="143">
        <v>4.3999999999999997E-2</v>
      </c>
      <c r="I29" s="143">
        <v>0.05</v>
      </c>
      <c r="J29" s="143">
        <v>5.6000000000000001E-2</v>
      </c>
      <c r="K29" s="143">
        <v>6.7000000000000004E-2</v>
      </c>
      <c r="L29" s="144">
        <v>7.9000000000000001E-2</v>
      </c>
    </row>
    <row r="30" spans="1:12" ht="15.75">
      <c r="A30" s="140">
        <v>11</v>
      </c>
      <c r="B30" s="143">
        <v>1.7000000000000001E-2</v>
      </c>
      <c r="C30" s="143">
        <v>0.02</v>
      </c>
      <c r="D30" s="143">
        <v>0.02</v>
      </c>
      <c r="E30" s="143">
        <v>2.7E-2</v>
      </c>
      <c r="F30" s="143">
        <v>2.9000000000000001E-2</v>
      </c>
      <c r="G30" s="143">
        <v>3.3000000000000002E-2</v>
      </c>
      <c r="H30" s="143">
        <v>0.04</v>
      </c>
      <c r="I30" s="143">
        <v>4.3999999999999997E-2</v>
      </c>
      <c r="J30" s="143">
        <v>0.05</v>
      </c>
      <c r="K30" s="143">
        <v>0.06</v>
      </c>
      <c r="L30" s="144">
        <v>7.0999999999999994E-2</v>
      </c>
    </row>
    <row r="31" spans="1:12" ht="15.75">
      <c r="A31" s="145">
        <v>12</v>
      </c>
      <c r="B31" s="146">
        <v>1.4999999999999999E-2</v>
      </c>
      <c r="C31" s="146">
        <v>1.7999999999999999E-2</v>
      </c>
      <c r="D31" s="146">
        <v>1.7999999999999999E-2</v>
      </c>
      <c r="E31" s="146">
        <v>2.4E-2</v>
      </c>
      <c r="F31" s="146">
        <v>2.5999999999999999E-2</v>
      </c>
      <c r="G31" s="146">
        <v>2.8000000000000001E-2</v>
      </c>
      <c r="H31" s="146">
        <v>3.4000000000000002E-2</v>
      </c>
      <c r="I31" s="146">
        <v>3.7999999999999999E-2</v>
      </c>
      <c r="J31" s="146">
        <v>4.3999999999999997E-2</v>
      </c>
      <c r="K31" s="146">
        <v>5.0999999999999997E-2</v>
      </c>
      <c r="L31" s="147">
        <v>0.06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1"/>
  <sheetViews>
    <sheetView workbookViewId="0">
      <selection activeCell="N10" sqref="N10"/>
    </sheetView>
  </sheetViews>
  <sheetFormatPr defaultColWidth="9" defaultRowHeight="15"/>
  <sheetData>
    <row r="1" spans="1:10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4</v>
      </c>
    </row>
    <row r="2" spans="1:10">
      <c r="A2" t="s">
        <v>12</v>
      </c>
      <c r="B2">
        <v>1</v>
      </c>
      <c r="C2" t="s">
        <v>13</v>
      </c>
      <c r="D2">
        <v>0.451836132359061</v>
      </c>
      <c r="E2">
        <v>0.42480858898570101</v>
      </c>
      <c r="F2">
        <v>146.04490812021999</v>
      </c>
      <c r="G2">
        <v>-0.60046419010543195</v>
      </c>
      <c r="H2">
        <v>0.58885344089998204</v>
      </c>
      <c r="I2">
        <v>1.49997441440065E-2</v>
      </c>
      <c r="J2">
        <v>1</v>
      </c>
    </row>
    <row r="3" spans="1:10">
      <c r="A3" t="s">
        <v>12</v>
      </c>
      <c r="B3">
        <v>1</v>
      </c>
      <c r="C3" t="s">
        <v>14</v>
      </c>
      <c r="D3">
        <v>0.52738084503523197</v>
      </c>
      <c r="E3">
        <v>0.45741513282700802</v>
      </c>
      <c r="F3">
        <v>163.15186273623101</v>
      </c>
      <c r="G3">
        <v>-0.65321497643637605</v>
      </c>
      <c r="H3">
        <v>0.68554396667853301</v>
      </c>
      <c r="I3">
        <v>1.7427754173643801E-2</v>
      </c>
      <c r="J3">
        <v>1</v>
      </c>
    </row>
    <row r="4" spans="1:10">
      <c r="A4" t="s">
        <v>12</v>
      </c>
      <c r="B4">
        <v>1</v>
      </c>
      <c r="C4" t="s">
        <v>15</v>
      </c>
      <c r="D4">
        <v>-2.2994041485609</v>
      </c>
      <c r="E4">
        <v>1.16573064356735</v>
      </c>
      <c r="F4">
        <v>161.96341716168601</v>
      </c>
      <c r="G4">
        <v>-1.86008364146461</v>
      </c>
      <c r="H4">
        <v>-3.7526210864779999</v>
      </c>
      <c r="I4">
        <v>0.11042412319532</v>
      </c>
      <c r="J4">
        <v>1</v>
      </c>
    </row>
    <row r="5" spans="1:10">
      <c r="A5" t="s">
        <v>12</v>
      </c>
      <c r="B5">
        <v>1</v>
      </c>
      <c r="C5" t="s">
        <v>16</v>
      </c>
      <c r="D5">
        <v>3.33905689609613</v>
      </c>
      <c r="E5">
        <v>-0.25742168668159499</v>
      </c>
      <c r="F5">
        <v>160.918917387574</v>
      </c>
      <c r="G5">
        <v>0.56420384585804695</v>
      </c>
      <c r="H5">
        <v>5.1043709146793601</v>
      </c>
      <c r="I5">
        <v>-7.6054216853960105E-2</v>
      </c>
      <c r="J5">
        <v>1</v>
      </c>
    </row>
    <row r="6" spans="1:10">
      <c r="A6" t="s">
        <v>12</v>
      </c>
      <c r="B6">
        <v>1</v>
      </c>
      <c r="C6" t="s">
        <v>17</v>
      </c>
      <c r="D6">
        <v>3.2827329694449299</v>
      </c>
      <c r="E6">
        <v>0.42060034565962301</v>
      </c>
      <c r="F6">
        <v>160.819355538416</v>
      </c>
      <c r="G6">
        <v>-0.56532809886766899</v>
      </c>
      <c r="H6">
        <v>5.0462254915536704</v>
      </c>
      <c r="I6">
        <v>0.49869284142287101</v>
      </c>
      <c r="J6">
        <v>1</v>
      </c>
    </row>
    <row r="7" spans="1:10">
      <c r="A7" t="s">
        <v>12</v>
      </c>
      <c r="B7">
        <v>1</v>
      </c>
      <c r="C7" t="s">
        <v>18</v>
      </c>
      <c r="D7">
        <v>-2.2430802219096999</v>
      </c>
      <c r="E7">
        <v>0.48770861122613202</v>
      </c>
      <c r="F7">
        <v>162.062979010844</v>
      </c>
      <c r="G7">
        <v>-0.73055169673889297</v>
      </c>
      <c r="H7">
        <v>-3.6944756633523101</v>
      </c>
      <c r="I7">
        <v>-0.46432293508151101</v>
      </c>
      <c r="J7">
        <v>1</v>
      </c>
    </row>
    <row r="8" spans="1:10">
      <c r="A8" t="s">
        <v>12</v>
      </c>
      <c r="B8">
        <v>1</v>
      </c>
      <c r="C8" t="s">
        <v>19</v>
      </c>
      <c r="D8">
        <v>-2.6806422257837301</v>
      </c>
      <c r="E8">
        <v>1.21544877245734</v>
      </c>
      <c r="F8">
        <v>146.62518577250501</v>
      </c>
      <c r="G8">
        <v>-1.94729057195135</v>
      </c>
      <c r="H8">
        <v>-4.3316976708541102</v>
      </c>
      <c r="I8">
        <v>0.11859882194916201</v>
      </c>
      <c r="J8">
        <v>1</v>
      </c>
    </row>
    <row r="9" spans="1:10">
      <c r="A9" t="s">
        <v>12</v>
      </c>
      <c r="B9">
        <v>1</v>
      </c>
      <c r="C9" t="s">
        <v>20</v>
      </c>
      <c r="D9">
        <v>3.5843144905018498</v>
      </c>
      <c r="E9">
        <v>-0.365831594485935</v>
      </c>
      <c r="F9">
        <v>145.464630467935</v>
      </c>
      <c r="G9">
        <v>0.74636219174048801</v>
      </c>
      <c r="H9">
        <v>5.50940455265407</v>
      </c>
      <c r="I9">
        <v>-8.8599333661149193E-2</v>
      </c>
      <c r="J9">
        <v>1</v>
      </c>
    </row>
    <row r="10" spans="1:10">
      <c r="A10" t="s">
        <v>12</v>
      </c>
      <c r="B10">
        <v>1</v>
      </c>
      <c r="C10" t="s">
        <v>21</v>
      </c>
      <c r="D10">
        <v>3.5217323497783002</v>
      </c>
      <c r="E10">
        <v>0.38752621922652902</v>
      </c>
      <c r="F10">
        <v>145.35400619109399</v>
      </c>
      <c r="G10">
        <v>-0.50867330239919595</v>
      </c>
      <c r="H10">
        <v>5.4447985269588601</v>
      </c>
      <c r="I10">
        <v>0.55000850886866304</v>
      </c>
      <c r="J10">
        <v>1</v>
      </c>
    </row>
    <row r="11" spans="1:10">
      <c r="A11" t="s">
        <v>12</v>
      </c>
      <c r="B11">
        <v>1</v>
      </c>
      <c r="C11" t="s">
        <v>22</v>
      </c>
      <c r="D11">
        <v>-2.6180600850601801</v>
      </c>
      <c r="E11">
        <v>0.46209095874487299</v>
      </c>
      <c r="F11">
        <v>146.73581004934701</v>
      </c>
      <c r="G11">
        <v>-0.69225507781166795</v>
      </c>
      <c r="H11">
        <v>-4.2670916451589003</v>
      </c>
      <c r="I11">
        <v>-0.52000902058065002</v>
      </c>
      <c r="J11">
        <v>1</v>
      </c>
    </row>
    <row r="12" spans="1:10">
      <c r="A12" t="s">
        <v>12</v>
      </c>
      <c r="B12">
        <v>3</v>
      </c>
      <c r="C12" t="s">
        <v>13</v>
      </c>
      <c r="D12">
        <v>0.37369925508524698</v>
      </c>
      <c r="E12">
        <v>-1.3338242392161901</v>
      </c>
      <c r="F12">
        <v>132.84487671686301</v>
      </c>
      <c r="G12">
        <v>1.22185462560756</v>
      </c>
      <c r="H12">
        <v>0.51000945485858595</v>
      </c>
      <c r="I12">
        <v>1.49997441440065E-2</v>
      </c>
      <c r="J12">
        <v>3</v>
      </c>
    </row>
    <row r="13" spans="1:10">
      <c r="A13" t="s">
        <v>12</v>
      </c>
      <c r="B13">
        <v>3</v>
      </c>
      <c r="C13" t="s">
        <v>14</v>
      </c>
      <c r="D13">
        <v>0.42977895772406199</v>
      </c>
      <c r="E13">
        <v>-1.48420414610271</v>
      </c>
      <c r="F13">
        <v>147.41792616260699</v>
      </c>
      <c r="G13">
        <v>1.3614789492299599</v>
      </c>
      <c r="H13">
        <v>0.58705881972533303</v>
      </c>
      <c r="I13">
        <v>1.7427754173643801E-2</v>
      </c>
      <c r="J13">
        <v>3</v>
      </c>
    </row>
    <row r="14" spans="1:10">
      <c r="A14" t="s">
        <v>12</v>
      </c>
      <c r="B14">
        <v>3</v>
      </c>
      <c r="C14" t="s">
        <v>15</v>
      </c>
      <c r="D14">
        <v>-2.4784299376839698</v>
      </c>
      <c r="E14">
        <v>-1.2131215343964701</v>
      </c>
      <c r="F14">
        <v>144.83653429349499</v>
      </c>
      <c r="G14">
        <v>0.89197387836251996</v>
      </c>
      <c r="H14">
        <v>-3.9332669903219202</v>
      </c>
      <c r="I14">
        <v>0.11042412319532</v>
      </c>
      <c r="J14">
        <v>3</v>
      </c>
    </row>
    <row r="15" spans="1:10">
      <c r="A15" t="s">
        <v>12</v>
      </c>
      <c r="B15">
        <v>3</v>
      </c>
      <c r="C15" t="s">
        <v>16</v>
      </c>
      <c r="D15">
        <v>3.3267719126043298</v>
      </c>
      <c r="E15">
        <v>-1.72521077643164</v>
      </c>
      <c r="F15">
        <v>147.08470814257001</v>
      </c>
      <c r="G15">
        <v>1.8030591553729201</v>
      </c>
      <c r="H15">
        <v>5.0919747567992397</v>
      </c>
      <c r="I15">
        <v>-7.6054216853960105E-2</v>
      </c>
      <c r="J15">
        <v>3</v>
      </c>
    </row>
    <row r="16" spans="1:10">
      <c r="A16" t="s">
        <v>12</v>
      </c>
      <c r="B16">
        <v>3</v>
      </c>
      <c r="C16" t="s">
        <v>17</v>
      </c>
      <c r="D16">
        <v>3.3390078890970001</v>
      </c>
      <c r="E16">
        <v>-3.4930960659108599</v>
      </c>
      <c r="F16">
        <v>147.54550081473701</v>
      </c>
      <c r="G16">
        <v>4.9720177331256199</v>
      </c>
      <c r="H16">
        <v>5.1030096776426497</v>
      </c>
      <c r="I16">
        <v>0.49869284142287101</v>
      </c>
      <c r="J16">
        <v>3</v>
      </c>
    </row>
    <row r="17" spans="1:10">
      <c r="A17" t="s">
        <v>12</v>
      </c>
      <c r="B17">
        <v>3</v>
      </c>
      <c r="C17" t="s">
        <v>18</v>
      </c>
      <c r="D17">
        <v>-2.4906659141766401</v>
      </c>
      <c r="E17">
        <v>0.554763755082749</v>
      </c>
      <c r="F17">
        <v>144.37574162132799</v>
      </c>
      <c r="G17">
        <v>-2.2769846993901801</v>
      </c>
      <c r="H17">
        <v>-3.9443019111653399</v>
      </c>
      <c r="I17">
        <v>-0.46432293508151101</v>
      </c>
      <c r="J17">
        <v>3</v>
      </c>
    </row>
    <row r="18" spans="1:10">
      <c r="A18" t="s">
        <v>12</v>
      </c>
      <c r="B18">
        <v>3</v>
      </c>
      <c r="C18" t="s">
        <v>19</v>
      </c>
      <c r="D18">
        <v>-2.85141288396381</v>
      </c>
      <c r="E18">
        <v>-1.04933021586332</v>
      </c>
      <c r="F18">
        <v>131.59589124515401</v>
      </c>
      <c r="G18">
        <v>0.71569613837956403</v>
      </c>
      <c r="H18">
        <v>-4.5040137379865</v>
      </c>
      <c r="I18">
        <v>0.11859882194916201</v>
      </c>
      <c r="J18">
        <v>3</v>
      </c>
    </row>
    <row r="19" spans="1:10">
      <c r="A19" t="s">
        <v>12</v>
      </c>
      <c r="B19">
        <v>3</v>
      </c>
      <c r="C19" t="s">
        <v>20</v>
      </c>
      <c r="D19">
        <v>3.5988113941342998</v>
      </c>
      <c r="E19">
        <v>-1.61831826256906</v>
      </c>
      <c r="F19">
        <v>134.09386218857099</v>
      </c>
      <c r="G19">
        <v>1.72801311283556</v>
      </c>
      <c r="H19">
        <v>5.5240326477036703</v>
      </c>
      <c r="I19">
        <v>-8.8599333661149193E-2</v>
      </c>
      <c r="J19">
        <v>3</v>
      </c>
    </row>
    <row r="20" spans="1:10">
      <c r="A20" t="s">
        <v>12</v>
      </c>
      <c r="B20">
        <v>3</v>
      </c>
      <c r="C20" t="s">
        <v>21</v>
      </c>
      <c r="D20">
        <v>3.6124069235706</v>
      </c>
      <c r="E20">
        <v>-3.5826352508792998</v>
      </c>
      <c r="F20">
        <v>134.605854046535</v>
      </c>
      <c r="G20">
        <v>5.2490781992274496</v>
      </c>
      <c r="H20">
        <v>5.5362936708630199</v>
      </c>
      <c r="I20">
        <v>0.55000850886866304</v>
      </c>
      <c r="J20">
        <v>3</v>
      </c>
    </row>
    <row r="21" spans="1:10">
      <c r="A21" t="s">
        <v>12</v>
      </c>
      <c r="B21">
        <v>3</v>
      </c>
      <c r="C21" t="s">
        <v>22</v>
      </c>
      <c r="D21">
        <v>-2.8650084134001101</v>
      </c>
      <c r="E21">
        <v>0.91498677244692495</v>
      </c>
      <c r="F21">
        <v>131.083899387191</v>
      </c>
      <c r="G21">
        <v>-2.8053689480123301</v>
      </c>
      <c r="H21">
        <v>-4.5162747611458496</v>
      </c>
      <c r="I21">
        <v>-0.52000902058065002</v>
      </c>
      <c r="J21">
        <v>3</v>
      </c>
    </row>
    <row r="22" spans="1:10">
      <c r="A22" t="s">
        <v>12</v>
      </c>
      <c r="B22">
        <v>5</v>
      </c>
      <c r="C22" t="s">
        <v>13</v>
      </c>
      <c r="D22">
        <v>0.28993931591302502</v>
      </c>
      <c r="E22">
        <v>2.0289164169150702</v>
      </c>
      <c r="F22">
        <v>113.467667725097</v>
      </c>
      <c r="G22">
        <v>-3.0400994474646099</v>
      </c>
      <c r="H22">
        <v>0.42235033166876401</v>
      </c>
      <c r="I22">
        <v>-0.22299604695210401</v>
      </c>
      <c r="J22">
        <v>5</v>
      </c>
    </row>
    <row r="23" spans="1:10">
      <c r="A23" t="s">
        <v>12</v>
      </c>
      <c r="B23">
        <v>5</v>
      </c>
      <c r="C23" t="s">
        <v>14</v>
      </c>
      <c r="D23">
        <v>0.33308837683683401</v>
      </c>
      <c r="E23">
        <v>2.2698614410290201</v>
      </c>
      <c r="F23">
        <v>125.796331416577</v>
      </c>
      <c r="G23">
        <v>-3.3955244548227101</v>
      </c>
      <c r="H23">
        <v>0.48600713544297303</v>
      </c>
      <c r="I23">
        <v>-0.24870943088530401</v>
      </c>
      <c r="J23">
        <v>5</v>
      </c>
    </row>
    <row r="24" spans="1:10">
      <c r="A24" t="s">
        <v>12</v>
      </c>
      <c r="B24">
        <v>5</v>
      </c>
      <c r="C24" t="s">
        <v>15</v>
      </c>
      <c r="D24">
        <v>-2.5439477735784299</v>
      </c>
      <c r="E24">
        <v>2.1992326151783601</v>
      </c>
      <c r="F24">
        <v>124.718767173656</v>
      </c>
      <c r="G24">
        <v>-3.2514524289255902</v>
      </c>
      <c r="H24">
        <v>-4.0051985076895198</v>
      </c>
      <c r="I24">
        <v>-0.16068528390148001</v>
      </c>
      <c r="J24">
        <v>5</v>
      </c>
    </row>
    <row r="25" spans="1:10">
      <c r="A25" t="s">
        <v>12</v>
      </c>
      <c r="B25">
        <v>5</v>
      </c>
      <c r="C25" t="s">
        <v>16</v>
      </c>
      <c r="D25">
        <v>3.2014947150673301</v>
      </c>
      <c r="E25">
        <v>2.2923012620568799</v>
      </c>
      <c r="F25">
        <v>124.408162921201</v>
      </c>
      <c r="G25">
        <v>-3.4685114792482099</v>
      </c>
      <c r="H25">
        <v>4.9644814178206298</v>
      </c>
      <c r="I25">
        <v>-0.33159090108248901</v>
      </c>
      <c r="J25">
        <v>5</v>
      </c>
    </row>
    <row r="26" spans="1:10">
      <c r="A26" t="s">
        <v>12</v>
      </c>
      <c r="B26">
        <v>5</v>
      </c>
      <c r="C26" t="s">
        <v>17</v>
      </c>
      <c r="D26">
        <v>3.18242609722442</v>
      </c>
      <c r="E26">
        <v>-0.524900153570932</v>
      </c>
      <c r="F26">
        <v>122.280477273329</v>
      </c>
      <c r="G26">
        <v>2.3567566519579399</v>
      </c>
      <c r="H26">
        <v>4.9458538359473296</v>
      </c>
      <c r="I26">
        <v>0.175766277285063</v>
      </c>
      <c r="J26">
        <v>5</v>
      </c>
    </row>
    <row r="27" spans="1:10">
      <c r="A27" t="s">
        <v>12</v>
      </c>
      <c r="B27">
        <v>5</v>
      </c>
      <c r="C27" t="s">
        <v>18</v>
      </c>
      <c r="D27">
        <v>-2.5248791557355199</v>
      </c>
      <c r="E27">
        <v>5.0164340308061801</v>
      </c>
      <c r="F27">
        <v>126.846452821528</v>
      </c>
      <c r="G27">
        <v>-9.07672056013174</v>
      </c>
      <c r="H27">
        <v>-3.9865709258162201</v>
      </c>
      <c r="I27">
        <v>-0.66804246226903097</v>
      </c>
      <c r="J27">
        <v>5</v>
      </c>
    </row>
    <row r="28" spans="1:10">
      <c r="A28" t="s">
        <v>12</v>
      </c>
      <c r="B28">
        <v>5</v>
      </c>
      <c r="C28" t="s">
        <v>19</v>
      </c>
      <c r="D28">
        <v>-2.9019731777790598</v>
      </c>
      <c r="E28">
        <v>1.9772116130936701</v>
      </c>
      <c r="F28">
        <v>113.64022564312801</v>
      </c>
      <c r="G28">
        <v>-2.9195110861742601</v>
      </c>
      <c r="H28">
        <v>-4.5608051825035396</v>
      </c>
      <c r="I28">
        <v>-0.12804848185154299</v>
      </c>
      <c r="J28">
        <v>5</v>
      </c>
    </row>
    <row r="29" spans="1:10">
      <c r="A29" t="s">
        <v>12</v>
      </c>
      <c r="B29">
        <v>5</v>
      </c>
      <c r="C29" t="s">
        <v>20</v>
      </c>
      <c r="D29">
        <v>3.4818518096051099</v>
      </c>
      <c r="E29">
        <v>2.0806212207364698</v>
      </c>
      <c r="F29">
        <v>113.29510980706701</v>
      </c>
      <c r="G29">
        <v>-3.1606878087549499</v>
      </c>
      <c r="H29">
        <v>5.4055058458410699</v>
      </c>
      <c r="I29">
        <v>-0.31794361205266503</v>
      </c>
      <c r="J29">
        <v>5</v>
      </c>
    </row>
    <row r="30" spans="1:10">
      <c r="A30" t="s">
        <v>12</v>
      </c>
      <c r="B30">
        <v>5</v>
      </c>
      <c r="C30" t="s">
        <v>21</v>
      </c>
      <c r="D30">
        <v>3.46066445644633</v>
      </c>
      <c r="E30">
        <v>-1.0496025744055399</v>
      </c>
      <c r="F30">
        <v>110.931014642764</v>
      </c>
      <c r="G30">
        <v>3.3118323370296601</v>
      </c>
      <c r="H30">
        <v>5.3848085326485098</v>
      </c>
      <c r="I30">
        <v>0.24578658613350399</v>
      </c>
      <c r="J30">
        <v>5</v>
      </c>
    </row>
    <row r="31" spans="1:10">
      <c r="A31" t="s">
        <v>12</v>
      </c>
      <c r="B31">
        <v>5</v>
      </c>
      <c r="C31" t="s">
        <v>22</v>
      </c>
      <c r="D31">
        <v>-2.88078582462028</v>
      </c>
      <c r="E31">
        <v>5.1074354082356903</v>
      </c>
      <c r="F31">
        <v>116.00432080743001</v>
      </c>
      <c r="G31">
        <v>-9.3920312319588692</v>
      </c>
      <c r="H31">
        <v>-4.5401078693109804</v>
      </c>
      <c r="I31">
        <v>-0.69177868003771104</v>
      </c>
      <c r="J31">
        <v>5</v>
      </c>
    </row>
    <row r="32" spans="1:10">
      <c r="A32" t="s">
        <v>12</v>
      </c>
      <c r="B32">
        <v>7</v>
      </c>
      <c r="C32" t="s">
        <v>13</v>
      </c>
      <c r="D32">
        <v>0.24611324930443801</v>
      </c>
      <c r="E32">
        <v>1.9576343004125301</v>
      </c>
      <c r="F32">
        <v>108.936669953278</v>
      </c>
      <c r="G32">
        <v>-2.9502153255249302</v>
      </c>
      <c r="H32">
        <v>0.37833176572197402</v>
      </c>
      <c r="I32">
        <v>0.235969732968694</v>
      </c>
      <c r="J32">
        <v>7</v>
      </c>
    </row>
    <row r="33" spans="1:10">
      <c r="A33" t="s">
        <v>12</v>
      </c>
      <c r="B33">
        <v>7</v>
      </c>
      <c r="C33" t="s">
        <v>14</v>
      </c>
      <c r="D33">
        <v>0.27615302219534799</v>
      </c>
      <c r="E33">
        <v>2.19537455777927</v>
      </c>
      <c r="F33">
        <v>120.85580099849901</v>
      </c>
      <c r="G33">
        <v>-3.2989034754978102</v>
      </c>
      <c r="H33">
        <v>0.42877634281280702</v>
      </c>
      <c r="I33">
        <v>0.264415075757436</v>
      </c>
      <c r="J33">
        <v>7</v>
      </c>
    </row>
    <row r="34" spans="1:10">
      <c r="A34" t="s">
        <v>12</v>
      </c>
      <c r="B34">
        <v>7</v>
      </c>
      <c r="C34" t="s">
        <v>15</v>
      </c>
      <c r="D34">
        <v>-2.5984471935003199</v>
      </c>
      <c r="E34">
        <v>1.8337752360098201</v>
      </c>
      <c r="F34">
        <v>119.24855445974799</v>
      </c>
      <c r="G34">
        <v>-2.5711224312901</v>
      </c>
      <c r="H34">
        <v>-4.0599905876754603</v>
      </c>
      <c r="I34">
        <v>0.36043708033150001</v>
      </c>
      <c r="J34">
        <v>7</v>
      </c>
    </row>
    <row r="35" spans="1:10">
      <c r="A35" t="s">
        <v>12</v>
      </c>
      <c r="B35">
        <v>7</v>
      </c>
      <c r="C35" t="s">
        <v>16</v>
      </c>
      <c r="D35">
        <v>3.14474528331283</v>
      </c>
      <c r="E35">
        <v>2.5094258280753801</v>
      </c>
      <c r="F35">
        <v>120.07922132820499</v>
      </c>
      <c r="G35">
        <v>-3.9569468897109501</v>
      </c>
      <c r="H35">
        <v>4.9074543578829104</v>
      </c>
      <c r="I35">
        <v>0.16270400262562401</v>
      </c>
      <c r="J35">
        <v>7</v>
      </c>
    </row>
    <row r="36" spans="1:10">
      <c r="A36" t="s">
        <v>12</v>
      </c>
      <c r="B36">
        <v>7</v>
      </c>
      <c r="C36" t="s">
        <v>17</v>
      </c>
      <c r="D36">
        <v>3.1306441915358598</v>
      </c>
      <c r="E36">
        <v>-2.0088887292385098</v>
      </c>
      <c r="F36">
        <v>116.786903367387</v>
      </c>
      <c r="G36">
        <v>5.2967777608914099</v>
      </c>
      <c r="H36">
        <v>4.8938531607987601</v>
      </c>
      <c r="I36">
        <v>0.76990457431397297</v>
      </c>
      <c r="J36">
        <v>7</v>
      </c>
    </row>
    <row r="37" spans="1:10">
      <c r="A37" t="s">
        <v>12</v>
      </c>
      <c r="B37">
        <v>7</v>
      </c>
      <c r="C37" t="s">
        <v>18</v>
      </c>
      <c r="D37">
        <v>-2.58434610172334</v>
      </c>
      <c r="E37">
        <v>6.3520897933237102</v>
      </c>
      <c r="F37">
        <v>122.540872420566</v>
      </c>
      <c r="G37">
        <v>-11.8248470818925</v>
      </c>
      <c r="H37">
        <v>-4.0463893905913197</v>
      </c>
      <c r="I37">
        <v>-0.246763491356849</v>
      </c>
      <c r="J37">
        <v>7</v>
      </c>
    </row>
    <row r="38" spans="1:10">
      <c r="A38" t="s">
        <v>12</v>
      </c>
      <c r="B38">
        <v>7</v>
      </c>
      <c r="C38" t="s">
        <v>19</v>
      </c>
      <c r="D38">
        <v>-2.9445492378139799</v>
      </c>
      <c r="E38">
        <v>1.5822728603761</v>
      </c>
      <c r="F38">
        <v>108.475188359691</v>
      </c>
      <c r="G38">
        <v>-2.1803128486244501</v>
      </c>
      <c r="H38">
        <v>-4.6035820929215703</v>
      </c>
      <c r="I38">
        <v>0.34582144280529198</v>
      </c>
      <c r="J38">
        <v>7</v>
      </c>
    </row>
    <row r="39" spans="1:10">
      <c r="A39" t="s">
        <v>12</v>
      </c>
      <c r="B39">
        <v>7</v>
      </c>
      <c r="C39" t="s">
        <v>20</v>
      </c>
      <c r="D39">
        <v>3.4367757364228599</v>
      </c>
      <c r="E39">
        <v>2.3329957404489501</v>
      </c>
      <c r="F39">
        <v>109.39815154686499</v>
      </c>
      <c r="G39">
        <v>-3.7201178024254</v>
      </c>
      <c r="H39">
        <v>5.3602456243655103</v>
      </c>
      <c r="I39">
        <v>0.126118023132096</v>
      </c>
      <c r="J39">
        <v>7</v>
      </c>
    </row>
    <row r="40" spans="1:10">
      <c r="A40" t="s">
        <v>12</v>
      </c>
      <c r="B40">
        <v>7</v>
      </c>
      <c r="C40" t="s">
        <v>21</v>
      </c>
      <c r="D40">
        <v>3.4211078566706599</v>
      </c>
      <c r="E40">
        <v>-2.6873537676775898</v>
      </c>
      <c r="F40">
        <v>105.740020479289</v>
      </c>
      <c r="G40">
        <v>6.5617984760216697</v>
      </c>
      <c r="H40">
        <v>5.3451331831609101</v>
      </c>
      <c r="I40">
        <v>0.80078532500804001</v>
      </c>
      <c r="J40">
        <v>7</v>
      </c>
    </row>
    <row r="41" spans="1:10">
      <c r="A41" t="s">
        <v>12</v>
      </c>
      <c r="B41">
        <v>7</v>
      </c>
      <c r="C41" t="s">
        <v>22</v>
      </c>
      <c r="D41">
        <v>-2.9288813580617798</v>
      </c>
      <c r="E41">
        <v>6.6026223685026499</v>
      </c>
      <c r="F41">
        <v>112.133319427267</v>
      </c>
      <c r="G41">
        <v>-12.462229127071501</v>
      </c>
      <c r="H41">
        <v>-4.5884696517169603</v>
      </c>
      <c r="I41">
        <v>-0.328845859070651</v>
      </c>
      <c r="J41">
        <v>7</v>
      </c>
    </row>
    <row r="42" spans="1:10">
      <c r="A42" t="s">
        <v>12</v>
      </c>
      <c r="B42">
        <v>9</v>
      </c>
      <c r="C42" t="s">
        <v>13</v>
      </c>
      <c r="D42">
        <v>4.6253545913701698E-3</v>
      </c>
      <c r="E42">
        <v>-2.10497381494763</v>
      </c>
      <c r="F42">
        <v>159.64604731892399</v>
      </c>
      <c r="G42">
        <v>2.1406419677903301</v>
      </c>
      <c r="H42">
        <v>0.137595577134625</v>
      </c>
      <c r="I42">
        <v>1.49997441440065E-2</v>
      </c>
      <c r="J42">
        <v>9</v>
      </c>
    </row>
    <row r="43" spans="1:10">
      <c r="A43" t="s">
        <v>12</v>
      </c>
      <c r="B43">
        <v>9</v>
      </c>
      <c r="C43" t="s">
        <v>14</v>
      </c>
      <c r="D43">
        <v>6.4508739115348004E-2</v>
      </c>
      <c r="E43">
        <v>-2.3034429490272301</v>
      </c>
      <c r="F43">
        <v>176.2740341679</v>
      </c>
      <c r="G43">
        <v>2.3515592192174002</v>
      </c>
      <c r="H43">
        <v>0.21848304574857799</v>
      </c>
      <c r="I43">
        <v>1.7427754173643801E-2</v>
      </c>
      <c r="J43">
        <v>9</v>
      </c>
    </row>
    <row r="44" spans="1:10">
      <c r="A44" t="s">
        <v>12</v>
      </c>
      <c r="B44">
        <v>9</v>
      </c>
      <c r="C44" t="s">
        <v>15</v>
      </c>
      <c r="D44">
        <v>-2.8162589126078101</v>
      </c>
      <c r="E44">
        <v>-3.0398791290032601</v>
      </c>
      <c r="F44">
        <v>173.87833011519001</v>
      </c>
      <c r="G44">
        <v>3.7707582081064701</v>
      </c>
      <c r="H44">
        <v>-4.2741531878843704</v>
      </c>
      <c r="I44">
        <v>0.11042412319532</v>
      </c>
      <c r="J44">
        <v>9</v>
      </c>
    </row>
    <row r="45" spans="1:10">
      <c r="A45" t="s">
        <v>12</v>
      </c>
      <c r="B45">
        <v>9</v>
      </c>
      <c r="C45" t="s">
        <v>16</v>
      </c>
      <c r="D45">
        <v>2.9332997139337098</v>
      </c>
      <c r="E45">
        <v>-1.52731294223528</v>
      </c>
      <c r="F45">
        <v>175.34414085081499</v>
      </c>
      <c r="G45">
        <v>0.890176780042928</v>
      </c>
      <c r="H45">
        <v>4.6949417856587301</v>
      </c>
      <c r="I45">
        <v>-7.6054216853960105E-2</v>
      </c>
      <c r="J45">
        <v>9</v>
      </c>
    </row>
    <row r="46" spans="1:10">
      <c r="A46" t="s">
        <v>12</v>
      </c>
      <c r="B46">
        <v>9</v>
      </c>
      <c r="C46" t="s">
        <v>17</v>
      </c>
      <c r="D46">
        <v>2.9105987389668799</v>
      </c>
      <c r="E46">
        <v>-9.2720565428413195</v>
      </c>
      <c r="F46">
        <v>171.37861870464499</v>
      </c>
      <c r="G46">
        <v>15.479736383624999</v>
      </c>
      <c r="H46">
        <v>4.6707235890330603</v>
      </c>
      <c r="I46">
        <v>0.49869284142287101</v>
      </c>
      <c r="J46">
        <v>9</v>
      </c>
    </row>
    <row r="47" spans="1:10">
      <c r="A47" t="s">
        <v>12</v>
      </c>
      <c r="B47">
        <v>9</v>
      </c>
      <c r="C47" t="s">
        <v>18</v>
      </c>
      <c r="D47">
        <v>-2.7935579376409798</v>
      </c>
      <c r="E47">
        <v>4.7048644716027903</v>
      </c>
      <c r="F47">
        <v>177.84385226136001</v>
      </c>
      <c r="G47">
        <v>-10.818801395475599</v>
      </c>
      <c r="H47">
        <v>-4.2499349912586997</v>
      </c>
      <c r="I47">
        <v>-0.46432293508151101</v>
      </c>
      <c r="J47">
        <v>9</v>
      </c>
    </row>
    <row r="48" spans="1:10">
      <c r="A48" t="s">
        <v>12</v>
      </c>
      <c r="B48">
        <v>9</v>
      </c>
      <c r="C48" t="s">
        <v>19</v>
      </c>
      <c r="D48">
        <v>-3.1895738823761399</v>
      </c>
      <c r="E48">
        <v>-2.9452883631520601</v>
      </c>
      <c r="F48">
        <v>158.83170802135501</v>
      </c>
      <c r="G48">
        <v>3.7409649833811902</v>
      </c>
      <c r="H48">
        <v>-4.8452349637226497</v>
      </c>
      <c r="I48">
        <v>0.11859882194916201</v>
      </c>
      <c r="J48">
        <v>9</v>
      </c>
    </row>
    <row r="49" spans="1:10">
      <c r="A49" t="s">
        <v>12</v>
      </c>
      <c r="B49">
        <v>9</v>
      </c>
      <c r="C49" t="s">
        <v>20</v>
      </c>
      <c r="D49">
        <v>3.1988245915588802</v>
      </c>
      <c r="E49">
        <v>-1.2646592667432</v>
      </c>
      <c r="F49">
        <v>160.460386616493</v>
      </c>
      <c r="G49">
        <v>0.54031895219947901</v>
      </c>
      <c r="H49">
        <v>5.1204261179919</v>
      </c>
      <c r="I49">
        <v>-8.8599333661149193E-2</v>
      </c>
      <c r="J49">
        <v>9</v>
      </c>
    </row>
    <row r="50" spans="1:10">
      <c r="A50" t="s">
        <v>12</v>
      </c>
      <c r="B50">
        <v>9</v>
      </c>
      <c r="C50" t="s">
        <v>21</v>
      </c>
      <c r="D50">
        <v>3.1736012860401801</v>
      </c>
      <c r="E50">
        <v>-9.8699299340832507</v>
      </c>
      <c r="F50">
        <v>156.05425089852699</v>
      </c>
      <c r="G50">
        <v>16.7509407339573</v>
      </c>
      <c r="H50">
        <v>5.0935170106300403</v>
      </c>
      <c r="I50">
        <v>0.55000850886866304</v>
      </c>
      <c r="J50">
        <v>9</v>
      </c>
    </row>
    <row r="51" spans="1:10">
      <c r="A51" t="s">
        <v>12</v>
      </c>
      <c r="B51">
        <v>9</v>
      </c>
      <c r="C51" t="s">
        <v>22</v>
      </c>
      <c r="D51">
        <v>-3.1643505768574398</v>
      </c>
      <c r="E51">
        <v>5.6599823041879898</v>
      </c>
      <c r="F51">
        <v>163.23784373932199</v>
      </c>
      <c r="G51">
        <v>-12.4696567983767</v>
      </c>
      <c r="H51">
        <v>-4.8183258563607998</v>
      </c>
      <c r="I51">
        <v>-0.52000902058065002</v>
      </c>
      <c r="J51">
        <v>9</v>
      </c>
    </row>
    <row r="52" spans="1:10">
      <c r="A52" t="s">
        <v>12</v>
      </c>
      <c r="B52">
        <v>11</v>
      </c>
      <c r="C52" t="s">
        <v>13</v>
      </c>
      <c r="D52">
        <v>0.65118322527736106</v>
      </c>
      <c r="E52">
        <v>-1.1946622119569099</v>
      </c>
      <c r="F52">
        <v>132.283148737679</v>
      </c>
      <c r="G52">
        <v>1.2888600978481</v>
      </c>
      <c r="H52">
        <v>0.79000454854362501</v>
      </c>
      <c r="I52">
        <v>1.49997441440065E-2</v>
      </c>
      <c r="J52">
        <v>11</v>
      </c>
    </row>
    <row r="53" spans="1:10">
      <c r="A53" t="s">
        <v>12</v>
      </c>
      <c r="B53">
        <v>11</v>
      </c>
      <c r="C53" t="s">
        <v>14</v>
      </c>
      <c r="D53">
        <v>0.64835637677818703</v>
      </c>
      <c r="E53">
        <v>-1.3623603046574699</v>
      </c>
      <c r="F53">
        <v>145.74549350975499</v>
      </c>
      <c r="G53">
        <v>1.4795355364338401</v>
      </c>
      <c r="H53">
        <v>0.80761428057996099</v>
      </c>
      <c r="I53">
        <v>1.7427754173643801E-2</v>
      </c>
      <c r="J53">
        <v>11</v>
      </c>
    </row>
    <row r="54" spans="1:10">
      <c r="A54" t="s">
        <v>12</v>
      </c>
      <c r="B54">
        <v>11</v>
      </c>
      <c r="C54" t="s">
        <v>15</v>
      </c>
      <c r="D54">
        <v>-1.9609949983752799</v>
      </c>
      <c r="E54">
        <v>-3.0366224257550001</v>
      </c>
      <c r="F54">
        <v>139.45418032625099</v>
      </c>
      <c r="G54">
        <v>4.2589980941698</v>
      </c>
      <c r="H54">
        <v>-3.4111494632902</v>
      </c>
      <c r="I54">
        <v>0.11042412319532</v>
      </c>
      <c r="J54">
        <v>11</v>
      </c>
    </row>
    <row r="55" spans="1:10">
      <c r="A55" t="s">
        <v>12</v>
      </c>
      <c r="B55">
        <v>11</v>
      </c>
      <c r="C55" t="s">
        <v>16</v>
      </c>
      <c r="D55">
        <v>3.2582731216314902</v>
      </c>
      <c r="E55">
        <v>0.34544143498017499</v>
      </c>
      <c r="F55">
        <v>149.34433773884399</v>
      </c>
      <c r="G55">
        <v>-1.3380621090192599</v>
      </c>
      <c r="H55">
        <v>5.0228560780428602</v>
      </c>
      <c r="I55">
        <v>-7.6054216853960105E-2</v>
      </c>
      <c r="J55">
        <v>11</v>
      </c>
    </row>
    <row r="56" spans="1:10">
      <c r="A56" t="s">
        <v>12</v>
      </c>
      <c r="B56">
        <v>11</v>
      </c>
      <c r="C56" t="s">
        <v>17</v>
      </c>
      <c r="D56">
        <v>3.2668198548778502</v>
      </c>
      <c r="E56">
        <v>-14.4198447775658</v>
      </c>
      <c r="F56">
        <v>129.96829750182701</v>
      </c>
      <c r="G56">
        <v>22.8939197215436</v>
      </c>
      <c r="H56">
        <v>5.03016836940371</v>
      </c>
      <c r="I56">
        <v>0.49869284142287101</v>
      </c>
      <c r="J56">
        <v>11</v>
      </c>
    </row>
    <row r="57" spans="1:10">
      <c r="A57" t="s">
        <v>12</v>
      </c>
      <c r="B57">
        <v>11</v>
      </c>
      <c r="C57" t="s">
        <v>18</v>
      </c>
      <c r="D57">
        <v>-1.9695417316216399</v>
      </c>
      <c r="E57">
        <v>11.728663786791</v>
      </c>
      <c r="F57">
        <v>158.830220563268</v>
      </c>
      <c r="G57">
        <v>-19.972983736393001</v>
      </c>
      <c r="H57">
        <v>-3.4184617546510498</v>
      </c>
      <c r="I57">
        <v>-0.46432293508151101</v>
      </c>
      <c r="J57">
        <v>11</v>
      </c>
    </row>
    <row r="58" spans="1:10">
      <c r="A58" t="s">
        <v>12</v>
      </c>
      <c r="B58">
        <v>11</v>
      </c>
      <c r="C58" t="s">
        <v>19</v>
      </c>
      <c r="D58">
        <v>-2.2484101747263998</v>
      </c>
      <c r="E58">
        <v>-3.07358657903201</v>
      </c>
      <c r="F58">
        <v>126.788616841794</v>
      </c>
      <c r="G58">
        <v>4.3983379885086897</v>
      </c>
      <c r="H58">
        <v>-3.8955540855302999</v>
      </c>
      <c r="I58">
        <v>0.11859882194916201</v>
      </c>
      <c r="J58">
        <v>11</v>
      </c>
    </row>
    <row r="59" spans="1:10">
      <c r="A59" t="s">
        <v>12</v>
      </c>
      <c r="B59">
        <v>11</v>
      </c>
      <c r="C59" t="s">
        <v>20</v>
      </c>
      <c r="D59">
        <v>3.5507766252811201</v>
      </c>
      <c r="E59">
        <v>0.684262155118189</v>
      </c>
      <c r="F59">
        <v>137.77768063356399</v>
      </c>
      <c r="G59">
        <v>-1.82061779281249</v>
      </c>
      <c r="H59">
        <v>5.4755631826175497</v>
      </c>
      <c r="I59">
        <v>-8.8599333661149193E-2</v>
      </c>
      <c r="J59">
        <v>11</v>
      </c>
    </row>
    <row r="60" spans="1:10">
      <c r="A60" t="s">
        <v>12</v>
      </c>
      <c r="B60">
        <v>11</v>
      </c>
      <c r="C60" t="s">
        <v>21</v>
      </c>
      <c r="D60">
        <v>3.56027299555485</v>
      </c>
      <c r="E60">
        <v>-15.7216114143773</v>
      </c>
      <c r="F60">
        <v>116.248747036879</v>
      </c>
      <c r="G60">
        <v>25.1038064633684</v>
      </c>
      <c r="H60">
        <v>5.4836879507962699</v>
      </c>
      <c r="I60">
        <v>0.55000850886866304</v>
      </c>
      <c r="J60">
        <v>11</v>
      </c>
    </row>
    <row r="61" spans="1:10">
      <c r="A61" t="s">
        <v>12</v>
      </c>
      <c r="B61">
        <v>11</v>
      </c>
      <c r="C61" t="s">
        <v>22</v>
      </c>
      <c r="D61">
        <v>-2.2579065450001301</v>
      </c>
      <c r="E61">
        <v>13.3322869904635</v>
      </c>
      <c r="F61">
        <v>148.317550438479</v>
      </c>
      <c r="G61">
        <v>-22.526086267672198</v>
      </c>
      <c r="H61">
        <v>-3.9036788537090201</v>
      </c>
      <c r="I61">
        <v>-0.52000902058065002</v>
      </c>
      <c r="J61">
        <v>11</v>
      </c>
    </row>
    <row r="62" spans="1:10">
      <c r="A62" t="s">
        <v>12</v>
      </c>
      <c r="B62">
        <v>13</v>
      </c>
      <c r="C62" t="s">
        <v>13</v>
      </c>
      <c r="D62">
        <v>0.25238746880166202</v>
      </c>
      <c r="E62">
        <v>1.3231386195806101</v>
      </c>
      <c r="F62">
        <v>87.032647573696806</v>
      </c>
      <c r="G62">
        <v>-1.3879152195815101</v>
      </c>
      <c r="H62">
        <v>0.31524488400907502</v>
      </c>
      <c r="I62">
        <v>1.49997441440065E-2</v>
      </c>
      <c r="J62">
        <v>13</v>
      </c>
    </row>
    <row r="63" spans="1:10">
      <c r="A63" t="s">
        <v>12</v>
      </c>
      <c r="B63">
        <v>13</v>
      </c>
      <c r="C63" t="s">
        <v>14</v>
      </c>
      <c r="D63">
        <v>0.28583384366786402</v>
      </c>
      <c r="E63">
        <v>1.48084651987454</v>
      </c>
      <c r="F63">
        <v>96.615228277711793</v>
      </c>
      <c r="G63">
        <v>-1.5476355572832401</v>
      </c>
      <c r="H63">
        <v>0.35774399391462502</v>
      </c>
      <c r="I63">
        <v>1.7427754173643801E-2</v>
      </c>
      <c r="J63">
        <v>13</v>
      </c>
    </row>
    <row r="64" spans="1:10">
      <c r="A64" t="s">
        <v>12</v>
      </c>
      <c r="B64">
        <v>13</v>
      </c>
      <c r="C64" t="s">
        <v>15</v>
      </c>
      <c r="D64">
        <v>-3.4584250799135798</v>
      </c>
      <c r="E64">
        <v>1.07326803903829</v>
      </c>
      <c r="F64">
        <v>99.3381730172121</v>
      </c>
      <c r="G64">
        <v>-0.89067507209661401</v>
      </c>
      <c r="H64">
        <v>-5.4547886618776698</v>
      </c>
      <c r="I64">
        <v>0.11042412319532</v>
      </c>
      <c r="J64">
        <v>13</v>
      </c>
    </row>
    <row r="65" spans="1:10">
      <c r="A65" t="s">
        <v>12</v>
      </c>
      <c r="B65">
        <v>13</v>
      </c>
      <c r="C65" t="s">
        <v>16</v>
      </c>
      <c r="D65">
        <v>4.0234034922760697</v>
      </c>
      <c r="E65">
        <v>1.856883420652</v>
      </c>
      <c r="F65">
        <v>91.975767397408603</v>
      </c>
      <c r="G65">
        <v>-2.1726519749295301</v>
      </c>
      <c r="H65">
        <v>6.16177682772582</v>
      </c>
      <c r="I65">
        <v>-7.6054216853960105E-2</v>
      </c>
      <c r="J65">
        <v>13</v>
      </c>
    </row>
    <row r="66" spans="1:10">
      <c r="A66" t="s">
        <v>12</v>
      </c>
      <c r="B66">
        <v>13</v>
      </c>
      <c r="C66" t="s">
        <v>17</v>
      </c>
      <c r="D66">
        <v>-1.0733431354842</v>
      </c>
      <c r="E66">
        <v>-4.27378106504296</v>
      </c>
      <c r="F66">
        <v>92.244693378850201</v>
      </c>
      <c r="G66">
        <v>8.1281837263374097</v>
      </c>
      <c r="H66">
        <v>-1.7548391505224401</v>
      </c>
      <c r="I66">
        <v>0.49869284142287101</v>
      </c>
      <c r="J66">
        <v>13</v>
      </c>
    </row>
    <row r="67" spans="1:10">
      <c r="A67" t="s">
        <v>12</v>
      </c>
      <c r="B67">
        <v>13</v>
      </c>
      <c r="C67" t="s">
        <v>18</v>
      </c>
      <c r="D67">
        <v>1.6383215478466899</v>
      </c>
      <c r="E67">
        <v>7.2039325247332497</v>
      </c>
      <c r="F67">
        <v>99.069247035770402</v>
      </c>
      <c r="G67">
        <v>-11.1915107733635</v>
      </c>
      <c r="H67">
        <v>2.4618273163705799</v>
      </c>
      <c r="I67">
        <v>-0.46432293508151101</v>
      </c>
      <c r="J67">
        <v>13</v>
      </c>
    </row>
    <row r="68" spans="1:10">
      <c r="A68" t="s">
        <v>12</v>
      </c>
      <c r="B68">
        <v>13</v>
      </c>
      <c r="C68" t="s">
        <v>19</v>
      </c>
      <c r="D68">
        <v>-3.9041839601925901</v>
      </c>
      <c r="E68">
        <v>0.88779674090633198</v>
      </c>
      <c r="F68">
        <v>91.122872918032101</v>
      </c>
      <c r="G68">
        <v>-0.67570582911877697</v>
      </c>
      <c r="H68">
        <v>-6.1384026102150804</v>
      </c>
      <c r="I68">
        <v>0.11859882194916201</v>
      </c>
      <c r="J68">
        <v>13</v>
      </c>
    </row>
    <row r="69" spans="1:10">
      <c r="A69" t="s">
        <v>12</v>
      </c>
      <c r="B69">
        <v>13</v>
      </c>
      <c r="C69" t="s">
        <v>20</v>
      </c>
      <c r="D69">
        <v>4.4089588977959098</v>
      </c>
      <c r="E69">
        <v>1.7584804982549</v>
      </c>
      <c r="F69">
        <v>82.942422229361597</v>
      </c>
      <c r="G69">
        <v>-2.1001246100442299</v>
      </c>
      <c r="H69">
        <v>6.7688923782332404</v>
      </c>
      <c r="I69">
        <v>-8.8599333661149193E-2</v>
      </c>
      <c r="J69">
        <v>13</v>
      </c>
    </row>
    <row r="70" spans="1:10">
      <c r="A70" t="s">
        <v>12</v>
      </c>
      <c r="B70">
        <v>13</v>
      </c>
      <c r="C70" t="s">
        <v>21</v>
      </c>
      <c r="D70">
        <v>-1.2540929108266099</v>
      </c>
      <c r="E70">
        <v>-5.0533689302950604</v>
      </c>
      <c r="F70">
        <v>83.241228875407799</v>
      </c>
      <c r="G70">
        <v>9.3452483913634694</v>
      </c>
      <c r="H70">
        <v>-2.0273475975981601</v>
      </c>
      <c r="I70">
        <v>0.55000850886866304</v>
      </c>
      <c r="J70">
        <v>13</v>
      </c>
    </row>
    <row r="71" spans="1:10">
      <c r="A71" t="s">
        <v>12</v>
      </c>
      <c r="B71">
        <v>13</v>
      </c>
      <c r="C71" t="s">
        <v>22</v>
      </c>
      <c r="D71">
        <v>1.75886784842994</v>
      </c>
      <c r="E71">
        <v>7.6996461694562903</v>
      </c>
      <c r="F71">
        <v>90.824066271985799</v>
      </c>
      <c r="G71">
        <v>-12.1210788305265</v>
      </c>
      <c r="H71">
        <v>2.6578373656163099</v>
      </c>
      <c r="I71">
        <v>-0.52000902058065002</v>
      </c>
      <c r="J71">
        <v>13</v>
      </c>
    </row>
    <row r="72" spans="1:10">
      <c r="A72" t="s">
        <v>12</v>
      </c>
      <c r="B72">
        <v>15</v>
      </c>
      <c r="C72" t="s">
        <v>13</v>
      </c>
      <c r="D72">
        <v>0.124454945321279</v>
      </c>
      <c r="E72">
        <v>0.13488672913800201</v>
      </c>
      <c r="F72">
        <v>122.658418716219</v>
      </c>
      <c r="G72">
        <v>-2.3646304440439201E-3</v>
      </c>
      <c r="H72">
        <v>0.21604416637162099</v>
      </c>
      <c r="I72">
        <v>1.5927611530275599E-2</v>
      </c>
      <c r="J72">
        <v>15</v>
      </c>
    </row>
    <row r="73" spans="1:10">
      <c r="A73" t="s">
        <v>12</v>
      </c>
      <c r="B73">
        <v>15</v>
      </c>
      <c r="C73" t="s">
        <v>14</v>
      </c>
      <c r="D73">
        <v>0.100743079045924</v>
      </c>
      <c r="E73">
        <v>0.17940074486540999</v>
      </c>
      <c r="F73">
        <v>135.74849694020901</v>
      </c>
      <c r="G73">
        <v>-2.0266778141317901E-2</v>
      </c>
      <c r="H73">
        <v>0.203777237779903</v>
      </c>
      <c r="I73">
        <v>1.84823241964455E-2</v>
      </c>
      <c r="J73">
        <v>15</v>
      </c>
    </row>
    <row r="74" spans="1:10">
      <c r="A74" t="s">
        <v>12</v>
      </c>
      <c r="B74">
        <v>15</v>
      </c>
      <c r="C74" t="s">
        <v>15</v>
      </c>
      <c r="D74">
        <v>-3.18220514616258</v>
      </c>
      <c r="E74">
        <v>-1.55711874844138</v>
      </c>
      <c r="F74">
        <v>133.71673154256999</v>
      </c>
      <c r="G74">
        <v>2.8270876172907098</v>
      </c>
      <c r="H74">
        <v>-5.1458199029705103</v>
      </c>
      <c r="I74">
        <v>0.11047445329215801</v>
      </c>
      <c r="J74">
        <v>15</v>
      </c>
    </row>
    <row r="75" spans="1:10">
      <c r="A75" t="s">
        <v>12</v>
      </c>
      <c r="B75">
        <v>15</v>
      </c>
      <c r="C75" t="s">
        <v>16</v>
      </c>
      <c r="D75">
        <v>3.3884336775095001</v>
      </c>
      <c r="E75">
        <v>1.9070174350267199</v>
      </c>
      <c r="F75">
        <v>135.16224669305001</v>
      </c>
      <c r="G75">
        <v>-2.8640407440338902</v>
      </c>
      <c r="H75">
        <v>5.5558277642486598</v>
      </c>
      <c r="I75">
        <v>-7.4020747432500797E-2</v>
      </c>
      <c r="J75">
        <v>15</v>
      </c>
    </row>
    <row r="76" spans="1:10">
      <c r="A76" t="s">
        <v>12</v>
      </c>
      <c r="B76">
        <v>15</v>
      </c>
      <c r="C76" t="s">
        <v>17</v>
      </c>
      <c r="D76">
        <v>-1.0693340374086</v>
      </c>
      <c r="E76">
        <v>-13.1398907032072</v>
      </c>
      <c r="F76">
        <v>149.75372632573999</v>
      </c>
      <c r="G76">
        <v>21.681553033442299</v>
      </c>
      <c r="H76">
        <v>-1.7229827400791</v>
      </c>
      <c r="I76">
        <v>0.48690736677736601</v>
      </c>
      <c r="J76">
        <v>15</v>
      </c>
    </row>
    <row r="77" spans="1:10">
      <c r="A77" t="s">
        <v>12</v>
      </c>
      <c r="B77">
        <v>15</v>
      </c>
      <c r="C77" t="s">
        <v>18</v>
      </c>
      <c r="D77">
        <v>1.2755625687555201</v>
      </c>
      <c r="E77">
        <v>13.489789389792501</v>
      </c>
      <c r="F77">
        <v>119.125251909879</v>
      </c>
      <c r="G77">
        <v>-21.718506160185498</v>
      </c>
      <c r="H77">
        <v>2.1329906013572502</v>
      </c>
      <c r="I77">
        <v>-0.450453660917709</v>
      </c>
      <c r="J77">
        <v>15</v>
      </c>
    </row>
    <row r="78" spans="1:10">
      <c r="A78" t="s">
        <v>12</v>
      </c>
      <c r="B78">
        <v>15</v>
      </c>
      <c r="C78" t="s">
        <v>19</v>
      </c>
      <c r="D78">
        <v>-3.5258999567187699</v>
      </c>
      <c r="E78">
        <v>-1.7896333727887199</v>
      </c>
      <c r="F78">
        <v>121.85535474373</v>
      </c>
      <c r="G78">
        <v>3.1593733480696198</v>
      </c>
      <c r="H78">
        <v>-5.7293156487501404</v>
      </c>
      <c r="I78">
        <v>0.118424945266197</v>
      </c>
      <c r="J78">
        <v>15</v>
      </c>
    </row>
    <row r="79" spans="1:10">
      <c r="A79" t="s">
        <v>12</v>
      </c>
      <c r="B79">
        <v>15</v>
      </c>
      <c r="C79" t="s">
        <v>20</v>
      </c>
      <c r="D79">
        <v>3.7748098473613201</v>
      </c>
      <c r="E79">
        <v>2.0594068310647198</v>
      </c>
      <c r="F79">
        <v>123.461482688708</v>
      </c>
      <c r="G79">
        <v>-3.1641026089577098</v>
      </c>
      <c r="H79">
        <v>6.1614039814933799</v>
      </c>
      <c r="I79">
        <v>-8.6569722205645794E-2</v>
      </c>
      <c r="J79">
        <v>15</v>
      </c>
    </row>
    <row r="80" spans="1:10">
      <c r="A80" t="s">
        <v>12</v>
      </c>
      <c r="B80">
        <v>15</v>
      </c>
      <c r="C80" t="s">
        <v>21</v>
      </c>
      <c r="D80">
        <v>-1.17826539143656</v>
      </c>
      <c r="E80">
        <v>-14.6593799891951</v>
      </c>
      <c r="F80">
        <v>139.674237836142</v>
      </c>
      <c r="G80">
        <v>24.108779366015899</v>
      </c>
      <c r="H80">
        <v>-1.92616324553747</v>
      </c>
      <c r="I80">
        <v>0.53668373802753899</v>
      </c>
      <c r="J80">
        <v>15</v>
      </c>
    </row>
    <row r="81" spans="1:10">
      <c r="A81" t="s">
        <v>12</v>
      </c>
      <c r="B81">
        <v>15</v>
      </c>
      <c r="C81" t="s">
        <v>22</v>
      </c>
      <c r="D81">
        <v>1.4271752820791199</v>
      </c>
      <c r="E81">
        <v>14.9291534474711</v>
      </c>
      <c r="F81">
        <v>105.64259959629599</v>
      </c>
      <c r="G81">
        <v>-24.113508626904</v>
      </c>
      <c r="H81">
        <v>2.3582515782807101</v>
      </c>
      <c r="I81">
        <v>-0.504828514966988</v>
      </c>
      <c r="J81">
        <v>15</v>
      </c>
    </row>
    <row r="82" spans="1:10">
      <c r="A82" t="s">
        <v>12</v>
      </c>
      <c r="B82">
        <v>17</v>
      </c>
      <c r="C82" t="s">
        <v>13</v>
      </c>
      <c r="D82">
        <v>8.4378800238610094E-2</v>
      </c>
      <c r="E82">
        <v>1.59667293921314</v>
      </c>
      <c r="F82">
        <v>107.304337675733</v>
      </c>
      <c r="G82">
        <v>-1.7013595321006101</v>
      </c>
      <c r="H82">
        <v>0.145715801440301</v>
      </c>
      <c r="I82">
        <v>1.49997441440065E-2</v>
      </c>
      <c r="J82">
        <v>17</v>
      </c>
    </row>
    <row r="83" spans="1:10">
      <c r="A83" t="s">
        <v>12</v>
      </c>
      <c r="B83">
        <v>17</v>
      </c>
      <c r="C83" t="s">
        <v>14</v>
      </c>
      <c r="D83">
        <v>9.3051497680150599E-2</v>
      </c>
      <c r="E83">
        <v>1.7877259308688001</v>
      </c>
      <c r="F83">
        <v>119.15634334636999</v>
      </c>
      <c r="G83">
        <v>-1.90078626573623</v>
      </c>
      <c r="H83">
        <v>0.16321704164318501</v>
      </c>
      <c r="I83">
        <v>1.7427754173643801E-2</v>
      </c>
      <c r="J83">
        <v>17</v>
      </c>
    </row>
    <row r="84" spans="1:10">
      <c r="A84" t="s">
        <v>12</v>
      </c>
      <c r="B84">
        <v>17</v>
      </c>
      <c r="C84" t="s">
        <v>15</v>
      </c>
      <c r="D84">
        <v>-3.6298637757379302</v>
      </c>
      <c r="E84">
        <v>1.69667539204988</v>
      </c>
      <c r="F84">
        <v>117.694470644506</v>
      </c>
      <c r="G84">
        <v>-1.79530767191708</v>
      </c>
      <c r="H84">
        <v>-5.6277788121387697</v>
      </c>
      <c r="I84">
        <v>0.11042412319532</v>
      </c>
      <c r="J84">
        <v>17</v>
      </c>
    </row>
    <row r="85" spans="1:10">
      <c r="A85" t="s">
        <v>12</v>
      </c>
      <c r="B85">
        <v>17</v>
      </c>
      <c r="C85" t="s">
        <v>16</v>
      </c>
      <c r="D85">
        <v>3.81423223160993</v>
      </c>
      <c r="E85">
        <v>1.8405658713566</v>
      </c>
      <c r="F85">
        <v>118.247814914107</v>
      </c>
      <c r="G85">
        <v>-1.96637951282825</v>
      </c>
      <c r="H85">
        <v>5.9507126473845604</v>
      </c>
      <c r="I85">
        <v>-7.6054216853960105E-2</v>
      </c>
      <c r="J85">
        <v>17</v>
      </c>
    </row>
    <row r="86" spans="1:10">
      <c r="A86" t="s">
        <v>12</v>
      </c>
      <c r="B86">
        <v>17</v>
      </c>
      <c r="C86" t="s">
        <v>17</v>
      </c>
      <c r="D86">
        <v>-1.2163561550305799</v>
      </c>
      <c r="E86">
        <v>-2.18139281611312</v>
      </c>
      <c r="F86">
        <v>114.27615105766201</v>
      </c>
      <c r="G86">
        <v>4.7722807285679396</v>
      </c>
      <c r="H86">
        <v>-1.89914638303877</v>
      </c>
      <c r="I86">
        <v>0.49869284142287101</v>
      </c>
      <c r="J86">
        <v>17</v>
      </c>
    </row>
    <row r="87" spans="1:10">
      <c r="A87" t="s">
        <v>12</v>
      </c>
      <c r="B87">
        <v>17</v>
      </c>
      <c r="C87" t="s">
        <v>18</v>
      </c>
      <c r="D87">
        <v>1.4007246109025799</v>
      </c>
      <c r="E87">
        <v>5.7186340795195898</v>
      </c>
      <c r="F87">
        <v>121.666134500951</v>
      </c>
      <c r="G87">
        <v>-8.5339679133132709</v>
      </c>
      <c r="H87">
        <v>2.22208021828457</v>
      </c>
      <c r="I87">
        <v>-0.46432293508151101</v>
      </c>
      <c r="J87">
        <v>17</v>
      </c>
    </row>
    <row r="88" spans="1:10">
      <c r="A88" t="s">
        <v>12</v>
      </c>
      <c r="B88">
        <v>17</v>
      </c>
      <c r="C88" t="s">
        <v>19</v>
      </c>
      <c r="D88">
        <v>-4.0512300927324203</v>
      </c>
      <c r="E88">
        <v>1.51673378404274</v>
      </c>
      <c r="F88">
        <v>106.99692419262099</v>
      </c>
      <c r="G88">
        <v>-1.6063196204832999</v>
      </c>
      <c r="H88">
        <v>-6.28677945385044</v>
      </c>
      <c r="I88">
        <v>0.11859882194916201</v>
      </c>
      <c r="J88">
        <v>17</v>
      </c>
    </row>
    <row r="89" spans="1:10">
      <c r="A89" t="s">
        <v>12</v>
      </c>
      <c r="B89">
        <v>17</v>
      </c>
      <c r="C89" t="s">
        <v>20</v>
      </c>
      <c r="D89">
        <v>4.2199876932096396</v>
      </c>
      <c r="E89">
        <v>1.6766120943835401</v>
      </c>
      <c r="F89">
        <v>107.611751158844</v>
      </c>
      <c r="G89">
        <v>-1.79639944371793</v>
      </c>
      <c r="H89">
        <v>6.5782110567310399</v>
      </c>
      <c r="I89">
        <v>-8.8599333661149193E-2</v>
      </c>
      <c r="J89">
        <v>17</v>
      </c>
    </row>
    <row r="90" spans="1:10">
      <c r="A90" t="s">
        <v>12</v>
      </c>
      <c r="B90">
        <v>17</v>
      </c>
      <c r="C90" t="s">
        <v>21</v>
      </c>
      <c r="D90">
        <v>-1.3695549586131499</v>
      </c>
      <c r="E90">
        <v>-2.79223089169392</v>
      </c>
      <c r="F90">
        <v>103.19879131835</v>
      </c>
      <c r="G90">
        <v>5.6910008245000503</v>
      </c>
      <c r="H90">
        <v>-2.1438545326282199</v>
      </c>
      <c r="I90">
        <v>0.55000850886866304</v>
      </c>
      <c r="J90">
        <v>17</v>
      </c>
    </row>
    <row r="91" spans="1:10">
      <c r="A91" t="s">
        <v>12</v>
      </c>
      <c r="B91">
        <v>17</v>
      </c>
      <c r="C91" t="s">
        <v>22</v>
      </c>
      <c r="D91">
        <v>1.5383125590903699</v>
      </c>
      <c r="E91">
        <v>5.9855767701201996</v>
      </c>
      <c r="F91">
        <v>111.40988403311501</v>
      </c>
      <c r="G91">
        <v>-9.0937198887012798</v>
      </c>
      <c r="H91">
        <v>2.4352861355088198</v>
      </c>
      <c r="I91">
        <v>-0.52000902058065002</v>
      </c>
      <c r="J91">
        <v>17</v>
      </c>
    </row>
    <row r="92" spans="1:10">
      <c r="A92" t="s">
        <v>12</v>
      </c>
      <c r="B92">
        <v>19</v>
      </c>
      <c r="C92" t="s">
        <v>13</v>
      </c>
      <c r="D92">
        <v>-0.30829475524092198</v>
      </c>
      <c r="E92">
        <v>1.4775772879619</v>
      </c>
      <c r="F92">
        <v>108.159465244112</v>
      </c>
      <c r="G92">
        <v>-1.52251992756434</v>
      </c>
      <c r="H92">
        <v>-0.25051129909457998</v>
      </c>
      <c r="I92">
        <v>1.49997441440065E-2</v>
      </c>
      <c r="J92">
        <v>19</v>
      </c>
    </row>
    <row r="93" spans="1:10">
      <c r="A93" t="s">
        <v>12</v>
      </c>
      <c r="B93">
        <v>19</v>
      </c>
      <c r="C93" t="s">
        <v>14</v>
      </c>
      <c r="D93">
        <v>-0.34446118594071301</v>
      </c>
      <c r="E93">
        <v>1.6554272299238499</v>
      </c>
      <c r="F93">
        <v>120.367688567307</v>
      </c>
      <c r="G93">
        <v>-1.6991278282244999</v>
      </c>
      <c r="H93">
        <v>-0.27825496394331201</v>
      </c>
      <c r="I93">
        <v>1.7427754173643801E-2</v>
      </c>
      <c r="J93">
        <v>19</v>
      </c>
    </row>
    <row r="94" spans="1:10">
      <c r="A94" t="s">
        <v>12</v>
      </c>
      <c r="B94">
        <v>19</v>
      </c>
      <c r="C94" t="s">
        <v>15</v>
      </c>
      <c r="D94">
        <v>-4.0599498274202199</v>
      </c>
      <c r="E94">
        <v>1.05770018624471</v>
      </c>
      <c r="F94">
        <v>112.99127187339801</v>
      </c>
      <c r="G94">
        <v>-0.71866516192545205</v>
      </c>
      <c r="H94">
        <v>-6.0617569776163602</v>
      </c>
      <c r="I94">
        <v>0.11042412319532</v>
      </c>
      <c r="J94">
        <v>19</v>
      </c>
    </row>
    <row r="95" spans="1:10">
      <c r="A95" t="s">
        <v>12</v>
      </c>
      <c r="B95">
        <v>19</v>
      </c>
      <c r="C95" t="s">
        <v>16</v>
      </c>
      <c r="D95">
        <v>3.37826074167875</v>
      </c>
      <c r="E95">
        <v>2.2175842852106</v>
      </c>
      <c r="F95">
        <v>125.30246059657701</v>
      </c>
      <c r="G95">
        <v>-2.6442689143915201</v>
      </c>
      <c r="H95">
        <v>5.5107957826994802</v>
      </c>
      <c r="I95">
        <v>-7.6054216853960105E-2</v>
      </c>
      <c r="J95">
        <v>19</v>
      </c>
    </row>
    <row r="96" spans="1:10">
      <c r="A96" t="s">
        <v>12</v>
      </c>
      <c r="B96">
        <v>19</v>
      </c>
      <c r="C96" t="s">
        <v>17</v>
      </c>
      <c r="D96">
        <v>-1.63552952949894</v>
      </c>
      <c r="E96">
        <v>-5.1327120066071998</v>
      </c>
      <c r="F96">
        <v>109.80447690066801</v>
      </c>
      <c r="G96">
        <v>9.7007685386157902</v>
      </c>
      <c r="H96">
        <v>-2.3221131157595298</v>
      </c>
      <c r="I96">
        <v>0.49869284142287101</v>
      </c>
      <c r="J96">
        <v>19</v>
      </c>
    </row>
    <row r="97" spans="1:10">
      <c r="A97" t="s">
        <v>12</v>
      </c>
      <c r="B97">
        <v>19</v>
      </c>
      <c r="C97" t="s">
        <v>18</v>
      </c>
      <c r="D97">
        <v>0.95384044375747101</v>
      </c>
      <c r="E97">
        <v>8.4079964780625005</v>
      </c>
      <c r="F97">
        <v>128.48925556930701</v>
      </c>
      <c r="G97">
        <v>-13.063702614932801</v>
      </c>
      <c r="H97">
        <v>1.7711519208426501</v>
      </c>
      <c r="I97">
        <v>-0.46432293508151101</v>
      </c>
      <c r="J97">
        <v>19</v>
      </c>
    </row>
    <row r="98" spans="1:10">
      <c r="A98" t="s">
        <v>12</v>
      </c>
      <c r="B98">
        <v>19</v>
      </c>
      <c r="C98" t="s">
        <v>19</v>
      </c>
      <c r="D98">
        <v>-4.4406339602959104</v>
      </c>
      <c r="E98">
        <v>0.83319723298085002</v>
      </c>
      <c r="F98">
        <v>101.319915953457</v>
      </c>
      <c r="G98">
        <v>-0.45274006508318998</v>
      </c>
      <c r="H98">
        <v>-6.6797072770478199</v>
      </c>
      <c r="I98">
        <v>0.11859882194916201</v>
      </c>
      <c r="J98">
        <v>19</v>
      </c>
    </row>
    <row r="99" spans="1:10">
      <c r="A99" t="s">
        <v>12</v>
      </c>
      <c r="B99">
        <v>19</v>
      </c>
      <c r="C99" t="s">
        <v>20</v>
      </c>
      <c r="D99">
        <v>3.8240444498140702</v>
      </c>
      <c r="E99">
        <v>2.1219573429429399</v>
      </c>
      <c r="F99">
        <v>114.999014534767</v>
      </c>
      <c r="G99">
        <v>-2.59229979004549</v>
      </c>
      <c r="H99">
        <v>6.1786846788586596</v>
      </c>
      <c r="I99">
        <v>-8.8599333661149193E-2</v>
      </c>
      <c r="J99">
        <v>19</v>
      </c>
    </row>
    <row r="100" spans="1:10">
      <c r="A100" t="s">
        <v>12</v>
      </c>
      <c r="B100">
        <v>19</v>
      </c>
      <c r="C100" t="s">
        <v>21</v>
      </c>
      <c r="D100">
        <v>-1.7468336292722599</v>
      </c>
      <c r="E100">
        <v>-6.0450385368545998</v>
      </c>
      <c r="F100">
        <v>97.779032650423503</v>
      </c>
      <c r="G100">
        <v>11.1244084910737</v>
      </c>
      <c r="H100">
        <v>-2.5245474305402298</v>
      </c>
      <c r="I100">
        <v>0.55000850886866304</v>
      </c>
      <c r="J100">
        <v>19</v>
      </c>
    </row>
    <row r="101" spans="1:10">
      <c r="A101" t="s">
        <v>12</v>
      </c>
      <c r="B101">
        <v>19</v>
      </c>
      <c r="C101" t="s">
        <v>22</v>
      </c>
      <c r="D101">
        <v>1.13024411879042</v>
      </c>
      <c r="E101">
        <v>9.0001931127783905</v>
      </c>
      <c r="F101">
        <v>118.5398978378</v>
      </c>
      <c r="G101">
        <v>-14.169448346202399</v>
      </c>
      <c r="H101">
        <v>2.0235248323510699</v>
      </c>
      <c r="I101">
        <v>-0.52000902058065002</v>
      </c>
      <c r="J101">
        <v>19</v>
      </c>
    </row>
    <row r="102" spans="1:10">
      <c r="A102" t="s">
        <v>12</v>
      </c>
      <c r="B102">
        <v>21</v>
      </c>
      <c r="C102" t="s">
        <v>13</v>
      </c>
      <c r="D102">
        <v>0.51978608127407999</v>
      </c>
      <c r="E102">
        <v>1.30704616971194</v>
      </c>
      <c r="F102">
        <v>171.35224843050099</v>
      </c>
      <c r="G102">
        <v>-1.3022554889476201</v>
      </c>
      <c r="H102">
        <v>0.58506335135559595</v>
      </c>
      <c r="I102">
        <v>1.49997441440065E-2</v>
      </c>
      <c r="J102">
        <v>21</v>
      </c>
    </row>
    <row r="103" spans="1:10">
      <c r="A103" t="s">
        <v>12</v>
      </c>
      <c r="B103">
        <v>21</v>
      </c>
      <c r="C103" t="s">
        <v>14</v>
      </c>
      <c r="D103">
        <v>0.60746622783775195</v>
      </c>
      <c r="E103">
        <v>1.46422269584248</v>
      </c>
      <c r="F103">
        <v>190.21699507593999</v>
      </c>
      <c r="G103">
        <v>-1.450202354537</v>
      </c>
      <c r="H103">
        <v>0.68228702778948502</v>
      </c>
      <c r="I103">
        <v>1.7427754173643801E-2</v>
      </c>
      <c r="J103">
        <v>21</v>
      </c>
    </row>
    <row r="104" spans="1:10">
      <c r="A104" t="s">
        <v>12</v>
      </c>
      <c r="B104">
        <v>21</v>
      </c>
      <c r="C104" t="s">
        <v>15</v>
      </c>
      <c r="D104">
        <v>-3.0686178935570001</v>
      </c>
      <c r="E104">
        <v>0.47311946214079598</v>
      </c>
      <c r="F104">
        <v>186.88176345606101</v>
      </c>
      <c r="G104">
        <v>0.22596832722872701</v>
      </c>
      <c r="H104">
        <v>-5.0614538700068303</v>
      </c>
      <c r="I104">
        <v>0.11042412319532</v>
      </c>
      <c r="J104">
        <v>21</v>
      </c>
    </row>
    <row r="105" spans="1:10">
      <c r="A105" t="s">
        <v>12</v>
      </c>
      <c r="B105">
        <v>21</v>
      </c>
      <c r="C105" t="s">
        <v>16</v>
      </c>
      <c r="D105">
        <v>4.26601431991977</v>
      </c>
      <c r="E105">
        <v>2.4238906243180498</v>
      </c>
      <c r="F105">
        <v>189.77927736673101</v>
      </c>
      <c r="G105">
        <v>-3.0967836631848602</v>
      </c>
      <c r="H105">
        <v>6.4065831902990196</v>
      </c>
      <c r="I105">
        <v>-7.6054216853960105E-2</v>
      </c>
      <c r="J105">
        <v>21</v>
      </c>
    </row>
    <row r="106" spans="1:10">
      <c r="A106" t="s">
        <v>12</v>
      </c>
      <c r="B106">
        <v>21</v>
      </c>
      <c r="C106" t="s">
        <v>17</v>
      </c>
      <c r="D106">
        <v>-0.78256506167909401</v>
      </c>
      <c r="E106">
        <v>-7.4244760637957201</v>
      </c>
      <c r="F106">
        <v>181.27024606244299</v>
      </c>
      <c r="G106">
        <v>13.615436009939</v>
      </c>
      <c r="H106">
        <v>-1.4614296466860599</v>
      </c>
      <c r="I106">
        <v>0.49869284142287101</v>
      </c>
      <c r="J106">
        <v>21</v>
      </c>
    </row>
    <row r="107" spans="1:10">
      <c r="A107" t="s">
        <v>12</v>
      </c>
      <c r="B107">
        <v>21</v>
      </c>
      <c r="C107" t="s">
        <v>18</v>
      </c>
      <c r="D107">
        <v>1.9799614880418599</v>
      </c>
      <c r="E107">
        <v>10.3214861502546</v>
      </c>
      <c r="F107">
        <v>195.390794760349</v>
      </c>
      <c r="G107">
        <v>-16.486251345895202</v>
      </c>
      <c r="H107">
        <v>2.8065589669782498</v>
      </c>
      <c r="I107">
        <v>-0.46432293508151101</v>
      </c>
      <c r="J107">
        <v>21</v>
      </c>
    </row>
    <row r="108" spans="1:10">
      <c r="A108" t="s">
        <v>12</v>
      </c>
      <c r="B108">
        <v>21</v>
      </c>
      <c r="C108" t="s">
        <v>19</v>
      </c>
      <c r="D108">
        <v>-3.5550095928796899</v>
      </c>
      <c r="E108">
        <v>0.22328441294679699</v>
      </c>
      <c r="F108">
        <v>169.74251848012901</v>
      </c>
      <c r="G108">
        <v>0.54371783905992999</v>
      </c>
      <c r="H108">
        <v>-5.7860683488143199</v>
      </c>
      <c r="I108">
        <v>0.11859882194916201</v>
      </c>
      <c r="J108">
        <v>21</v>
      </c>
    </row>
    <row r="109" spans="1:10">
      <c r="A109" t="s">
        <v>12</v>
      </c>
      <c r="B109">
        <v>21</v>
      </c>
      <c r="C109" t="s">
        <v>20</v>
      </c>
      <c r="D109">
        <v>4.5945817554278499</v>
      </c>
      <c r="E109">
        <v>2.3908079264770801</v>
      </c>
      <c r="F109">
        <v>172.96197838087301</v>
      </c>
      <c r="G109">
        <v>-3.14822881695516</v>
      </c>
      <c r="H109">
        <v>6.9561950515255102</v>
      </c>
      <c r="I109">
        <v>-8.8599333661149193E-2</v>
      </c>
      <c r="J109">
        <v>21</v>
      </c>
    </row>
    <row r="110" spans="1:10">
      <c r="A110" t="s">
        <v>12</v>
      </c>
      <c r="B110">
        <v>21</v>
      </c>
      <c r="C110" t="s">
        <v>21</v>
      </c>
      <c r="D110">
        <v>-1.01495089079312</v>
      </c>
      <c r="E110">
        <v>-8.5518217269826593</v>
      </c>
      <c r="F110">
        <v>163.50749915388701</v>
      </c>
      <c r="G110">
        <v>15.4209041531825</v>
      </c>
      <c r="H110">
        <v>-1.78604143401347</v>
      </c>
      <c r="I110">
        <v>0.55000850886866304</v>
      </c>
      <c r="J110">
        <v>21</v>
      </c>
    </row>
    <row r="111" spans="1:10">
      <c r="A111" t="s">
        <v>12</v>
      </c>
      <c r="B111">
        <v>21</v>
      </c>
      <c r="C111" t="s">
        <v>22</v>
      </c>
      <c r="D111">
        <v>2.0545230533412799</v>
      </c>
      <c r="E111">
        <v>11.165914066406501</v>
      </c>
      <c r="F111">
        <v>179.196997707116</v>
      </c>
      <c r="G111">
        <v>-18.0254151310777</v>
      </c>
      <c r="H111">
        <v>2.9561681367246599</v>
      </c>
      <c r="I111">
        <v>-0.52000902058065002</v>
      </c>
      <c r="J111">
        <v>21</v>
      </c>
    </row>
    <row r="112" spans="1:10">
      <c r="A112" t="s">
        <v>12</v>
      </c>
      <c r="B112">
        <v>23</v>
      </c>
      <c r="C112" t="s">
        <v>13</v>
      </c>
      <c r="D112">
        <v>0.413469535555678</v>
      </c>
      <c r="E112">
        <v>2.4696408720429801</v>
      </c>
      <c r="F112">
        <v>136.24777223350901</v>
      </c>
      <c r="G112">
        <v>-2.6160303859751699</v>
      </c>
      <c r="H112">
        <v>0.47778468167934801</v>
      </c>
      <c r="I112">
        <v>1.49997441440065E-2</v>
      </c>
      <c r="J112">
        <v>23</v>
      </c>
    </row>
    <row r="113" spans="1:10">
      <c r="A113" t="s">
        <v>12</v>
      </c>
      <c r="B113">
        <v>23</v>
      </c>
      <c r="C113" t="s">
        <v>14</v>
      </c>
      <c r="D113">
        <v>0.47172770678659498</v>
      </c>
      <c r="E113">
        <v>2.7767340127712599</v>
      </c>
      <c r="F113">
        <v>151.345621565795</v>
      </c>
      <c r="G113">
        <v>-2.9380190655709599</v>
      </c>
      <c r="H113">
        <v>0.54532012518940398</v>
      </c>
      <c r="I113">
        <v>1.7427754173643801E-2</v>
      </c>
      <c r="J113">
        <v>23</v>
      </c>
    </row>
    <row r="114" spans="1:10">
      <c r="A114" t="s">
        <v>12</v>
      </c>
      <c r="B114">
        <v>23</v>
      </c>
      <c r="C114" t="s">
        <v>15</v>
      </c>
      <c r="D114">
        <v>-3.26910068910956</v>
      </c>
      <c r="E114">
        <v>2.9666021074034599</v>
      </c>
      <c r="F114">
        <v>150.48878982915201</v>
      </c>
      <c r="G114">
        <v>-3.3255746591371098</v>
      </c>
      <c r="H114">
        <v>-5.2637509579579298</v>
      </c>
      <c r="I114">
        <v>0.11042412319532</v>
      </c>
      <c r="J114">
        <v>23</v>
      </c>
    </row>
    <row r="115" spans="1:10">
      <c r="A115" t="s">
        <v>12</v>
      </c>
      <c r="B115">
        <v>23</v>
      </c>
      <c r="C115" t="s">
        <v>16</v>
      </c>
      <c r="D115">
        <v>4.2009044684365602</v>
      </c>
      <c r="E115">
        <v>2.5254472899934099</v>
      </c>
      <c r="F115">
        <v>149.18288343598101</v>
      </c>
      <c r="G115">
        <v>-2.4860657360856502</v>
      </c>
      <c r="H115">
        <v>6.3408841196347296</v>
      </c>
      <c r="I115">
        <v>-7.6054216853960105E-2</v>
      </c>
      <c r="J115">
        <v>23</v>
      </c>
    </row>
    <row r="116" spans="1:10">
      <c r="A116" t="s">
        <v>12</v>
      </c>
      <c r="B116">
        <v>23</v>
      </c>
      <c r="C116" t="s">
        <v>17</v>
      </c>
      <c r="D116">
        <v>-0.879111302929241</v>
      </c>
      <c r="E116">
        <v>0.50839003430888297</v>
      </c>
      <c r="F116">
        <v>149.18795354174301</v>
      </c>
      <c r="G116">
        <v>0.934319718589118</v>
      </c>
      <c r="H116">
        <v>-1.5588495943863101</v>
      </c>
      <c r="I116">
        <v>0.49869284142287101</v>
      </c>
      <c r="J116">
        <v>23</v>
      </c>
    </row>
    <row r="117" spans="1:10">
      <c r="A117" t="s">
        <v>12</v>
      </c>
      <c r="B117">
        <v>23</v>
      </c>
      <c r="C117" t="s">
        <v>18</v>
      </c>
      <c r="D117">
        <v>1.8109150822562501</v>
      </c>
      <c r="E117">
        <v>4.9836593630879804</v>
      </c>
      <c r="F117">
        <v>150.483719723391</v>
      </c>
      <c r="G117">
        <v>-6.7459601138118801</v>
      </c>
      <c r="H117">
        <v>2.6359827560631102</v>
      </c>
      <c r="I117">
        <v>-0.46432293508151101</v>
      </c>
      <c r="J117">
        <v>23</v>
      </c>
    </row>
    <row r="118" spans="1:10">
      <c r="A118" t="s">
        <v>12</v>
      </c>
      <c r="B118">
        <v>23</v>
      </c>
      <c r="C118" t="s">
        <v>19</v>
      </c>
      <c r="D118">
        <v>-3.7365333297477199</v>
      </c>
      <c r="E118">
        <v>2.7147268817152299</v>
      </c>
      <c r="F118">
        <v>136.973275785271</v>
      </c>
      <c r="G118">
        <v>-3.08242423211487</v>
      </c>
      <c r="H118">
        <v>-5.9692348058721301</v>
      </c>
      <c r="I118">
        <v>0.11859882194916201</v>
      </c>
      <c r="J118">
        <v>23</v>
      </c>
    </row>
    <row r="119" spans="1:10">
      <c r="A119" t="s">
        <v>12</v>
      </c>
      <c r="B119">
        <v>23</v>
      </c>
      <c r="C119" t="s">
        <v>20</v>
      </c>
      <c r="D119">
        <v>4.5634724008590801</v>
      </c>
      <c r="E119">
        <v>2.2245548623707201</v>
      </c>
      <c r="F119">
        <v>135.52226868174799</v>
      </c>
      <c r="G119">
        <v>-2.1496365398354702</v>
      </c>
      <c r="H119">
        <v>6.9248041692308204</v>
      </c>
      <c r="I119">
        <v>-8.8599333661149193E-2</v>
      </c>
      <c r="J119">
        <v>23</v>
      </c>
    </row>
    <row r="120" spans="1:10">
      <c r="A120" t="s">
        <v>12</v>
      </c>
      <c r="B120">
        <v>23</v>
      </c>
      <c r="C120" t="s">
        <v>21</v>
      </c>
      <c r="D120">
        <v>-1.0809895673251499</v>
      </c>
      <c r="E120">
        <v>-1.66198661676349E-2</v>
      </c>
      <c r="F120">
        <v>135.52790213259399</v>
      </c>
      <c r="G120">
        <v>1.65079174313649</v>
      </c>
      <c r="H120">
        <v>-1.8526777352369901</v>
      </c>
      <c r="I120">
        <v>0.55000850886866304</v>
      </c>
      <c r="J120">
        <v>23</v>
      </c>
    </row>
    <row r="121" spans="1:10">
      <c r="A121" t="s">
        <v>12</v>
      </c>
      <c r="B121">
        <v>23</v>
      </c>
      <c r="C121" t="s">
        <v>22</v>
      </c>
      <c r="D121">
        <v>1.9079286384365</v>
      </c>
      <c r="E121">
        <v>4.9559016102535898</v>
      </c>
      <c r="F121">
        <v>136.96764233442499</v>
      </c>
      <c r="G121">
        <v>-6.8828525150868396</v>
      </c>
      <c r="H121">
        <v>2.80824709859569</v>
      </c>
      <c r="I121">
        <v>-0.52000902058065002</v>
      </c>
      <c r="J121">
        <v>23</v>
      </c>
    </row>
    <row r="122" spans="1:10">
      <c r="A122" t="s">
        <v>12</v>
      </c>
      <c r="B122">
        <v>25</v>
      </c>
      <c r="C122" t="s">
        <v>13</v>
      </c>
      <c r="D122">
        <v>0.32058040283122702</v>
      </c>
      <c r="E122">
        <v>1.31322856984374</v>
      </c>
      <c r="F122">
        <v>170.88709924816399</v>
      </c>
      <c r="G122">
        <v>-1.49692403101006</v>
      </c>
      <c r="H122">
        <v>0.38405493793415901</v>
      </c>
      <c r="I122">
        <v>1.49997441440065E-2</v>
      </c>
      <c r="J122">
        <v>25</v>
      </c>
    </row>
    <row r="123" spans="1:10">
      <c r="A123" t="s">
        <v>12</v>
      </c>
      <c r="B123">
        <v>25</v>
      </c>
      <c r="C123" t="s">
        <v>14</v>
      </c>
      <c r="D123">
        <v>0.35338983369274601</v>
      </c>
      <c r="E123">
        <v>1.5022625183271101</v>
      </c>
      <c r="F123">
        <v>190.26356972175299</v>
      </c>
      <c r="G123">
        <v>-1.7075178299926499</v>
      </c>
      <c r="H123">
        <v>0.42591133973610301</v>
      </c>
      <c r="I123">
        <v>1.7427754173643801E-2</v>
      </c>
      <c r="J123">
        <v>25</v>
      </c>
    </row>
    <row r="124" spans="1:10">
      <c r="A124" t="s">
        <v>12</v>
      </c>
      <c r="B124">
        <v>25</v>
      </c>
      <c r="C124" t="s">
        <v>15</v>
      </c>
      <c r="D124">
        <v>-3.12743099658719</v>
      </c>
      <c r="E124">
        <v>2.4142478473354401</v>
      </c>
      <c r="F124">
        <v>190.718927927284</v>
      </c>
      <c r="G124">
        <v>-3.1198994470205101</v>
      </c>
      <c r="H124">
        <v>-5.1207992090598999</v>
      </c>
      <c r="I124">
        <v>0.11042412319532</v>
      </c>
      <c r="J124">
        <v>25</v>
      </c>
    </row>
    <row r="125" spans="1:10">
      <c r="A125" t="s">
        <v>12</v>
      </c>
      <c r="B125">
        <v>25</v>
      </c>
      <c r="C125" t="s">
        <v>16</v>
      </c>
      <c r="D125">
        <v>3.82764877780038</v>
      </c>
      <c r="E125">
        <v>0.55247039962211497</v>
      </c>
      <c r="F125">
        <v>185.93291742150399</v>
      </c>
      <c r="G125">
        <v>-0.25301745316826701</v>
      </c>
      <c r="H125">
        <v>5.9642506081717199</v>
      </c>
      <c r="I125">
        <v>-7.6054216853960105E-2</v>
      </c>
      <c r="J125">
        <v>25</v>
      </c>
    </row>
    <row r="126" spans="1:10">
      <c r="A126" t="s">
        <v>12</v>
      </c>
      <c r="B126">
        <v>25</v>
      </c>
      <c r="C126" t="s">
        <v>17</v>
      </c>
      <c r="D126">
        <v>-0.83297477018998001</v>
      </c>
      <c r="E126">
        <v>1.46771389752096</v>
      </c>
      <c r="F126">
        <v>191.56446211464899</v>
      </c>
      <c r="G126">
        <v>-1.6219176267214801</v>
      </c>
      <c r="H126">
        <v>-1.5122955437228101</v>
      </c>
      <c r="I126">
        <v>0.49869284142287101</v>
      </c>
      <c r="J126">
        <v>25</v>
      </c>
    </row>
    <row r="127" spans="1:10">
      <c r="A127" t="s">
        <v>12</v>
      </c>
      <c r="B127">
        <v>25</v>
      </c>
      <c r="C127" t="s">
        <v>18</v>
      </c>
      <c r="D127">
        <v>1.5331925514031699</v>
      </c>
      <c r="E127">
        <v>1.4990043494366001</v>
      </c>
      <c r="F127">
        <v>185.087383234139</v>
      </c>
      <c r="G127">
        <v>-1.7509992734672899</v>
      </c>
      <c r="H127">
        <v>2.3557469428346298</v>
      </c>
      <c r="I127">
        <v>-0.46432293508151101</v>
      </c>
      <c r="J127">
        <v>25</v>
      </c>
    </row>
    <row r="128" spans="1:10">
      <c r="A128" t="s">
        <v>12</v>
      </c>
      <c r="B128">
        <v>25</v>
      </c>
      <c r="C128" t="s">
        <v>19</v>
      </c>
      <c r="D128">
        <v>-3.5433528051618599</v>
      </c>
      <c r="E128">
        <v>2.3475493741289202</v>
      </c>
      <c r="F128">
        <v>173.54599397359701</v>
      </c>
      <c r="G128">
        <v>-3.0896362498168601</v>
      </c>
      <c r="H128">
        <v>-5.7743060716389598</v>
      </c>
      <c r="I128">
        <v>0.11859882194916201</v>
      </c>
      <c r="J128">
        <v>25</v>
      </c>
    </row>
    <row r="129" spans="1:10">
      <c r="A129" t="s">
        <v>12</v>
      </c>
      <c r="B129">
        <v>25</v>
      </c>
      <c r="C129" t="s">
        <v>20</v>
      </c>
      <c r="D129">
        <v>4.1845136108243199</v>
      </c>
      <c r="E129">
        <v>0.278907765558564</v>
      </c>
      <c r="F129">
        <v>168.22820452273001</v>
      </c>
      <c r="G129">
        <v>9.5788187796740407E-2</v>
      </c>
      <c r="H129">
        <v>6.5424159475072798</v>
      </c>
      <c r="I129">
        <v>-8.8599333661149193E-2</v>
      </c>
      <c r="J129">
        <v>25</v>
      </c>
    </row>
    <row r="130" spans="1:10">
      <c r="A130" t="s">
        <v>12</v>
      </c>
      <c r="B130">
        <v>25</v>
      </c>
      <c r="C130" t="s">
        <v>21</v>
      </c>
      <c r="D130">
        <v>-0.99395699805385596</v>
      </c>
      <c r="E130">
        <v>1.29584498544617</v>
      </c>
      <c r="F130">
        <v>174.48547640400301</v>
      </c>
      <c r="G130">
        <v>-1.42521200504016</v>
      </c>
      <c r="H130">
        <v>-1.7648575545977501</v>
      </c>
      <c r="I130">
        <v>0.55000850886866304</v>
      </c>
      <c r="J130">
        <v>25</v>
      </c>
    </row>
    <row r="131" spans="1:10">
      <c r="A131" t="s">
        <v>12</v>
      </c>
      <c r="B131">
        <v>25</v>
      </c>
      <c r="C131" t="s">
        <v>22</v>
      </c>
      <c r="D131">
        <v>1.6351178037163101</v>
      </c>
      <c r="E131">
        <v>1.3306121542413201</v>
      </c>
      <c r="F131">
        <v>167.288722092325</v>
      </c>
      <c r="G131">
        <v>-1.56863605697996</v>
      </c>
      <c r="H131">
        <v>2.5329674304660701</v>
      </c>
      <c r="I131">
        <v>-0.52000902058065002</v>
      </c>
      <c r="J131">
        <v>25</v>
      </c>
    </row>
    <row r="132" spans="1:10">
      <c r="A132" t="s">
        <v>12</v>
      </c>
      <c r="B132">
        <v>103</v>
      </c>
      <c r="C132" t="s">
        <v>13</v>
      </c>
      <c r="D132">
        <v>0.61064111613041805</v>
      </c>
      <c r="E132">
        <v>-3.5403395716876198</v>
      </c>
      <c r="F132">
        <v>49.179664454540898</v>
      </c>
      <c r="G132">
        <v>3.4005670404702601</v>
      </c>
      <c r="H132">
        <v>0.62701401499073495</v>
      </c>
      <c r="I132">
        <v>1.49997441440065E-2</v>
      </c>
      <c r="J132">
        <v>103</v>
      </c>
    </row>
    <row r="133" spans="1:10">
      <c r="A133" t="s">
        <v>12</v>
      </c>
      <c r="B133">
        <v>103</v>
      </c>
      <c r="C133" t="s">
        <v>14</v>
      </c>
      <c r="D133">
        <v>0.63590125936935005</v>
      </c>
      <c r="E133">
        <v>-3.9938899692304499</v>
      </c>
      <c r="F133">
        <v>54.654821616411603</v>
      </c>
      <c r="G133">
        <v>3.83837272936288</v>
      </c>
      <c r="H133">
        <v>0.65320356561826898</v>
      </c>
      <c r="I133">
        <v>1.7427754173643801E-2</v>
      </c>
      <c r="J133">
        <v>103</v>
      </c>
    </row>
    <row r="134" spans="1:10">
      <c r="A134" t="s">
        <v>12</v>
      </c>
      <c r="B134">
        <v>103</v>
      </c>
      <c r="C134" t="s">
        <v>15</v>
      </c>
      <c r="D134">
        <v>-2.8371753180891401</v>
      </c>
      <c r="E134">
        <v>-3.28126188446742</v>
      </c>
      <c r="F134">
        <v>56.034882843041999</v>
      </c>
      <c r="G134">
        <v>2.6271524631712699</v>
      </c>
      <c r="H134">
        <v>-5.1939906309297701</v>
      </c>
      <c r="I134">
        <v>0.11042412319532</v>
      </c>
      <c r="J134">
        <v>103</v>
      </c>
    </row>
    <row r="135" spans="1:10">
      <c r="A135" t="s">
        <v>12</v>
      </c>
      <c r="B135">
        <v>103</v>
      </c>
      <c r="C135" t="s">
        <v>16</v>
      </c>
      <c r="D135">
        <v>4.1039258081800503</v>
      </c>
      <c r="E135">
        <v>-4.6158079744849099</v>
      </c>
      <c r="F135">
        <v>52.179728957407001</v>
      </c>
      <c r="G135">
        <v>4.9620318577759699</v>
      </c>
      <c r="H135">
        <v>6.4951598520407998</v>
      </c>
      <c r="I135">
        <v>-7.6054216853960105E-2</v>
      </c>
      <c r="J135">
        <v>103</v>
      </c>
    </row>
    <row r="136" spans="1:10">
      <c r="A136" t="s">
        <v>12</v>
      </c>
      <c r="B136">
        <v>103</v>
      </c>
      <c r="C136" t="s">
        <v>17</v>
      </c>
      <c r="D136">
        <v>-2.8874121724759299</v>
      </c>
      <c r="E136">
        <v>-4.1026460297541503</v>
      </c>
      <c r="F136">
        <v>56.676797457461397</v>
      </c>
      <c r="G136">
        <v>3.9988519212165401</v>
      </c>
      <c r="H136">
        <v>-5.2385721293370997</v>
      </c>
      <c r="I136">
        <v>0.49869284142287101</v>
      </c>
      <c r="J136">
        <v>103</v>
      </c>
    </row>
    <row r="137" spans="1:10">
      <c r="A137" t="s">
        <v>12</v>
      </c>
      <c r="B137">
        <v>103</v>
      </c>
      <c r="C137" t="s">
        <v>18</v>
      </c>
      <c r="D137">
        <v>4.15416266256684</v>
      </c>
      <c r="E137">
        <v>-3.79442382919818</v>
      </c>
      <c r="F137">
        <v>51.537814342987602</v>
      </c>
      <c r="G137">
        <v>3.5903323997307002</v>
      </c>
      <c r="H137">
        <v>6.5397413504481303</v>
      </c>
      <c r="I137">
        <v>-0.46432293508151101</v>
      </c>
      <c r="J137">
        <v>103</v>
      </c>
    </row>
    <row r="138" spans="1:10">
      <c r="A138" t="s">
        <v>12</v>
      </c>
      <c r="B138">
        <v>103</v>
      </c>
      <c r="C138" t="s">
        <v>19</v>
      </c>
      <c r="D138">
        <v>-3.2455261762413499</v>
      </c>
      <c r="E138">
        <v>-2.7989250772334602</v>
      </c>
      <c r="F138">
        <v>51.321416613227001</v>
      </c>
      <c r="G138">
        <v>2.10341182124544</v>
      </c>
      <c r="H138">
        <v>-5.8669584755484703</v>
      </c>
      <c r="I138">
        <v>0.11859882194916201</v>
      </c>
      <c r="J138">
        <v>103</v>
      </c>
    </row>
    <row r="139" spans="1:10">
      <c r="A139" t="s">
        <v>12</v>
      </c>
      <c r="B139">
        <v>103</v>
      </c>
      <c r="C139" t="s">
        <v>20</v>
      </c>
      <c r="D139">
        <v>4.4668084085021897</v>
      </c>
      <c r="E139">
        <v>-4.2817540661417803</v>
      </c>
      <c r="F139">
        <v>47.037912295854802</v>
      </c>
      <c r="G139">
        <v>4.6977222596950901</v>
      </c>
      <c r="H139">
        <v>7.1209865055299399</v>
      </c>
      <c r="I139">
        <v>-8.8599333661149193E-2</v>
      </c>
      <c r="J139">
        <v>103</v>
      </c>
    </row>
    <row r="140" spans="1:10">
      <c r="A140" t="s">
        <v>12</v>
      </c>
      <c r="B140">
        <v>103</v>
      </c>
      <c r="C140" t="s">
        <v>21</v>
      </c>
      <c r="D140">
        <v>-3.3013449033377902</v>
      </c>
      <c r="E140">
        <v>-3.71157412755205</v>
      </c>
      <c r="F140">
        <v>52.034655073693003</v>
      </c>
      <c r="G140">
        <v>3.62752233018462</v>
      </c>
      <c r="H140">
        <v>-5.9164934737788402</v>
      </c>
      <c r="I140">
        <v>0.55000850886866304</v>
      </c>
      <c r="J140">
        <v>103</v>
      </c>
    </row>
    <row r="141" spans="1:10">
      <c r="A141" t="s">
        <v>12</v>
      </c>
      <c r="B141">
        <v>103</v>
      </c>
      <c r="C141" t="s">
        <v>22</v>
      </c>
      <c r="D141">
        <v>4.5226271355986203</v>
      </c>
      <c r="E141">
        <v>-3.3691050158231901</v>
      </c>
      <c r="F141">
        <v>46.3246738353889</v>
      </c>
      <c r="G141">
        <v>3.1736117507559101</v>
      </c>
      <c r="H141">
        <v>7.1705215037603098</v>
      </c>
      <c r="I141">
        <v>-0.52000902058065002</v>
      </c>
      <c r="J141">
        <v>103</v>
      </c>
    </row>
    <row r="142" spans="1:10">
      <c r="A142" t="s">
        <v>12</v>
      </c>
      <c r="B142">
        <v>123</v>
      </c>
      <c r="C142" t="s">
        <v>13</v>
      </c>
      <c r="D142">
        <v>1.7073118540369301</v>
      </c>
      <c r="E142">
        <v>-2.56850088157293</v>
      </c>
      <c r="F142">
        <v>24.2921876220291</v>
      </c>
      <c r="G142">
        <v>2.4677046179803002</v>
      </c>
      <c r="H142">
        <v>1.73360920241429</v>
      </c>
      <c r="I142">
        <v>1.49997441440065E-2</v>
      </c>
      <c r="J142">
        <v>123</v>
      </c>
    </row>
    <row r="143" spans="1:10">
      <c r="A143" t="s">
        <v>12</v>
      </c>
      <c r="B143">
        <v>123</v>
      </c>
      <c r="C143" t="s">
        <v>14</v>
      </c>
      <c r="D143">
        <v>1.93884767921173</v>
      </c>
      <c r="E143">
        <v>-2.8992840338284598</v>
      </c>
      <c r="F143">
        <v>26.821994029722099</v>
      </c>
      <c r="G143">
        <v>2.78936476714322</v>
      </c>
      <c r="H143">
        <v>1.9679411507759701</v>
      </c>
      <c r="I143">
        <v>1.7427754173643801E-2</v>
      </c>
      <c r="J143">
        <v>123</v>
      </c>
    </row>
    <row r="144" spans="1:10">
      <c r="A144" t="s">
        <v>12</v>
      </c>
      <c r="B144">
        <v>123</v>
      </c>
      <c r="C144" t="s">
        <v>15</v>
      </c>
      <c r="D144">
        <v>-1.45084820261555</v>
      </c>
      <c r="E144">
        <v>-2.4977506167520498</v>
      </c>
      <c r="F144">
        <v>23.8452588088564</v>
      </c>
      <c r="G144">
        <v>2.1882283611553301</v>
      </c>
      <c r="H144">
        <v>-3.7951177868285599</v>
      </c>
      <c r="I144">
        <v>0.11042412319532</v>
      </c>
      <c r="J144">
        <v>123</v>
      </c>
    </row>
    <row r="145" spans="1:10">
      <c r="A145" t="s">
        <v>12</v>
      </c>
      <c r="B145">
        <v>123</v>
      </c>
      <c r="C145" t="s">
        <v>16</v>
      </c>
      <c r="D145">
        <v>5.2822363960040404</v>
      </c>
      <c r="E145">
        <v>-3.2346608204537599</v>
      </c>
      <c r="F145">
        <v>29.292767969049098</v>
      </c>
      <c r="G145">
        <v>3.3261691432985199</v>
      </c>
      <c r="H145">
        <v>7.6841336987081599</v>
      </c>
      <c r="I145">
        <v>-7.6054216853960105E-2</v>
      </c>
      <c r="J145">
        <v>123</v>
      </c>
    </row>
    <row r="146" spans="1:10">
      <c r="A146" t="s">
        <v>12</v>
      </c>
      <c r="B146">
        <v>123</v>
      </c>
      <c r="C146" t="s">
        <v>17</v>
      </c>
      <c r="D146">
        <v>-1.3651775285038901</v>
      </c>
      <c r="E146">
        <v>-5.1041708490261399</v>
      </c>
      <c r="F146">
        <v>26.028182578325801</v>
      </c>
      <c r="G146">
        <v>6.5976721250519503</v>
      </c>
      <c r="H146">
        <v>-3.7025618457359499</v>
      </c>
      <c r="I146">
        <v>0.49869284142287101</v>
      </c>
      <c r="J146">
        <v>123</v>
      </c>
    </row>
    <row r="147" spans="1:10">
      <c r="A147" t="s">
        <v>12</v>
      </c>
      <c r="B147">
        <v>123</v>
      </c>
      <c r="C147" t="s">
        <v>18</v>
      </c>
      <c r="D147">
        <v>5.1965657218923802</v>
      </c>
      <c r="E147">
        <v>-0.62824058817966899</v>
      </c>
      <c r="F147">
        <v>27.109844199579701</v>
      </c>
      <c r="G147">
        <v>-1.0832746205981001</v>
      </c>
      <c r="H147">
        <v>7.5915777576155499</v>
      </c>
      <c r="I147">
        <v>-0.46432293508151101</v>
      </c>
      <c r="J147">
        <v>123</v>
      </c>
    </row>
    <row r="148" spans="1:10">
      <c r="A148" t="s">
        <v>12</v>
      </c>
      <c r="B148">
        <v>123</v>
      </c>
      <c r="C148" t="s">
        <v>19</v>
      </c>
      <c r="D148">
        <v>-2.03329070075173</v>
      </c>
      <c r="E148">
        <v>-2.1591063239608701</v>
      </c>
      <c r="F148">
        <v>21.2657936441442</v>
      </c>
      <c r="G148">
        <v>1.83551529456742</v>
      </c>
      <c r="H148">
        <v>-4.643752733995</v>
      </c>
      <c r="I148">
        <v>0.11859882194916201</v>
      </c>
      <c r="J148">
        <v>123</v>
      </c>
    </row>
    <row r="149" spans="1:10">
      <c r="A149" t="s">
        <v>12</v>
      </c>
      <c r="B149">
        <v>123</v>
      </c>
      <c r="C149" t="s">
        <v>20</v>
      </c>
      <c r="D149">
        <v>5.4479144088255902</v>
      </c>
      <c r="E149">
        <v>-2.9778954391849899</v>
      </c>
      <c r="F149">
        <v>27.318581599913902</v>
      </c>
      <c r="G149">
        <v>3.0998939413931801</v>
      </c>
      <c r="H149">
        <v>8.1109711388235795</v>
      </c>
      <c r="I149">
        <v>-8.8599333661149193E-2</v>
      </c>
      <c r="J149">
        <v>123</v>
      </c>
    </row>
    <row r="150" spans="1:10">
      <c r="A150" t="s">
        <v>12</v>
      </c>
      <c r="B150">
        <v>123</v>
      </c>
      <c r="C150" t="s">
        <v>21</v>
      </c>
      <c r="D150">
        <v>-1.93810106284988</v>
      </c>
      <c r="E150">
        <v>-5.0551288042654097</v>
      </c>
      <c r="F150">
        <v>23.691264499110201</v>
      </c>
      <c r="G150">
        <v>6.7348972544525596</v>
      </c>
      <c r="H150">
        <v>-4.5409127994476597</v>
      </c>
      <c r="I150">
        <v>0.55000850886866304</v>
      </c>
      <c r="J150">
        <v>123</v>
      </c>
    </row>
    <row r="151" spans="1:10">
      <c r="A151" t="s">
        <v>12</v>
      </c>
      <c r="B151">
        <v>123</v>
      </c>
      <c r="C151" t="s">
        <v>22</v>
      </c>
      <c r="D151">
        <v>5.35272477092375</v>
      </c>
      <c r="E151">
        <v>-8.18729588804437E-2</v>
      </c>
      <c r="F151">
        <v>24.893110744947901</v>
      </c>
      <c r="G151">
        <v>-1.7994880184919499</v>
      </c>
      <c r="H151">
        <v>8.0081312042762303</v>
      </c>
      <c r="I151">
        <v>-0.52000902058065002</v>
      </c>
      <c r="J151">
        <v>123</v>
      </c>
    </row>
    <row r="152" spans="1:10">
      <c r="A152" t="s">
        <v>12</v>
      </c>
      <c r="B152">
        <v>158</v>
      </c>
      <c r="C152" t="s">
        <v>13</v>
      </c>
      <c r="D152">
        <v>-1.91275940551601</v>
      </c>
      <c r="E152">
        <v>-1.4209363889289599</v>
      </c>
      <c r="F152">
        <v>22.897787120796199</v>
      </c>
      <c r="G152">
        <v>1.4022241862903599</v>
      </c>
      <c r="H152">
        <v>-1.90553353734159</v>
      </c>
      <c r="I152">
        <v>1.49997441440065E-2</v>
      </c>
      <c r="J152">
        <v>158</v>
      </c>
    </row>
    <row r="153" spans="1:10">
      <c r="A153" t="s">
        <v>12</v>
      </c>
      <c r="B153">
        <v>158</v>
      </c>
      <c r="C153" t="s">
        <v>14</v>
      </c>
      <c r="D153">
        <v>-2.1529040621325599</v>
      </c>
      <c r="E153">
        <v>-1.60727608101881</v>
      </c>
      <c r="F153">
        <v>25.194012397577598</v>
      </c>
      <c r="G153">
        <v>1.5931016961742901</v>
      </c>
      <c r="H153">
        <v>-2.1449347946967401</v>
      </c>
      <c r="I153">
        <v>1.7427754173643801E-2</v>
      </c>
      <c r="J153">
        <v>158</v>
      </c>
    </row>
    <row r="154" spans="1:10">
      <c r="A154" t="s">
        <v>12</v>
      </c>
      <c r="B154">
        <v>158</v>
      </c>
      <c r="C154" t="s">
        <v>15</v>
      </c>
      <c r="D154">
        <v>-5.4008811143370901</v>
      </c>
      <c r="E154">
        <v>-2.1933825729447398</v>
      </c>
      <c r="F154">
        <v>27.854544705012401</v>
      </c>
      <c r="G154">
        <v>2.56183864918418</v>
      </c>
      <c r="H154">
        <v>-7.68012385572389</v>
      </c>
      <c r="I154">
        <v>0.11042412319532</v>
      </c>
      <c r="J154">
        <v>158</v>
      </c>
    </row>
    <row r="155" spans="1:10">
      <c r="A155" t="s">
        <v>12</v>
      </c>
      <c r="B155">
        <v>158</v>
      </c>
      <c r="C155" t="s">
        <v>16</v>
      </c>
      <c r="D155">
        <v>1.14310192139527</v>
      </c>
      <c r="E155">
        <v>-0.98390165067490398</v>
      </c>
      <c r="F155">
        <v>22.074235034786501</v>
      </c>
      <c r="G155">
        <v>0.58618924118761395</v>
      </c>
      <c r="H155">
        <v>3.4381345178014402</v>
      </c>
      <c r="I155">
        <v>-7.6054216853960105E-2</v>
      </c>
      <c r="J155">
        <v>158</v>
      </c>
    </row>
    <row r="156" spans="1:10">
      <c r="A156" t="s">
        <v>12</v>
      </c>
      <c r="B156">
        <v>158</v>
      </c>
      <c r="C156" t="s">
        <v>17</v>
      </c>
      <c r="D156">
        <v>-5.1868556202482399</v>
      </c>
      <c r="E156">
        <v>-8.5791689760356498</v>
      </c>
      <c r="F156">
        <v>35.435841423423902</v>
      </c>
      <c r="G156">
        <v>13.1784146216254</v>
      </c>
      <c r="H156">
        <v>-7.1037172519368399</v>
      </c>
      <c r="I156">
        <v>0.49869284142287101</v>
      </c>
      <c r="J156">
        <v>158</v>
      </c>
    </row>
    <row r="157" spans="1:10">
      <c r="A157" t="s">
        <v>12</v>
      </c>
      <c r="B157">
        <v>158</v>
      </c>
      <c r="C157" t="s">
        <v>18</v>
      </c>
      <c r="D157">
        <v>0.92907642730643003</v>
      </c>
      <c r="E157">
        <v>5.4018847524160103</v>
      </c>
      <c r="F157">
        <v>14.492938316375</v>
      </c>
      <c r="G157">
        <v>-10.0303867312536</v>
      </c>
      <c r="H157">
        <v>2.8617279140143901</v>
      </c>
      <c r="I157">
        <v>-0.46432293508151101</v>
      </c>
      <c r="J157">
        <v>158</v>
      </c>
    </row>
    <row r="158" spans="1:10">
      <c r="A158" t="s">
        <v>12</v>
      </c>
      <c r="B158">
        <v>158</v>
      </c>
      <c r="C158" t="s">
        <v>19</v>
      </c>
      <c r="D158">
        <v>-5.5483055364784404</v>
      </c>
      <c r="E158">
        <v>-2.0928702346344199</v>
      </c>
      <c r="F158">
        <v>26.109070270921698</v>
      </c>
      <c r="G158">
        <v>2.4998071907328998</v>
      </c>
      <c r="H158">
        <v>-8.0823437448556597</v>
      </c>
      <c r="I158">
        <v>0.11859882194916201</v>
      </c>
      <c r="J158">
        <v>158</v>
      </c>
    </row>
    <row r="159" spans="1:10">
      <c r="A159" t="s">
        <v>12</v>
      </c>
      <c r="B159">
        <v>158</v>
      </c>
      <c r="C159" t="s">
        <v>20</v>
      </c>
      <c r="D159">
        <v>1.72278672544641</v>
      </c>
      <c r="E159">
        <v>-0.74900254322349402</v>
      </c>
      <c r="F159">
        <v>19.686503970670699</v>
      </c>
      <c r="G159">
        <v>0.30464118184782302</v>
      </c>
      <c r="H159">
        <v>4.2712766701724796</v>
      </c>
      <c r="I159">
        <v>-8.8599333661149193E-2</v>
      </c>
      <c r="J159">
        <v>158</v>
      </c>
    </row>
    <row r="160" spans="1:10">
      <c r="A160" t="s">
        <v>12</v>
      </c>
      <c r="B160">
        <v>158</v>
      </c>
      <c r="C160" t="s">
        <v>21</v>
      </c>
      <c r="D160">
        <v>-5.3104994319352796</v>
      </c>
      <c r="E160">
        <v>-9.1881884602909896</v>
      </c>
      <c r="F160">
        <v>34.532733291378896</v>
      </c>
      <c r="G160">
        <v>14.2960027156676</v>
      </c>
      <c r="H160">
        <v>-7.4418919628700504</v>
      </c>
      <c r="I160">
        <v>0.55000850886866304</v>
      </c>
      <c r="J160">
        <v>158</v>
      </c>
    </row>
    <row r="161" spans="1:10">
      <c r="A161" t="s">
        <v>12</v>
      </c>
      <c r="B161">
        <v>158</v>
      </c>
      <c r="C161" t="s">
        <v>22</v>
      </c>
      <c r="D161">
        <v>1.4849806209032499</v>
      </c>
      <c r="E161">
        <v>6.3463156824330804</v>
      </c>
      <c r="F161">
        <v>11.262840950213601</v>
      </c>
      <c r="G161">
        <v>-11.4915543430869</v>
      </c>
      <c r="H161">
        <v>3.6308248881868699</v>
      </c>
      <c r="I161">
        <v>-0.52000902058065002</v>
      </c>
      <c r="J161">
        <v>158</v>
      </c>
    </row>
    <row r="162" spans="1:10">
      <c r="A162" t="s">
        <v>12</v>
      </c>
      <c r="B162">
        <v>178</v>
      </c>
      <c r="C162" t="s">
        <v>13</v>
      </c>
      <c r="D162">
        <v>2.0100015464949501</v>
      </c>
      <c r="E162">
        <v>-1.54305931326878</v>
      </c>
      <c r="F162">
        <v>22.984349974024202</v>
      </c>
      <c r="G162">
        <v>1.5736423554104799</v>
      </c>
      <c r="H162">
        <v>2.0527268965922398</v>
      </c>
      <c r="I162">
        <v>1.49997441440065E-2</v>
      </c>
      <c r="J162">
        <v>178</v>
      </c>
    </row>
    <row r="163" spans="1:10">
      <c r="A163" t="s">
        <v>12</v>
      </c>
      <c r="B163">
        <v>178</v>
      </c>
      <c r="C163" t="s">
        <v>14</v>
      </c>
      <c r="D163">
        <v>2.2626161179777098</v>
      </c>
      <c r="E163">
        <v>-1.7461186221976801</v>
      </c>
      <c r="F163">
        <v>25.291109610271601</v>
      </c>
      <c r="G163">
        <v>1.7891913210085399</v>
      </c>
      <c r="H163">
        <v>2.31054414933809</v>
      </c>
      <c r="I163">
        <v>1.7427754173643801E-2</v>
      </c>
      <c r="J163">
        <v>178</v>
      </c>
    </row>
    <row r="164" spans="1:10">
      <c r="A164" t="s">
        <v>12</v>
      </c>
      <c r="B164">
        <v>178</v>
      </c>
      <c r="C164" t="s">
        <v>15</v>
      </c>
      <c r="D164">
        <v>-0.93766554074803199</v>
      </c>
      <c r="E164">
        <v>-2.6894723306442798</v>
      </c>
      <c r="F164">
        <v>23.938054815042399</v>
      </c>
      <c r="G164">
        <v>3.4171803626314001</v>
      </c>
      <c r="H164">
        <v>-3.1765178931942901</v>
      </c>
      <c r="I164">
        <v>0.11042412319532</v>
      </c>
      <c r="J164">
        <v>178</v>
      </c>
    </row>
    <row r="165" spans="1:10">
      <c r="A165" t="s">
        <v>12</v>
      </c>
      <c r="B165">
        <v>178</v>
      </c>
      <c r="C165" t="s">
        <v>16</v>
      </c>
      <c r="D165">
        <v>5.4123748624068897</v>
      </c>
      <c r="E165">
        <v>-0.76215305196529204</v>
      </c>
      <c r="F165">
        <v>26.182812478251201</v>
      </c>
      <c r="G165">
        <v>0.118092486266067</v>
      </c>
      <c r="H165">
        <v>7.7460427413212898</v>
      </c>
      <c r="I165">
        <v>-7.6054216853960105E-2</v>
      </c>
      <c r="J165">
        <v>178</v>
      </c>
    </row>
    <row r="166" spans="1:10">
      <c r="A166" t="s">
        <v>12</v>
      </c>
      <c r="B166">
        <v>178</v>
      </c>
      <c r="C166" t="s">
        <v>17</v>
      </c>
      <c r="D166">
        <v>-9.1681435995878399E-2</v>
      </c>
      <c r="E166">
        <v>-10.8899700501017</v>
      </c>
      <c r="F166">
        <v>33.541829599257703</v>
      </c>
      <c r="G166">
        <v>17.1122913875267</v>
      </c>
      <c r="H166">
        <v>-1.9624336957241399</v>
      </c>
      <c r="I166">
        <v>0.49869284142287101</v>
      </c>
      <c r="J166">
        <v>178</v>
      </c>
    </row>
    <row r="167" spans="1:10">
      <c r="A167" t="s">
        <v>12</v>
      </c>
      <c r="B167">
        <v>178</v>
      </c>
      <c r="C167" t="s">
        <v>18</v>
      </c>
      <c r="D167">
        <v>4.56639075765474</v>
      </c>
      <c r="E167">
        <v>7.4383446674920997</v>
      </c>
      <c r="F167">
        <v>16.5790376940359</v>
      </c>
      <c r="G167">
        <v>-13.5770185386293</v>
      </c>
      <c r="H167">
        <v>6.5319585438511503</v>
      </c>
      <c r="I167">
        <v>-0.46432293508151101</v>
      </c>
      <c r="J167">
        <v>178</v>
      </c>
    </row>
    <row r="168" spans="1:10">
      <c r="A168" t="s">
        <v>12</v>
      </c>
      <c r="B168">
        <v>178</v>
      </c>
      <c r="C168" t="s">
        <v>19</v>
      </c>
      <c r="D168">
        <v>-1.5177986774800101</v>
      </c>
      <c r="E168">
        <v>-2.6137922458682201</v>
      </c>
      <c r="F168">
        <v>21.7372623833527</v>
      </c>
      <c r="G168">
        <v>3.40646895339122</v>
      </c>
      <c r="H168">
        <v>-4.0153623448053102</v>
      </c>
      <c r="I168">
        <v>0.11859882194916201</v>
      </c>
      <c r="J168">
        <v>178</v>
      </c>
    </row>
    <row r="169" spans="1:10">
      <c r="A169" t="s">
        <v>12</v>
      </c>
      <c r="B169">
        <v>178</v>
      </c>
      <c r="C169" t="s">
        <v>20</v>
      </c>
      <c r="D169">
        <v>5.5378017704699101</v>
      </c>
      <c r="E169">
        <v>-0.47232638066933702</v>
      </c>
      <c r="F169">
        <v>24.231437564695799</v>
      </c>
      <c r="G169">
        <v>-0.25918424257026301</v>
      </c>
      <c r="H169">
        <v>8.1208161379897899</v>
      </c>
      <c r="I169">
        <v>-8.8599333661149193E-2</v>
      </c>
      <c r="J169">
        <v>178</v>
      </c>
    </row>
    <row r="170" spans="1:10">
      <c r="A170" t="s">
        <v>12</v>
      </c>
      <c r="B170">
        <v>178</v>
      </c>
      <c r="C170" t="s">
        <v>21</v>
      </c>
      <c r="D170">
        <v>-0.57781633886650596</v>
      </c>
      <c r="E170">
        <v>-11.7254563785987</v>
      </c>
      <c r="F170">
        <v>32.408123254703</v>
      </c>
      <c r="G170">
        <v>18.6232589810527</v>
      </c>
      <c r="H170">
        <v>-2.6663799031718098</v>
      </c>
      <c r="I170">
        <v>0.55000850886866304</v>
      </c>
      <c r="J170">
        <v>178</v>
      </c>
    </row>
    <row r="171" spans="1:10">
      <c r="A171" t="s">
        <v>12</v>
      </c>
      <c r="B171">
        <v>178</v>
      </c>
      <c r="C171" t="s">
        <v>22</v>
      </c>
      <c r="D171">
        <v>4.5978194318563999</v>
      </c>
      <c r="E171">
        <v>8.6393377520611008</v>
      </c>
      <c r="F171">
        <v>13.5605766933454</v>
      </c>
      <c r="G171">
        <v>-15.475974270231699</v>
      </c>
      <c r="H171">
        <v>6.77183369635629</v>
      </c>
      <c r="I171">
        <v>-0.52000902058065002</v>
      </c>
      <c r="J171">
        <v>178</v>
      </c>
    </row>
    <row r="172" spans="1:10">
      <c r="A172" t="s">
        <v>12</v>
      </c>
      <c r="B172">
        <v>282</v>
      </c>
      <c r="C172" t="s">
        <v>13</v>
      </c>
      <c r="D172">
        <v>1.05486377078188</v>
      </c>
      <c r="E172">
        <v>-1.26421351900538</v>
      </c>
      <c r="F172">
        <v>18.8857722473115</v>
      </c>
      <c r="G172">
        <v>1.22285146340204</v>
      </c>
      <c r="H172">
        <v>1.0889454903807601</v>
      </c>
      <c r="I172">
        <v>1.49997441440065E-2</v>
      </c>
      <c r="J172">
        <v>282</v>
      </c>
    </row>
    <row r="173" spans="1:10">
      <c r="A173" t="s">
        <v>12</v>
      </c>
      <c r="B173">
        <v>282</v>
      </c>
      <c r="C173" t="s">
        <v>14</v>
      </c>
      <c r="D173">
        <v>1.1852251888811101</v>
      </c>
      <c r="E173">
        <v>-1.4275602545713</v>
      </c>
      <c r="F173">
        <v>20.671920724040302</v>
      </c>
      <c r="G173">
        <v>1.38709118286452</v>
      </c>
      <c r="H173">
        <v>1.22340324559883</v>
      </c>
      <c r="I173">
        <v>1.7427754173643801E-2</v>
      </c>
      <c r="J173">
        <v>282</v>
      </c>
    </row>
    <row r="174" spans="1:10">
      <c r="A174" t="s">
        <v>12</v>
      </c>
      <c r="B174">
        <v>282</v>
      </c>
      <c r="C174" t="s">
        <v>15</v>
      </c>
      <c r="D174">
        <v>-2.1703865571834098</v>
      </c>
      <c r="E174">
        <v>-1.74313767456424</v>
      </c>
      <c r="F174">
        <v>17.871941251858299</v>
      </c>
      <c r="G174">
        <v>1.9512180328969799</v>
      </c>
      <c r="H174">
        <v>-4.4203945619812197</v>
      </c>
      <c r="I174">
        <v>0.11042412319532</v>
      </c>
      <c r="J174">
        <v>282</v>
      </c>
    </row>
    <row r="175" spans="1:10">
      <c r="A175" t="s">
        <v>12</v>
      </c>
      <c r="B175">
        <v>282</v>
      </c>
      <c r="C175" t="s">
        <v>16</v>
      </c>
      <c r="D175">
        <v>4.5147646513257804</v>
      </c>
      <c r="E175">
        <v>-1.07931348746518</v>
      </c>
      <c r="F175">
        <v>23.1146705008765</v>
      </c>
      <c r="G175">
        <v>0.79011638893956704</v>
      </c>
      <c r="H175">
        <v>6.8403095021352698</v>
      </c>
      <c r="I175">
        <v>-7.6054216853960105E-2</v>
      </c>
      <c r="J175">
        <v>282</v>
      </c>
    </row>
    <row r="176" spans="1:10">
      <c r="A176" t="s">
        <v>12</v>
      </c>
      <c r="B176">
        <v>282</v>
      </c>
      <c r="C176" t="s">
        <v>17</v>
      </c>
      <c r="D176">
        <v>-1.46751666306483</v>
      </c>
      <c r="E176">
        <v>-7.3027262432664299</v>
      </c>
      <c r="F176">
        <v>24.9502142650495</v>
      </c>
      <c r="G176">
        <v>11.184539696580901</v>
      </c>
      <c r="H176">
        <v>-3.35071970385513</v>
      </c>
      <c r="I176">
        <v>0.49869284142287101</v>
      </c>
      <c r="J176">
        <v>282</v>
      </c>
    </row>
    <row r="177" spans="1:10">
      <c r="A177" t="s">
        <v>12</v>
      </c>
      <c r="B177">
        <v>282</v>
      </c>
      <c r="C177" t="s">
        <v>18</v>
      </c>
      <c r="D177">
        <v>3.8118947572072099</v>
      </c>
      <c r="E177">
        <v>4.4802750812370098</v>
      </c>
      <c r="F177">
        <v>16.036397487685299</v>
      </c>
      <c r="G177">
        <v>-8.4432052747443205</v>
      </c>
      <c r="H177">
        <v>5.7706346440091796</v>
      </c>
      <c r="I177">
        <v>-0.46432293508151101</v>
      </c>
      <c r="J177">
        <v>282</v>
      </c>
    </row>
    <row r="178" spans="1:10">
      <c r="A178" t="s">
        <v>12</v>
      </c>
      <c r="B178">
        <v>282</v>
      </c>
      <c r="C178" t="s">
        <v>19</v>
      </c>
      <c r="D178">
        <v>-2.65910912283434</v>
      </c>
      <c r="E178">
        <v>-1.6330047340604099</v>
      </c>
      <c r="F178">
        <v>15.973144886745899</v>
      </c>
      <c r="G178">
        <v>1.86790793226727</v>
      </c>
      <c r="H178">
        <v>-5.1670012119061797</v>
      </c>
      <c r="I178">
        <v>0.11859882194916201</v>
      </c>
      <c r="J178">
        <v>282</v>
      </c>
    </row>
    <row r="179" spans="1:10">
      <c r="A179" t="s">
        <v>12</v>
      </c>
      <c r="B179">
        <v>282</v>
      </c>
      <c r="C179" t="s">
        <v>20</v>
      </c>
      <c r="D179">
        <v>4.7688366643980897</v>
      </c>
      <c r="E179">
        <v>-0.89542230395034905</v>
      </c>
      <c r="F179">
        <v>21.798399607877201</v>
      </c>
      <c r="G179">
        <v>0.57779499453680705</v>
      </c>
      <c r="H179">
        <v>7.3448921926676896</v>
      </c>
      <c r="I179">
        <v>-8.8599333661149193E-2</v>
      </c>
      <c r="J179">
        <v>282</v>
      </c>
    </row>
    <row r="180" spans="1:10">
      <c r="A180" t="s">
        <v>12</v>
      </c>
      <c r="B180">
        <v>282</v>
      </c>
      <c r="C180" t="s">
        <v>21</v>
      </c>
      <c r="D180">
        <v>-1.8781425738137001</v>
      </c>
      <c r="E180">
        <v>-7.8103253659517398</v>
      </c>
      <c r="F180">
        <v>23.837892679180499</v>
      </c>
      <c r="G180">
        <v>12.1271542252494</v>
      </c>
      <c r="H180">
        <v>-3.9784735917660798</v>
      </c>
      <c r="I180">
        <v>0.55000850886866304</v>
      </c>
      <c r="J180">
        <v>282</v>
      </c>
    </row>
    <row r="181" spans="1:10">
      <c r="A181" t="s">
        <v>12</v>
      </c>
      <c r="B181">
        <v>282</v>
      </c>
      <c r="C181" t="s">
        <v>22</v>
      </c>
      <c r="D181">
        <v>3.9878701153774498</v>
      </c>
      <c r="E181">
        <v>5.2818983279409704</v>
      </c>
      <c r="F181">
        <v>13.9336518154426</v>
      </c>
      <c r="G181">
        <v>-9.6814512984452907</v>
      </c>
      <c r="H181">
        <v>6.1563645725275897</v>
      </c>
      <c r="I181">
        <v>-0.52000902058065002</v>
      </c>
      <c r="J181">
        <v>282</v>
      </c>
    </row>
    <row r="182" spans="1:10">
      <c r="A182" t="s">
        <v>12</v>
      </c>
      <c r="B182">
        <v>283</v>
      </c>
      <c r="C182" t="s">
        <v>13</v>
      </c>
      <c r="D182">
        <v>-0.95716001203177403</v>
      </c>
      <c r="E182">
        <v>-1.3676567099846799</v>
      </c>
      <c r="F182">
        <v>19.869009620381199</v>
      </c>
      <c r="G182">
        <v>1.2897961633647399</v>
      </c>
      <c r="H182">
        <v>-0.94128633589517696</v>
      </c>
      <c r="I182">
        <v>1.49997441440065E-2</v>
      </c>
      <c r="J182">
        <v>283</v>
      </c>
    </row>
    <row r="183" spans="1:10">
      <c r="A183" t="s">
        <v>12</v>
      </c>
      <c r="B183">
        <v>283</v>
      </c>
      <c r="C183" t="s">
        <v>14</v>
      </c>
      <c r="D183">
        <v>-1.07615109078594</v>
      </c>
      <c r="E183">
        <v>-1.53984193731293</v>
      </c>
      <c r="F183">
        <v>21.762566402686598</v>
      </c>
      <c r="G183">
        <v>1.4568948152639101</v>
      </c>
      <c r="H183">
        <v>-1.0584376219803899</v>
      </c>
      <c r="I183">
        <v>1.7427754173643801E-2</v>
      </c>
      <c r="J183">
        <v>283</v>
      </c>
    </row>
    <row r="184" spans="1:10">
      <c r="A184" t="s">
        <v>12</v>
      </c>
      <c r="B184">
        <v>283</v>
      </c>
      <c r="C184" t="s">
        <v>15</v>
      </c>
      <c r="D184">
        <v>-4.4165513894858499</v>
      </c>
      <c r="E184">
        <v>-1.5750132917758799</v>
      </c>
      <c r="F184">
        <v>24.581642489692001</v>
      </c>
      <c r="G184">
        <v>1.5059885395428001</v>
      </c>
      <c r="H184">
        <v>-6.68688632443199</v>
      </c>
      <c r="I184">
        <v>0.11042412319532</v>
      </c>
      <c r="J184">
        <v>283</v>
      </c>
    </row>
    <row r="185" spans="1:10">
      <c r="A185" t="s">
        <v>12</v>
      </c>
      <c r="B185">
        <v>283</v>
      </c>
      <c r="C185" t="s">
        <v>16</v>
      </c>
      <c r="D185">
        <v>2.2880474236647999</v>
      </c>
      <c r="E185">
        <v>-1.47023353738433</v>
      </c>
      <c r="F185">
        <v>18.564778959220199</v>
      </c>
      <c r="G185">
        <v>1.37438136060519</v>
      </c>
      <c r="H185">
        <v>4.5934413376882599</v>
      </c>
      <c r="I185">
        <v>-7.6054216853960105E-2</v>
      </c>
      <c r="J185">
        <v>283</v>
      </c>
    </row>
    <row r="186" spans="1:10">
      <c r="A186" t="s">
        <v>12</v>
      </c>
      <c r="B186">
        <v>283</v>
      </c>
      <c r="C186" t="s">
        <v>17</v>
      </c>
      <c r="D186">
        <v>-4.0364572711970403</v>
      </c>
      <c r="E186">
        <v>-5.6557410926413798</v>
      </c>
      <c r="F186">
        <v>29.2216392595973</v>
      </c>
      <c r="G186">
        <v>8.2780705243081005</v>
      </c>
      <c r="H186">
        <v>-5.9429082390965799</v>
      </c>
      <c r="I186">
        <v>0.49869284142287101</v>
      </c>
      <c r="J186">
        <v>283</v>
      </c>
    </row>
    <row r="187" spans="1:10">
      <c r="A187" t="s">
        <v>12</v>
      </c>
      <c r="B187">
        <v>283</v>
      </c>
      <c r="C187" t="s">
        <v>18</v>
      </c>
      <c r="D187">
        <v>1.9079533053760001</v>
      </c>
      <c r="E187">
        <v>2.6104942634811699</v>
      </c>
      <c r="F187">
        <v>13.924782189314801</v>
      </c>
      <c r="G187">
        <v>-5.3977006241601098</v>
      </c>
      <c r="H187">
        <v>3.84946325235284</v>
      </c>
      <c r="I187">
        <v>-0.46432293508151101</v>
      </c>
      <c r="J187">
        <v>283</v>
      </c>
    </row>
    <row r="188" spans="1:10">
      <c r="A188" t="s">
        <v>12</v>
      </c>
      <c r="B188">
        <v>283</v>
      </c>
      <c r="C188" t="s">
        <v>19</v>
      </c>
      <c r="D188">
        <v>-4.6819371304487998</v>
      </c>
      <c r="E188">
        <v>-1.42586768464665</v>
      </c>
      <c r="F188">
        <v>23.2117115817544</v>
      </c>
      <c r="G188">
        <v>1.3629112627745199</v>
      </c>
      <c r="H188">
        <v>-7.2081350370730899</v>
      </c>
      <c r="I188">
        <v>0.11859882194916201</v>
      </c>
      <c r="J188">
        <v>283</v>
      </c>
    </row>
    <row r="189" spans="1:10">
      <c r="A189" t="s">
        <v>12</v>
      </c>
      <c r="B189">
        <v>283</v>
      </c>
      <c r="C189" t="s">
        <v>20</v>
      </c>
      <c r="D189">
        <v>2.7676171063852602</v>
      </c>
      <c r="E189">
        <v>-1.30944573532271</v>
      </c>
      <c r="F189">
        <v>16.526307659008001</v>
      </c>
      <c r="G189">
        <v>1.2166810639549499</v>
      </c>
      <c r="H189">
        <v>5.3255623652827397</v>
      </c>
      <c r="I189">
        <v>-8.8599333661149193E-2</v>
      </c>
      <c r="J189">
        <v>283</v>
      </c>
    </row>
    <row r="190" spans="1:10">
      <c r="A190" t="s">
        <v>12</v>
      </c>
      <c r="B190">
        <v>283</v>
      </c>
      <c r="C190" t="s">
        <v>21</v>
      </c>
      <c r="D190">
        <v>-4.25961033235013</v>
      </c>
      <c r="E190">
        <v>-5.9600096856083198</v>
      </c>
      <c r="F190">
        <v>28.367263548315901</v>
      </c>
      <c r="G190">
        <v>8.8874468014026302</v>
      </c>
      <c r="H190">
        <v>-6.3814927200337399</v>
      </c>
      <c r="I190">
        <v>0.55000850886866304</v>
      </c>
      <c r="J190">
        <v>283</v>
      </c>
    </row>
    <row r="191" spans="1:10">
      <c r="A191" t="s">
        <v>12</v>
      </c>
      <c r="B191">
        <v>283</v>
      </c>
      <c r="C191" t="s">
        <v>22</v>
      </c>
      <c r="D191">
        <v>2.3452903082865801</v>
      </c>
      <c r="E191">
        <v>3.2246962656389599</v>
      </c>
      <c r="F191">
        <v>11.370755692446499</v>
      </c>
      <c r="G191">
        <v>-6.3078544746731602</v>
      </c>
      <c r="H191">
        <v>4.4989200482433898</v>
      </c>
      <c r="I191">
        <v>-0.52000902058065002</v>
      </c>
      <c r="J191">
        <v>283</v>
      </c>
    </row>
    <row r="192" spans="1:10">
      <c r="A192" t="s">
        <v>12</v>
      </c>
      <c r="B192">
        <v>284</v>
      </c>
      <c r="C192" t="s">
        <v>13</v>
      </c>
      <c r="D192">
        <v>-1.7739680032004701</v>
      </c>
      <c r="E192">
        <v>-6.1164630160482097E-2</v>
      </c>
      <c r="F192">
        <v>25.9165452208752</v>
      </c>
      <c r="G192">
        <v>-0.14515312834109501</v>
      </c>
      <c r="H192">
        <v>-1.69075658302913</v>
      </c>
      <c r="I192">
        <v>1.49997441440065E-2</v>
      </c>
      <c r="J192">
        <v>284</v>
      </c>
    </row>
    <row r="193" spans="1:10">
      <c r="A193" t="s">
        <v>12</v>
      </c>
      <c r="B193">
        <v>284</v>
      </c>
      <c r="C193" t="s">
        <v>14</v>
      </c>
      <c r="D193">
        <v>-1.99388894871939</v>
      </c>
      <c r="E193">
        <v>-7.0760438007153204E-2</v>
      </c>
      <c r="F193">
        <v>28.684808489268999</v>
      </c>
      <c r="G193">
        <v>-0.160994818097251</v>
      </c>
      <c r="H193">
        <v>-1.8976546341268601</v>
      </c>
      <c r="I193">
        <v>1.7427754173643801E-2</v>
      </c>
      <c r="J193">
        <v>284</v>
      </c>
    </row>
    <row r="194" spans="1:10">
      <c r="A194" t="s">
        <v>12</v>
      </c>
      <c r="B194">
        <v>284</v>
      </c>
      <c r="C194" t="s">
        <v>15</v>
      </c>
      <c r="D194">
        <v>-4.4104599160724698</v>
      </c>
      <c r="E194">
        <v>1.173635290714</v>
      </c>
      <c r="F194">
        <v>31.314956955708301</v>
      </c>
      <c r="G194">
        <v>-2.1261624196398898</v>
      </c>
      <c r="H194">
        <v>-6.1306007239385103</v>
      </c>
      <c r="I194">
        <v>0.11042412319532</v>
      </c>
      <c r="J194">
        <v>284</v>
      </c>
    </row>
    <row r="195" spans="1:10">
      <c r="A195" t="s">
        <v>12</v>
      </c>
      <c r="B195">
        <v>284</v>
      </c>
      <c r="C195" t="s">
        <v>16</v>
      </c>
      <c r="D195">
        <v>0.46666620773747303</v>
      </c>
      <c r="E195">
        <v>-1.3132370051589699</v>
      </c>
      <c r="F195">
        <v>25.501007369150901</v>
      </c>
      <c r="G195">
        <v>1.80734112139662</v>
      </c>
      <c r="H195">
        <v>2.37667106590433</v>
      </c>
      <c r="I195">
        <v>-7.6054216853960105E-2</v>
      </c>
      <c r="J195">
        <v>284</v>
      </c>
    </row>
    <row r="196" spans="1:10">
      <c r="A196" t="s">
        <v>12</v>
      </c>
      <c r="B196">
        <v>284</v>
      </c>
      <c r="C196" t="s">
        <v>17</v>
      </c>
      <c r="D196">
        <v>-1.24943210934279</v>
      </c>
      <c r="E196">
        <v>1.82646498327965</v>
      </c>
      <c r="F196">
        <v>29.8929326967171</v>
      </c>
      <c r="G196">
        <v>-3.1495475068386498</v>
      </c>
      <c r="H196">
        <v>-0.64614664613045403</v>
      </c>
      <c r="I196">
        <v>0.49869284142287101</v>
      </c>
      <c r="J196">
        <v>284</v>
      </c>
    </row>
    <row r="197" spans="1:10">
      <c r="A197" t="s">
        <v>12</v>
      </c>
      <c r="B197">
        <v>284</v>
      </c>
      <c r="C197" t="s">
        <v>18</v>
      </c>
      <c r="D197">
        <v>-2.6943615989922001</v>
      </c>
      <c r="E197">
        <v>-1.9660666977246299</v>
      </c>
      <c r="F197">
        <v>26.923031628142098</v>
      </c>
      <c r="G197">
        <v>2.8307262085953702</v>
      </c>
      <c r="H197">
        <v>-3.10778301190373</v>
      </c>
      <c r="I197">
        <v>-0.46432293508151101</v>
      </c>
      <c r="J197">
        <v>284</v>
      </c>
    </row>
    <row r="198" spans="1:10">
      <c r="A198" t="s">
        <v>12</v>
      </c>
      <c r="B198">
        <v>284</v>
      </c>
      <c r="C198" t="s">
        <v>19</v>
      </c>
      <c r="D198">
        <v>-4.4834825164282197</v>
      </c>
      <c r="E198">
        <v>1.32043108976894</v>
      </c>
      <c r="F198">
        <v>29.146517213407101</v>
      </c>
      <c r="G198">
        <v>-2.3304328733613802</v>
      </c>
      <c r="H198">
        <v>-6.4170186884973699</v>
      </c>
      <c r="I198">
        <v>0.11859882194916201</v>
      </c>
      <c r="J198">
        <v>284</v>
      </c>
    </row>
    <row r="199" spans="1:10">
      <c r="A199" t="s">
        <v>12</v>
      </c>
      <c r="B199">
        <v>284</v>
      </c>
      <c r="C199" t="s">
        <v>20</v>
      </c>
      <c r="D199">
        <v>0.93554651002727096</v>
      </c>
      <c r="E199">
        <v>-1.44276035008991</v>
      </c>
      <c r="F199">
        <v>22.686573228343299</v>
      </c>
      <c r="G199">
        <v>2.0401266166791898</v>
      </c>
      <c r="H199">
        <v>3.0355055224391099</v>
      </c>
      <c r="I199">
        <v>-8.8599333661149193E-2</v>
      </c>
      <c r="J199">
        <v>284</v>
      </c>
    </row>
    <row r="200" spans="1:10">
      <c r="A200" t="s">
        <v>12</v>
      </c>
      <c r="B200">
        <v>284</v>
      </c>
      <c r="C200" t="s">
        <v>21</v>
      </c>
      <c r="D200">
        <v>-0.97122939783969298</v>
      </c>
      <c r="E200">
        <v>2.04579741484189</v>
      </c>
      <c r="F200">
        <v>27.566490258972401</v>
      </c>
      <c r="G200">
        <v>-3.4675274146933299</v>
      </c>
      <c r="H200">
        <v>-0.32318082426620298</v>
      </c>
      <c r="I200">
        <v>0.55000850886866304</v>
      </c>
      <c r="J200">
        <v>284</v>
      </c>
    </row>
    <row r="201" spans="1:10">
      <c r="A201" t="s">
        <v>12</v>
      </c>
      <c r="B201">
        <v>284</v>
      </c>
      <c r="C201" t="s">
        <v>22</v>
      </c>
      <c r="D201">
        <v>-2.57670660856125</v>
      </c>
      <c r="E201">
        <v>-2.1681266751628598</v>
      </c>
      <c r="F201">
        <v>24.266600182777999</v>
      </c>
      <c r="G201">
        <v>3.17722115801114</v>
      </c>
      <c r="H201">
        <v>-3.05833234179206</v>
      </c>
      <c r="I201">
        <v>-0.52000902058065002</v>
      </c>
      <c r="J201">
        <v>284</v>
      </c>
    </row>
    <row r="202" spans="1:10">
      <c r="A202" t="s">
        <v>12</v>
      </c>
      <c r="B202">
        <v>285</v>
      </c>
      <c r="C202" t="s">
        <v>13</v>
      </c>
      <c r="D202">
        <v>-1.33507109353987</v>
      </c>
      <c r="E202">
        <v>0.16580237195504499</v>
      </c>
      <c r="F202">
        <v>10.38559082936</v>
      </c>
      <c r="G202">
        <v>-0.37417409476575397</v>
      </c>
      <c r="H202">
        <v>-1.2670241749629101</v>
      </c>
      <c r="I202">
        <v>1.49997441440065E-2</v>
      </c>
      <c r="J202">
        <v>285</v>
      </c>
    </row>
    <row r="203" spans="1:10">
      <c r="A203" t="s">
        <v>12</v>
      </c>
      <c r="B203">
        <v>285</v>
      </c>
      <c r="C203" t="s">
        <v>14</v>
      </c>
      <c r="D203">
        <v>-1.48476805531718</v>
      </c>
      <c r="E203">
        <v>0.186236512192749</v>
      </c>
      <c r="F203">
        <v>11.09481227323</v>
      </c>
      <c r="G203">
        <v>-0.42031749211755998</v>
      </c>
      <c r="H203">
        <v>-1.40616034506522</v>
      </c>
      <c r="I203">
        <v>1.7427754173643801E-2</v>
      </c>
      <c r="J203">
        <v>285</v>
      </c>
    </row>
    <row r="204" spans="1:10">
      <c r="A204" t="s">
        <v>12</v>
      </c>
      <c r="B204">
        <v>285</v>
      </c>
      <c r="C204" t="s">
        <v>15</v>
      </c>
      <c r="D204">
        <v>-3.9191134632673301</v>
      </c>
      <c r="E204">
        <v>1.26813607583915</v>
      </c>
      <c r="F204">
        <v>10.7561712245484</v>
      </c>
      <c r="G204">
        <v>-2.2215184006218101</v>
      </c>
      <c r="H204">
        <v>-5.7756844904992102</v>
      </c>
      <c r="I204">
        <v>0.11042412319532</v>
      </c>
      <c r="J204">
        <v>285</v>
      </c>
    </row>
    <row r="205" spans="1:10">
      <c r="A205" t="s">
        <v>12</v>
      </c>
      <c r="B205">
        <v>285</v>
      </c>
      <c r="C205" t="s">
        <v>16</v>
      </c>
      <c r="D205">
        <v>0.979516744988435</v>
      </c>
      <c r="E205">
        <v>-0.89974987950119001</v>
      </c>
      <c r="F205">
        <v>11.2916090331376</v>
      </c>
      <c r="G205">
        <v>1.3901120958570501</v>
      </c>
      <c r="H205">
        <v>2.9911910343892401</v>
      </c>
      <c r="I205">
        <v>-7.6054216853960105E-2</v>
      </c>
      <c r="J205">
        <v>285</v>
      </c>
    </row>
    <row r="206" spans="1:10">
      <c r="A206" t="s">
        <v>12</v>
      </c>
      <c r="B206">
        <v>285</v>
      </c>
      <c r="C206" t="s">
        <v>17</v>
      </c>
      <c r="D206">
        <v>-1.6813949271323101</v>
      </c>
      <c r="E206">
        <v>1.87081758108642</v>
      </c>
      <c r="F206">
        <v>8.3390089219421899</v>
      </c>
      <c r="G206">
        <v>-3.1943014786427901</v>
      </c>
      <c r="H206">
        <v>-1.71824013999944</v>
      </c>
      <c r="I206">
        <v>0.49869284142287101</v>
      </c>
      <c r="J206">
        <v>285</v>
      </c>
    </row>
    <row r="207" spans="1:10">
      <c r="A207" t="s">
        <v>12</v>
      </c>
      <c r="B207">
        <v>285</v>
      </c>
      <c r="C207" t="s">
        <v>18</v>
      </c>
      <c r="D207">
        <v>-1.2582017911465899</v>
      </c>
      <c r="E207">
        <v>-1.5024313847484601</v>
      </c>
      <c r="F207">
        <v>13.708771335743799</v>
      </c>
      <c r="G207">
        <v>2.3628951738780302</v>
      </c>
      <c r="H207">
        <v>-1.0662533161105401</v>
      </c>
      <c r="I207">
        <v>-0.46432293508151101</v>
      </c>
      <c r="J207">
        <v>285</v>
      </c>
    </row>
    <row r="208" spans="1:10">
      <c r="A208" t="s">
        <v>12</v>
      </c>
      <c r="B208">
        <v>285</v>
      </c>
      <c r="C208" t="s">
        <v>19</v>
      </c>
      <c r="D208">
        <v>-4.0565323203486301</v>
      </c>
      <c r="E208">
        <v>1.3701834582552299</v>
      </c>
      <c r="F208">
        <v>10.088125380143801</v>
      </c>
      <c r="G208">
        <v>-2.3806354816984499</v>
      </c>
      <c r="H208">
        <v>-6.1375105776787198</v>
      </c>
      <c r="I208">
        <v>0.11859882194916201</v>
      </c>
      <c r="J208">
        <v>285</v>
      </c>
    </row>
    <row r="209" spans="1:10">
      <c r="A209" t="s">
        <v>12</v>
      </c>
      <c r="B209">
        <v>285</v>
      </c>
      <c r="C209" t="s">
        <v>20</v>
      </c>
      <c r="D209">
        <v>1.3863901332688899</v>
      </c>
      <c r="E209">
        <v>-1.0385787143451399</v>
      </c>
      <c r="F209">
        <v>10.683056278576201</v>
      </c>
      <c r="G209">
        <v>1.63228729216694</v>
      </c>
      <c r="H209">
        <v>3.6034622277528898</v>
      </c>
      <c r="I209">
        <v>-8.8599333661149193E-2</v>
      </c>
      <c r="J209">
        <v>285</v>
      </c>
    </row>
    <row r="210" spans="1:10">
      <c r="A210" t="s">
        <v>12</v>
      </c>
      <c r="B210">
        <v>285</v>
      </c>
      <c r="C210" t="s">
        <v>21</v>
      </c>
      <c r="D210">
        <v>-1.57017839130972</v>
      </c>
      <c r="E210">
        <v>2.0398295751966402</v>
      </c>
      <c r="F210">
        <v>7.4023894883590797</v>
      </c>
      <c r="G210">
        <v>-3.4615055683884299</v>
      </c>
      <c r="H210">
        <v>-1.62923907712341</v>
      </c>
      <c r="I210">
        <v>0.55000850886866304</v>
      </c>
      <c r="J210">
        <v>285</v>
      </c>
    </row>
    <row r="211" spans="1:10">
      <c r="A211" t="s">
        <v>12</v>
      </c>
      <c r="B211">
        <v>285</v>
      </c>
      <c r="C211" t="s">
        <v>22</v>
      </c>
      <c r="D211">
        <v>-1.0999637957700299</v>
      </c>
      <c r="E211">
        <v>-1.70822483128655</v>
      </c>
      <c r="F211">
        <v>13.3687921703609</v>
      </c>
      <c r="G211">
        <v>2.7131573788569199</v>
      </c>
      <c r="H211">
        <v>-0.90480927280241197</v>
      </c>
      <c r="I211">
        <v>-0.52000902058065002</v>
      </c>
      <c r="J211">
        <v>285</v>
      </c>
    </row>
    <row r="212" spans="1:10">
      <c r="A212" t="s">
        <v>12</v>
      </c>
      <c r="B212">
        <v>286</v>
      </c>
      <c r="C212" t="s">
        <v>13</v>
      </c>
      <c r="D212">
        <v>-1.52083410242862</v>
      </c>
      <c r="E212">
        <v>0.75967965567920204</v>
      </c>
      <c r="F212">
        <v>24.4643917269727</v>
      </c>
      <c r="G212">
        <v>-0.97342574010813698</v>
      </c>
      <c r="H212">
        <v>-1.39845603089166</v>
      </c>
      <c r="I212">
        <v>1.49997441440065E-2</v>
      </c>
      <c r="J212">
        <v>286</v>
      </c>
    </row>
    <row r="213" spans="1:10">
      <c r="A213" t="s">
        <v>12</v>
      </c>
      <c r="B213">
        <v>286</v>
      </c>
      <c r="C213" t="s">
        <v>14</v>
      </c>
      <c r="D213">
        <v>-1.7208745480983501</v>
      </c>
      <c r="E213">
        <v>0.85541362574189805</v>
      </c>
      <c r="F213">
        <v>27.1114293655903</v>
      </c>
      <c r="G213">
        <v>-1.09555040186134</v>
      </c>
      <c r="H213">
        <v>-1.579324567916</v>
      </c>
      <c r="I213">
        <v>1.7427754173643801E-2</v>
      </c>
      <c r="J213">
        <v>286</v>
      </c>
    </row>
    <row r="214" spans="1:10">
      <c r="A214" t="s">
        <v>12</v>
      </c>
      <c r="B214">
        <v>286</v>
      </c>
      <c r="C214" t="s">
        <v>15</v>
      </c>
      <c r="D214">
        <v>-3.8968630247919802</v>
      </c>
      <c r="E214">
        <v>2.1177129442781899</v>
      </c>
      <c r="F214">
        <v>27.6832916944084</v>
      </c>
      <c r="G214">
        <v>-3.0787836138394802</v>
      </c>
      <c r="H214">
        <v>-5.3408855172035903</v>
      </c>
      <c r="I214">
        <v>0.11042412319532</v>
      </c>
      <c r="J214">
        <v>286</v>
      </c>
    </row>
    <row r="215" spans="1:10">
      <c r="A215" t="s">
        <v>12</v>
      </c>
      <c r="B215">
        <v>286</v>
      </c>
      <c r="C215" t="s">
        <v>16</v>
      </c>
      <c r="D215">
        <v>0.49512201772922598</v>
      </c>
      <c r="E215">
        <v>-0.42603248680693101</v>
      </c>
      <c r="F215">
        <v>26.010159509048599</v>
      </c>
      <c r="G215">
        <v>0.91210774246744297</v>
      </c>
      <c r="H215">
        <v>2.2184100887764502</v>
      </c>
      <c r="I215">
        <v>-7.6054216853960105E-2</v>
      </c>
      <c r="J215">
        <v>286</v>
      </c>
    </row>
    <row r="216" spans="1:10">
      <c r="A216" t="s">
        <v>12</v>
      </c>
      <c r="B216">
        <v>286</v>
      </c>
      <c r="C216" t="s">
        <v>17</v>
      </c>
      <c r="D216">
        <v>0.635210965472221</v>
      </c>
      <c r="E216">
        <v>2.7208446818927898</v>
      </c>
      <c r="F216">
        <v>23.010585540132201</v>
      </c>
      <c r="G216">
        <v>-4.05202099865802</v>
      </c>
      <c r="H216">
        <v>2.4815553508810999</v>
      </c>
      <c r="I216">
        <v>0.49869284142287101</v>
      </c>
      <c r="J216">
        <v>286</v>
      </c>
    </row>
    <row r="217" spans="1:10">
      <c r="A217" t="s">
        <v>12</v>
      </c>
      <c r="B217">
        <v>286</v>
      </c>
      <c r="C217" t="s">
        <v>18</v>
      </c>
      <c r="D217">
        <v>-4.0369519725349798</v>
      </c>
      <c r="E217">
        <v>-1.02916422442153</v>
      </c>
      <c r="F217">
        <v>30.682865663324801</v>
      </c>
      <c r="G217">
        <v>1.88534512728598</v>
      </c>
      <c r="H217">
        <v>-5.6040307793082302</v>
      </c>
      <c r="I217">
        <v>-0.46432293508151101</v>
      </c>
      <c r="J217">
        <v>286</v>
      </c>
    </row>
    <row r="218" spans="1:10">
      <c r="A218" t="s">
        <v>12</v>
      </c>
      <c r="B218">
        <v>286</v>
      </c>
      <c r="C218" t="s">
        <v>19</v>
      </c>
      <c r="D218">
        <v>-3.9608257927181798</v>
      </c>
      <c r="E218">
        <v>2.1728715618376002</v>
      </c>
      <c r="F218">
        <v>25.393909607728101</v>
      </c>
      <c r="G218">
        <v>-3.1905876047230999</v>
      </c>
      <c r="H218">
        <v>-5.5980647008805704</v>
      </c>
      <c r="I218">
        <v>0.11859882194916201</v>
      </c>
      <c r="J218">
        <v>286</v>
      </c>
    </row>
    <row r="219" spans="1:10">
      <c r="A219" t="s">
        <v>12</v>
      </c>
      <c r="B219">
        <v>286</v>
      </c>
      <c r="C219" t="s">
        <v>20</v>
      </c>
      <c r="D219">
        <v>0.91915758786093504</v>
      </c>
      <c r="E219">
        <v>-0.65351225047919703</v>
      </c>
      <c r="F219">
        <v>23.534873846217199</v>
      </c>
      <c r="G219">
        <v>1.2437361245068199</v>
      </c>
      <c r="H219">
        <v>2.8011526390972499</v>
      </c>
      <c r="I219">
        <v>-8.8599333661149193E-2</v>
      </c>
      <c r="J219">
        <v>286</v>
      </c>
    </row>
    <row r="220" spans="1:10">
      <c r="A220" t="s">
        <v>12</v>
      </c>
      <c r="B220">
        <v>286</v>
      </c>
      <c r="C220" t="s">
        <v>21</v>
      </c>
      <c r="D220">
        <v>1.0748119742420399</v>
      </c>
      <c r="E220">
        <v>2.8430179369649302</v>
      </c>
      <c r="F220">
        <v>20.2020138807545</v>
      </c>
      <c r="G220">
        <v>-4.2719624767436999</v>
      </c>
      <c r="H220">
        <v>3.09353626365797</v>
      </c>
      <c r="I220">
        <v>0.55000850886866304</v>
      </c>
      <c r="J220">
        <v>286</v>
      </c>
    </row>
    <row r="221" spans="1:10">
      <c r="A221" t="s">
        <v>12</v>
      </c>
      <c r="B221">
        <v>286</v>
      </c>
      <c r="C221" t="s">
        <v>22</v>
      </c>
      <c r="D221">
        <v>-4.1164801790992902</v>
      </c>
      <c r="E221">
        <v>-1.3236586256065299</v>
      </c>
      <c r="F221">
        <v>28.726769573190801</v>
      </c>
      <c r="G221">
        <v>2.3251109965274201</v>
      </c>
      <c r="H221">
        <v>-5.89044832544129</v>
      </c>
      <c r="I221">
        <v>-0.52000902058065002</v>
      </c>
      <c r="J221">
        <v>286</v>
      </c>
    </row>
    <row r="222" spans="1:10">
      <c r="A222" t="s">
        <v>12</v>
      </c>
      <c r="B222">
        <v>287</v>
      </c>
      <c r="C222" t="s">
        <v>13</v>
      </c>
      <c r="D222">
        <v>-1.27542055354703</v>
      </c>
      <c r="E222">
        <v>0.43944936337269003</v>
      </c>
      <c r="F222">
        <v>13.3956197258261</v>
      </c>
      <c r="G222">
        <v>-0.65029748649020302</v>
      </c>
      <c r="H222">
        <v>-1.12889160547639</v>
      </c>
      <c r="I222">
        <v>1.49997441440065E-2</v>
      </c>
      <c r="J222">
        <v>287</v>
      </c>
    </row>
    <row r="223" spans="1:10">
      <c r="A223" t="s">
        <v>12</v>
      </c>
      <c r="B223">
        <v>287</v>
      </c>
      <c r="C223" t="s">
        <v>14</v>
      </c>
      <c r="D223">
        <v>-1.4291315469932899</v>
      </c>
      <c r="E223">
        <v>0.49518477980350101</v>
      </c>
      <c r="F223">
        <v>14.501348651181999</v>
      </c>
      <c r="G223">
        <v>-0.73206162304379796</v>
      </c>
      <c r="H223">
        <v>-1.2594616188457199</v>
      </c>
      <c r="I223">
        <v>1.7427754173643801E-2</v>
      </c>
      <c r="J223">
        <v>287</v>
      </c>
    </row>
    <row r="224" spans="1:10">
      <c r="A224" t="s">
        <v>12</v>
      </c>
      <c r="B224">
        <v>287</v>
      </c>
      <c r="C224" t="s">
        <v>15</v>
      </c>
      <c r="D224">
        <v>-3.3344575476596598</v>
      </c>
      <c r="E224">
        <v>1.64471063692075</v>
      </c>
      <c r="F224">
        <v>17.366792492521</v>
      </c>
      <c r="G224">
        <v>-2.6015008170347</v>
      </c>
      <c r="H224">
        <v>-4.6119478259533198</v>
      </c>
      <c r="I224">
        <v>0.11042412319532</v>
      </c>
      <c r="J224">
        <v>287</v>
      </c>
    </row>
    <row r="225" spans="1:10">
      <c r="A225" t="s">
        <v>12</v>
      </c>
      <c r="B225">
        <v>287</v>
      </c>
      <c r="C225" t="s">
        <v>16</v>
      </c>
      <c r="D225">
        <v>0.50693665236232599</v>
      </c>
      <c r="E225">
        <v>-0.66548816059990601</v>
      </c>
      <c r="F225">
        <v>11.4147590247719</v>
      </c>
      <c r="G225">
        <v>1.15373039825783</v>
      </c>
      <c r="H225">
        <v>2.1191385909357399</v>
      </c>
      <c r="I225">
        <v>-7.6054216853960105E-2</v>
      </c>
      <c r="J225">
        <v>287</v>
      </c>
    </row>
    <row r="226" spans="1:10">
      <c r="A226" t="s">
        <v>12</v>
      </c>
      <c r="B226">
        <v>287</v>
      </c>
      <c r="C226" t="s">
        <v>17</v>
      </c>
      <c r="D226">
        <v>1.7504050707901799</v>
      </c>
      <c r="E226">
        <v>2.09907744862184</v>
      </c>
      <c r="F226">
        <v>15.1569848760246</v>
      </c>
      <c r="G226">
        <v>-3.4246270104234799</v>
      </c>
      <c r="H226">
        <v>4.3359421758780599</v>
      </c>
      <c r="I226">
        <v>0.49869284142287101</v>
      </c>
      <c r="J226">
        <v>287</v>
      </c>
    </row>
    <row r="227" spans="1:10">
      <c r="A227" t="s">
        <v>12</v>
      </c>
      <c r="B227">
        <v>287</v>
      </c>
      <c r="C227" t="s">
        <v>18</v>
      </c>
      <c r="D227">
        <v>-4.57792596608751</v>
      </c>
      <c r="E227">
        <v>-1.1198549723010001</v>
      </c>
      <c r="F227">
        <v>13.6245666412683</v>
      </c>
      <c r="G227">
        <v>1.9768565916466001</v>
      </c>
      <c r="H227">
        <v>-6.82875141089563</v>
      </c>
      <c r="I227">
        <v>-0.46432293508151101</v>
      </c>
      <c r="J227">
        <v>287</v>
      </c>
    </row>
    <row r="228" spans="1:10">
      <c r="A228" t="s">
        <v>12</v>
      </c>
      <c r="B228">
        <v>287</v>
      </c>
      <c r="C228" t="s">
        <v>19</v>
      </c>
      <c r="D228">
        <v>-3.4095284424481398</v>
      </c>
      <c r="E228">
        <v>1.72289313977305</v>
      </c>
      <c r="F228">
        <v>16.702304985686698</v>
      </c>
      <c r="G228">
        <v>-2.7365370505416098</v>
      </c>
      <c r="H228">
        <v>-4.8683840593036498</v>
      </c>
      <c r="I228">
        <v>0.11859882194916201</v>
      </c>
      <c r="J228">
        <v>287</v>
      </c>
    </row>
    <row r="229" spans="1:10">
      <c r="A229" t="s">
        <v>12</v>
      </c>
      <c r="B229">
        <v>287</v>
      </c>
      <c r="C229" t="s">
        <v>20</v>
      </c>
      <c r="D229">
        <v>0.85868733535406805</v>
      </c>
      <c r="E229">
        <v>-0.84399441302767197</v>
      </c>
      <c r="F229">
        <v>10.0889344659654</v>
      </c>
      <c r="G229">
        <v>1.4359420775612</v>
      </c>
      <c r="H229">
        <v>2.61060084835086</v>
      </c>
      <c r="I229">
        <v>-8.8599333661149193E-2</v>
      </c>
      <c r="J229">
        <v>287</v>
      </c>
    </row>
    <row r="230" spans="1:10">
      <c r="A230" t="s">
        <v>12</v>
      </c>
      <c r="B230">
        <v>287</v>
      </c>
      <c r="C230" t="s">
        <v>21</v>
      </c>
      <c r="D230">
        <v>2.2403189113850202</v>
      </c>
      <c r="E230">
        <v>2.2277451527742702</v>
      </c>
      <c r="F230">
        <v>14.246963189579599</v>
      </c>
      <c r="G230">
        <v>-3.65112170986247</v>
      </c>
      <c r="H230">
        <v>5.0737159427312104</v>
      </c>
      <c r="I230">
        <v>0.55000850886866304</v>
      </c>
      <c r="J230">
        <v>287</v>
      </c>
    </row>
    <row r="231" spans="1:10">
      <c r="A231" t="s">
        <v>12</v>
      </c>
      <c r="B231">
        <v>287</v>
      </c>
      <c r="C231" t="s">
        <v>22</v>
      </c>
      <c r="D231">
        <v>-4.7911600184790801</v>
      </c>
      <c r="E231">
        <v>-1.3488464260288899</v>
      </c>
      <c r="F231">
        <v>12.5442762620726</v>
      </c>
      <c r="G231">
        <v>2.3505267368820602</v>
      </c>
      <c r="H231">
        <v>-7.3314991536839997</v>
      </c>
      <c r="I231">
        <v>-0.52000902058065002</v>
      </c>
      <c r="J231">
        <v>287</v>
      </c>
    </row>
    <row r="232" spans="1:10">
      <c r="A232" t="s">
        <v>12</v>
      </c>
      <c r="B232">
        <v>288</v>
      </c>
      <c r="C232" t="s">
        <v>13</v>
      </c>
      <c r="D232">
        <v>-3.1764128354623701E-2</v>
      </c>
      <c r="E232">
        <v>1.0008493961623299</v>
      </c>
      <c r="F232">
        <v>33.287318759887697</v>
      </c>
      <c r="G232">
        <v>-1.1635593650766101</v>
      </c>
      <c r="H232">
        <v>0.12601943332221699</v>
      </c>
      <c r="I232">
        <v>1.49997441440065E-2</v>
      </c>
      <c r="J232">
        <v>288</v>
      </c>
    </row>
    <row r="233" spans="1:10">
      <c r="A233" t="s">
        <v>12</v>
      </c>
      <c r="B233">
        <v>288</v>
      </c>
      <c r="C233" t="s">
        <v>14</v>
      </c>
      <c r="D233">
        <v>-1.1889313690375301E-2</v>
      </c>
      <c r="E233">
        <v>1.1286330343625</v>
      </c>
      <c r="F233">
        <v>36.798728948870597</v>
      </c>
      <c r="G233">
        <v>-1.30940923077891</v>
      </c>
      <c r="H233">
        <v>0.17060611304274201</v>
      </c>
      <c r="I233">
        <v>1.7427754173643801E-2</v>
      </c>
      <c r="J233">
        <v>288</v>
      </c>
    </row>
    <row r="234" spans="1:10">
      <c r="A234" t="s">
        <v>12</v>
      </c>
      <c r="B234">
        <v>288</v>
      </c>
      <c r="C234" t="s">
        <v>15</v>
      </c>
      <c r="D234">
        <v>-2.2661215564231001</v>
      </c>
      <c r="E234">
        <v>1.7422137315339099</v>
      </c>
      <c r="F234">
        <v>37.0535558944907</v>
      </c>
      <c r="G234">
        <v>-2.3081050443513602</v>
      </c>
      <c r="H234">
        <v>-3.5339438037884499</v>
      </c>
      <c r="I234">
        <v>0.11042412319532</v>
      </c>
      <c r="J234">
        <v>288</v>
      </c>
    </row>
    <row r="235" spans="1:10">
      <c r="A235" t="s">
        <v>12</v>
      </c>
      <c r="B235">
        <v>288</v>
      </c>
      <c r="C235" t="s">
        <v>16</v>
      </c>
      <c r="D235">
        <v>2.2383679661095002</v>
      </c>
      <c r="E235">
        <v>0.48949560955106403</v>
      </c>
      <c r="F235">
        <v>35.841619965453901</v>
      </c>
      <c r="G235">
        <v>-0.28154344406600001</v>
      </c>
      <c r="H235">
        <v>3.8662386939298199</v>
      </c>
      <c r="I235">
        <v>-7.6054216853960105E-2</v>
      </c>
      <c r="J235">
        <v>288</v>
      </c>
    </row>
    <row r="236" spans="1:10">
      <c r="A236" t="s">
        <v>12</v>
      </c>
      <c r="B236">
        <v>288</v>
      </c>
      <c r="C236" t="s">
        <v>17</v>
      </c>
      <c r="D236">
        <v>3.9572959423085798</v>
      </c>
      <c r="E236">
        <v>9.4953183727993107E-2</v>
      </c>
      <c r="F236">
        <v>35.096125795126198</v>
      </c>
      <c r="G236">
        <v>0.36697995135603201</v>
      </c>
      <c r="H236">
        <v>6.5628045632643897</v>
      </c>
      <c r="I236">
        <v>0.49869284142287101</v>
      </c>
      <c r="J236">
        <v>288</v>
      </c>
    </row>
    <row r="237" spans="1:10">
      <c r="A237" t="s">
        <v>12</v>
      </c>
      <c r="B237">
        <v>288</v>
      </c>
      <c r="C237" t="s">
        <v>18</v>
      </c>
      <c r="D237">
        <v>-3.9850495326221802</v>
      </c>
      <c r="E237">
        <v>2.13675615735698</v>
      </c>
      <c r="F237">
        <v>37.799050064818402</v>
      </c>
      <c r="G237">
        <v>-2.95662843977339</v>
      </c>
      <c r="H237">
        <v>-6.2305096731230103</v>
      </c>
      <c r="I237">
        <v>-0.46432293508151101</v>
      </c>
      <c r="J237">
        <v>288</v>
      </c>
    </row>
    <row r="238" spans="1:10">
      <c r="A238" t="s">
        <v>12</v>
      </c>
      <c r="B238">
        <v>288</v>
      </c>
      <c r="C238" t="s">
        <v>19</v>
      </c>
      <c r="D238">
        <v>-2.5342583075394001</v>
      </c>
      <c r="E238">
        <v>1.6968039083750199</v>
      </c>
      <c r="F238">
        <v>33.9606164982415</v>
      </c>
      <c r="G238">
        <v>-2.2894269207906901</v>
      </c>
      <c r="H238">
        <v>-3.9851930654101602</v>
      </c>
      <c r="I238">
        <v>0.11859882194916201</v>
      </c>
      <c r="J238">
        <v>288</v>
      </c>
    </row>
    <row r="239" spans="1:10">
      <c r="A239" t="s">
        <v>12</v>
      </c>
      <c r="B239">
        <v>288</v>
      </c>
      <c r="C239" t="s">
        <v>20</v>
      </c>
      <c r="D239">
        <v>2.4707300508301602</v>
      </c>
      <c r="E239">
        <v>0.30489488394963898</v>
      </c>
      <c r="F239">
        <v>32.614021021534001</v>
      </c>
      <c r="G239">
        <v>-3.7691809362517398E-2</v>
      </c>
      <c r="H239">
        <v>4.2372319320545904</v>
      </c>
      <c r="I239">
        <v>-8.8599333661149193E-2</v>
      </c>
      <c r="J239">
        <v>288</v>
      </c>
    </row>
    <row r="240" spans="1:10">
      <c r="A240" t="s">
        <v>12</v>
      </c>
      <c r="B240">
        <v>288</v>
      </c>
      <c r="C240" t="s">
        <v>21</v>
      </c>
      <c r="D240">
        <v>4.38065002438469</v>
      </c>
      <c r="E240">
        <v>-0.13348558918710701</v>
      </c>
      <c r="F240">
        <v>31.785694165614299</v>
      </c>
      <c r="G240">
        <v>0.68288974110640699</v>
      </c>
      <c r="H240">
        <v>7.2334162313152204</v>
      </c>
      <c r="I240">
        <v>0.55000850886866304</v>
      </c>
      <c r="J240">
        <v>288</v>
      </c>
    </row>
    <row r="241" spans="1:10">
      <c r="A241" t="s">
        <v>12</v>
      </c>
      <c r="B241">
        <v>288</v>
      </c>
      <c r="C241" t="s">
        <v>22</v>
      </c>
      <c r="D241">
        <v>-4.4441782810939303</v>
      </c>
      <c r="E241">
        <v>2.1351843815117699</v>
      </c>
      <c r="F241">
        <v>34.788943354161098</v>
      </c>
      <c r="G241">
        <v>-3.0100084712596198</v>
      </c>
      <c r="H241">
        <v>-6.98137736467078</v>
      </c>
      <c r="I241">
        <v>-0.52000902058065002</v>
      </c>
      <c r="J241">
        <v>288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41"/>
  <sheetViews>
    <sheetView workbookViewId="0">
      <selection activeCell="H3" sqref="H3"/>
    </sheetView>
  </sheetViews>
  <sheetFormatPr defaultColWidth="9" defaultRowHeight="15"/>
  <sheetData>
    <row r="1" spans="1:10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4</v>
      </c>
    </row>
    <row r="2" spans="1:10">
      <c r="A2" t="s">
        <v>12</v>
      </c>
      <c r="B2">
        <v>1</v>
      </c>
      <c r="C2" t="s">
        <v>23</v>
      </c>
      <c r="D2">
        <v>0.54234657320067003</v>
      </c>
      <c r="E2">
        <v>0.486853374189056</v>
      </c>
      <c r="F2">
        <v>170.91357170184901</v>
      </c>
      <c r="G2">
        <v>-0.69216108091454098</v>
      </c>
      <c r="H2">
        <v>0.70575310045711104</v>
      </c>
      <c r="I2">
        <v>1.79565245761895E-2</v>
      </c>
      <c r="J2">
        <v>1</v>
      </c>
    </row>
    <row r="3" spans="1:10">
      <c r="A3" t="s">
        <v>12</v>
      </c>
      <c r="B3">
        <v>1</v>
      </c>
      <c r="C3" t="s">
        <v>24</v>
      </c>
      <c r="D3">
        <v>0.63300022841207604</v>
      </c>
      <c r="E3">
        <v>0.52598122679862402</v>
      </c>
      <c r="F3">
        <v>191.44191724106199</v>
      </c>
      <c r="G3">
        <v>-0.75546202451167399</v>
      </c>
      <c r="H3">
        <v>0.82178173139137201</v>
      </c>
      <c r="I3">
        <v>2.08701366117542E-2</v>
      </c>
      <c r="J3">
        <v>1</v>
      </c>
    </row>
    <row r="4" spans="1:10">
      <c r="A4" t="s">
        <v>12</v>
      </c>
      <c r="B4">
        <v>1</v>
      </c>
      <c r="C4" t="s">
        <v>25</v>
      </c>
      <c r="D4">
        <v>-2.7591417639032798</v>
      </c>
      <c r="E4">
        <v>1.3759598396870301</v>
      </c>
      <c r="F4">
        <v>190.015782551608</v>
      </c>
      <c r="G4">
        <v>-2.2037044225455502</v>
      </c>
      <c r="H4">
        <v>-4.5040163323964704</v>
      </c>
      <c r="I4">
        <v>0.132465779437766</v>
      </c>
      <c r="J4">
        <v>1</v>
      </c>
    </row>
    <row r="5" spans="1:10">
      <c r="A5" t="s">
        <v>12</v>
      </c>
      <c r="B5">
        <v>1</v>
      </c>
      <c r="C5" t="s">
        <v>26</v>
      </c>
      <c r="D5">
        <v>4.0070114896851496</v>
      </c>
      <c r="E5">
        <v>-0.33182295661170003</v>
      </c>
      <c r="F5">
        <v>188.762382822673</v>
      </c>
      <c r="G5">
        <v>0.70544056224163298</v>
      </c>
      <c r="H5">
        <v>6.1243740689923598</v>
      </c>
      <c r="I5">
        <v>-9.1308228621370405E-2</v>
      </c>
      <c r="J5">
        <v>1</v>
      </c>
    </row>
    <row r="6" spans="1:10">
      <c r="A6" t="s">
        <v>12</v>
      </c>
      <c r="B6">
        <v>1</v>
      </c>
      <c r="C6" t="s">
        <v>27</v>
      </c>
      <c r="D6">
        <v>3.9394227777037099</v>
      </c>
      <c r="E6">
        <v>0.48180348219776098</v>
      </c>
      <c r="F6">
        <v>188.642908603683</v>
      </c>
      <c r="G6">
        <v>-0.64999777142922599</v>
      </c>
      <c r="H6">
        <v>6.0545995612415302</v>
      </c>
      <c r="I6">
        <v>0.59838824131082702</v>
      </c>
      <c r="J6">
        <v>1</v>
      </c>
    </row>
    <row r="7" spans="1:10">
      <c r="A7" t="s">
        <v>12</v>
      </c>
      <c r="B7">
        <v>1</v>
      </c>
      <c r="C7" t="s">
        <v>28</v>
      </c>
      <c r="D7">
        <v>-2.69155305192184</v>
      </c>
      <c r="E7">
        <v>0.562333400877573</v>
      </c>
      <c r="F7">
        <v>190.13525677059701</v>
      </c>
      <c r="G7">
        <v>-0.84826608887469501</v>
      </c>
      <c r="H7">
        <v>-4.4342418246456399</v>
      </c>
      <c r="I7">
        <v>-0.55723069049443097</v>
      </c>
      <c r="J7">
        <v>1</v>
      </c>
    </row>
    <row r="8" spans="1:10">
      <c r="A8" t="s">
        <v>12</v>
      </c>
      <c r="B8">
        <v>1</v>
      </c>
      <c r="C8" t="s">
        <v>29</v>
      </c>
      <c r="D8">
        <v>-3.2166274565706798</v>
      </c>
      <c r="E8">
        <v>1.4356215943550199</v>
      </c>
      <c r="F8">
        <v>171.609904884591</v>
      </c>
      <c r="G8">
        <v>-2.3083527391296501</v>
      </c>
      <c r="H8">
        <v>-5.1989082336478001</v>
      </c>
      <c r="I8">
        <v>0.142275417942376</v>
      </c>
      <c r="J8">
        <v>1</v>
      </c>
    </row>
    <row r="9" spans="1:10">
      <c r="A9" t="s">
        <v>12</v>
      </c>
      <c r="B9">
        <v>1</v>
      </c>
      <c r="C9" t="s">
        <v>30</v>
      </c>
      <c r="D9">
        <v>4.3013206029720203</v>
      </c>
      <c r="E9">
        <v>-0.46191484597690802</v>
      </c>
      <c r="F9">
        <v>170.21723851910701</v>
      </c>
      <c r="G9">
        <v>0.92403057730056304</v>
      </c>
      <c r="H9">
        <v>6.6104144345620197</v>
      </c>
      <c r="I9">
        <v>-0.106362368789997</v>
      </c>
      <c r="J9">
        <v>1</v>
      </c>
    </row>
    <row r="10" spans="1:10">
      <c r="A10" t="s">
        <v>12</v>
      </c>
      <c r="B10">
        <v>1</v>
      </c>
      <c r="C10" t="s">
        <v>31</v>
      </c>
      <c r="D10">
        <v>4.2262220341037597</v>
      </c>
      <c r="E10">
        <v>0.44211453047804899</v>
      </c>
      <c r="F10">
        <v>170.08448938689699</v>
      </c>
      <c r="G10">
        <v>-0.58201201566705896</v>
      </c>
      <c r="H10">
        <v>6.5328872037277597</v>
      </c>
      <c r="I10">
        <v>0.65996704224577796</v>
      </c>
      <c r="J10">
        <v>1</v>
      </c>
    </row>
    <row r="11" spans="1:10">
      <c r="A11" t="s">
        <v>12</v>
      </c>
      <c r="B11">
        <v>1</v>
      </c>
      <c r="C11" t="s">
        <v>32</v>
      </c>
      <c r="D11">
        <v>-3.1415288877024201</v>
      </c>
      <c r="E11">
        <v>0.53159221790006195</v>
      </c>
      <c r="F11">
        <v>171.742654016801</v>
      </c>
      <c r="G11">
        <v>-0.80231014616202401</v>
      </c>
      <c r="H11">
        <v>-5.12138100281354</v>
      </c>
      <c r="I11">
        <v>-0.62405399309339804</v>
      </c>
      <c r="J11">
        <v>1</v>
      </c>
    </row>
    <row r="12" spans="1:10">
      <c r="A12" t="s">
        <v>12</v>
      </c>
      <c r="B12">
        <v>3</v>
      </c>
      <c r="C12" t="s">
        <v>23</v>
      </c>
      <c r="D12">
        <v>0.444717002177061</v>
      </c>
      <c r="E12">
        <v>-1.5574346072697201</v>
      </c>
      <c r="F12">
        <v>154.87319405599601</v>
      </c>
      <c r="G12">
        <v>1.4278146823417499</v>
      </c>
      <c r="H12">
        <v>0.607240019264493</v>
      </c>
      <c r="I12">
        <v>1.79565245761895E-2</v>
      </c>
      <c r="J12">
        <v>3</v>
      </c>
    </row>
    <row r="13" spans="1:10">
      <c r="A13" t="s">
        <v>12</v>
      </c>
      <c r="B13">
        <v>3</v>
      </c>
      <c r="C13" t="s">
        <v>24</v>
      </c>
      <c r="D13">
        <v>0.51201264534363899</v>
      </c>
      <c r="E13">
        <v>-1.7378904955335399</v>
      </c>
      <c r="F13">
        <v>172.36085339088899</v>
      </c>
      <c r="G13">
        <v>1.5953638706886299</v>
      </c>
      <c r="H13">
        <v>0.69969925710458902</v>
      </c>
      <c r="I13">
        <v>2.08701366117542E-2</v>
      </c>
      <c r="J13">
        <v>3</v>
      </c>
    </row>
    <row r="14" spans="1:10">
      <c r="A14" t="s">
        <v>12</v>
      </c>
      <c r="B14">
        <v>3</v>
      </c>
      <c r="C14" t="s">
        <v>25</v>
      </c>
      <c r="D14">
        <v>-2.977838029146</v>
      </c>
      <c r="E14">
        <v>-1.4125913614860599</v>
      </c>
      <c r="F14">
        <v>169.26318314795401</v>
      </c>
      <c r="G14">
        <v>1.0319577856477</v>
      </c>
      <c r="H14">
        <v>-4.7246917149521197</v>
      </c>
      <c r="I14">
        <v>0.132465779437766</v>
      </c>
      <c r="J14">
        <v>3</v>
      </c>
    </row>
    <row r="15" spans="1:10">
      <c r="A15" t="s">
        <v>12</v>
      </c>
      <c r="B15">
        <v>3</v>
      </c>
      <c r="C15" t="s">
        <v>26</v>
      </c>
      <c r="D15">
        <v>3.9884041911999599</v>
      </c>
      <c r="E15">
        <v>-2.0270984519282602</v>
      </c>
      <c r="F15">
        <v>171.96099176684501</v>
      </c>
      <c r="G15">
        <v>2.1252601180601798</v>
      </c>
      <c r="H15">
        <v>6.1055983815932704</v>
      </c>
      <c r="I15">
        <v>-9.1308228621370405E-2</v>
      </c>
      <c r="J15">
        <v>3</v>
      </c>
    </row>
    <row r="16" spans="1:10">
      <c r="A16" t="s">
        <v>12</v>
      </c>
      <c r="B16">
        <v>3</v>
      </c>
      <c r="C16" t="s">
        <v>27</v>
      </c>
      <c r="D16">
        <v>4.0030873629911596</v>
      </c>
      <c r="E16">
        <v>-4.1485607993033202</v>
      </c>
      <c r="F16">
        <v>172.51394297344501</v>
      </c>
      <c r="G16">
        <v>5.9280104113634202</v>
      </c>
      <c r="H16">
        <v>6.1188402866053702</v>
      </c>
      <c r="I16">
        <v>0.59838824131082702</v>
      </c>
      <c r="J16">
        <v>3</v>
      </c>
    </row>
    <row r="17" spans="1:10">
      <c r="A17" t="s">
        <v>12</v>
      </c>
      <c r="B17">
        <v>3</v>
      </c>
      <c r="C17" t="s">
        <v>28</v>
      </c>
      <c r="D17">
        <v>-2.9925212009372002</v>
      </c>
      <c r="E17">
        <v>0.70887098588900799</v>
      </c>
      <c r="F17">
        <v>168.71023194135299</v>
      </c>
      <c r="G17">
        <v>-2.77079250765554</v>
      </c>
      <c r="H17">
        <v>-4.7379336199642097</v>
      </c>
      <c r="I17">
        <v>-0.55723069049443097</v>
      </c>
      <c r="J17">
        <v>3</v>
      </c>
    </row>
    <row r="18" spans="1:10">
      <c r="A18" t="s">
        <v>12</v>
      </c>
      <c r="B18">
        <v>3</v>
      </c>
      <c r="C18" t="s">
        <v>29</v>
      </c>
      <c r="D18">
        <v>-3.4254175646818101</v>
      </c>
      <c r="E18">
        <v>-1.2160417792462701</v>
      </c>
      <c r="F18">
        <v>153.374411489945</v>
      </c>
      <c r="G18">
        <v>0.82042449766815795</v>
      </c>
      <c r="H18">
        <v>-5.4095878121496099</v>
      </c>
      <c r="I18">
        <v>0.142275417942376</v>
      </c>
      <c r="J18">
        <v>3</v>
      </c>
    </row>
    <row r="19" spans="1:10">
      <c r="A19" t="s">
        <v>12</v>
      </c>
      <c r="B19">
        <v>3</v>
      </c>
      <c r="C19" t="s">
        <v>30</v>
      </c>
      <c r="D19">
        <v>4.3148515690359304</v>
      </c>
      <c r="E19">
        <v>-1.89882743529316</v>
      </c>
      <c r="F19">
        <v>156.37197662204599</v>
      </c>
      <c r="G19">
        <v>2.03520486701535</v>
      </c>
      <c r="H19">
        <v>6.6240678506785997</v>
      </c>
      <c r="I19">
        <v>-0.106362368789997</v>
      </c>
      <c r="J19">
        <v>3</v>
      </c>
    </row>
    <row r="20" spans="1:10">
      <c r="A20" t="s">
        <v>12</v>
      </c>
      <c r="B20">
        <v>3</v>
      </c>
      <c r="C20" t="s">
        <v>31</v>
      </c>
      <c r="D20">
        <v>4.3311662043594801</v>
      </c>
      <c r="E20">
        <v>-4.2560078212654604</v>
      </c>
      <c r="F20">
        <v>156.98636685160201</v>
      </c>
      <c r="G20">
        <v>6.2604829706856204</v>
      </c>
      <c r="H20">
        <v>6.6387810784698198</v>
      </c>
      <c r="I20">
        <v>0.65996704224577796</v>
      </c>
      <c r="J20">
        <v>3</v>
      </c>
    </row>
    <row r="21" spans="1:10">
      <c r="A21" t="s">
        <v>12</v>
      </c>
      <c r="B21">
        <v>3</v>
      </c>
      <c r="C21" t="s">
        <v>32</v>
      </c>
      <c r="D21">
        <v>-3.4417322000053598</v>
      </c>
      <c r="E21">
        <v>1.1411386067260201</v>
      </c>
      <c r="F21">
        <v>152.76002126038901</v>
      </c>
      <c r="G21">
        <v>-3.40485360600211</v>
      </c>
      <c r="H21">
        <v>-5.42430103994083</v>
      </c>
      <c r="I21">
        <v>-0.62405399309339804</v>
      </c>
      <c r="J21">
        <v>3</v>
      </c>
    </row>
    <row r="22" spans="1:10">
      <c r="A22" t="s">
        <v>12</v>
      </c>
      <c r="B22">
        <v>5</v>
      </c>
      <c r="C22" t="s">
        <v>23</v>
      </c>
      <c r="D22">
        <v>0.34482268405861299</v>
      </c>
      <c r="E22">
        <v>2.37637507307495</v>
      </c>
      <c r="F22">
        <v>132.211632712495</v>
      </c>
      <c r="G22">
        <v>-3.5573643966259301</v>
      </c>
      <c r="H22">
        <v>0.50277944710016598</v>
      </c>
      <c r="I22">
        <v>-0.260723682007235</v>
      </c>
      <c r="J22">
        <v>5</v>
      </c>
    </row>
    <row r="23" spans="1:10">
      <c r="A23" t="s">
        <v>12</v>
      </c>
      <c r="B23">
        <v>5</v>
      </c>
      <c r="C23" t="s">
        <v>24</v>
      </c>
      <c r="D23">
        <v>0.39660155716718398</v>
      </c>
      <c r="E23">
        <v>2.6655091020116801</v>
      </c>
      <c r="F23">
        <v>147.00602914226999</v>
      </c>
      <c r="G23">
        <v>-3.9838744054556501</v>
      </c>
      <c r="H23">
        <v>0.57916761162921704</v>
      </c>
      <c r="I23">
        <v>-0.29157974272707499</v>
      </c>
      <c r="J23">
        <v>5</v>
      </c>
    </row>
    <row r="24" spans="1:10">
      <c r="A24" t="s">
        <v>12</v>
      </c>
      <c r="B24">
        <v>5</v>
      </c>
      <c r="C24" t="s">
        <v>25</v>
      </c>
      <c r="D24">
        <v>-3.05584182333113</v>
      </c>
      <c r="E24">
        <v>2.5807545109909</v>
      </c>
      <c r="F24">
        <v>145.71295205076501</v>
      </c>
      <c r="G24">
        <v>-3.8109879743791</v>
      </c>
      <c r="H24">
        <v>-4.8102791601297801</v>
      </c>
      <c r="I24">
        <v>-0.185950766346485</v>
      </c>
      <c r="J24">
        <v>5</v>
      </c>
    </row>
    <row r="25" spans="1:10">
      <c r="A25" t="s">
        <v>12</v>
      </c>
      <c r="B25">
        <v>5</v>
      </c>
      <c r="C25" t="s">
        <v>26</v>
      </c>
      <c r="D25">
        <v>3.8386891630437798</v>
      </c>
      <c r="E25">
        <v>2.6924368872451199</v>
      </c>
      <c r="F25">
        <v>145.34022694782001</v>
      </c>
      <c r="G25">
        <v>-4.0714588347662497</v>
      </c>
      <c r="H25">
        <v>5.9533367504824</v>
      </c>
      <c r="I25">
        <v>-0.39103750696369699</v>
      </c>
      <c r="J25">
        <v>5</v>
      </c>
    </row>
    <row r="26" spans="1:10">
      <c r="A26" t="s">
        <v>12</v>
      </c>
      <c r="B26">
        <v>5</v>
      </c>
      <c r="C26" t="s">
        <v>27</v>
      </c>
      <c r="D26">
        <v>3.81580682163229</v>
      </c>
      <c r="E26">
        <v>-0.68820481150825796</v>
      </c>
      <c r="F26">
        <v>142.787004170373</v>
      </c>
      <c r="G26">
        <v>2.91886292268113</v>
      </c>
      <c r="H26">
        <v>5.9309836522344401</v>
      </c>
      <c r="I26">
        <v>0.21779110707736499</v>
      </c>
      <c r="J26">
        <v>5</v>
      </c>
    </row>
    <row r="27" spans="1:10">
      <c r="A27" t="s">
        <v>12</v>
      </c>
      <c r="B27">
        <v>5</v>
      </c>
      <c r="C27" t="s">
        <v>28</v>
      </c>
      <c r="D27">
        <v>-3.0329594819196402</v>
      </c>
      <c r="E27">
        <v>5.9613962097442696</v>
      </c>
      <c r="F27">
        <v>148.266174828212</v>
      </c>
      <c r="G27">
        <v>-10.8013097318265</v>
      </c>
      <c r="H27">
        <v>-4.7879260618818202</v>
      </c>
      <c r="I27">
        <v>-0.79477938038754803</v>
      </c>
      <c r="J27">
        <v>5</v>
      </c>
    </row>
    <row r="28" spans="1:10">
      <c r="A28" t="s">
        <v>12</v>
      </c>
      <c r="B28">
        <v>5</v>
      </c>
      <c r="C28" t="s">
        <v>29</v>
      </c>
      <c r="D28">
        <v>-3.4854723083718899</v>
      </c>
      <c r="E28">
        <v>2.31432930848927</v>
      </c>
      <c r="F28">
        <v>132.418702214131</v>
      </c>
      <c r="G28">
        <v>-3.4126583630775098</v>
      </c>
      <c r="H28">
        <v>-5.4770071699066003</v>
      </c>
      <c r="I28">
        <v>-0.14678660388656101</v>
      </c>
      <c r="J28">
        <v>5</v>
      </c>
    </row>
    <row r="29" spans="1:10">
      <c r="A29" t="s">
        <v>12</v>
      </c>
      <c r="B29">
        <v>5</v>
      </c>
      <c r="C29" t="s">
        <v>30</v>
      </c>
      <c r="D29">
        <v>4.17511767648912</v>
      </c>
      <c r="E29">
        <v>2.4384208376606198</v>
      </c>
      <c r="F29">
        <v>132.00456321085801</v>
      </c>
      <c r="G29">
        <v>-3.7020704301743401</v>
      </c>
      <c r="H29">
        <v>6.4825660641069298</v>
      </c>
      <c r="I29">
        <v>-0.374660760127908</v>
      </c>
      <c r="J29">
        <v>5</v>
      </c>
    </row>
    <row r="30" spans="1:10">
      <c r="A30" t="s">
        <v>12</v>
      </c>
      <c r="B30">
        <v>5</v>
      </c>
      <c r="C30" t="s">
        <v>31</v>
      </c>
      <c r="D30">
        <v>4.1496928526985704</v>
      </c>
      <c r="E30">
        <v>-1.3178477165097899</v>
      </c>
      <c r="F30">
        <v>129.16764901369501</v>
      </c>
      <c r="G30">
        <v>4.0649537447671902</v>
      </c>
      <c r="H30">
        <v>6.4577292882758597</v>
      </c>
      <c r="I30">
        <v>0.30181547769549499</v>
      </c>
      <c r="J30">
        <v>5</v>
      </c>
    </row>
    <row r="31" spans="1:10">
      <c r="A31" t="s">
        <v>12</v>
      </c>
      <c r="B31">
        <v>5</v>
      </c>
      <c r="C31" t="s">
        <v>32</v>
      </c>
      <c r="D31">
        <v>-3.46004748458135</v>
      </c>
      <c r="E31">
        <v>6.0705978626596897</v>
      </c>
      <c r="F31">
        <v>135.255616411294</v>
      </c>
      <c r="G31">
        <v>-11.179682538019</v>
      </c>
      <c r="H31">
        <v>-5.4521703940755302</v>
      </c>
      <c r="I31">
        <v>-0.823262841709964</v>
      </c>
      <c r="J31">
        <v>5</v>
      </c>
    </row>
    <row r="32" spans="1:10">
      <c r="A32" t="s">
        <v>12</v>
      </c>
      <c r="B32">
        <v>7</v>
      </c>
      <c r="C32" t="s">
        <v>23</v>
      </c>
      <c r="D32">
        <v>0.28874843796942801</v>
      </c>
      <c r="E32">
        <v>2.29604188487383</v>
      </c>
      <c r="F32">
        <v>126.981815575738</v>
      </c>
      <c r="G32">
        <v>-3.4544497480611498</v>
      </c>
      <c r="H32">
        <v>0.44643168854867099</v>
      </c>
      <c r="I32">
        <v>0.27663391193880899</v>
      </c>
      <c r="J32">
        <v>7</v>
      </c>
    </row>
    <row r="33" spans="1:10">
      <c r="A33" t="s">
        <v>12</v>
      </c>
      <c r="B33">
        <v>7</v>
      </c>
      <c r="C33" t="s">
        <v>24</v>
      </c>
      <c r="D33">
        <v>0.32479616543852002</v>
      </c>
      <c r="E33">
        <v>2.5813301937139199</v>
      </c>
      <c r="F33">
        <v>141.28477283000299</v>
      </c>
      <c r="G33">
        <v>-3.8728755280286098</v>
      </c>
      <c r="H33">
        <v>0.50696518105767097</v>
      </c>
      <c r="I33">
        <v>0.31076832328529902</v>
      </c>
      <c r="J33">
        <v>7</v>
      </c>
    </row>
    <row r="34" spans="1:10">
      <c r="A34" t="s">
        <v>12</v>
      </c>
      <c r="B34">
        <v>7</v>
      </c>
      <c r="C34" t="s">
        <v>25</v>
      </c>
      <c r="D34">
        <v>-3.1247240933962801</v>
      </c>
      <c r="E34">
        <v>2.1474110075905801</v>
      </c>
      <c r="F34">
        <v>139.35607698350299</v>
      </c>
      <c r="G34">
        <v>-2.99953827497936</v>
      </c>
      <c r="H34">
        <v>-4.8795551355282498</v>
      </c>
      <c r="I34">
        <v>0.42599472877417599</v>
      </c>
      <c r="J34">
        <v>7</v>
      </c>
    </row>
    <row r="35" spans="1:10">
      <c r="A35" t="s">
        <v>12</v>
      </c>
      <c r="B35">
        <v>7</v>
      </c>
      <c r="C35" t="s">
        <v>26</v>
      </c>
      <c r="D35">
        <v>3.7671068787794999</v>
      </c>
      <c r="E35">
        <v>2.9581917180692501</v>
      </c>
      <c r="F35">
        <v>140.35287722564999</v>
      </c>
      <c r="G35">
        <v>-4.6625276250843699</v>
      </c>
      <c r="H35">
        <v>5.8813787991417898</v>
      </c>
      <c r="I35">
        <v>0.18871503552712399</v>
      </c>
      <c r="J35">
        <v>7</v>
      </c>
    </row>
    <row r="36" spans="1:10">
      <c r="A36" t="s">
        <v>12</v>
      </c>
      <c r="B36">
        <v>7</v>
      </c>
      <c r="C36" t="s">
        <v>27</v>
      </c>
      <c r="D36">
        <v>3.7501855686471299</v>
      </c>
      <c r="E36">
        <v>-2.4637857507074101</v>
      </c>
      <c r="F36">
        <v>136.40209567266899</v>
      </c>
      <c r="G36">
        <v>6.4419419556384598</v>
      </c>
      <c r="H36">
        <v>5.8650573626408198</v>
      </c>
      <c r="I36">
        <v>0.91735572155314304</v>
      </c>
      <c r="J36">
        <v>7</v>
      </c>
    </row>
    <row r="37" spans="1:10">
      <c r="A37" t="s">
        <v>12</v>
      </c>
      <c r="B37">
        <v>7</v>
      </c>
      <c r="C37" t="s">
        <v>28</v>
      </c>
      <c r="D37">
        <v>-3.1078027832639101</v>
      </c>
      <c r="E37">
        <v>7.5693884763672399</v>
      </c>
      <c r="F37">
        <v>143.30685853648399</v>
      </c>
      <c r="G37">
        <v>-14.1040078557022</v>
      </c>
      <c r="H37">
        <v>-4.8632336990272798</v>
      </c>
      <c r="I37">
        <v>-0.30264595725184401</v>
      </c>
      <c r="J37">
        <v>7</v>
      </c>
    </row>
    <row r="38" spans="1:10">
      <c r="A38" t="s">
        <v>12</v>
      </c>
      <c r="B38">
        <v>7</v>
      </c>
      <c r="C38" t="s">
        <v>29</v>
      </c>
      <c r="D38">
        <v>-3.54004654657267</v>
      </c>
      <c r="E38">
        <v>1.8456081568301199</v>
      </c>
      <c r="F38">
        <v>126.428037663434</v>
      </c>
      <c r="G38">
        <v>-2.5305667757805801</v>
      </c>
      <c r="H38">
        <v>-5.5318649418235797</v>
      </c>
      <c r="I38">
        <v>0.40845596374272602</v>
      </c>
      <c r="J38">
        <v>7</v>
      </c>
    </row>
    <row r="39" spans="1:10">
      <c r="A39" t="s">
        <v>12</v>
      </c>
      <c r="B39">
        <v>7</v>
      </c>
      <c r="C39" t="s">
        <v>30</v>
      </c>
      <c r="D39">
        <v>4.1175434225115302</v>
      </c>
      <c r="E39">
        <v>2.7464756129175401</v>
      </c>
      <c r="F39">
        <v>127.535593488042</v>
      </c>
      <c r="G39">
        <v>-4.3783327203417102</v>
      </c>
      <c r="H39">
        <v>6.4247283189209199</v>
      </c>
      <c r="I39">
        <v>0.144811860134891</v>
      </c>
      <c r="J39">
        <v>7</v>
      </c>
    </row>
    <row r="40" spans="1:10">
      <c r="A40" t="s">
        <v>12</v>
      </c>
      <c r="B40">
        <v>7</v>
      </c>
      <c r="C40" t="s">
        <v>31</v>
      </c>
      <c r="D40">
        <v>4.0987419668088902</v>
      </c>
      <c r="E40">
        <v>-3.2779437968343101</v>
      </c>
      <c r="F40">
        <v>123.145836206952</v>
      </c>
      <c r="G40">
        <v>7.9599668137947601</v>
      </c>
      <c r="H40">
        <v>6.4065933894753897</v>
      </c>
      <c r="I40">
        <v>0.95441262238602398</v>
      </c>
      <c r="J40">
        <v>7</v>
      </c>
    </row>
    <row r="41" spans="1:10">
      <c r="A41" t="s">
        <v>12</v>
      </c>
      <c r="B41">
        <v>7</v>
      </c>
      <c r="C41" t="s">
        <v>32</v>
      </c>
      <c r="D41">
        <v>-3.5212450908700399</v>
      </c>
      <c r="E41">
        <v>7.8700275665819701</v>
      </c>
      <c r="F41">
        <v>130.81779494452499</v>
      </c>
      <c r="G41">
        <v>-14.868866309917101</v>
      </c>
      <c r="H41">
        <v>-5.5137300123780504</v>
      </c>
      <c r="I41">
        <v>-0.40114479850840601</v>
      </c>
      <c r="J41">
        <v>7</v>
      </c>
    </row>
    <row r="42" spans="1:10">
      <c r="A42" t="s">
        <v>12</v>
      </c>
      <c r="B42">
        <v>9</v>
      </c>
      <c r="C42" t="s">
        <v>23</v>
      </c>
      <c r="D42">
        <v>4.1017920764893898E-2</v>
      </c>
      <c r="E42">
        <v>-2.4345526768901502</v>
      </c>
      <c r="F42">
        <v>185.58744416020201</v>
      </c>
      <c r="G42">
        <v>2.4812565154256099</v>
      </c>
      <c r="H42">
        <v>0.19988761601645899</v>
      </c>
      <c r="I42">
        <v>1.79565245761895E-2</v>
      </c>
      <c r="J42">
        <v>9</v>
      </c>
    </row>
    <row r="43" spans="1:10">
      <c r="A43" t="s">
        <v>12</v>
      </c>
      <c r="B43">
        <v>9</v>
      </c>
      <c r="C43" t="s">
        <v>24</v>
      </c>
      <c r="D43">
        <v>0.112877982193667</v>
      </c>
      <c r="E43">
        <v>-2.6727156377856698</v>
      </c>
      <c r="F43">
        <v>205.54102837897301</v>
      </c>
      <c r="G43">
        <v>2.7343572171380899</v>
      </c>
      <c r="H43">
        <v>0.29695257835320299</v>
      </c>
      <c r="I43">
        <v>2.08701366117542E-2</v>
      </c>
      <c r="J43">
        <v>9</v>
      </c>
    </row>
    <row r="44" spans="1:10">
      <c r="A44" t="s">
        <v>12</v>
      </c>
      <c r="B44">
        <v>9</v>
      </c>
      <c r="C44" t="s">
        <v>25</v>
      </c>
      <c r="D44">
        <v>-3.34404319987412</v>
      </c>
      <c r="E44">
        <v>-3.5564390537568999</v>
      </c>
      <c r="F44">
        <v>202.666183515721</v>
      </c>
      <c r="G44">
        <v>4.4373960038049702</v>
      </c>
      <c r="H44">
        <v>-5.0942109020063304</v>
      </c>
      <c r="I44">
        <v>0.132465779437766</v>
      </c>
      <c r="J44">
        <v>9</v>
      </c>
    </row>
    <row r="45" spans="1:10">
      <c r="A45" t="s">
        <v>12</v>
      </c>
      <c r="B45">
        <v>9</v>
      </c>
      <c r="C45" t="s">
        <v>26</v>
      </c>
      <c r="D45">
        <v>3.5554271519756999</v>
      </c>
      <c r="E45">
        <v>-1.74135962963533</v>
      </c>
      <c r="F45">
        <v>204.42515639847099</v>
      </c>
      <c r="G45">
        <v>0.98069829012872201</v>
      </c>
      <c r="H45">
        <v>5.6687030662453903</v>
      </c>
      <c r="I45">
        <v>-9.1308228621370405E-2</v>
      </c>
      <c r="J45">
        <v>9</v>
      </c>
    </row>
    <row r="46" spans="1:10">
      <c r="A46" t="s">
        <v>12</v>
      </c>
      <c r="B46">
        <v>9</v>
      </c>
      <c r="C46" t="s">
        <v>27</v>
      </c>
      <c r="D46">
        <v>3.5281859820155099</v>
      </c>
      <c r="E46">
        <v>-11.0350519503626</v>
      </c>
      <c r="F46">
        <v>199.66652982306701</v>
      </c>
      <c r="G46">
        <v>18.488169814427199</v>
      </c>
      <c r="H46">
        <v>5.63964123029458</v>
      </c>
      <c r="I46">
        <v>0.59838824131082702</v>
      </c>
      <c r="J46">
        <v>9</v>
      </c>
    </row>
    <row r="47" spans="1:10">
      <c r="A47" t="s">
        <v>12</v>
      </c>
      <c r="B47">
        <v>9</v>
      </c>
      <c r="C47" t="s">
        <v>28</v>
      </c>
      <c r="D47">
        <v>-3.31680202991393</v>
      </c>
      <c r="E47">
        <v>5.7372532669703604</v>
      </c>
      <c r="F47">
        <v>207.42481009112501</v>
      </c>
      <c r="G47">
        <v>-13.0700755204935</v>
      </c>
      <c r="H47">
        <v>-5.0651490660555298</v>
      </c>
      <c r="I47">
        <v>-0.55723069049443097</v>
      </c>
      <c r="J47">
        <v>9</v>
      </c>
    </row>
    <row r="48" spans="1:10">
      <c r="A48" t="s">
        <v>12</v>
      </c>
      <c r="B48">
        <v>9</v>
      </c>
      <c r="C48" t="s">
        <v>29</v>
      </c>
      <c r="D48">
        <v>-3.7920211635961198</v>
      </c>
      <c r="E48">
        <v>-3.4429301347354699</v>
      </c>
      <c r="F48">
        <v>184.61023700311901</v>
      </c>
      <c r="G48">
        <v>4.4016441341346404</v>
      </c>
      <c r="H48">
        <v>-5.7795090330122703</v>
      </c>
      <c r="I48">
        <v>0.142275417942376</v>
      </c>
      <c r="J48">
        <v>9</v>
      </c>
    </row>
    <row r="49" spans="1:10">
      <c r="A49" t="s">
        <v>12</v>
      </c>
      <c r="B49">
        <v>9</v>
      </c>
      <c r="C49" t="s">
        <v>30</v>
      </c>
      <c r="D49">
        <v>3.87405700512591</v>
      </c>
      <c r="E49">
        <v>-1.42617521904483</v>
      </c>
      <c r="F49">
        <v>186.56465131728501</v>
      </c>
      <c r="G49">
        <v>0.56086889671658402</v>
      </c>
      <c r="H49">
        <v>6.1792842650451902</v>
      </c>
      <c r="I49">
        <v>-0.106362368789997</v>
      </c>
      <c r="J49">
        <v>9</v>
      </c>
    </row>
    <row r="50" spans="1:10">
      <c r="A50" t="s">
        <v>12</v>
      </c>
      <c r="B50">
        <v>9</v>
      </c>
      <c r="C50" t="s">
        <v>31</v>
      </c>
      <c r="D50">
        <v>3.8437890385034699</v>
      </c>
      <c r="E50">
        <v>-11.752500019852899</v>
      </c>
      <c r="F50">
        <v>181.277288455725</v>
      </c>
      <c r="G50">
        <v>20.013615034826</v>
      </c>
      <c r="H50">
        <v>6.1469933362109597</v>
      </c>
      <c r="I50">
        <v>0.65996704224577796</v>
      </c>
      <c r="J50">
        <v>9</v>
      </c>
    </row>
    <row r="51" spans="1:10">
      <c r="A51" t="s">
        <v>12</v>
      </c>
      <c r="B51">
        <v>9</v>
      </c>
      <c r="C51" t="s">
        <v>32</v>
      </c>
      <c r="D51">
        <v>-3.7617531969736802</v>
      </c>
      <c r="E51">
        <v>6.88339466607259</v>
      </c>
      <c r="F51">
        <v>189.89759986467899</v>
      </c>
      <c r="G51">
        <v>-15.051102003974799</v>
      </c>
      <c r="H51">
        <v>-5.7472181041780503</v>
      </c>
      <c r="I51">
        <v>-0.62405399309339804</v>
      </c>
      <c r="J51">
        <v>9</v>
      </c>
    </row>
    <row r="52" spans="1:10">
      <c r="A52" t="s">
        <v>12</v>
      </c>
      <c r="B52">
        <v>11</v>
      </c>
      <c r="C52" t="s">
        <v>23</v>
      </c>
      <c r="D52">
        <v>0.71460543870559301</v>
      </c>
      <c r="E52">
        <v>-1.41474728877294</v>
      </c>
      <c r="F52">
        <v>153.58887047469301</v>
      </c>
      <c r="G52">
        <v>1.5321513707843499</v>
      </c>
      <c r="H52">
        <v>0.87957084261978902</v>
      </c>
      <c r="I52">
        <v>1.79565245761895E-2</v>
      </c>
      <c r="J52">
        <v>11</v>
      </c>
    </row>
    <row r="53" spans="1:10">
      <c r="A53" t="s">
        <v>12</v>
      </c>
      <c r="B53">
        <v>11</v>
      </c>
      <c r="C53" t="s">
        <v>24</v>
      </c>
      <c r="D53">
        <v>0.71121322050658498</v>
      </c>
      <c r="E53">
        <v>-1.61598500001361</v>
      </c>
      <c r="F53">
        <v>169.74368420118401</v>
      </c>
      <c r="G53">
        <v>1.76096189708725</v>
      </c>
      <c r="H53">
        <v>0.90070252106339299</v>
      </c>
      <c r="I53">
        <v>2.08701366117542E-2</v>
      </c>
      <c r="J53">
        <v>11</v>
      </c>
    </row>
    <row r="54" spans="1:10">
      <c r="A54" t="s">
        <v>12</v>
      </c>
      <c r="B54">
        <v>11</v>
      </c>
      <c r="C54" t="s">
        <v>25</v>
      </c>
      <c r="D54">
        <v>-2.4200084296775701</v>
      </c>
      <c r="E54">
        <v>-3.62509954533065</v>
      </c>
      <c r="F54">
        <v>162.194108380979</v>
      </c>
      <c r="G54">
        <v>5.0963169663704004</v>
      </c>
      <c r="H54">
        <v>-4.16181397158081</v>
      </c>
      <c r="I54">
        <v>0.132465779437766</v>
      </c>
      <c r="J54">
        <v>11</v>
      </c>
    </row>
    <row r="55" spans="1:10">
      <c r="A55" t="s">
        <v>12</v>
      </c>
      <c r="B55">
        <v>11</v>
      </c>
      <c r="C55" t="s">
        <v>26</v>
      </c>
      <c r="D55">
        <v>3.8431133143305498</v>
      </c>
      <c r="E55">
        <v>0.43337708755156501</v>
      </c>
      <c r="F55">
        <v>174.06229727608999</v>
      </c>
      <c r="G55">
        <v>-1.62015527745648</v>
      </c>
      <c r="H55">
        <v>5.9589926780188698</v>
      </c>
      <c r="I55">
        <v>-9.1308228621370405E-2</v>
      </c>
      <c r="J55">
        <v>11</v>
      </c>
    </row>
    <row r="56" spans="1:10">
      <c r="A56" t="s">
        <v>12</v>
      </c>
      <c r="B56">
        <v>11</v>
      </c>
      <c r="C56" t="s">
        <v>27</v>
      </c>
      <c r="D56">
        <v>3.85336939422618</v>
      </c>
      <c r="E56">
        <v>-17.2849663675036</v>
      </c>
      <c r="F56">
        <v>150.81104899166999</v>
      </c>
      <c r="G56">
        <v>27.458222919218901</v>
      </c>
      <c r="H56">
        <v>5.9677674276518902</v>
      </c>
      <c r="I56">
        <v>0.59838824131082702</v>
      </c>
      <c r="J56">
        <v>11</v>
      </c>
    </row>
    <row r="57" spans="1:10">
      <c r="A57" t="s">
        <v>12</v>
      </c>
      <c r="B57">
        <v>11</v>
      </c>
      <c r="C57" t="s">
        <v>28</v>
      </c>
      <c r="D57">
        <v>-2.4302645095732101</v>
      </c>
      <c r="E57">
        <v>14.093243909724499</v>
      </c>
      <c r="F57">
        <v>185.445356665399</v>
      </c>
      <c r="G57">
        <v>-23.982061230305</v>
      </c>
      <c r="H57">
        <v>-4.1705887212138304</v>
      </c>
      <c r="I57">
        <v>-0.55723069049443097</v>
      </c>
      <c r="J57">
        <v>11</v>
      </c>
    </row>
    <row r="58" spans="1:10">
      <c r="A58" t="s">
        <v>12</v>
      </c>
      <c r="B58">
        <v>11</v>
      </c>
      <c r="C58" t="s">
        <v>29</v>
      </c>
      <c r="D58">
        <v>-2.7649066412989201</v>
      </c>
      <c r="E58">
        <v>-3.6694565292630501</v>
      </c>
      <c r="F58">
        <v>146.99543219963101</v>
      </c>
      <c r="G58">
        <v>5.2635248395770597</v>
      </c>
      <c r="H58">
        <v>-4.7430995182689202</v>
      </c>
      <c r="I58">
        <v>0.142275417942376</v>
      </c>
      <c r="J58">
        <v>11</v>
      </c>
    </row>
    <row r="59" spans="1:10">
      <c r="A59" t="s">
        <v>12</v>
      </c>
      <c r="B59">
        <v>11</v>
      </c>
      <c r="C59" t="s">
        <v>30</v>
      </c>
      <c r="D59">
        <v>4.1941175187101001</v>
      </c>
      <c r="E59">
        <v>0.83996195171718102</v>
      </c>
      <c r="F59">
        <v>160.18230874975399</v>
      </c>
      <c r="G59">
        <v>-2.1992220980083501</v>
      </c>
      <c r="H59">
        <v>6.5022412035085004</v>
      </c>
      <c r="I59">
        <v>-0.106362368789997</v>
      </c>
      <c r="J59">
        <v>11</v>
      </c>
    </row>
    <row r="60" spans="1:10">
      <c r="A60" t="s">
        <v>12</v>
      </c>
      <c r="B60">
        <v>11</v>
      </c>
      <c r="C60" t="s">
        <v>31</v>
      </c>
      <c r="D60">
        <v>4.2055131630385798</v>
      </c>
      <c r="E60">
        <v>-18.847086331677499</v>
      </c>
      <c r="F60">
        <v>134.347588433732</v>
      </c>
      <c r="G60">
        <v>30.110087009408701</v>
      </c>
      <c r="H60">
        <v>6.5119909253229604</v>
      </c>
      <c r="I60">
        <v>0.65996704224577796</v>
      </c>
      <c r="J60">
        <v>11</v>
      </c>
    </row>
    <row r="61" spans="1:10">
      <c r="A61" t="s">
        <v>12</v>
      </c>
      <c r="B61">
        <v>11</v>
      </c>
      <c r="C61" t="s">
        <v>32</v>
      </c>
      <c r="D61">
        <v>-2.7763022856273998</v>
      </c>
      <c r="E61">
        <v>16.017591754131601</v>
      </c>
      <c r="F61">
        <v>172.830152515653</v>
      </c>
      <c r="G61">
        <v>-27.045784267839998</v>
      </c>
      <c r="H61">
        <v>-4.7528492400833899</v>
      </c>
      <c r="I61">
        <v>-0.62405399309339804</v>
      </c>
      <c r="J61">
        <v>11</v>
      </c>
    </row>
    <row r="62" spans="1:10">
      <c r="A62" t="s">
        <v>12</v>
      </c>
      <c r="B62">
        <v>13</v>
      </c>
      <c r="C62" t="s">
        <v>23</v>
      </c>
      <c r="D62">
        <v>0.29769404060154903</v>
      </c>
      <c r="E62">
        <v>1.55007722171503</v>
      </c>
      <c r="F62">
        <v>101.485460753475</v>
      </c>
      <c r="G62">
        <v>-1.6225389441607001</v>
      </c>
      <c r="H62">
        <v>0.37226883835331298</v>
      </c>
      <c r="I62">
        <v>1.79565245761895E-2</v>
      </c>
      <c r="J62">
        <v>13</v>
      </c>
    </row>
    <row r="63" spans="1:10">
      <c r="A63" t="s">
        <v>12</v>
      </c>
      <c r="B63">
        <v>13</v>
      </c>
      <c r="C63" t="s">
        <v>24</v>
      </c>
      <c r="D63">
        <v>0.33782969044099098</v>
      </c>
      <c r="E63">
        <v>1.7393267020677401</v>
      </c>
      <c r="F63">
        <v>112.984557598294</v>
      </c>
      <c r="G63">
        <v>-1.81420334940279</v>
      </c>
      <c r="H63">
        <v>0.42326777023997297</v>
      </c>
      <c r="I63">
        <v>2.08701366117542E-2</v>
      </c>
      <c r="J63">
        <v>13</v>
      </c>
    </row>
    <row r="64" spans="1:10">
      <c r="A64" t="s">
        <v>12</v>
      </c>
      <c r="B64">
        <v>13</v>
      </c>
      <c r="C64" t="s">
        <v>25</v>
      </c>
      <c r="D64">
        <v>-4.1552810178567503</v>
      </c>
      <c r="E64">
        <v>1.2502325250642401</v>
      </c>
      <c r="F64">
        <v>116.25209128569399</v>
      </c>
      <c r="G64">
        <v>-1.0258507671788299</v>
      </c>
      <c r="H64">
        <v>-6.5517714167107899</v>
      </c>
      <c r="I64">
        <v>0.132465779437766</v>
      </c>
      <c r="J64">
        <v>13</v>
      </c>
    </row>
    <row r="65" spans="1:10">
      <c r="A65" t="s">
        <v>12</v>
      </c>
      <c r="B65">
        <v>13</v>
      </c>
      <c r="C65" t="s">
        <v>26</v>
      </c>
      <c r="D65">
        <v>4.82291326877084</v>
      </c>
      <c r="E65">
        <v>2.1905709830007001</v>
      </c>
      <c r="F65">
        <v>107.41720454193</v>
      </c>
      <c r="G65">
        <v>-2.5642230505783199</v>
      </c>
      <c r="H65">
        <v>7.3881071708133996</v>
      </c>
      <c r="I65">
        <v>-9.1308228621370405E-2</v>
      </c>
      <c r="J65">
        <v>13</v>
      </c>
    </row>
    <row r="66" spans="1:10">
      <c r="A66" t="s">
        <v>12</v>
      </c>
      <c r="B66">
        <v>13</v>
      </c>
      <c r="C66" t="s">
        <v>27</v>
      </c>
      <c r="D66">
        <v>-1.29318268454149</v>
      </c>
      <c r="E66">
        <v>-5.1662263998332598</v>
      </c>
      <c r="F66">
        <v>107.73991571966</v>
      </c>
      <c r="G66">
        <v>9.7967797909420007</v>
      </c>
      <c r="H66">
        <v>-2.1118320030845101</v>
      </c>
      <c r="I66">
        <v>0.59838824131082702</v>
      </c>
      <c r="J66">
        <v>13</v>
      </c>
    </row>
    <row r="67" spans="1:10">
      <c r="A67" t="s">
        <v>12</v>
      </c>
      <c r="B67">
        <v>13</v>
      </c>
      <c r="C67" t="s">
        <v>28</v>
      </c>
      <c r="D67">
        <v>1.9608149354555899</v>
      </c>
      <c r="E67">
        <v>8.6070299078982</v>
      </c>
      <c r="F67">
        <v>115.92938010796399</v>
      </c>
      <c r="G67">
        <v>-13.3868536086992</v>
      </c>
      <c r="H67">
        <v>2.9481677571871199</v>
      </c>
      <c r="I67">
        <v>-0.55723069049443097</v>
      </c>
      <c r="J67">
        <v>13</v>
      </c>
    </row>
    <row r="68" spans="1:10">
      <c r="A68" t="s">
        <v>12</v>
      </c>
      <c r="B68">
        <v>13</v>
      </c>
      <c r="C68" t="s">
        <v>29</v>
      </c>
      <c r="D68">
        <v>-4.6901916741915501</v>
      </c>
      <c r="E68">
        <v>1.02766696730589</v>
      </c>
      <c r="F68">
        <v>106.39373116667799</v>
      </c>
      <c r="G68">
        <v>-0.76788767560542504</v>
      </c>
      <c r="H68">
        <v>-7.3721081547156802</v>
      </c>
      <c r="I68">
        <v>0.142275417942376</v>
      </c>
      <c r="J68">
        <v>13</v>
      </c>
    </row>
    <row r="69" spans="1:10">
      <c r="A69" t="s">
        <v>12</v>
      </c>
      <c r="B69">
        <v>13</v>
      </c>
      <c r="C69" t="s">
        <v>30</v>
      </c>
      <c r="D69">
        <v>5.2855797553946502</v>
      </c>
      <c r="E69">
        <v>2.0724874761241701</v>
      </c>
      <c r="F69">
        <v>96.577190340273205</v>
      </c>
      <c r="G69">
        <v>-2.47719021271597</v>
      </c>
      <c r="H69">
        <v>8.1166458314223107</v>
      </c>
      <c r="I69">
        <v>-0.106362368789997</v>
      </c>
      <c r="J69">
        <v>13</v>
      </c>
    </row>
    <row r="70" spans="1:10">
      <c r="A70" t="s">
        <v>12</v>
      </c>
      <c r="B70">
        <v>13</v>
      </c>
      <c r="C70" t="s">
        <v>31</v>
      </c>
      <c r="D70">
        <v>-1.5100824149523799</v>
      </c>
      <c r="E70">
        <v>-6.1017318381357804</v>
      </c>
      <c r="F70">
        <v>96.935758315528702</v>
      </c>
      <c r="G70">
        <v>11.257257388973301</v>
      </c>
      <c r="H70">
        <v>-2.4388421395753701</v>
      </c>
      <c r="I70">
        <v>0.65996704224577796</v>
      </c>
      <c r="J70">
        <v>13</v>
      </c>
    </row>
    <row r="71" spans="1:10">
      <c r="A71" t="s">
        <v>12</v>
      </c>
      <c r="B71">
        <v>13</v>
      </c>
      <c r="C71" t="s">
        <v>32</v>
      </c>
      <c r="D71">
        <v>2.1054704961554802</v>
      </c>
      <c r="E71">
        <v>9.2018862815658409</v>
      </c>
      <c r="F71">
        <v>106.035163191422</v>
      </c>
      <c r="G71">
        <v>-14.5023352772947</v>
      </c>
      <c r="H71">
        <v>3.18337981628199</v>
      </c>
      <c r="I71">
        <v>-0.62405399309339804</v>
      </c>
      <c r="J71">
        <v>13</v>
      </c>
    </row>
    <row r="72" spans="1:10">
      <c r="A72" t="s">
        <v>12</v>
      </c>
      <c r="B72">
        <v>15</v>
      </c>
      <c r="C72" t="s">
        <v>23</v>
      </c>
      <c r="D72">
        <v>0.122673320088194</v>
      </c>
      <c r="E72">
        <v>0.175083811488247</v>
      </c>
      <c r="F72">
        <v>142.778307522235</v>
      </c>
      <c r="G72">
        <v>-1.3342382106812699E-2</v>
      </c>
      <c r="H72">
        <v>0.230288425853752</v>
      </c>
      <c r="I72">
        <v>1.9053200283005101E-2</v>
      </c>
      <c r="J72">
        <v>15</v>
      </c>
    </row>
    <row r="73" spans="1:10">
      <c r="A73" t="s">
        <v>12</v>
      </c>
      <c r="B73">
        <v>15</v>
      </c>
      <c r="C73" t="s">
        <v>24</v>
      </c>
      <c r="D73">
        <v>9.4219080557767704E-2</v>
      </c>
      <c r="E73">
        <v>0.22850063036113699</v>
      </c>
      <c r="F73">
        <v>158.48640139102201</v>
      </c>
      <c r="G73">
        <v>-3.4824959343541503E-2</v>
      </c>
      <c r="H73">
        <v>0.21556811154368999</v>
      </c>
      <c r="I73">
        <v>2.2118855482409001E-2</v>
      </c>
      <c r="J73">
        <v>15</v>
      </c>
    </row>
    <row r="74" spans="1:10">
      <c r="A74" t="s">
        <v>12</v>
      </c>
      <c r="B74">
        <v>15</v>
      </c>
      <c r="C74" t="s">
        <v>25</v>
      </c>
      <c r="D74">
        <v>-3.8453187896924401</v>
      </c>
      <c r="E74">
        <v>-1.85532276160701</v>
      </c>
      <c r="F74">
        <v>156.04828291385499</v>
      </c>
      <c r="G74">
        <v>3.3820003151748899</v>
      </c>
      <c r="H74">
        <v>-6.2039484573568098</v>
      </c>
      <c r="I74">
        <v>0.13250941039726399</v>
      </c>
      <c r="J74">
        <v>15</v>
      </c>
    </row>
    <row r="75" spans="1:10">
      <c r="A75" t="s">
        <v>12</v>
      </c>
      <c r="B75">
        <v>15</v>
      </c>
      <c r="C75" t="s">
        <v>26</v>
      </c>
      <c r="D75">
        <v>4.0394477987140602</v>
      </c>
      <c r="E75">
        <v>2.3016406585547098</v>
      </c>
      <c r="F75">
        <v>157.78290109443199</v>
      </c>
      <c r="G75">
        <v>-3.4473537184146301</v>
      </c>
      <c r="H75">
        <v>6.6380287433062</v>
      </c>
      <c r="I75">
        <v>-8.8884830472326495E-2</v>
      </c>
      <c r="J75">
        <v>15</v>
      </c>
    </row>
    <row r="76" spans="1:10">
      <c r="A76" t="s">
        <v>12</v>
      </c>
      <c r="B76">
        <v>15</v>
      </c>
      <c r="C76" t="s">
        <v>27</v>
      </c>
      <c r="D76">
        <v>-1.30987345918766</v>
      </c>
      <c r="E76">
        <v>-15.7546491073259</v>
      </c>
      <c r="F76">
        <v>175.29267665366001</v>
      </c>
      <c r="G76">
        <v>26.007358814556799</v>
      </c>
      <c r="H76">
        <v>-2.0965438618871199</v>
      </c>
      <c r="I76">
        <v>0.58422890657951299</v>
      </c>
      <c r="J76">
        <v>15</v>
      </c>
    </row>
    <row r="77" spans="1:10">
      <c r="A77" t="s">
        <v>12</v>
      </c>
      <c r="B77">
        <v>15</v>
      </c>
      <c r="C77" t="s">
        <v>28</v>
      </c>
      <c r="D77">
        <v>1.5040024682092801</v>
      </c>
      <c r="E77">
        <v>16.2009670042736</v>
      </c>
      <c r="F77">
        <v>138.538507354627</v>
      </c>
      <c r="G77">
        <v>-26.0727122177966</v>
      </c>
      <c r="H77">
        <v>2.5306241478365101</v>
      </c>
      <c r="I77">
        <v>-0.54060432665457603</v>
      </c>
      <c r="J77">
        <v>15</v>
      </c>
    </row>
    <row r="78" spans="1:10">
      <c r="A78" t="s">
        <v>12</v>
      </c>
      <c r="B78">
        <v>15</v>
      </c>
      <c r="C78" t="s">
        <v>29</v>
      </c>
      <c r="D78">
        <v>-4.25775256235986</v>
      </c>
      <c r="E78">
        <v>-2.1343403108238199</v>
      </c>
      <c r="F78">
        <v>141.814630755248</v>
      </c>
      <c r="G78">
        <v>3.78074319210958</v>
      </c>
      <c r="H78">
        <v>-6.9041433522923601</v>
      </c>
      <c r="I78">
        <v>0.14205000076611099</v>
      </c>
      <c r="J78">
        <v>15</v>
      </c>
    </row>
    <row r="79" spans="1:10">
      <c r="A79" t="s">
        <v>12</v>
      </c>
      <c r="B79">
        <v>15</v>
      </c>
      <c r="C79" t="s">
        <v>30</v>
      </c>
      <c r="D79">
        <v>4.5030992025362497</v>
      </c>
      <c r="E79">
        <v>2.4845079338003102</v>
      </c>
      <c r="F79">
        <v>143.74198428922199</v>
      </c>
      <c r="G79">
        <v>-3.8074279563232101</v>
      </c>
      <c r="H79">
        <v>7.3647202039998696</v>
      </c>
      <c r="I79">
        <v>-0.103943600200101</v>
      </c>
      <c r="J79">
        <v>15</v>
      </c>
    </row>
    <row r="80" spans="1:10">
      <c r="A80" t="s">
        <v>12</v>
      </c>
      <c r="B80">
        <v>15</v>
      </c>
      <c r="C80" t="s">
        <v>31</v>
      </c>
      <c r="D80">
        <v>-1.4405910840212199</v>
      </c>
      <c r="E80">
        <v>-17.578036250511499</v>
      </c>
      <c r="F80">
        <v>163.19729046614199</v>
      </c>
      <c r="G80">
        <v>28.920030413645101</v>
      </c>
      <c r="H80">
        <v>-2.34036046843715</v>
      </c>
      <c r="I80">
        <v>0.64396055207972103</v>
      </c>
      <c r="J80">
        <v>15</v>
      </c>
    </row>
    <row r="81" spans="1:10">
      <c r="A81" t="s">
        <v>12</v>
      </c>
      <c r="B81">
        <v>15</v>
      </c>
      <c r="C81" t="s">
        <v>32</v>
      </c>
      <c r="D81">
        <v>1.6859377241976099</v>
      </c>
      <c r="E81">
        <v>17.928203873487998</v>
      </c>
      <c r="F81">
        <v>122.359324578327</v>
      </c>
      <c r="G81">
        <v>-28.9467151778587</v>
      </c>
      <c r="H81">
        <v>2.8009373201446599</v>
      </c>
      <c r="I81">
        <v>-0.60585415151371103</v>
      </c>
      <c r="J81">
        <v>15</v>
      </c>
    </row>
    <row r="82" spans="1:10">
      <c r="A82" t="s">
        <v>12</v>
      </c>
      <c r="B82">
        <v>17</v>
      </c>
      <c r="C82" t="s">
        <v>23</v>
      </c>
      <c r="D82">
        <v>9.80202987273954E-2</v>
      </c>
      <c r="E82">
        <v>1.8709720281278499</v>
      </c>
      <c r="F82">
        <v>125.145974845688</v>
      </c>
      <c r="G82">
        <v>-1.99115152549204</v>
      </c>
      <c r="H82">
        <v>0.170788125706061</v>
      </c>
      <c r="I82">
        <v>1.79565245761895E-2</v>
      </c>
      <c r="J82">
        <v>17</v>
      </c>
    </row>
    <row r="83" spans="1:10">
      <c r="A83" t="s">
        <v>12</v>
      </c>
      <c r="B83">
        <v>17</v>
      </c>
      <c r="C83" t="s">
        <v>24</v>
      </c>
      <c r="D83">
        <v>0.108427535657244</v>
      </c>
      <c r="E83">
        <v>2.1002356181146502</v>
      </c>
      <c r="F83">
        <v>139.36838165045299</v>
      </c>
      <c r="G83">
        <v>-2.23046360585478</v>
      </c>
      <c r="H83">
        <v>0.19178961394952199</v>
      </c>
      <c r="I83">
        <v>2.08701366117542E-2</v>
      </c>
      <c r="J83">
        <v>17</v>
      </c>
    </row>
    <row r="84" spans="1:10">
      <c r="A84" t="s">
        <v>12</v>
      </c>
      <c r="B84">
        <v>17</v>
      </c>
      <c r="C84" t="s">
        <v>25</v>
      </c>
      <c r="D84">
        <v>-4.3590707924444603</v>
      </c>
      <c r="E84">
        <v>1.99097497153194</v>
      </c>
      <c r="F84">
        <v>137.61413440821599</v>
      </c>
      <c r="G84">
        <v>-2.1038892932717999</v>
      </c>
      <c r="H84">
        <v>-6.7574054105888299</v>
      </c>
      <c r="I84">
        <v>0.132465779437766</v>
      </c>
      <c r="J84">
        <v>17</v>
      </c>
    </row>
    <row r="85" spans="1:10">
      <c r="A85" t="s">
        <v>12</v>
      </c>
      <c r="B85">
        <v>17</v>
      </c>
      <c r="C85" t="s">
        <v>26</v>
      </c>
      <c r="D85">
        <v>4.5738444163729799</v>
      </c>
      <c r="E85">
        <v>2.1636435466999999</v>
      </c>
      <c r="F85">
        <v>138.27814753173701</v>
      </c>
      <c r="G85">
        <v>-2.3091755023651999</v>
      </c>
      <c r="H85">
        <v>7.1367843408391796</v>
      </c>
      <c r="I85">
        <v>-9.1308228621370405E-2</v>
      </c>
      <c r="J85">
        <v>17</v>
      </c>
    </row>
    <row r="86" spans="1:10">
      <c r="A86" t="s">
        <v>12</v>
      </c>
      <c r="B86">
        <v>17</v>
      </c>
      <c r="C86" t="s">
        <v>27</v>
      </c>
      <c r="D86">
        <v>-1.46286164759564</v>
      </c>
      <c r="E86">
        <v>-2.66270687826366</v>
      </c>
      <c r="F86">
        <v>133.51215090400399</v>
      </c>
      <c r="G86">
        <v>5.7772167873102198</v>
      </c>
      <c r="H86">
        <v>-2.2830464956688301</v>
      </c>
      <c r="I86">
        <v>0.59838824131082702</v>
      </c>
      <c r="J86">
        <v>17</v>
      </c>
    </row>
    <row r="87" spans="1:10">
      <c r="A87" t="s">
        <v>12</v>
      </c>
      <c r="B87">
        <v>17</v>
      </c>
      <c r="C87" t="s">
        <v>28</v>
      </c>
      <c r="D87">
        <v>1.67763527152416</v>
      </c>
      <c r="E87">
        <v>6.8173253964956002</v>
      </c>
      <c r="F87">
        <v>142.38013103595</v>
      </c>
      <c r="G87">
        <v>-10.1902815829472</v>
      </c>
      <c r="H87">
        <v>2.6624254259191802</v>
      </c>
      <c r="I87">
        <v>-0.55723069049443097</v>
      </c>
      <c r="J87">
        <v>17</v>
      </c>
    </row>
    <row r="88" spans="1:10">
      <c r="A88" t="s">
        <v>12</v>
      </c>
      <c r="B88">
        <v>17</v>
      </c>
      <c r="C88" t="s">
        <v>29</v>
      </c>
      <c r="D88">
        <v>-4.86471037283785</v>
      </c>
      <c r="E88">
        <v>1.7750450419233701</v>
      </c>
      <c r="F88">
        <v>124.77707866595399</v>
      </c>
      <c r="G88">
        <v>-1.8771036315512599</v>
      </c>
      <c r="H88">
        <v>-7.54820618064283</v>
      </c>
      <c r="I88">
        <v>0.142275417942376</v>
      </c>
      <c r="J88">
        <v>17</v>
      </c>
    </row>
    <row r="89" spans="1:10">
      <c r="A89" t="s">
        <v>12</v>
      </c>
      <c r="B89">
        <v>17</v>
      </c>
      <c r="C89" t="s">
        <v>30</v>
      </c>
      <c r="D89">
        <v>5.0607509702926396</v>
      </c>
      <c r="E89">
        <v>1.9668990143323299</v>
      </c>
      <c r="F89">
        <v>125.51487102542301</v>
      </c>
      <c r="G89">
        <v>-2.1051994194328199</v>
      </c>
      <c r="H89">
        <v>7.8897824320549503</v>
      </c>
      <c r="I89">
        <v>-0.106362368789997</v>
      </c>
      <c r="J89">
        <v>17</v>
      </c>
    </row>
    <row r="90" spans="1:10">
      <c r="A90" t="s">
        <v>12</v>
      </c>
      <c r="B90">
        <v>17</v>
      </c>
      <c r="C90" t="s">
        <v>31</v>
      </c>
      <c r="D90">
        <v>-1.6467002118947101</v>
      </c>
      <c r="E90">
        <v>-3.39571256896062</v>
      </c>
      <c r="F90">
        <v>120.21931921682901</v>
      </c>
      <c r="G90">
        <v>6.8796809024287597</v>
      </c>
      <c r="H90">
        <v>-2.5766962751761699</v>
      </c>
      <c r="I90">
        <v>0.65996704224577796</v>
      </c>
      <c r="J90">
        <v>17</v>
      </c>
    </row>
    <row r="91" spans="1:10">
      <c r="A91" t="s">
        <v>12</v>
      </c>
      <c r="B91">
        <v>17</v>
      </c>
      <c r="C91" t="s">
        <v>32</v>
      </c>
      <c r="D91">
        <v>1.8427408093494999</v>
      </c>
      <c r="E91">
        <v>7.13765662521633</v>
      </c>
      <c r="F91">
        <v>130.072630474547</v>
      </c>
      <c r="G91">
        <v>-10.8619839534128</v>
      </c>
      <c r="H91">
        <v>2.9182725265882898</v>
      </c>
      <c r="I91">
        <v>-0.62405399309339804</v>
      </c>
      <c r="J91">
        <v>17</v>
      </c>
    </row>
    <row r="92" spans="1:10">
      <c r="A92" t="s">
        <v>12</v>
      </c>
      <c r="B92">
        <v>19</v>
      </c>
      <c r="C92" t="s">
        <v>23</v>
      </c>
      <c r="D92">
        <v>-0.36082408918488901</v>
      </c>
      <c r="E92">
        <v>1.7320449819352599</v>
      </c>
      <c r="F92">
        <v>126.30034576244</v>
      </c>
      <c r="G92">
        <v>-1.78073666071687</v>
      </c>
      <c r="H92">
        <v>-0.29220862791327701</v>
      </c>
      <c r="I92">
        <v>1.79565245761895E-2</v>
      </c>
      <c r="J92">
        <v>19</v>
      </c>
    </row>
    <row r="93" spans="1:10">
      <c r="A93" t="s">
        <v>12</v>
      </c>
      <c r="B93">
        <v>19</v>
      </c>
      <c r="C93" t="s">
        <v>24</v>
      </c>
      <c r="D93">
        <v>-0.40422380602463898</v>
      </c>
      <c r="E93">
        <v>1.9454649122895999</v>
      </c>
      <c r="F93">
        <v>140.950213750275</v>
      </c>
      <c r="G93">
        <v>-1.9926661415090701</v>
      </c>
      <c r="H93">
        <v>-0.32550102573175599</v>
      </c>
      <c r="I93">
        <v>2.08701366117542E-2</v>
      </c>
      <c r="J93">
        <v>19</v>
      </c>
    </row>
    <row r="94" spans="1:10">
      <c r="A94" t="s">
        <v>12</v>
      </c>
      <c r="B94">
        <v>19</v>
      </c>
      <c r="C94" t="s">
        <v>25</v>
      </c>
      <c r="D94">
        <v>-4.8628101758000497</v>
      </c>
      <c r="E94">
        <v>1.2281924598746401</v>
      </c>
      <c r="F94">
        <v>132.09851371758401</v>
      </c>
      <c r="G94">
        <v>-0.81611094195020595</v>
      </c>
      <c r="H94">
        <v>-7.2657034421394098</v>
      </c>
      <c r="I94">
        <v>0.132465779437766</v>
      </c>
      <c r="J94">
        <v>19</v>
      </c>
    </row>
    <row r="95" spans="1:10">
      <c r="A95" t="s">
        <v>12</v>
      </c>
      <c r="B95">
        <v>19</v>
      </c>
      <c r="C95" t="s">
        <v>26</v>
      </c>
      <c r="D95">
        <v>4.0630425071187197</v>
      </c>
      <c r="E95">
        <v>2.6200533786336999</v>
      </c>
      <c r="F95">
        <v>146.87194018539901</v>
      </c>
      <c r="G95">
        <v>-3.1268354449094899</v>
      </c>
      <c r="H95">
        <v>6.6213598702396004</v>
      </c>
      <c r="I95">
        <v>-9.1308228621370405E-2</v>
      </c>
      <c r="J95">
        <v>19</v>
      </c>
    </row>
    <row r="96" spans="1:10">
      <c r="A96" t="s">
        <v>12</v>
      </c>
      <c r="B96">
        <v>19</v>
      </c>
      <c r="C96" t="s">
        <v>27</v>
      </c>
      <c r="D96">
        <v>-1.95350581829451</v>
      </c>
      <c r="E96">
        <v>-6.2003021715476496</v>
      </c>
      <c r="F96">
        <v>128.27435975030801</v>
      </c>
      <c r="G96">
        <v>11.6872094986993</v>
      </c>
      <c r="H96">
        <v>-2.7781308079112099</v>
      </c>
      <c r="I96">
        <v>0.59838824131082702</v>
      </c>
      <c r="J96">
        <v>19</v>
      </c>
    </row>
    <row r="97" spans="1:10">
      <c r="A97" t="s">
        <v>12</v>
      </c>
      <c r="B97">
        <v>19</v>
      </c>
      <c r="C97" t="s">
        <v>28</v>
      </c>
      <c r="D97">
        <v>1.15373814961318</v>
      </c>
      <c r="E97">
        <v>10.048548010056001</v>
      </c>
      <c r="F97">
        <v>150.69609415267499</v>
      </c>
      <c r="G97">
        <v>-15.630155885559001</v>
      </c>
      <c r="H97">
        <v>2.1337872360114001</v>
      </c>
      <c r="I97">
        <v>-0.55723069049443097</v>
      </c>
      <c r="J97">
        <v>19</v>
      </c>
    </row>
    <row r="98" spans="1:10">
      <c r="A98" t="s">
        <v>12</v>
      </c>
      <c r="B98">
        <v>19</v>
      </c>
      <c r="C98" t="s">
        <v>29</v>
      </c>
      <c r="D98">
        <v>-5.3196311352508703</v>
      </c>
      <c r="E98">
        <v>0.95878891595800297</v>
      </c>
      <c r="F98">
        <v>118.092886613654</v>
      </c>
      <c r="G98">
        <v>-0.497000825739492</v>
      </c>
      <c r="H98">
        <v>-8.0072438014571699</v>
      </c>
      <c r="I98">
        <v>0.142275417942376</v>
      </c>
      <c r="J98">
        <v>19</v>
      </c>
    </row>
    <row r="99" spans="1:10">
      <c r="A99" t="s">
        <v>12</v>
      </c>
      <c r="B99">
        <v>19</v>
      </c>
      <c r="C99" t="s">
        <v>30</v>
      </c>
      <c r="D99">
        <v>4.5979829568810997</v>
      </c>
      <c r="E99">
        <v>2.5053010479125102</v>
      </c>
      <c r="F99">
        <v>134.507804911226</v>
      </c>
      <c r="G99">
        <v>-3.06447249569425</v>
      </c>
      <c r="H99">
        <v>7.4228265456306204</v>
      </c>
      <c r="I99">
        <v>-0.106362368789997</v>
      </c>
      <c r="J99">
        <v>19</v>
      </c>
    </row>
    <row r="100" spans="1:10">
      <c r="A100" t="s">
        <v>12</v>
      </c>
      <c r="B100">
        <v>19</v>
      </c>
      <c r="C100" t="s">
        <v>31</v>
      </c>
      <c r="D100">
        <v>-2.0870707380225002</v>
      </c>
      <c r="E100">
        <v>-7.2950940078445399</v>
      </c>
      <c r="F100">
        <v>113.84382665001399</v>
      </c>
      <c r="G100">
        <v>13.3955774416488</v>
      </c>
      <c r="H100">
        <v>-3.02105198564806</v>
      </c>
      <c r="I100">
        <v>0.65996704224577796</v>
      </c>
      <c r="J100">
        <v>19</v>
      </c>
    </row>
    <row r="101" spans="1:10">
      <c r="A101" t="s">
        <v>12</v>
      </c>
      <c r="B101">
        <v>19</v>
      </c>
      <c r="C101" t="s">
        <v>32</v>
      </c>
      <c r="D101">
        <v>1.3654225596527201</v>
      </c>
      <c r="E101">
        <v>10.7591839717151</v>
      </c>
      <c r="F101">
        <v>138.75686487486601</v>
      </c>
      <c r="G101">
        <v>-16.957050763082599</v>
      </c>
      <c r="H101">
        <v>2.4366347298214999</v>
      </c>
      <c r="I101">
        <v>-0.62405399309339804</v>
      </c>
      <c r="J101">
        <v>19</v>
      </c>
    </row>
    <row r="102" spans="1:10">
      <c r="A102" t="s">
        <v>12</v>
      </c>
      <c r="B102">
        <v>21</v>
      </c>
      <c r="C102" t="s">
        <v>23</v>
      </c>
      <c r="D102">
        <v>0.62437277733969099</v>
      </c>
      <c r="E102">
        <v>1.53205670236146</v>
      </c>
      <c r="F102">
        <v>199.806321260815</v>
      </c>
      <c r="G102">
        <v>-1.5212491571960101</v>
      </c>
      <c r="H102">
        <v>0.70190389235148898</v>
      </c>
      <c r="I102">
        <v>1.79565245761895E-2</v>
      </c>
      <c r="J102">
        <v>21</v>
      </c>
    </row>
    <row r="103" spans="1:10">
      <c r="A103" t="s">
        <v>12</v>
      </c>
      <c r="B103">
        <v>21</v>
      </c>
      <c r="C103" t="s">
        <v>24</v>
      </c>
      <c r="D103">
        <v>0.72958895321609696</v>
      </c>
      <c r="E103">
        <v>1.7206685337181</v>
      </c>
      <c r="F103">
        <v>222.44401723534099</v>
      </c>
      <c r="G103">
        <v>-1.6987853959032699</v>
      </c>
      <c r="H103">
        <v>0.81857230407215598</v>
      </c>
      <c r="I103">
        <v>2.08701366117542E-2</v>
      </c>
      <c r="J103">
        <v>21</v>
      </c>
    </row>
    <row r="104" spans="1:10">
      <c r="A104" t="s">
        <v>12</v>
      </c>
      <c r="B104">
        <v>21</v>
      </c>
      <c r="C104" t="s">
        <v>25</v>
      </c>
      <c r="D104">
        <v>-3.6817119924576098</v>
      </c>
      <c r="E104">
        <v>0.53134465327608504</v>
      </c>
      <c r="F104">
        <v>218.44173929148599</v>
      </c>
      <c r="G104">
        <v>0.31261942221560302</v>
      </c>
      <c r="H104">
        <v>-6.0739167732834201</v>
      </c>
      <c r="I104">
        <v>0.132465779437766</v>
      </c>
      <c r="J104">
        <v>21</v>
      </c>
    </row>
    <row r="105" spans="1:10">
      <c r="A105" t="s">
        <v>12</v>
      </c>
      <c r="B105">
        <v>21</v>
      </c>
      <c r="C105" t="s">
        <v>26</v>
      </c>
      <c r="D105">
        <v>5.1198466637145197</v>
      </c>
      <c r="E105">
        <v>2.8722700478887901</v>
      </c>
      <c r="F105">
        <v>221.91875598428999</v>
      </c>
      <c r="G105">
        <v>-3.6746829662807001</v>
      </c>
      <c r="H105">
        <v>7.6877276990835997</v>
      </c>
      <c r="I105">
        <v>-9.1308228621370405E-2</v>
      </c>
      <c r="J105">
        <v>21</v>
      </c>
    </row>
    <row r="106" spans="1:10">
      <c r="A106" t="s">
        <v>12</v>
      </c>
      <c r="B106">
        <v>21</v>
      </c>
      <c r="C106" t="s">
        <v>27</v>
      </c>
      <c r="D106">
        <v>-0.93844859420411797</v>
      </c>
      <c r="E106">
        <v>-8.9457699778477409</v>
      </c>
      <c r="F106">
        <v>211.70791841914499</v>
      </c>
      <c r="G106">
        <v>16.379980641467998</v>
      </c>
      <c r="H106">
        <v>-1.7538877052985</v>
      </c>
      <c r="I106">
        <v>0.59838824131082702</v>
      </c>
      <c r="J106">
        <v>21</v>
      </c>
    </row>
    <row r="107" spans="1:10">
      <c r="A107" t="s">
        <v>12</v>
      </c>
      <c r="B107">
        <v>21</v>
      </c>
      <c r="C107" t="s">
        <v>28</v>
      </c>
      <c r="D107">
        <v>2.3765832654610302</v>
      </c>
      <c r="E107">
        <v>12.3493846790126</v>
      </c>
      <c r="F107">
        <v>228.65257685663201</v>
      </c>
      <c r="G107">
        <v>-19.7420441855331</v>
      </c>
      <c r="H107">
        <v>3.3676986310986798</v>
      </c>
      <c r="I107">
        <v>-0.55723069049443097</v>
      </c>
      <c r="J107">
        <v>21</v>
      </c>
    </row>
    <row r="108" spans="1:10">
      <c r="A108" t="s">
        <v>12</v>
      </c>
      <c r="B108">
        <v>21</v>
      </c>
      <c r="C108" t="s">
        <v>29</v>
      </c>
      <c r="D108">
        <v>-4.2653820316448297</v>
      </c>
      <c r="E108">
        <v>0.23154259424328599</v>
      </c>
      <c r="F108">
        <v>197.87464532036799</v>
      </c>
      <c r="G108">
        <v>0.69391883641304597</v>
      </c>
      <c r="H108">
        <v>-6.9434541478524103</v>
      </c>
      <c r="I108">
        <v>0.142275417942376</v>
      </c>
      <c r="J108">
        <v>21</v>
      </c>
    </row>
    <row r="109" spans="1:10">
      <c r="A109" t="s">
        <v>12</v>
      </c>
      <c r="B109">
        <v>21</v>
      </c>
      <c r="C109" t="s">
        <v>30</v>
      </c>
      <c r="D109">
        <v>5.5141275863242099</v>
      </c>
      <c r="E109">
        <v>2.8325708104796301</v>
      </c>
      <c r="F109">
        <v>201.73799720126101</v>
      </c>
      <c r="G109">
        <v>-3.7364171508050701</v>
      </c>
      <c r="H109">
        <v>8.3472619325553907</v>
      </c>
      <c r="I109">
        <v>-0.106362368789997</v>
      </c>
      <c r="J109">
        <v>21</v>
      </c>
    </row>
    <row r="110" spans="1:10">
      <c r="A110" t="s">
        <v>12</v>
      </c>
      <c r="B110">
        <v>21</v>
      </c>
      <c r="C110" t="s">
        <v>31</v>
      </c>
      <c r="D110">
        <v>-1.2173115891409501</v>
      </c>
      <c r="E110">
        <v>-10.298584773672101</v>
      </c>
      <c r="F110">
        <v>190.39262212887701</v>
      </c>
      <c r="G110">
        <v>18.5465424133601</v>
      </c>
      <c r="H110">
        <v>-2.1434218500913902</v>
      </c>
      <c r="I110">
        <v>0.65996704224577796</v>
      </c>
      <c r="J110">
        <v>21</v>
      </c>
    </row>
    <row r="111" spans="1:10">
      <c r="A111" t="s">
        <v>12</v>
      </c>
      <c r="B111">
        <v>21</v>
      </c>
      <c r="C111" t="s">
        <v>32</v>
      </c>
      <c r="D111">
        <v>2.46605714382033</v>
      </c>
      <c r="E111">
        <v>13.362698178395</v>
      </c>
      <c r="F111">
        <v>209.22002039275199</v>
      </c>
      <c r="G111">
        <v>-21.589040727752199</v>
      </c>
      <c r="H111">
        <v>3.5472296347943701</v>
      </c>
      <c r="I111">
        <v>-0.62405399309339804</v>
      </c>
      <c r="J111">
        <v>21</v>
      </c>
    </row>
    <row r="112" spans="1:10">
      <c r="A112" t="s">
        <v>12</v>
      </c>
      <c r="B112">
        <v>23</v>
      </c>
      <c r="C112" t="s">
        <v>23</v>
      </c>
      <c r="D112">
        <v>0.48977139184979501</v>
      </c>
      <c r="E112">
        <v>2.90086084368424</v>
      </c>
      <c r="F112">
        <v>158.93125905623199</v>
      </c>
      <c r="G112">
        <v>-3.0708266323301601</v>
      </c>
      <c r="H112">
        <v>0.56608441595331604</v>
      </c>
      <c r="I112">
        <v>1.79565245761895E-2</v>
      </c>
      <c r="J112">
        <v>23</v>
      </c>
    </row>
    <row r="113" spans="1:10">
      <c r="A113" t="s">
        <v>12</v>
      </c>
      <c r="B113">
        <v>23</v>
      </c>
      <c r="C113" t="s">
        <v>24</v>
      </c>
      <c r="D113">
        <v>0.55968119732689603</v>
      </c>
      <c r="E113">
        <v>3.2693726125581901</v>
      </c>
      <c r="F113">
        <v>177.04867825497499</v>
      </c>
      <c r="G113">
        <v>-3.4572130478451002</v>
      </c>
      <c r="H113">
        <v>0.64712694816538296</v>
      </c>
      <c r="I113">
        <v>2.08701366117542E-2</v>
      </c>
      <c r="J113">
        <v>23</v>
      </c>
    </row>
    <row r="114" spans="1:10">
      <c r="A114" t="s">
        <v>12</v>
      </c>
      <c r="B114">
        <v>23</v>
      </c>
      <c r="C114" t="s">
        <v>25</v>
      </c>
      <c r="D114">
        <v>-3.9293128777484898</v>
      </c>
      <c r="E114">
        <v>3.4972143261168198</v>
      </c>
      <c r="F114">
        <v>176.02048017100299</v>
      </c>
      <c r="G114">
        <v>-3.9222797601244799</v>
      </c>
      <c r="H114">
        <v>-6.3237583516114197</v>
      </c>
      <c r="I114">
        <v>0.132465779437766</v>
      </c>
      <c r="J114">
        <v>23</v>
      </c>
    </row>
    <row r="115" spans="1:10">
      <c r="A115" t="s">
        <v>12</v>
      </c>
      <c r="B115">
        <v>23</v>
      </c>
      <c r="C115" t="s">
        <v>26</v>
      </c>
      <c r="D115">
        <v>5.0346933113068602</v>
      </c>
      <c r="E115">
        <v>2.9678285452247599</v>
      </c>
      <c r="F115">
        <v>174.453392499198</v>
      </c>
      <c r="G115">
        <v>-2.9148690524627399</v>
      </c>
      <c r="H115">
        <v>7.6018037414997703</v>
      </c>
      <c r="I115">
        <v>-9.1308228621370405E-2</v>
      </c>
      <c r="J115">
        <v>23</v>
      </c>
    </row>
    <row r="116" spans="1:10">
      <c r="A116" t="s">
        <v>12</v>
      </c>
      <c r="B116">
        <v>23</v>
      </c>
      <c r="C116" t="s">
        <v>27</v>
      </c>
      <c r="D116">
        <v>-1.0613256143321099</v>
      </c>
      <c r="E116">
        <v>0.54735983840333302</v>
      </c>
      <c r="F116">
        <v>174.45947662611201</v>
      </c>
      <c r="G116">
        <v>1.18959349314699</v>
      </c>
      <c r="H116">
        <v>-1.8778767153254701</v>
      </c>
      <c r="I116">
        <v>0.59838824131082702</v>
      </c>
      <c r="J116">
        <v>23</v>
      </c>
    </row>
    <row r="117" spans="1:10">
      <c r="A117" t="s">
        <v>12</v>
      </c>
      <c r="B117">
        <v>23</v>
      </c>
      <c r="C117" t="s">
        <v>28</v>
      </c>
      <c r="D117">
        <v>2.16670604789048</v>
      </c>
      <c r="E117">
        <v>5.9176830329382497</v>
      </c>
      <c r="F117">
        <v>176.01439604408901</v>
      </c>
      <c r="G117">
        <v>-8.02674230573421</v>
      </c>
      <c r="H117">
        <v>3.15592210521383</v>
      </c>
      <c r="I117">
        <v>-0.55723069049443097</v>
      </c>
      <c r="J117">
        <v>23</v>
      </c>
    </row>
    <row r="118" spans="1:10">
      <c r="A118" t="s">
        <v>12</v>
      </c>
      <c r="B118">
        <v>23</v>
      </c>
      <c r="C118" t="s">
        <v>29</v>
      </c>
      <c r="D118">
        <v>-4.4902320465142802</v>
      </c>
      <c r="E118">
        <v>3.1949640552909502</v>
      </c>
      <c r="F118">
        <v>159.80186331834599</v>
      </c>
      <c r="G118">
        <v>-3.6304992476978</v>
      </c>
      <c r="H118">
        <v>-7.1703389691084496</v>
      </c>
      <c r="I118">
        <v>0.142275417942376</v>
      </c>
      <c r="J118">
        <v>23</v>
      </c>
    </row>
    <row r="119" spans="1:10">
      <c r="A119" t="s">
        <v>12</v>
      </c>
      <c r="B119">
        <v>23</v>
      </c>
      <c r="C119" t="s">
        <v>30</v>
      </c>
      <c r="D119">
        <v>5.46977483021388</v>
      </c>
      <c r="E119">
        <v>2.6067576320775401</v>
      </c>
      <c r="F119">
        <v>158.06065479411799</v>
      </c>
      <c r="G119">
        <v>-2.5111540169625202</v>
      </c>
      <c r="H119">
        <v>8.3025078010150892</v>
      </c>
      <c r="I119">
        <v>-0.106362368789997</v>
      </c>
      <c r="J119">
        <v>23</v>
      </c>
    </row>
    <row r="120" spans="1:10">
      <c r="A120" t="s">
        <v>12</v>
      </c>
      <c r="B120">
        <v>23</v>
      </c>
      <c r="C120" t="s">
        <v>31</v>
      </c>
      <c r="D120">
        <v>-1.3035795316072001</v>
      </c>
      <c r="E120">
        <v>-8.2652042168488205E-2</v>
      </c>
      <c r="F120">
        <v>158.067414935134</v>
      </c>
      <c r="G120">
        <v>2.0493599226038302</v>
      </c>
      <c r="H120">
        <v>-2.2304704843462901</v>
      </c>
      <c r="I120">
        <v>0.65996704224577796</v>
      </c>
      <c r="J120">
        <v>23</v>
      </c>
    </row>
    <row r="121" spans="1:10">
      <c r="A121" t="s">
        <v>12</v>
      </c>
      <c r="B121">
        <v>23</v>
      </c>
      <c r="C121" t="s">
        <v>32</v>
      </c>
      <c r="D121">
        <v>2.2831223153067901</v>
      </c>
      <c r="E121">
        <v>5.8843737295369802</v>
      </c>
      <c r="F121">
        <v>159.79510317732999</v>
      </c>
      <c r="G121">
        <v>-8.1910131872641596</v>
      </c>
      <c r="H121">
        <v>3.3626393162529302</v>
      </c>
      <c r="I121">
        <v>-0.62405399309339804</v>
      </c>
      <c r="J121">
        <v>23</v>
      </c>
    </row>
    <row r="122" spans="1:10">
      <c r="A122" t="s">
        <v>12</v>
      </c>
      <c r="B122">
        <v>25</v>
      </c>
      <c r="C122" t="s">
        <v>23</v>
      </c>
      <c r="D122">
        <v>0.37232410163126101</v>
      </c>
      <c r="E122">
        <v>1.5579717959181401</v>
      </c>
      <c r="F122">
        <v>199.601691457134</v>
      </c>
      <c r="G122">
        <v>-1.7729727135006199</v>
      </c>
      <c r="H122">
        <v>0.44757427280874101</v>
      </c>
      <c r="I122">
        <v>1.79565245761895E-2</v>
      </c>
      <c r="J122">
        <v>25</v>
      </c>
    </row>
    <row r="123" spans="1:10">
      <c r="A123" t="s">
        <v>12</v>
      </c>
      <c r="B123">
        <v>25</v>
      </c>
      <c r="C123" t="s">
        <v>24</v>
      </c>
      <c r="D123">
        <v>0.41169541866508402</v>
      </c>
      <c r="E123">
        <v>1.78481253409818</v>
      </c>
      <c r="F123">
        <v>222.85345602544101</v>
      </c>
      <c r="G123">
        <v>-2.0256852722797198</v>
      </c>
      <c r="H123">
        <v>0.49780195497107399</v>
      </c>
      <c r="I123">
        <v>2.08701366117542E-2</v>
      </c>
      <c r="J123">
        <v>25</v>
      </c>
    </row>
    <row r="124" spans="1:10">
      <c r="A124" t="s">
        <v>12</v>
      </c>
      <c r="B124">
        <v>25</v>
      </c>
      <c r="C124" t="s">
        <v>25</v>
      </c>
      <c r="D124">
        <v>-3.7652895776708402</v>
      </c>
      <c r="E124">
        <v>2.87919492890817</v>
      </c>
      <c r="F124">
        <v>223.39988587207799</v>
      </c>
      <c r="G124">
        <v>-3.7205432127131601</v>
      </c>
      <c r="H124">
        <v>-6.1582507035841303</v>
      </c>
      <c r="I124">
        <v>0.132465779437766</v>
      </c>
      <c r="J124">
        <v>25</v>
      </c>
    </row>
    <row r="125" spans="1:10">
      <c r="A125" t="s">
        <v>12</v>
      </c>
      <c r="B125">
        <v>25</v>
      </c>
      <c r="C125" t="s">
        <v>26</v>
      </c>
      <c r="D125">
        <v>4.5808061515942402</v>
      </c>
      <c r="E125">
        <v>0.64506199165218603</v>
      </c>
      <c r="F125">
        <v>217.65667326514199</v>
      </c>
      <c r="G125">
        <v>-0.28028482009046601</v>
      </c>
      <c r="H125">
        <v>7.1438090770938096</v>
      </c>
      <c r="I125">
        <v>-9.1308228621370405E-2</v>
      </c>
      <c r="J125">
        <v>25</v>
      </c>
    </row>
    <row r="126" spans="1:10">
      <c r="A126" t="s">
        <v>12</v>
      </c>
      <c r="B126">
        <v>25</v>
      </c>
      <c r="C126" t="s">
        <v>27</v>
      </c>
      <c r="D126">
        <v>-1.01194210599419</v>
      </c>
      <c r="E126">
        <v>1.7433541891308</v>
      </c>
      <c r="F126">
        <v>224.41452689691599</v>
      </c>
      <c r="G126">
        <v>-1.92296502835432</v>
      </c>
      <c r="H126">
        <v>-1.8280463051796201</v>
      </c>
      <c r="I126">
        <v>0.59838824131082702</v>
      </c>
      <c r="J126">
        <v>25</v>
      </c>
    </row>
    <row r="127" spans="1:10">
      <c r="A127" t="s">
        <v>12</v>
      </c>
      <c r="B127">
        <v>25</v>
      </c>
      <c r="C127" t="s">
        <v>28</v>
      </c>
      <c r="D127">
        <v>1.82745867991759</v>
      </c>
      <c r="E127">
        <v>1.78090273142956</v>
      </c>
      <c r="F127">
        <v>216.64203224030399</v>
      </c>
      <c r="G127">
        <v>-2.0778630044492998</v>
      </c>
      <c r="H127">
        <v>2.8136046786893099</v>
      </c>
      <c r="I127">
        <v>-0.55723069049443097</v>
      </c>
      <c r="J127">
        <v>25</v>
      </c>
    </row>
    <row r="128" spans="1:10">
      <c r="A128" t="s">
        <v>12</v>
      </c>
      <c r="B128">
        <v>25</v>
      </c>
      <c r="C128" t="s">
        <v>29</v>
      </c>
      <c r="D128">
        <v>-4.2643957479604504</v>
      </c>
      <c r="E128">
        <v>2.7991567610603498</v>
      </c>
      <c r="F128">
        <v>202.79236512765399</v>
      </c>
      <c r="G128">
        <v>-3.68422737606878</v>
      </c>
      <c r="H128">
        <v>-6.9424589386789997</v>
      </c>
      <c r="I128">
        <v>0.142275417942376</v>
      </c>
      <c r="J128">
        <v>25</v>
      </c>
    </row>
    <row r="129" spans="1:10">
      <c r="A129" t="s">
        <v>12</v>
      </c>
      <c r="B129">
        <v>25</v>
      </c>
      <c r="C129" t="s">
        <v>30</v>
      </c>
      <c r="D129">
        <v>5.0090439512229699</v>
      </c>
      <c r="E129">
        <v>0.31678683077592501</v>
      </c>
      <c r="F129">
        <v>196.411017786614</v>
      </c>
      <c r="G129">
        <v>0.13828194906754299</v>
      </c>
      <c r="H129">
        <v>7.8376074842964902</v>
      </c>
      <c r="I129">
        <v>-0.106362368789997</v>
      </c>
      <c r="J129">
        <v>25</v>
      </c>
    </row>
    <row r="130" spans="1:10">
      <c r="A130" t="s">
        <v>12</v>
      </c>
      <c r="B130">
        <v>25</v>
      </c>
      <c r="C130" t="s">
        <v>31</v>
      </c>
      <c r="D130">
        <v>-1.2051207794308401</v>
      </c>
      <c r="E130">
        <v>1.53711149464105</v>
      </c>
      <c r="F130">
        <v>203.91974404414</v>
      </c>
      <c r="G130">
        <v>-1.6869182823367399</v>
      </c>
      <c r="H130">
        <v>-2.1311207182295502</v>
      </c>
      <c r="I130">
        <v>0.65996704224577796</v>
      </c>
      <c r="J130">
        <v>25</v>
      </c>
    </row>
    <row r="131" spans="1:10">
      <c r="A131" t="s">
        <v>12</v>
      </c>
      <c r="B131">
        <v>25</v>
      </c>
      <c r="C131" t="s">
        <v>32</v>
      </c>
      <c r="D131">
        <v>1.94976898269336</v>
      </c>
      <c r="E131">
        <v>1.5788320971952301</v>
      </c>
      <c r="F131">
        <v>195.28363887012699</v>
      </c>
      <c r="G131">
        <v>-1.8590271446644899</v>
      </c>
      <c r="H131">
        <v>3.0262692638470301</v>
      </c>
      <c r="I131">
        <v>-0.62405399309339804</v>
      </c>
      <c r="J131">
        <v>25</v>
      </c>
    </row>
    <row r="132" spans="1:10">
      <c r="A132" t="s">
        <v>12</v>
      </c>
      <c r="B132">
        <v>103</v>
      </c>
      <c r="C132" t="s">
        <v>23</v>
      </c>
      <c r="D132">
        <v>0.68686131368681902</v>
      </c>
      <c r="E132">
        <v>-4.1665037673820802</v>
      </c>
      <c r="F132">
        <v>57.382725197117402</v>
      </c>
      <c r="G132">
        <v>4.0033071578528601</v>
      </c>
      <c r="H132">
        <v>0.70542914686632896</v>
      </c>
      <c r="I132">
        <v>1.79565245761895E-2</v>
      </c>
      <c r="J132">
        <v>103</v>
      </c>
    </row>
    <row r="133" spans="1:10">
      <c r="A133" t="s">
        <v>12</v>
      </c>
      <c r="B133">
        <v>103</v>
      </c>
      <c r="C133" t="s">
        <v>24</v>
      </c>
      <c r="D133">
        <v>0.71717348557353799</v>
      </c>
      <c r="E133">
        <v>-4.7107642444334799</v>
      </c>
      <c r="F133">
        <v>63.952913791362199</v>
      </c>
      <c r="G133">
        <v>4.5286739845239996</v>
      </c>
      <c r="H133">
        <v>0.73685660761937</v>
      </c>
      <c r="I133">
        <v>2.08701366117542E-2</v>
      </c>
      <c r="J133">
        <v>103</v>
      </c>
    </row>
    <row r="134" spans="1:10">
      <c r="A134" t="s">
        <v>12</v>
      </c>
      <c r="B134">
        <v>103</v>
      </c>
      <c r="C134" t="s">
        <v>25</v>
      </c>
      <c r="D134">
        <v>-3.4505184073766499</v>
      </c>
      <c r="E134">
        <v>-3.85561054271784</v>
      </c>
      <c r="F134">
        <v>65.608987263318696</v>
      </c>
      <c r="G134">
        <v>3.0752096650940701</v>
      </c>
      <c r="H134">
        <v>-6.2797764282382804</v>
      </c>
      <c r="I134">
        <v>0.132465779437766</v>
      </c>
      <c r="J134">
        <v>103</v>
      </c>
    </row>
    <row r="135" spans="1:10">
      <c r="A135" t="s">
        <v>12</v>
      </c>
      <c r="B135">
        <v>103</v>
      </c>
      <c r="C135" t="s">
        <v>26</v>
      </c>
      <c r="D135">
        <v>4.87880294414638</v>
      </c>
      <c r="E135">
        <v>-5.4570658507388297</v>
      </c>
      <c r="F135">
        <v>60.982802600556703</v>
      </c>
      <c r="G135">
        <v>5.8770649386197</v>
      </c>
      <c r="H135">
        <v>7.74720415132641</v>
      </c>
      <c r="I135">
        <v>-9.1308228621370405E-2</v>
      </c>
      <c r="J135">
        <v>103</v>
      </c>
    </row>
    <row r="136" spans="1:10">
      <c r="A136" t="s">
        <v>12</v>
      </c>
      <c r="B136">
        <v>103</v>
      </c>
      <c r="C136" t="s">
        <v>27</v>
      </c>
      <c r="D136">
        <v>-3.5108026326408002</v>
      </c>
      <c r="E136">
        <v>-4.8412715170619203</v>
      </c>
      <c r="F136">
        <v>66.379284800622003</v>
      </c>
      <c r="G136">
        <v>4.7212490147483903</v>
      </c>
      <c r="H136">
        <v>-6.3332742263270703</v>
      </c>
      <c r="I136">
        <v>0.59838824131082702</v>
      </c>
      <c r="J136">
        <v>103</v>
      </c>
    </row>
    <row r="137" spans="1:10">
      <c r="A137" t="s">
        <v>12</v>
      </c>
      <c r="B137">
        <v>103</v>
      </c>
      <c r="C137" t="s">
        <v>28</v>
      </c>
      <c r="D137">
        <v>4.9390871694105298</v>
      </c>
      <c r="E137">
        <v>-4.4714048763947503</v>
      </c>
      <c r="F137">
        <v>60.212505063253502</v>
      </c>
      <c r="G137">
        <v>4.2310255889653803</v>
      </c>
      <c r="H137">
        <v>7.8007019494151999</v>
      </c>
      <c r="I137">
        <v>-0.55723069049443097</v>
      </c>
      <c r="J137">
        <v>103</v>
      </c>
    </row>
    <row r="138" spans="1:10">
      <c r="A138" t="s">
        <v>12</v>
      </c>
      <c r="B138">
        <v>103</v>
      </c>
      <c r="C138" t="s">
        <v>29</v>
      </c>
      <c r="D138">
        <v>-3.9405394371593099</v>
      </c>
      <c r="E138">
        <v>-3.2768063740370899</v>
      </c>
      <c r="F138">
        <v>59.952827787540798</v>
      </c>
      <c r="G138">
        <v>2.4467208947830699</v>
      </c>
      <c r="H138">
        <v>-7.0873378417807098</v>
      </c>
      <c r="I138">
        <v>0.142275417942376</v>
      </c>
      <c r="J138">
        <v>103</v>
      </c>
    </row>
    <row r="139" spans="1:10">
      <c r="A139" t="s">
        <v>12</v>
      </c>
      <c r="B139">
        <v>103</v>
      </c>
      <c r="C139" t="s">
        <v>30</v>
      </c>
      <c r="D139">
        <v>5.3142620645329499</v>
      </c>
      <c r="E139">
        <v>-5.0562011607270696</v>
      </c>
      <c r="F139">
        <v>54.812622606694099</v>
      </c>
      <c r="G139">
        <v>5.5598934209226503</v>
      </c>
      <c r="H139">
        <v>8.4981961355133695</v>
      </c>
      <c r="I139">
        <v>-0.106362368789997</v>
      </c>
      <c r="J139">
        <v>103</v>
      </c>
    </row>
    <row r="140" spans="1:10">
      <c r="A140" t="s">
        <v>12</v>
      </c>
      <c r="B140">
        <v>103</v>
      </c>
      <c r="C140" t="s">
        <v>31</v>
      </c>
      <c r="D140">
        <v>-4.0075219096750301</v>
      </c>
      <c r="E140">
        <v>-4.3719852344193901</v>
      </c>
      <c r="F140">
        <v>60.808713940099899</v>
      </c>
      <c r="G140">
        <v>4.2756535055100899</v>
      </c>
      <c r="H140">
        <v>-7.1467798396571602</v>
      </c>
      <c r="I140">
        <v>0.65996704224577696</v>
      </c>
      <c r="J140">
        <v>103</v>
      </c>
    </row>
    <row r="141" spans="1:10">
      <c r="A141" t="s">
        <v>12</v>
      </c>
      <c r="B141">
        <v>103</v>
      </c>
      <c r="C141" t="s">
        <v>32</v>
      </c>
      <c r="D141">
        <v>5.3812445370486603</v>
      </c>
      <c r="E141">
        <v>-3.9610223003447702</v>
      </c>
      <c r="F141">
        <v>53.956736454134898</v>
      </c>
      <c r="G141">
        <v>3.7309608101956302</v>
      </c>
      <c r="H141">
        <v>8.5576381333898102</v>
      </c>
      <c r="I141">
        <v>-0.62405399309339804</v>
      </c>
      <c r="J141">
        <v>103</v>
      </c>
    </row>
    <row r="142" spans="1:10">
      <c r="A142" t="s">
        <v>12</v>
      </c>
      <c r="B142">
        <v>123</v>
      </c>
      <c r="C142" t="s">
        <v>23</v>
      </c>
      <c r="D142">
        <v>2.0169645345455001</v>
      </c>
      <c r="E142">
        <v>-3.0238208610835402</v>
      </c>
      <c r="F142">
        <v>28.2392902288478</v>
      </c>
      <c r="G142">
        <v>2.90747116927608</v>
      </c>
      <c r="H142">
        <v>2.0475692916727199</v>
      </c>
      <c r="I142">
        <v>1.79565245761895E-2</v>
      </c>
      <c r="J142">
        <v>123</v>
      </c>
    </row>
    <row r="143" spans="1:10">
      <c r="A143" t="s">
        <v>12</v>
      </c>
      <c r="B143">
        <v>123</v>
      </c>
      <c r="C143" t="s">
        <v>24</v>
      </c>
      <c r="D143">
        <v>2.29480752475525</v>
      </c>
      <c r="E143">
        <v>-3.4207606437901701</v>
      </c>
      <c r="F143">
        <v>31.275057918079401</v>
      </c>
      <c r="G143">
        <v>3.29346334827158</v>
      </c>
      <c r="H143">
        <v>2.3287676297067401</v>
      </c>
      <c r="I143">
        <v>2.08701366117542E-2</v>
      </c>
      <c r="J143">
        <v>123</v>
      </c>
    </row>
    <row r="144" spans="1:10">
      <c r="A144" t="s">
        <v>12</v>
      </c>
      <c r="B144">
        <v>123</v>
      </c>
      <c r="C144" t="s">
        <v>25</v>
      </c>
      <c r="D144">
        <v>-1.7728275334374699</v>
      </c>
      <c r="E144">
        <v>-2.93892054329848</v>
      </c>
      <c r="F144">
        <v>27.702975653040699</v>
      </c>
      <c r="G144">
        <v>2.5720996610861202</v>
      </c>
      <c r="H144">
        <v>-4.5869030954186902</v>
      </c>
      <c r="I144">
        <v>0.132465779437766</v>
      </c>
      <c r="J144">
        <v>123</v>
      </c>
    </row>
    <row r="145" spans="1:10">
      <c r="A145" t="s">
        <v>12</v>
      </c>
      <c r="B145">
        <v>123</v>
      </c>
      <c r="C145" t="s">
        <v>26</v>
      </c>
      <c r="D145">
        <v>6.30687398490603</v>
      </c>
      <c r="E145">
        <v>-3.8232127877405402</v>
      </c>
      <c r="F145">
        <v>34.239986645271799</v>
      </c>
      <c r="G145">
        <v>3.9376285996579399</v>
      </c>
      <c r="H145">
        <v>9.1881986872253698</v>
      </c>
      <c r="I145">
        <v>-9.1308228621370405E-2</v>
      </c>
      <c r="J145">
        <v>123</v>
      </c>
    </row>
    <row r="146" spans="1:10">
      <c r="A146" t="s">
        <v>12</v>
      </c>
      <c r="B146">
        <v>123</v>
      </c>
      <c r="C146" t="s">
        <v>27</v>
      </c>
      <c r="D146">
        <v>-1.67002272450348</v>
      </c>
      <c r="E146">
        <v>-6.0666248220273902</v>
      </c>
      <c r="F146">
        <v>30.322484176403901</v>
      </c>
      <c r="G146">
        <v>7.8634321777620597</v>
      </c>
      <c r="H146">
        <v>-4.4758359661075602</v>
      </c>
      <c r="I146">
        <v>0.59838824131082702</v>
      </c>
      <c r="J146">
        <v>123</v>
      </c>
    </row>
    <row r="147" spans="1:10">
      <c r="A147" t="s">
        <v>12</v>
      </c>
      <c r="B147">
        <v>123</v>
      </c>
      <c r="C147" t="s">
        <v>28</v>
      </c>
      <c r="D147">
        <v>6.2040691759720401</v>
      </c>
      <c r="E147">
        <v>-0.69550850901162797</v>
      </c>
      <c r="F147">
        <v>31.620478121908601</v>
      </c>
      <c r="G147">
        <v>-1.3537039170180101</v>
      </c>
      <c r="H147">
        <v>9.0771315579142406</v>
      </c>
      <c r="I147">
        <v>-0.55723069049443097</v>
      </c>
      <c r="J147">
        <v>123</v>
      </c>
    </row>
    <row r="148" spans="1:10">
      <c r="A148" t="s">
        <v>12</v>
      </c>
      <c r="B148">
        <v>123</v>
      </c>
      <c r="C148" t="s">
        <v>29</v>
      </c>
      <c r="D148">
        <v>-2.4717585312008898</v>
      </c>
      <c r="E148">
        <v>-2.5325473919490702</v>
      </c>
      <c r="F148">
        <v>24.607617455385999</v>
      </c>
      <c r="G148">
        <v>2.1488439811806201</v>
      </c>
      <c r="H148">
        <v>-5.6052650320184201</v>
      </c>
      <c r="I148">
        <v>0.142275417942376</v>
      </c>
      <c r="J148">
        <v>123</v>
      </c>
    </row>
    <row r="149" spans="1:10">
      <c r="A149" t="s">
        <v>12</v>
      </c>
      <c r="B149">
        <v>123</v>
      </c>
      <c r="C149" t="s">
        <v>30</v>
      </c>
      <c r="D149">
        <v>6.50568760029189</v>
      </c>
      <c r="E149">
        <v>-3.5150943302180102</v>
      </c>
      <c r="F149">
        <v>31.870963002309502</v>
      </c>
      <c r="G149">
        <v>3.6660983573715402</v>
      </c>
      <c r="H149">
        <v>9.7004036153638697</v>
      </c>
      <c r="I149">
        <v>-0.106362368789997</v>
      </c>
      <c r="J149">
        <v>123</v>
      </c>
    </row>
    <row r="150" spans="1:10">
      <c r="A150" t="s">
        <v>12</v>
      </c>
      <c r="B150">
        <v>123</v>
      </c>
      <c r="C150" t="s">
        <v>31</v>
      </c>
      <c r="D150">
        <v>-2.3575309657186798</v>
      </c>
      <c r="E150">
        <v>-6.0077743683145197</v>
      </c>
      <c r="F150">
        <v>27.5181824813452</v>
      </c>
      <c r="G150">
        <v>8.0281023330427796</v>
      </c>
      <c r="H150">
        <v>-5.4818571105616103</v>
      </c>
      <c r="I150">
        <v>0.65996704224577696</v>
      </c>
      <c r="J150">
        <v>123</v>
      </c>
    </row>
    <row r="151" spans="1:10">
      <c r="A151" t="s">
        <v>12</v>
      </c>
      <c r="B151">
        <v>123</v>
      </c>
      <c r="C151" t="s">
        <v>32</v>
      </c>
      <c r="D151">
        <v>6.3914600348096799</v>
      </c>
      <c r="E151">
        <v>-3.9867353852557998E-2</v>
      </c>
      <c r="F151">
        <v>28.9603979763504</v>
      </c>
      <c r="G151">
        <v>-2.2131599944906202</v>
      </c>
      <c r="H151">
        <v>9.57699569390706</v>
      </c>
      <c r="I151">
        <v>-0.62405399309339804</v>
      </c>
      <c r="J151">
        <v>123</v>
      </c>
    </row>
    <row r="152" spans="1:10">
      <c r="A152" t="s">
        <v>12</v>
      </c>
      <c r="B152">
        <v>158</v>
      </c>
      <c r="C152" t="s">
        <v>23</v>
      </c>
      <c r="D152">
        <v>-2.2481221400375402</v>
      </c>
      <c r="E152">
        <v>-1.6748338430757601</v>
      </c>
      <c r="F152">
        <v>26.5653009989447</v>
      </c>
      <c r="G152">
        <v>1.6569731108497501</v>
      </c>
      <c r="H152">
        <v>-2.23972764548884</v>
      </c>
      <c r="I152">
        <v>1.79565245761895E-2</v>
      </c>
      <c r="J152">
        <v>158</v>
      </c>
    </row>
    <row r="153" spans="1:10">
      <c r="A153" t="s">
        <v>12</v>
      </c>
      <c r="B153">
        <v>158</v>
      </c>
      <c r="C153" t="s">
        <v>24</v>
      </c>
      <c r="D153">
        <v>-2.5362957279774001</v>
      </c>
      <c r="E153">
        <v>-1.89844147358358</v>
      </c>
      <c r="F153">
        <v>29.320771331082302</v>
      </c>
      <c r="G153">
        <v>1.88602612271047</v>
      </c>
      <c r="H153">
        <v>-2.5270091543150199</v>
      </c>
      <c r="I153">
        <v>2.08701366117542E-2</v>
      </c>
      <c r="J153">
        <v>158</v>
      </c>
    </row>
    <row r="154" spans="1:10">
      <c r="A154" t="s">
        <v>12</v>
      </c>
      <c r="B154">
        <v>158</v>
      </c>
      <c r="C154" t="s">
        <v>25</v>
      </c>
      <c r="D154">
        <v>-6.4338681906228299</v>
      </c>
      <c r="E154">
        <v>-2.6017692638946999</v>
      </c>
      <c r="F154">
        <v>32.513410100004002</v>
      </c>
      <c r="G154">
        <v>3.0485104663223401</v>
      </c>
      <c r="H154">
        <v>-9.1692360275475906</v>
      </c>
      <c r="I154">
        <v>0.132465779437766</v>
      </c>
      <c r="J154">
        <v>158</v>
      </c>
    </row>
    <row r="155" spans="1:10">
      <c r="A155" t="s">
        <v>12</v>
      </c>
      <c r="B155">
        <v>158</v>
      </c>
      <c r="C155" t="s">
        <v>26</v>
      </c>
      <c r="D155">
        <v>1.418911452256</v>
      </c>
      <c r="E155">
        <v>-1.1503921571708999</v>
      </c>
      <c r="F155">
        <v>25.577038495732999</v>
      </c>
      <c r="G155">
        <v>0.677731176726458</v>
      </c>
      <c r="H155">
        <v>4.1726740206827904</v>
      </c>
      <c r="I155">
        <v>-9.1308228621370405E-2</v>
      </c>
      <c r="J155">
        <v>158</v>
      </c>
    </row>
    <row r="156" spans="1:10">
      <c r="A156" t="s">
        <v>12</v>
      </c>
      <c r="B156">
        <v>158</v>
      </c>
      <c r="C156" t="s">
        <v>27</v>
      </c>
      <c r="D156">
        <v>-6.17703759771622</v>
      </c>
      <c r="E156">
        <v>-10.264712947603799</v>
      </c>
      <c r="F156">
        <v>41.610966162097803</v>
      </c>
      <c r="G156">
        <v>15.788401633251899</v>
      </c>
      <c r="H156">
        <v>-8.4775481030031408</v>
      </c>
      <c r="I156">
        <v>0.59838824131082702</v>
      </c>
      <c r="J156">
        <v>158</v>
      </c>
    </row>
    <row r="157" spans="1:10">
      <c r="A157" t="s">
        <v>12</v>
      </c>
      <c r="B157">
        <v>158</v>
      </c>
      <c r="C157" t="s">
        <v>28</v>
      </c>
      <c r="D157">
        <v>1.1620808593493901</v>
      </c>
      <c r="E157">
        <v>6.5125515265381999</v>
      </c>
      <c r="F157">
        <v>16.479482433639198</v>
      </c>
      <c r="G157">
        <v>-12.062159990203099</v>
      </c>
      <c r="H157">
        <v>3.4809860961383299</v>
      </c>
      <c r="I157">
        <v>-0.55723069049443097</v>
      </c>
      <c r="J157">
        <v>158</v>
      </c>
    </row>
    <row r="158" spans="1:10">
      <c r="A158" t="s">
        <v>12</v>
      </c>
      <c r="B158">
        <v>158</v>
      </c>
      <c r="C158" t="s">
        <v>29</v>
      </c>
      <c r="D158">
        <v>-6.6107774971924496</v>
      </c>
      <c r="E158">
        <v>-2.4811544579223201</v>
      </c>
      <c r="F158">
        <v>30.418840779095198</v>
      </c>
      <c r="G158">
        <v>2.9740727161808</v>
      </c>
      <c r="H158">
        <v>-9.6518998945057195</v>
      </c>
      <c r="I158">
        <v>0.142275417942376</v>
      </c>
      <c r="J158">
        <v>158</v>
      </c>
    </row>
    <row r="159" spans="1:10">
      <c r="A159" t="s">
        <v>12</v>
      </c>
      <c r="B159">
        <v>158</v>
      </c>
      <c r="C159" t="s">
        <v>30</v>
      </c>
      <c r="D159">
        <v>2.1145332171173599</v>
      </c>
      <c r="E159">
        <v>-0.86851322822920696</v>
      </c>
      <c r="F159">
        <v>22.711761218794098</v>
      </c>
      <c r="G159">
        <v>0.33987350551870998</v>
      </c>
      <c r="H159">
        <v>5.1724446035280396</v>
      </c>
      <c r="I159">
        <v>-0.106362368789997</v>
      </c>
      <c r="J159">
        <v>158</v>
      </c>
    </row>
    <row r="160" spans="1:10">
      <c r="A160" t="s">
        <v>12</v>
      </c>
      <c r="B160">
        <v>158</v>
      </c>
      <c r="C160" t="s">
        <v>31</v>
      </c>
      <c r="D160">
        <v>-6.3254101717406597</v>
      </c>
      <c r="E160">
        <v>-10.9955363287102</v>
      </c>
      <c r="F160">
        <v>40.527236403643897</v>
      </c>
      <c r="G160">
        <v>17.1295073461025</v>
      </c>
      <c r="H160">
        <v>-8.8833577561229902</v>
      </c>
      <c r="I160">
        <v>0.65996704224577696</v>
      </c>
      <c r="J160">
        <v>158</v>
      </c>
    </row>
    <row r="161" spans="1:10">
      <c r="A161" t="s">
        <v>12</v>
      </c>
      <c r="B161">
        <v>158</v>
      </c>
      <c r="C161" t="s">
        <v>32</v>
      </c>
      <c r="D161">
        <v>1.82916589166557</v>
      </c>
      <c r="E161">
        <v>7.6458686425586802</v>
      </c>
      <c r="F161">
        <v>12.6033655942454</v>
      </c>
      <c r="G161">
        <v>-13.815561124403001</v>
      </c>
      <c r="H161">
        <v>4.4039024651453103</v>
      </c>
      <c r="I161">
        <v>-0.62405399309339804</v>
      </c>
      <c r="J161">
        <v>158</v>
      </c>
    </row>
    <row r="162" spans="1:10">
      <c r="A162" t="s">
        <v>12</v>
      </c>
      <c r="B162">
        <v>178</v>
      </c>
      <c r="C162" t="s">
        <v>23</v>
      </c>
      <c r="D162">
        <v>2.3625704440341</v>
      </c>
      <c r="E162">
        <v>-1.819200829953</v>
      </c>
      <c r="F162">
        <v>26.666840753175101</v>
      </c>
      <c r="G162">
        <v>1.8603359703103599</v>
      </c>
      <c r="H162">
        <v>2.4126899378989699</v>
      </c>
      <c r="I162">
        <v>1.79565245761895E-2</v>
      </c>
      <c r="J162">
        <v>178</v>
      </c>
    </row>
    <row r="163" spans="1:10">
      <c r="A163" t="s">
        <v>12</v>
      </c>
      <c r="B163">
        <v>178</v>
      </c>
      <c r="C163" t="s">
        <v>24</v>
      </c>
      <c r="D163">
        <v>2.6657079298134101</v>
      </c>
      <c r="E163">
        <v>-2.0628720006676802</v>
      </c>
      <c r="F163">
        <v>29.4349523166719</v>
      </c>
      <c r="G163">
        <v>2.11899472902804</v>
      </c>
      <c r="H163">
        <v>2.7220706411939801</v>
      </c>
      <c r="I163">
        <v>2.08701366117542E-2</v>
      </c>
      <c r="J163">
        <v>178</v>
      </c>
    </row>
    <row r="164" spans="1:10">
      <c r="A164" t="s">
        <v>12</v>
      </c>
      <c r="B164">
        <v>178</v>
      </c>
      <c r="C164" t="s">
        <v>25</v>
      </c>
      <c r="D164">
        <v>-1.17463006065748</v>
      </c>
      <c r="E164">
        <v>-3.1948964508036002</v>
      </c>
      <c r="F164">
        <v>27.811286562396901</v>
      </c>
      <c r="G164">
        <v>4.0725815789754698</v>
      </c>
      <c r="H164">
        <v>-3.8624038098448699</v>
      </c>
      <c r="I164">
        <v>0.132465779437766</v>
      </c>
      <c r="J164">
        <v>178</v>
      </c>
    </row>
    <row r="165" spans="1:10">
      <c r="A165" t="s">
        <v>12</v>
      </c>
      <c r="B165">
        <v>178</v>
      </c>
      <c r="C165" t="s">
        <v>26</v>
      </c>
      <c r="D165">
        <v>6.4454184231284302</v>
      </c>
      <c r="E165">
        <v>-0.88211331638881296</v>
      </c>
      <c r="F165">
        <v>30.5049957582475</v>
      </c>
      <c r="G165">
        <v>0.11367612733707</v>
      </c>
      <c r="H165">
        <v>9.2446689515738392</v>
      </c>
      <c r="I165">
        <v>-9.1308228621370405E-2</v>
      </c>
      <c r="J165">
        <v>178</v>
      </c>
    </row>
    <row r="166" spans="1:10">
      <c r="A166" t="s">
        <v>12</v>
      </c>
      <c r="B166">
        <v>178</v>
      </c>
      <c r="C166" t="s">
        <v>27</v>
      </c>
      <c r="D166">
        <v>-0.15944913495489299</v>
      </c>
      <c r="E166">
        <v>-13.0354937141525</v>
      </c>
      <c r="F166">
        <v>39.335816303455303</v>
      </c>
      <c r="G166">
        <v>20.5067148088499</v>
      </c>
      <c r="H166">
        <v>-2.4055027728806899</v>
      </c>
      <c r="I166">
        <v>0.59838824131082702</v>
      </c>
      <c r="J166">
        <v>178</v>
      </c>
    </row>
    <row r="167" spans="1:10">
      <c r="A167" t="s">
        <v>12</v>
      </c>
      <c r="B167">
        <v>178</v>
      </c>
      <c r="C167" t="s">
        <v>28</v>
      </c>
      <c r="D167">
        <v>5.4302374974258498</v>
      </c>
      <c r="E167">
        <v>8.9584839469600599</v>
      </c>
      <c r="F167">
        <v>18.980466017189102</v>
      </c>
      <c r="G167">
        <v>-16.320457102537301</v>
      </c>
      <c r="H167">
        <v>7.7877679146096597</v>
      </c>
      <c r="I167">
        <v>-0.55723069049443097</v>
      </c>
      <c r="J167">
        <v>178</v>
      </c>
    </row>
    <row r="168" spans="1:10">
      <c r="A168" t="s">
        <v>12</v>
      </c>
      <c r="B168">
        <v>178</v>
      </c>
      <c r="C168" t="s">
        <v>29</v>
      </c>
      <c r="D168">
        <v>-1.8707898247358501</v>
      </c>
      <c r="E168">
        <v>-3.1040803490723201</v>
      </c>
      <c r="F168">
        <v>25.170335644369199</v>
      </c>
      <c r="G168">
        <v>4.0597278878872496</v>
      </c>
      <c r="H168">
        <v>-4.86901715177809</v>
      </c>
      <c r="I168">
        <v>0.142275417942376</v>
      </c>
      <c r="J168">
        <v>178</v>
      </c>
    </row>
    <row r="169" spans="1:10">
      <c r="A169" t="s">
        <v>12</v>
      </c>
      <c r="B169">
        <v>178</v>
      </c>
      <c r="C169" t="s">
        <v>30</v>
      </c>
      <c r="D169">
        <v>6.5959307128040496</v>
      </c>
      <c r="E169">
        <v>-0.53432131083366696</v>
      </c>
      <c r="F169">
        <v>28.163345861980901</v>
      </c>
      <c r="G169">
        <v>-0.33905594726652599</v>
      </c>
      <c r="H169">
        <v>9.6943970275760307</v>
      </c>
      <c r="I169">
        <v>-0.106362368789997</v>
      </c>
      <c r="J169">
        <v>178</v>
      </c>
    </row>
    <row r="170" spans="1:10">
      <c r="A170" t="s">
        <v>12</v>
      </c>
      <c r="B170">
        <v>178</v>
      </c>
      <c r="C170" t="s">
        <v>31</v>
      </c>
      <c r="D170">
        <v>-0.74281101839964703</v>
      </c>
      <c r="E170">
        <v>-14.0380773083488</v>
      </c>
      <c r="F170">
        <v>37.975368689989601</v>
      </c>
      <c r="G170">
        <v>22.319875921081</v>
      </c>
      <c r="H170">
        <v>-3.2502382218178898</v>
      </c>
      <c r="I170">
        <v>0.65996704224577696</v>
      </c>
      <c r="J170">
        <v>178</v>
      </c>
    </row>
    <row r="171" spans="1:10">
      <c r="A171" t="s">
        <v>12</v>
      </c>
      <c r="B171">
        <v>178</v>
      </c>
      <c r="C171" t="s">
        <v>32</v>
      </c>
      <c r="D171">
        <v>5.4679519064678397</v>
      </c>
      <c r="E171">
        <v>10.3996756484429</v>
      </c>
      <c r="F171">
        <v>15.358312816360501</v>
      </c>
      <c r="G171">
        <v>-18.599203980460299</v>
      </c>
      <c r="H171">
        <v>8.0756180976158305</v>
      </c>
      <c r="I171">
        <v>-0.62405399309339804</v>
      </c>
      <c r="J171">
        <v>178</v>
      </c>
    </row>
    <row r="172" spans="1:10">
      <c r="A172" t="s">
        <v>12</v>
      </c>
      <c r="B172">
        <v>282</v>
      </c>
      <c r="C172" t="s">
        <v>23</v>
      </c>
      <c r="D172">
        <v>1.2385669987196</v>
      </c>
      <c r="E172">
        <v>-1.4886429122454701</v>
      </c>
      <c r="F172">
        <v>21.846038558079901</v>
      </c>
      <c r="G172">
        <v>1.44368044141973</v>
      </c>
      <c r="H172">
        <v>1.27851469254968</v>
      </c>
      <c r="I172">
        <v>1.79565245761895E-2</v>
      </c>
      <c r="J172">
        <v>282</v>
      </c>
    </row>
    <row r="173" spans="1:10">
      <c r="A173" t="s">
        <v>12</v>
      </c>
      <c r="B173">
        <v>282</v>
      </c>
      <c r="C173" t="s">
        <v>24</v>
      </c>
      <c r="D173">
        <v>1.39500070043869</v>
      </c>
      <c r="E173">
        <v>-1.68465899492458</v>
      </c>
      <c r="F173">
        <v>23.989416730154399</v>
      </c>
      <c r="G173">
        <v>1.64076810477472</v>
      </c>
      <c r="H173">
        <v>1.43986399881136</v>
      </c>
      <c r="I173">
        <v>2.08701366117542E-2</v>
      </c>
      <c r="J173">
        <v>282</v>
      </c>
    </row>
    <row r="174" spans="1:10">
      <c r="A174" t="s">
        <v>12</v>
      </c>
      <c r="B174">
        <v>282</v>
      </c>
      <c r="C174" t="s">
        <v>25</v>
      </c>
      <c r="D174">
        <v>-2.6317333948387298</v>
      </c>
      <c r="E174">
        <v>-2.0633518989161002</v>
      </c>
      <c r="F174">
        <v>20.629441363535999</v>
      </c>
      <c r="G174">
        <v>2.3177203248136702</v>
      </c>
      <c r="H174">
        <v>-5.3326933702846997</v>
      </c>
      <c r="I174">
        <v>0.132465779437766</v>
      </c>
      <c r="J174">
        <v>282</v>
      </c>
    </row>
    <row r="175" spans="1:10">
      <c r="A175" t="s">
        <v>12</v>
      </c>
      <c r="B175">
        <v>282</v>
      </c>
      <c r="C175" t="s">
        <v>26</v>
      </c>
      <c r="D175">
        <v>5.39044805537229</v>
      </c>
      <c r="E175">
        <v>-1.2667628743972299</v>
      </c>
      <c r="F175">
        <v>26.920716462357898</v>
      </c>
      <c r="G175">
        <v>0.92439835206476895</v>
      </c>
      <c r="H175">
        <v>8.1801515066550898</v>
      </c>
      <c r="I175">
        <v>-9.1308228621370405E-2</v>
      </c>
      <c r="J175">
        <v>282</v>
      </c>
    </row>
    <row r="176" spans="1:10">
      <c r="A176" t="s">
        <v>12</v>
      </c>
      <c r="B176">
        <v>282</v>
      </c>
      <c r="C176" t="s">
        <v>27</v>
      </c>
      <c r="D176">
        <v>-1.7882895218964401</v>
      </c>
      <c r="E176">
        <v>-8.7348581813587298</v>
      </c>
      <c r="F176">
        <v>29.123368979365502</v>
      </c>
      <c r="G176">
        <v>13.397706321234301</v>
      </c>
      <c r="H176">
        <v>-4.04908354053339</v>
      </c>
      <c r="I176">
        <v>0.59838824131082702</v>
      </c>
      <c r="J176">
        <v>282</v>
      </c>
    </row>
    <row r="177" spans="1:10">
      <c r="A177" t="s">
        <v>12</v>
      </c>
      <c r="B177">
        <v>282</v>
      </c>
      <c r="C177" t="s">
        <v>28</v>
      </c>
      <c r="D177">
        <v>4.5470041824300003</v>
      </c>
      <c r="E177">
        <v>5.4047434080454</v>
      </c>
      <c r="F177">
        <v>18.426788846528499</v>
      </c>
      <c r="G177">
        <v>-10.155587644355901</v>
      </c>
      <c r="H177">
        <v>6.8965416769037802</v>
      </c>
      <c r="I177">
        <v>-0.55723069049443097</v>
      </c>
      <c r="J177">
        <v>282</v>
      </c>
    </row>
    <row r="178" spans="1:10">
      <c r="A178" t="s">
        <v>12</v>
      </c>
      <c r="B178">
        <v>282</v>
      </c>
      <c r="C178" t="s">
        <v>29</v>
      </c>
      <c r="D178">
        <v>-3.21820047361985</v>
      </c>
      <c r="E178">
        <v>-1.9311923703115099</v>
      </c>
      <c r="F178">
        <v>18.350885725401099</v>
      </c>
      <c r="G178">
        <v>2.2177482040580099</v>
      </c>
      <c r="H178">
        <v>-6.2286213501946497</v>
      </c>
      <c r="I178">
        <v>0.142275417942376</v>
      </c>
      <c r="J178">
        <v>282</v>
      </c>
    </row>
    <row r="179" spans="1:10">
      <c r="A179" t="s">
        <v>12</v>
      </c>
      <c r="B179">
        <v>282</v>
      </c>
      <c r="C179" t="s">
        <v>30</v>
      </c>
      <c r="D179">
        <v>5.6953344710590601</v>
      </c>
      <c r="E179">
        <v>-1.04609345417943</v>
      </c>
      <c r="F179">
        <v>25.341191390758802</v>
      </c>
      <c r="G179">
        <v>0.66961267878145603</v>
      </c>
      <c r="H179">
        <v>8.7856507352940003</v>
      </c>
      <c r="I179">
        <v>-0.106362368789997</v>
      </c>
      <c r="J179">
        <v>282</v>
      </c>
    </row>
    <row r="180" spans="1:10">
      <c r="A180" t="s">
        <v>12</v>
      </c>
      <c r="B180">
        <v>282</v>
      </c>
      <c r="C180" t="s">
        <v>31</v>
      </c>
      <c r="D180">
        <v>-2.2810406147950899</v>
      </c>
      <c r="E180">
        <v>-9.3439771285811002</v>
      </c>
      <c r="F180">
        <v>27.788583076322698</v>
      </c>
      <c r="G180">
        <v>14.528843755636499</v>
      </c>
      <c r="H180">
        <v>-4.8023882060265297</v>
      </c>
      <c r="I180">
        <v>0.65996704224577696</v>
      </c>
      <c r="J180">
        <v>282</v>
      </c>
    </row>
    <row r="181" spans="1:10">
      <c r="A181" t="s">
        <v>12</v>
      </c>
      <c r="B181">
        <v>282</v>
      </c>
      <c r="C181" t="s">
        <v>32</v>
      </c>
      <c r="D181">
        <v>4.7581746122343</v>
      </c>
      <c r="E181">
        <v>6.3666913040901498</v>
      </c>
      <c r="F181">
        <v>15.9034940398372</v>
      </c>
      <c r="G181">
        <v>-11.6414828727971</v>
      </c>
      <c r="H181">
        <v>7.3594175911258803</v>
      </c>
      <c r="I181">
        <v>-0.62405399309339804</v>
      </c>
      <c r="J181">
        <v>282</v>
      </c>
    </row>
    <row r="182" spans="1:10">
      <c r="A182" t="s">
        <v>12</v>
      </c>
      <c r="B182">
        <v>283</v>
      </c>
      <c r="C182" t="s">
        <v>23</v>
      </c>
      <c r="D182">
        <v>-1.1242706604874499</v>
      </c>
      <c r="E182">
        <v>-1.6077335173801</v>
      </c>
      <c r="F182">
        <v>22.992044651802601</v>
      </c>
      <c r="G182">
        <v>1.51903497084072</v>
      </c>
      <c r="H182">
        <v>-1.10570574113582</v>
      </c>
      <c r="I182">
        <v>1.79565245761895E-2</v>
      </c>
      <c r="J182">
        <v>283</v>
      </c>
    </row>
    <row r="183" spans="1:10">
      <c r="A183" t="s">
        <v>12</v>
      </c>
      <c r="B183">
        <v>283</v>
      </c>
      <c r="C183" t="s">
        <v>24</v>
      </c>
      <c r="D183">
        <v>-1.2670599549924499</v>
      </c>
      <c r="E183">
        <v>-1.8143557901739999</v>
      </c>
      <c r="F183">
        <v>25.264312790569001</v>
      </c>
      <c r="G183">
        <v>1.71955335311973</v>
      </c>
      <c r="H183">
        <v>-1.2462872844380699</v>
      </c>
      <c r="I183">
        <v>2.08701366117542E-2</v>
      </c>
      <c r="J183">
        <v>283</v>
      </c>
    </row>
    <row r="184" spans="1:10">
      <c r="A184" t="s">
        <v>12</v>
      </c>
      <c r="B184">
        <v>283</v>
      </c>
      <c r="C184" t="s">
        <v>25</v>
      </c>
      <c r="D184">
        <v>-5.27554031343234</v>
      </c>
      <c r="E184">
        <v>-1.85656141552954</v>
      </c>
      <c r="F184">
        <v>28.6472040949755</v>
      </c>
      <c r="G184">
        <v>1.7784658222543901</v>
      </c>
      <c r="H184">
        <v>-8.0004257273799908</v>
      </c>
      <c r="I184">
        <v>0.132465779437766</v>
      </c>
      <c r="J184">
        <v>283</v>
      </c>
    </row>
    <row r="185" spans="1:10">
      <c r="A185" t="s">
        <v>12</v>
      </c>
      <c r="B185">
        <v>283</v>
      </c>
      <c r="C185" t="s">
        <v>26</v>
      </c>
      <c r="D185">
        <v>2.7699782623484399</v>
      </c>
      <c r="E185">
        <v>-1.73082571025968</v>
      </c>
      <c r="F185">
        <v>21.426967858409299</v>
      </c>
      <c r="G185">
        <v>1.6205372075292599</v>
      </c>
      <c r="H185">
        <v>5.5359674671643004</v>
      </c>
      <c r="I185">
        <v>-9.1308228621370405E-2</v>
      </c>
      <c r="J185">
        <v>283</v>
      </c>
    </row>
    <row r="186" spans="1:10">
      <c r="A186" t="s">
        <v>12</v>
      </c>
      <c r="B186">
        <v>283</v>
      </c>
      <c r="C186" t="s">
        <v>27</v>
      </c>
      <c r="D186">
        <v>-4.8194273714857703</v>
      </c>
      <c r="E186">
        <v>-6.75343477656814</v>
      </c>
      <c r="F186">
        <v>34.215200218861902</v>
      </c>
      <c r="G186">
        <v>9.9049642039727601</v>
      </c>
      <c r="H186">
        <v>-7.1076520249774999</v>
      </c>
      <c r="I186">
        <v>0.59838824131082702</v>
      </c>
      <c r="J186">
        <v>283</v>
      </c>
    </row>
    <row r="187" spans="1:10">
      <c r="A187" t="s">
        <v>12</v>
      </c>
      <c r="B187">
        <v>283</v>
      </c>
      <c r="C187" t="s">
        <v>28</v>
      </c>
      <c r="D187">
        <v>2.3138653204018702</v>
      </c>
      <c r="E187">
        <v>3.1660476507789199</v>
      </c>
      <c r="F187">
        <v>15.8589717345229</v>
      </c>
      <c r="G187">
        <v>-6.5059611741890997</v>
      </c>
      <c r="H187">
        <v>4.6431937647618096</v>
      </c>
      <c r="I187">
        <v>-0.55723069049443097</v>
      </c>
      <c r="J187">
        <v>283</v>
      </c>
    </row>
    <row r="188" spans="1:10">
      <c r="A188" t="s">
        <v>12</v>
      </c>
      <c r="B188">
        <v>283</v>
      </c>
      <c r="C188" t="s">
        <v>29</v>
      </c>
      <c r="D188">
        <v>-5.5940032025878796</v>
      </c>
      <c r="E188">
        <v>-1.67758668697446</v>
      </c>
      <c r="F188">
        <v>27.0032870054504</v>
      </c>
      <c r="G188">
        <v>1.6067730901324599</v>
      </c>
      <c r="H188">
        <v>-8.6259241825493191</v>
      </c>
      <c r="I188">
        <v>0.142275417942376</v>
      </c>
      <c r="J188">
        <v>283</v>
      </c>
    </row>
    <row r="189" spans="1:10">
      <c r="A189" t="s">
        <v>12</v>
      </c>
      <c r="B189">
        <v>283</v>
      </c>
      <c r="C189" t="s">
        <v>30</v>
      </c>
      <c r="D189">
        <v>3.3454618816129802</v>
      </c>
      <c r="E189">
        <v>-1.5378803477857399</v>
      </c>
      <c r="F189">
        <v>18.9808022981547</v>
      </c>
      <c r="G189">
        <v>1.4312968515489799</v>
      </c>
      <c r="H189">
        <v>6.4145127002776796</v>
      </c>
      <c r="I189">
        <v>-0.106362368789997</v>
      </c>
      <c r="J189">
        <v>283</v>
      </c>
    </row>
    <row r="190" spans="1:10">
      <c r="A190" t="s">
        <v>12</v>
      </c>
      <c r="B190">
        <v>283</v>
      </c>
      <c r="C190" t="s">
        <v>31</v>
      </c>
      <c r="D190">
        <v>-5.0872110448694796</v>
      </c>
      <c r="E190">
        <v>-7.1185570881284699</v>
      </c>
      <c r="F190">
        <v>33.189949365324303</v>
      </c>
      <c r="G190">
        <v>10.6362157364862</v>
      </c>
      <c r="H190">
        <v>-7.6339534021021</v>
      </c>
      <c r="I190">
        <v>0.65996704224577696</v>
      </c>
      <c r="J190">
        <v>283</v>
      </c>
    </row>
    <row r="191" spans="1:10">
      <c r="A191" t="s">
        <v>12</v>
      </c>
      <c r="B191">
        <v>283</v>
      </c>
      <c r="C191" t="s">
        <v>32</v>
      </c>
      <c r="D191">
        <v>2.83866972389457</v>
      </c>
      <c r="E191">
        <v>3.90309005336827</v>
      </c>
      <c r="F191">
        <v>12.7941399382809</v>
      </c>
      <c r="G191">
        <v>-7.5981457948047604</v>
      </c>
      <c r="H191">
        <v>5.4225419198304596</v>
      </c>
      <c r="I191">
        <v>-0.62405399309339804</v>
      </c>
      <c r="J191">
        <v>283</v>
      </c>
    </row>
    <row r="192" spans="1:10">
      <c r="A192" t="s">
        <v>12</v>
      </c>
      <c r="B192">
        <v>284</v>
      </c>
      <c r="C192" t="s">
        <v>23</v>
      </c>
      <c r="D192">
        <v>-2.0833173708318702</v>
      </c>
      <c r="E192">
        <v>-7.3038577884532996E-2</v>
      </c>
      <c r="F192">
        <v>30.169157703999002</v>
      </c>
      <c r="G192">
        <v>-0.169173455028898</v>
      </c>
      <c r="H192">
        <v>-1.98397107199069</v>
      </c>
      <c r="I192">
        <v>1.79565245761895E-2</v>
      </c>
      <c r="J192">
        <v>284</v>
      </c>
    </row>
    <row r="193" spans="1:10">
      <c r="A193" t="s">
        <v>12</v>
      </c>
      <c r="B193">
        <v>284</v>
      </c>
      <c r="C193" t="s">
        <v>24</v>
      </c>
      <c r="D193">
        <v>-2.3472225054545701</v>
      </c>
      <c r="E193">
        <v>-8.4553547300538295E-2</v>
      </c>
      <c r="F193">
        <v>33.491073626071497</v>
      </c>
      <c r="G193">
        <v>-0.18818348273628599</v>
      </c>
      <c r="H193">
        <v>-2.2322487333079599</v>
      </c>
      <c r="I193">
        <v>2.08701366117542E-2</v>
      </c>
      <c r="J193">
        <v>284</v>
      </c>
    </row>
    <row r="194" spans="1:10">
      <c r="A194" t="s">
        <v>12</v>
      </c>
      <c r="B194">
        <v>284</v>
      </c>
      <c r="C194" t="s">
        <v>25</v>
      </c>
      <c r="D194">
        <v>-5.2471076662782599</v>
      </c>
      <c r="E194">
        <v>1.40872132716484</v>
      </c>
      <c r="F194">
        <v>36.647251785798701</v>
      </c>
      <c r="G194">
        <v>-2.5463846045874501</v>
      </c>
      <c r="H194">
        <v>-7.3117840410819399</v>
      </c>
      <c r="I194">
        <v>0.132465779437766</v>
      </c>
      <c r="J194">
        <v>284</v>
      </c>
    </row>
    <row r="195" spans="1:10">
      <c r="A195" t="s">
        <v>12</v>
      </c>
      <c r="B195">
        <v>284</v>
      </c>
      <c r="C195" t="s">
        <v>26</v>
      </c>
      <c r="D195">
        <v>0.60544368229366596</v>
      </c>
      <c r="E195">
        <v>-1.57552542788272</v>
      </c>
      <c r="F195">
        <v>29.670512281929799</v>
      </c>
      <c r="G195">
        <v>2.1738196446563598</v>
      </c>
      <c r="H195">
        <v>2.8969421067294601</v>
      </c>
      <c r="I195">
        <v>-9.1308228621370405E-2</v>
      </c>
      <c r="J195">
        <v>284</v>
      </c>
    </row>
    <row r="196" spans="1:10">
      <c r="A196" t="s">
        <v>12</v>
      </c>
      <c r="B196">
        <v>284</v>
      </c>
      <c r="C196" t="s">
        <v>27</v>
      </c>
      <c r="D196">
        <v>-1.45387429820265</v>
      </c>
      <c r="E196">
        <v>2.1921169582436302</v>
      </c>
      <c r="F196">
        <v>34.940822675009201</v>
      </c>
      <c r="G196">
        <v>-3.7744467092259599</v>
      </c>
      <c r="H196">
        <v>-0.73043914771227203</v>
      </c>
      <c r="I196">
        <v>0.59838824131082702</v>
      </c>
      <c r="J196">
        <v>284</v>
      </c>
    </row>
    <row r="197" spans="1:10">
      <c r="A197" t="s">
        <v>12</v>
      </c>
      <c r="B197">
        <v>284</v>
      </c>
      <c r="C197" t="s">
        <v>28</v>
      </c>
      <c r="D197">
        <v>-3.1877896857819401</v>
      </c>
      <c r="E197">
        <v>-2.3589210589615099</v>
      </c>
      <c r="F197">
        <v>31.376941392719299</v>
      </c>
      <c r="G197">
        <v>3.4018817492948701</v>
      </c>
      <c r="H197">
        <v>-3.6844027866402</v>
      </c>
      <c r="I197">
        <v>-0.55723069049443097</v>
      </c>
      <c r="J197">
        <v>284</v>
      </c>
    </row>
    <row r="198" spans="1:10">
      <c r="A198" t="s">
        <v>12</v>
      </c>
      <c r="B198">
        <v>284</v>
      </c>
      <c r="C198" t="s">
        <v>29</v>
      </c>
      <c r="D198">
        <v>-5.3347347867051598</v>
      </c>
      <c r="E198">
        <v>1.5848762860307799</v>
      </c>
      <c r="F198">
        <v>34.045124095037302</v>
      </c>
      <c r="G198">
        <v>-2.79150914905324</v>
      </c>
      <c r="H198">
        <v>-7.6554855985525698</v>
      </c>
      <c r="I198">
        <v>0.142275417942376</v>
      </c>
      <c r="J198">
        <v>284</v>
      </c>
    </row>
    <row r="199" spans="1:10">
      <c r="A199" t="s">
        <v>12</v>
      </c>
      <c r="B199">
        <v>284</v>
      </c>
      <c r="C199" t="s">
        <v>30</v>
      </c>
      <c r="D199">
        <v>1.1681000450414201</v>
      </c>
      <c r="E199">
        <v>-1.73095344179984</v>
      </c>
      <c r="F199">
        <v>26.293191312960701</v>
      </c>
      <c r="G199">
        <v>2.4531622389954402</v>
      </c>
      <c r="H199">
        <v>3.6875434545712</v>
      </c>
      <c r="I199">
        <v>-0.106362368789997</v>
      </c>
      <c r="J199">
        <v>284</v>
      </c>
    </row>
    <row r="200" spans="1:10">
      <c r="A200" t="s">
        <v>12</v>
      </c>
      <c r="B200">
        <v>284</v>
      </c>
      <c r="C200" t="s">
        <v>31</v>
      </c>
      <c r="D200">
        <v>-1.1200310443989301</v>
      </c>
      <c r="E200">
        <v>2.4553158761183198</v>
      </c>
      <c r="F200">
        <v>32.149091749715602</v>
      </c>
      <c r="G200">
        <v>-4.15602259865158</v>
      </c>
      <c r="H200">
        <v>-0.34288016147516998</v>
      </c>
      <c r="I200">
        <v>0.65996704224577696</v>
      </c>
      <c r="J200">
        <v>284</v>
      </c>
    </row>
    <row r="201" spans="1:10">
      <c r="A201" t="s">
        <v>12</v>
      </c>
      <c r="B201">
        <v>284</v>
      </c>
      <c r="C201" t="s">
        <v>32</v>
      </c>
      <c r="D201">
        <v>-3.0466036972647998</v>
      </c>
      <c r="E201">
        <v>-2.6013930318873899</v>
      </c>
      <c r="F201">
        <v>28.189223658282401</v>
      </c>
      <c r="G201">
        <v>3.8176756885937801</v>
      </c>
      <c r="H201">
        <v>-3.6250619825062</v>
      </c>
      <c r="I201">
        <v>-0.62405399309339804</v>
      </c>
      <c r="J201">
        <v>284</v>
      </c>
    </row>
    <row r="202" spans="1:10">
      <c r="A202" t="s">
        <v>12</v>
      </c>
      <c r="B202">
        <v>285</v>
      </c>
      <c r="C202" t="s">
        <v>23</v>
      </c>
      <c r="D202">
        <v>-1.5583963799602401</v>
      </c>
      <c r="E202">
        <v>0.194643093293172</v>
      </c>
      <c r="F202">
        <v>11.849682778618</v>
      </c>
      <c r="G202">
        <v>-0.43927754265341301</v>
      </c>
      <c r="H202">
        <v>-1.47720829452059</v>
      </c>
      <c r="I202">
        <v>1.79565245761895E-2</v>
      </c>
      <c r="J202">
        <v>285</v>
      </c>
    </row>
    <row r="203" spans="1:10">
      <c r="A203" t="s">
        <v>12</v>
      </c>
      <c r="B203">
        <v>285</v>
      </c>
      <c r="C203" t="s">
        <v>24</v>
      </c>
      <c r="D203">
        <v>-1.73803273409301</v>
      </c>
      <c r="E203">
        <v>0.219164061578416</v>
      </c>
      <c r="F203">
        <v>12.700748511262001</v>
      </c>
      <c r="G203">
        <v>-0.49464961947558</v>
      </c>
      <c r="H203">
        <v>-1.6441716986433601</v>
      </c>
      <c r="I203">
        <v>2.08701366117542E-2</v>
      </c>
      <c r="J203">
        <v>285</v>
      </c>
    </row>
    <row r="204" spans="1:10">
      <c r="A204" t="s">
        <v>12</v>
      </c>
      <c r="B204">
        <v>285</v>
      </c>
      <c r="C204" t="s">
        <v>25</v>
      </c>
      <c r="D204">
        <v>-4.6592472236331899</v>
      </c>
      <c r="E204">
        <v>1.51744353795409</v>
      </c>
      <c r="F204">
        <v>12.2943792528441</v>
      </c>
      <c r="G204">
        <v>-2.6560907096806701</v>
      </c>
      <c r="H204">
        <v>-6.8876006731641501</v>
      </c>
      <c r="I204">
        <v>0.132465779437766</v>
      </c>
      <c r="J204">
        <v>285</v>
      </c>
    </row>
    <row r="205" spans="1:10">
      <c r="A205" t="s">
        <v>12</v>
      </c>
      <c r="B205">
        <v>285</v>
      </c>
      <c r="C205" t="s">
        <v>26</v>
      </c>
      <c r="D205">
        <v>1.2191090262737301</v>
      </c>
      <c r="E205">
        <v>-1.0840196084543099</v>
      </c>
      <c r="F205">
        <v>12.936904623151101</v>
      </c>
      <c r="G205">
        <v>1.6778658860939499</v>
      </c>
      <c r="H205">
        <v>3.6326499567019899</v>
      </c>
      <c r="I205">
        <v>-9.1308228621370405E-2</v>
      </c>
      <c r="J205">
        <v>285</v>
      </c>
    </row>
    <row r="206" spans="1:10">
      <c r="A206" t="s">
        <v>12</v>
      </c>
      <c r="B206">
        <v>285</v>
      </c>
      <c r="C206" t="s">
        <v>27</v>
      </c>
      <c r="D206">
        <v>-1.97398498027117</v>
      </c>
      <c r="E206">
        <v>2.2406613442508201</v>
      </c>
      <c r="F206">
        <v>9.3937844897166496</v>
      </c>
      <c r="G206">
        <v>-3.8234304033058599</v>
      </c>
      <c r="H206">
        <v>-2.0186674525644199</v>
      </c>
      <c r="I206">
        <v>0.59838824131082702</v>
      </c>
      <c r="J206">
        <v>285</v>
      </c>
    </row>
    <row r="207" spans="1:10">
      <c r="A207" t="s">
        <v>12</v>
      </c>
      <c r="B207">
        <v>285</v>
      </c>
      <c r="C207" t="s">
        <v>28</v>
      </c>
      <c r="D207">
        <v>-1.4661532170883</v>
      </c>
      <c r="E207">
        <v>-1.8072374147510399</v>
      </c>
      <c r="F207">
        <v>15.8374993862786</v>
      </c>
      <c r="G207">
        <v>2.84520557971913</v>
      </c>
      <c r="H207">
        <v>-1.2362832638977399</v>
      </c>
      <c r="I207">
        <v>-0.55723069049443097</v>
      </c>
      <c r="J207">
        <v>285</v>
      </c>
    </row>
    <row r="208" spans="1:10">
      <c r="A208" t="s">
        <v>12</v>
      </c>
      <c r="B208">
        <v>285</v>
      </c>
      <c r="C208" t="s">
        <v>29</v>
      </c>
      <c r="D208">
        <v>-4.82414985213076</v>
      </c>
      <c r="E208">
        <v>1.6399003968534001</v>
      </c>
      <c r="F208">
        <v>11.4927242395585</v>
      </c>
      <c r="G208">
        <v>-2.84703120697265</v>
      </c>
      <c r="H208">
        <v>-7.3217919777795597</v>
      </c>
      <c r="I208">
        <v>0.142275417942376</v>
      </c>
      <c r="J208">
        <v>285</v>
      </c>
    </row>
    <row r="209" spans="1:10">
      <c r="A209" t="s">
        <v>12</v>
      </c>
      <c r="B209">
        <v>285</v>
      </c>
      <c r="C209" t="s">
        <v>30</v>
      </c>
      <c r="D209">
        <v>1.7073570922102701</v>
      </c>
      <c r="E209">
        <v>-1.2506142102670501</v>
      </c>
      <c r="F209">
        <v>12.2066413176774</v>
      </c>
      <c r="G209">
        <v>1.96847612166582</v>
      </c>
      <c r="H209">
        <v>4.3673753887383802</v>
      </c>
      <c r="I209">
        <v>-0.106362368789997</v>
      </c>
      <c r="J209">
        <v>285</v>
      </c>
    </row>
    <row r="210" spans="1:10">
      <c r="A210" t="s">
        <v>12</v>
      </c>
      <c r="B210">
        <v>285</v>
      </c>
      <c r="C210" t="s">
        <v>31</v>
      </c>
      <c r="D210">
        <v>-1.8405251372840601</v>
      </c>
      <c r="E210">
        <v>2.44347573718309</v>
      </c>
      <c r="F210">
        <v>8.2698411694169103</v>
      </c>
      <c r="G210">
        <v>-4.1440753110006296</v>
      </c>
      <c r="H210">
        <v>-1.91186617711319</v>
      </c>
      <c r="I210">
        <v>0.65996704224577696</v>
      </c>
      <c r="J210">
        <v>285</v>
      </c>
    </row>
    <row r="211" spans="1:10">
      <c r="A211" t="s">
        <v>12</v>
      </c>
      <c r="B211">
        <v>285</v>
      </c>
      <c r="C211" t="s">
        <v>32</v>
      </c>
      <c r="D211">
        <v>-1.27626762263643</v>
      </c>
      <c r="E211">
        <v>-2.05418955059675</v>
      </c>
      <c r="F211">
        <v>15.4295243878191</v>
      </c>
      <c r="G211">
        <v>3.2655202256938001</v>
      </c>
      <c r="H211">
        <v>-1.04255041192799</v>
      </c>
      <c r="I211">
        <v>-0.62405399309339804</v>
      </c>
      <c r="J211">
        <v>285</v>
      </c>
    </row>
    <row r="212" spans="1:10">
      <c r="A212" t="s">
        <v>12</v>
      </c>
      <c r="B212">
        <v>286</v>
      </c>
      <c r="C212" t="s">
        <v>23</v>
      </c>
      <c r="D212">
        <v>-1.7929417800733201</v>
      </c>
      <c r="E212">
        <v>0.89308800328474003</v>
      </c>
      <c r="F212">
        <v>28.499053482840502</v>
      </c>
      <c r="G212">
        <v>-1.14404311117087</v>
      </c>
      <c r="H212">
        <v>-1.6468227561954301</v>
      </c>
      <c r="I212">
        <v>1.79565245761895E-2</v>
      </c>
      <c r="J212">
        <v>286</v>
      </c>
    </row>
    <row r="213" spans="1:10">
      <c r="A213" t="s">
        <v>12</v>
      </c>
      <c r="B213">
        <v>286</v>
      </c>
      <c r="C213" t="s">
        <v>24</v>
      </c>
      <c r="D213">
        <v>-2.0329903148769901</v>
      </c>
      <c r="E213">
        <v>1.00796876735998</v>
      </c>
      <c r="F213">
        <v>31.675498649181598</v>
      </c>
      <c r="G213">
        <v>-1.2905927052747199</v>
      </c>
      <c r="H213">
        <v>-1.86386500062464</v>
      </c>
      <c r="I213">
        <v>2.08701366117542E-2</v>
      </c>
      <c r="J213">
        <v>286</v>
      </c>
    </row>
    <row r="214" spans="1:10">
      <c r="A214" t="s">
        <v>12</v>
      </c>
      <c r="B214">
        <v>286</v>
      </c>
      <c r="C214" t="s">
        <v>25</v>
      </c>
      <c r="D214">
        <v>-4.64417648690935</v>
      </c>
      <c r="E214">
        <v>2.52272794960352</v>
      </c>
      <c r="F214">
        <v>32.361733443763399</v>
      </c>
      <c r="G214">
        <v>-3.67047255964849</v>
      </c>
      <c r="H214">
        <v>-6.3777381397697397</v>
      </c>
      <c r="I214">
        <v>0.132465779437766</v>
      </c>
      <c r="J214">
        <v>286</v>
      </c>
    </row>
    <row r="215" spans="1:10">
      <c r="A215" t="s">
        <v>12</v>
      </c>
      <c r="B215">
        <v>286</v>
      </c>
      <c r="C215" t="s">
        <v>26</v>
      </c>
      <c r="D215">
        <v>0.62620556411609896</v>
      </c>
      <c r="E215">
        <v>-0.52976656769861896</v>
      </c>
      <c r="F215">
        <v>30.353974821331601</v>
      </c>
      <c r="G215">
        <v>1.1185970679198201</v>
      </c>
      <c r="H215">
        <v>2.6934165874063001</v>
      </c>
      <c r="I215">
        <v>-9.1308228621370405E-2</v>
      </c>
      <c r="J215">
        <v>286</v>
      </c>
    </row>
    <row r="216" spans="1:10">
      <c r="A216" t="s">
        <v>12</v>
      </c>
      <c r="B216">
        <v>286</v>
      </c>
      <c r="C216" t="s">
        <v>27</v>
      </c>
      <c r="D216">
        <v>0.79431230140769304</v>
      </c>
      <c r="E216">
        <v>3.2464860347410398</v>
      </c>
      <c r="F216">
        <v>26.754486058631901</v>
      </c>
      <c r="G216">
        <v>-4.8383574214307297</v>
      </c>
      <c r="H216">
        <v>3.0091909019318801</v>
      </c>
      <c r="I216">
        <v>0.59838824131082702</v>
      </c>
      <c r="J216">
        <v>286</v>
      </c>
    </row>
    <row r="217" spans="1:10">
      <c r="A217" t="s">
        <v>12</v>
      </c>
      <c r="B217">
        <v>286</v>
      </c>
      <c r="C217" t="s">
        <v>28</v>
      </c>
      <c r="D217">
        <v>-4.8122832242009403</v>
      </c>
      <c r="E217">
        <v>-1.2535246528361399</v>
      </c>
      <c r="F217">
        <v>35.961222206463098</v>
      </c>
      <c r="G217">
        <v>2.2864819297020702</v>
      </c>
      <c r="H217">
        <v>-6.6935124542953197</v>
      </c>
      <c r="I217">
        <v>-0.55723069049443097</v>
      </c>
      <c r="J217">
        <v>286</v>
      </c>
    </row>
    <row r="218" spans="1:10">
      <c r="A218" t="s">
        <v>12</v>
      </c>
      <c r="B218">
        <v>286</v>
      </c>
      <c r="C218" t="s">
        <v>29</v>
      </c>
      <c r="D218">
        <v>-4.7209318084207901</v>
      </c>
      <c r="E218">
        <v>2.5889182906748198</v>
      </c>
      <c r="F218">
        <v>29.614474939747002</v>
      </c>
      <c r="G218">
        <v>-3.8046373487088201</v>
      </c>
      <c r="H218">
        <v>-6.6863531601821196</v>
      </c>
      <c r="I218">
        <v>0.142275417942376</v>
      </c>
      <c r="J218">
        <v>286</v>
      </c>
    </row>
    <row r="219" spans="1:10">
      <c r="A219" t="s">
        <v>12</v>
      </c>
      <c r="B219">
        <v>286</v>
      </c>
      <c r="C219" t="s">
        <v>30</v>
      </c>
      <c r="D219">
        <v>1.13504824827415</v>
      </c>
      <c r="E219">
        <v>-0.80274228410533899</v>
      </c>
      <c r="F219">
        <v>27.383632025933998</v>
      </c>
      <c r="G219">
        <v>1.5165511263670799</v>
      </c>
      <c r="H219">
        <v>3.3927076477912599</v>
      </c>
      <c r="I219">
        <v>-0.106362368789997</v>
      </c>
      <c r="J219">
        <v>286</v>
      </c>
    </row>
    <row r="220" spans="1:10">
      <c r="A220" t="s">
        <v>12</v>
      </c>
      <c r="B220">
        <v>286</v>
      </c>
      <c r="C220" t="s">
        <v>31</v>
      </c>
      <c r="D220">
        <v>1.3218335119314799</v>
      </c>
      <c r="E220">
        <v>3.3930939408276202</v>
      </c>
      <c r="F220">
        <v>23.3842000673787</v>
      </c>
      <c r="G220">
        <v>-5.10228719513354</v>
      </c>
      <c r="H220">
        <v>3.7435679972641198</v>
      </c>
      <c r="I220">
        <v>0.65996704224577696</v>
      </c>
      <c r="J220">
        <v>286</v>
      </c>
    </row>
    <row r="221" spans="1:10">
      <c r="A221" t="s">
        <v>12</v>
      </c>
      <c r="B221">
        <v>286</v>
      </c>
      <c r="C221" t="s">
        <v>32</v>
      </c>
      <c r="D221">
        <v>-4.9077170720781202</v>
      </c>
      <c r="E221">
        <v>-1.6069179342581399</v>
      </c>
      <c r="F221">
        <v>33.613906898302197</v>
      </c>
      <c r="G221">
        <v>2.8142009727918</v>
      </c>
      <c r="H221">
        <v>-7.0372135096549897</v>
      </c>
      <c r="I221">
        <v>-0.62405399309339804</v>
      </c>
      <c r="J221">
        <v>286</v>
      </c>
    </row>
    <row r="222" spans="1:10">
      <c r="A222" t="s">
        <v>12</v>
      </c>
      <c r="B222">
        <v>287</v>
      </c>
      <c r="C222" t="s">
        <v>23</v>
      </c>
      <c r="D222">
        <v>-1.4951892049694899</v>
      </c>
      <c r="E222">
        <v>0.51683554956844602</v>
      </c>
      <c r="F222">
        <v>15.3986190536223</v>
      </c>
      <c r="G222">
        <v>-0.76438571707138103</v>
      </c>
      <c r="H222">
        <v>-1.3201227740456301</v>
      </c>
      <c r="I222">
        <v>1.79565245761895E-2</v>
      </c>
      <c r="J222">
        <v>287</v>
      </c>
    </row>
    <row r="223" spans="1:10">
      <c r="A223" t="s">
        <v>12</v>
      </c>
      <c r="B223">
        <v>287</v>
      </c>
      <c r="C223" t="s">
        <v>24</v>
      </c>
      <c r="D223">
        <v>-1.6796423971050001</v>
      </c>
      <c r="E223">
        <v>0.58371804928541804</v>
      </c>
      <c r="F223">
        <v>16.7254937640494</v>
      </c>
      <c r="G223">
        <v>-0.86250268093569504</v>
      </c>
      <c r="H223">
        <v>-1.47680679008882</v>
      </c>
      <c r="I223">
        <v>2.08701366117542E-2</v>
      </c>
      <c r="J223">
        <v>287</v>
      </c>
    </row>
    <row r="224" spans="1:10">
      <c r="A224" t="s">
        <v>12</v>
      </c>
      <c r="B224">
        <v>287</v>
      </c>
      <c r="C224" t="s">
        <v>25</v>
      </c>
      <c r="D224">
        <v>-3.9660335979046399</v>
      </c>
      <c r="E224">
        <v>1.96314907782611</v>
      </c>
      <c r="F224">
        <v>20.164026373656199</v>
      </c>
      <c r="G224">
        <v>-3.1058297137247801</v>
      </c>
      <c r="H224">
        <v>-5.4997902386179396</v>
      </c>
      <c r="I224">
        <v>0.132465779437766</v>
      </c>
      <c r="J224">
        <v>287</v>
      </c>
    </row>
    <row r="225" spans="1:10">
      <c r="A225" t="s">
        <v>12</v>
      </c>
      <c r="B225">
        <v>287</v>
      </c>
      <c r="C225" t="s">
        <v>26</v>
      </c>
      <c r="D225">
        <v>0.64363944212173996</v>
      </c>
      <c r="E225">
        <v>-0.80908947919867003</v>
      </c>
      <c r="F225">
        <v>13.021586212357199</v>
      </c>
      <c r="G225">
        <v>1.40044774462626</v>
      </c>
      <c r="H225">
        <v>2.5775134616489299</v>
      </c>
      <c r="I225">
        <v>-9.1308228621370405E-2</v>
      </c>
      <c r="J225">
        <v>287</v>
      </c>
    </row>
    <row r="226" spans="1:10">
      <c r="A226" t="s">
        <v>12</v>
      </c>
      <c r="B226">
        <v>287</v>
      </c>
      <c r="C226" t="s">
        <v>27</v>
      </c>
      <c r="D226">
        <v>2.1358015442351701</v>
      </c>
      <c r="E226">
        <v>2.50838925186742</v>
      </c>
      <c r="F226">
        <v>17.512257233860499</v>
      </c>
      <c r="G226">
        <v>-4.09358114579131</v>
      </c>
      <c r="H226">
        <v>5.2376777635797103</v>
      </c>
      <c r="I226">
        <v>0.59838824131082702</v>
      </c>
      <c r="J226">
        <v>287</v>
      </c>
    </row>
    <row r="227" spans="1:10">
      <c r="A227" t="s">
        <v>12</v>
      </c>
      <c r="B227">
        <v>287</v>
      </c>
      <c r="C227" t="s">
        <v>28</v>
      </c>
      <c r="D227">
        <v>-5.4581957000180603</v>
      </c>
      <c r="E227">
        <v>-1.35432965323998</v>
      </c>
      <c r="F227">
        <v>15.6733553521529</v>
      </c>
      <c r="G227">
        <v>2.3881991766927801</v>
      </c>
      <c r="H227">
        <v>-8.1599545405487195</v>
      </c>
      <c r="I227">
        <v>-0.55723069049443097</v>
      </c>
      <c r="J227">
        <v>287</v>
      </c>
    </row>
    <row r="228" spans="1:10">
      <c r="A228" t="s">
        <v>12</v>
      </c>
      <c r="B228">
        <v>287</v>
      </c>
      <c r="C228" t="s">
        <v>29</v>
      </c>
      <c r="D228">
        <v>-4.0561186716508102</v>
      </c>
      <c r="E228">
        <v>2.05696808124888</v>
      </c>
      <c r="F228">
        <v>19.366641365454999</v>
      </c>
      <c r="G228">
        <v>-3.2678731939330699</v>
      </c>
      <c r="H228">
        <v>-5.8075137186383401</v>
      </c>
      <c r="I228">
        <v>0.142275417942376</v>
      </c>
      <c r="J228">
        <v>287</v>
      </c>
    </row>
    <row r="229" spans="1:10">
      <c r="A229" t="s">
        <v>12</v>
      </c>
      <c r="B229">
        <v>287</v>
      </c>
      <c r="C229" t="s">
        <v>30</v>
      </c>
      <c r="D229">
        <v>1.0657402617118299</v>
      </c>
      <c r="E229">
        <v>-1.0232969821119899</v>
      </c>
      <c r="F229">
        <v>11.4305967417895</v>
      </c>
      <c r="G229">
        <v>1.73910175979031</v>
      </c>
      <c r="H229">
        <v>3.16726817054708</v>
      </c>
      <c r="I229">
        <v>-0.106362368789997</v>
      </c>
      <c r="J229">
        <v>287</v>
      </c>
    </row>
    <row r="230" spans="1:10">
      <c r="A230" t="s">
        <v>12</v>
      </c>
      <c r="B230">
        <v>287</v>
      </c>
      <c r="C230" t="s">
        <v>31</v>
      </c>
      <c r="D230">
        <v>2.7236981529489701</v>
      </c>
      <c r="E230">
        <v>2.6627904968503402</v>
      </c>
      <c r="F230">
        <v>16.420231210126499</v>
      </c>
      <c r="G230">
        <v>-4.3653747851181004</v>
      </c>
      <c r="H230">
        <v>6.1230062838035</v>
      </c>
      <c r="I230">
        <v>0.65996704224577696</v>
      </c>
      <c r="J230">
        <v>287</v>
      </c>
    </row>
    <row r="231" spans="1:10">
      <c r="A231" t="s">
        <v>12</v>
      </c>
      <c r="B231">
        <v>287</v>
      </c>
      <c r="C231" t="s">
        <v>32</v>
      </c>
      <c r="D231">
        <v>-5.71407656288795</v>
      </c>
      <c r="E231">
        <v>-1.6291193977134499</v>
      </c>
      <c r="F231">
        <v>14.3770068971181</v>
      </c>
      <c r="G231">
        <v>2.8366033509753401</v>
      </c>
      <c r="H231">
        <v>-8.7632518318947596</v>
      </c>
      <c r="I231">
        <v>-0.62405399309339804</v>
      </c>
      <c r="J231">
        <v>287</v>
      </c>
    </row>
    <row r="232" spans="1:10">
      <c r="A232" t="s">
        <v>12</v>
      </c>
      <c r="B232">
        <v>288</v>
      </c>
      <c r="C232" t="s">
        <v>23</v>
      </c>
      <c r="D232">
        <v>-2.3015652391536998E-2</v>
      </c>
      <c r="E232">
        <v>1.1776045186986701</v>
      </c>
      <c r="F232">
        <v>38.722896749266198</v>
      </c>
      <c r="G232">
        <v>-1.3674252210056499</v>
      </c>
      <c r="H232">
        <v>0.16537338448675401</v>
      </c>
      <c r="I232">
        <v>1.79565245761895E-2</v>
      </c>
      <c r="J232">
        <v>288</v>
      </c>
    </row>
    <row r="233" spans="1:10">
      <c r="A233" t="s">
        <v>12</v>
      </c>
      <c r="B233">
        <v>288</v>
      </c>
      <c r="C233" t="s">
        <v>24</v>
      </c>
      <c r="D233">
        <v>8.3412520556094805E-4</v>
      </c>
      <c r="E233">
        <v>1.33094488453888</v>
      </c>
      <c r="F233">
        <v>42.936588976045599</v>
      </c>
      <c r="G233">
        <v>-1.5424450598484101</v>
      </c>
      <c r="H233">
        <v>0.21887740015138299</v>
      </c>
      <c r="I233">
        <v>2.08701366117542E-2</v>
      </c>
      <c r="J233">
        <v>288</v>
      </c>
    </row>
    <row r="234" spans="1:10">
      <c r="A234" t="s">
        <v>12</v>
      </c>
      <c r="B234">
        <v>288</v>
      </c>
      <c r="C234" t="s">
        <v>25</v>
      </c>
      <c r="D234">
        <v>-2.7042445660737102</v>
      </c>
      <c r="E234">
        <v>2.0672417211445602</v>
      </c>
      <c r="F234">
        <v>43.242381310789703</v>
      </c>
      <c r="G234">
        <v>-2.74088003613535</v>
      </c>
      <c r="H234">
        <v>-4.2265825000460397</v>
      </c>
      <c r="I234">
        <v>0.132465779437766</v>
      </c>
      <c r="J234">
        <v>288</v>
      </c>
    </row>
    <row r="235" spans="1:10">
      <c r="A235" t="s">
        <v>12</v>
      </c>
      <c r="B235">
        <v>288</v>
      </c>
      <c r="C235" t="s">
        <v>26</v>
      </c>
      <c r="D235">
        <v>2.70114286096541</v>
      </c>
      <c r="E235">
        <v>0.56397997476514805</v>
      </c>
      <c r="F235">
        <v>41.788058195945602</v>
      </c>
      <c r="G235">
        <v>-0.30900611579292198</v>
      </c>
      <c r="H235">
        <v>4.6536364972158797</v>
      </c>
      <c r="I235">
        <v>-9.1308228621370405E-2</v>
      </c>
      <c r="J235">
        <v>288</v>
      </c>
    </row>
    <row r="236" spans="1:10">
      <c r="A236" t="s">
        <v>12</v>
      </c>
      <c r="B236">
        <v>288</v>
      </c>
      <c r="C236" t="s">
        <v>27</v>
      </c>
      <c r="D236">
        <v>4.7638564324042996</v>
      </c>
      <c r="E236">
        <v>9.0529063777462698E-2</v>
      </c>
      <c r="F236">
        <v>40.893465191552401</v>
      </c>
      <c r="G236">
        <v>0.46922195871351702</v>
      </c>
      <c r="H236">
        <v>7.88951554041736</v>
      </c>
      <c r="I236">
        <v>0.59838824131082702</v>
      </c>
      <c r="J236">
        <v>288</v>
      </c>
    </row>
    <row r="237" spans="1:10">
      <c r="A237" t="s">
        <v>12</v>
      </c>
      <c r="B237">
        <v>288</v>
      </c>
      <c r="C237" t="s">
        <v>28</v>
      </c>
      <c r="D237">
        <v>-4.7669581375126002</v>
      </c>
      <c r="E237">
        <v>2.5406926321322501</v>
      </c>
      <c r="F237">
        <v>44.136974315182997</v>
      </c>
      <c r="G237">
        <v>-3.5191081106417901</v>
      </c>
      <c r="H237">
        <v>-7.4624615432475201</v>
      </c>
      <c r="I237">
        <v>-0.55723069049443097</v>
      </c>
      <c r="J237">
        <v>288</v>
      </c>
    </row>
    <row r="238" spans="1:10">
      <c r="A238" t="s">
        <v>12</v>
      </c>
      <c r="B238">
        <v>288</v>
      </c>
      <c r="C238" t="s">
        <v>29</v>
      </c>
      <c r="D238">
        <v>-3.02600866741327</v>
      </c>
      <c r="E238">
        <v>2.0127499333538998</v>
      </c>
      <c r="F238">
        <v>39.530854035290702</v>
      </c>
      <c r="G238">
        <v>-2.7184662878625598</v>
      </c>
      <c r="H238">
        <v>-4.7680816139920896</v>
      </c>
      <c r="I238">
        <v>0.142275417942376</v>
      </c>
      <c r="J238">
        <v>288</v>
      </c>
    </row>
    <row r="239" spans="1:10">
      <c r="A239" t="s">
        <v>12</v>
      </c>
      <c r="B239">
        <v>288</v>
      </c>
      <c r="C239" t="s">
        <v>30</v>
      </c>
      <c r="D239">
        <v>2.9799773626302</v>
      </c>
      <c r="E239">
        <v>0.34245910404343799</v>
      </c>
      <c r="F239">
        <v>37.914939463241701</v>
      </c>
      <c r="G239">
        <v>-1.6384154148742801E-2</v>
      </c>
      <c r="H239">
        <v>5.0988283829655998</v>
      </c>
      <c r="I239">
        <v>-0.106362368789997</v>
      </c>
      <c r="J239">
        <v>288</v>
      </c>
    </row>
    <row r="240" spans="1:10">
      <c r="A240" t="s">
        <v>12</v>
      </c>
      <c r="B240">
        <v>288</v>
      </c>
      <c r="C240" t="s">
        <v>31</v>
      </c>
      <c r="D240">
        <v>5.2718813308956296</v>
      </c>
      <c r="E240">
        <v>-0.18359746372065699</v>
      </c>
      <c r="F240">
        <v>36.920947236138097</v>
      </c>
      <c r="G240">
        <v>0.84831370641396597</v>
      </c>
      <c r="H240">
        <v>8.6942495420783494</v>
      </c>
      <c r="I240">
        <v>0.65996704224577696</v>
      </c>
      <c r="J240">
        <v>288</v>
      </c>
    </row>
    <row r="241" spans="1:10">
      <c r="A241" t="s">
        <v>12</v>
      </c>
      <c r="B241">
        <v>288</v>
      </c>
      <c r="C241" t="s">
        <v>32</v>
      </c>
      <c r="D241">
        <v>-5.3179126356787103</v>
      </c>
      <c r="E241">
        <v>2.5388065011179899</v>
      </c>
      <c r="F241">
        <v>40.524846262394298</v>
      </c>
      <c r="G241">
        <v>-3.5831641484252601</v>
      </c>
      <c r="H241">
        <v>-8.3635027731048499</v>
      </c>
      <c r="I241">
        <v>-0.62405399309339804</v>
      </c>
      <c r="J241">
        <v>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5"/>
  <sheetViews>
    <sheetView workbookViewId="0">
      <selection activeCell="A26" sqref="A26:C33"/>
    </sheetView>
  </sheetViews>
  <sheetFormatPr defaultColWidth="9" defaultRowHeight="15"/>
  <sheetData>
    <row r="1" spans="1:9">
      <c r="A1" t="s">
        <v>3</v>
      </c>
      <c r="B1" t="s">
        <v>4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</row>
    <row r="2" spans="1:9">
      <c r="A2" t="s">
        <v>12</v>
      </c>
      <c r="B2">
        <v>1</v>
      </c>
      <c r="C2">
        <v>1</v>
      </c>
      <c r="D2">
        <v>18.27</v>
      </c>
      <c r="E2">
        <v>0</v>
      </c>
      <c r="F2">
        <v>0</v>
      </c>
      <c r="G2">
        <v>0.22</v>
      </c>
      <c r="H2">
        <v>0.22</v>
      </c>
      <c r="I2">
        <v>0</v>
      </c>
    </row>
    <row r="3" spans="1:9">
      <c r="A3" t="s">
        <v>12</v>
      </c>
      <c r="B3">
        <v>3</v>
      </c>
      <c r="C3">
        <v>3</v>
      </c>
      <c r="D3">
        <v>14.85</v>
      </c>
      <c r="E3">
        <v>0</v>
      </c>
      <c r="F3">
        <v>0</v>
      </c>
      <c r="G3">
        <v>0.22</v>
      </c>
      <c r="H3">
        <v>0.22</v>
      </c>
      <c r="I3">
        <v>0</v>
      </c>
    </row>
    <row r="4" spans="1:9">
      <c r="A4" t="s">
        <v>12</v>
      </c>
      <c r="B4">
        <v>5</v>
      </c>
      <c r="C4">
        <v>5</v>
      </c>
      <c r="D4">
        <v>11.54</v>
      </c>
      <c r="E4">
        <v>0</v>
      </c>
      <c r="F4">
        <v>0</v>
      </c>
      <c r="G4">
        <v>0.22</v>
      </c>
      <c r="H4">
        <v>0.22</v>
      </c>
      <c r="I4">
        <v>0</v>
      </c>
    </row>
    <row r="5" spans="1:9">
      <c r="A5" t="s">
        <v>12</v>
      </c>
      <c r="B5">
        <v>7</v>
      </c>
      <c r="C5">
        <v>7</v>
      </c>
      <c r="D5">
        <v>8.23</v>
      </c>
      <c r="E5">
        <v>0</v>
      </c>
      <c r="F5">
        <v>0</v>
      </c>
      <c r="G5">
        <v>0.22</v>
      </c>
      <c r="H5">
        <v>0.22</v>
      </c>
      <c r="I5">
        <v>0</v>
      </c>
    </row>
    <row r="6" spans="1:9">
      <c r="A6" t="s">
        <v>12</v>
      </c>
      <c r="B6">
        <v>9</v>
      </c>
      <c r="C6">
        <v>9</v>
      </c>
      <c r="D6">
        <v>4.78</v>
      </c>
      <c r="E6">
        <v>0</v>
      </c>
      <c r="F6">
        <v>0</v>
      </c>
      <c r="G6">
        <v>0.22</v>
      </c>
      <c r="H6">
        <v>0.22</v>
      </c>
      <c r="I6">
        <v>0</v>
      </c>
    </row>
    <row r="7" spans="1:9">
      <c r="A7" t="s">
        <v>12</v>
      </c>
      <c r="B7">
        <v>11</v>
      </c>
      <c r="C7">
        <v>11</v>
      </c>
      <c r="D7">
        <v>0</v>
      </c>
      <c r="E7">
        <v>0</v>
      </c>
      <c r="F7">
        <v>0</v>
      </c>
      <c r="G7">
        <v>0.22</v>
      </c>
      <c r="H7">
        <v>0.22</v>
      </c>
      <c r="I7">
        <v>0</v>
      </c>
    </row>
    <row r="8" spans="1:9">
      <c r="A8" t="s">
        <v>12</v>
      </c>
      <c r="B8">
        <v>13</v>
      </c>
      <c r="C8">
        <v>13</v>
      </c>
      <c r="D8">
        <v>9.75</v>
      </c>
      <c r="E8">
        <v>5.18</v>
      </c>
      <c r="F8">
        <v>0</v>
      </c>
      <c r="G8">
        <v>0.22</v>
      </c>
      <c r="H8">
        <v>0.22</v>
      </c>
      <c r="I8">
        <v>0</v>
      </c>
    </row>
    <row r="9" spans="1:9">
      <c r="A9" t="s">
        <v>12</v>
      </c>
      <c r="B9">
        <v>15</v>
      </c>
      <c r="C9">
        <v>15</v>
      </c>
      <c r="D9">
        <v>0</v>
      </c>
      <c r="E9">
        <v>5.18</v>
      </c>
      <c r="F9">
        <v>0</v>
      </c>
      <c r="G9">
        <v>0.22</v>
      </c>
      <c r="H9">
        <v>0.22</v>
      </c>
      <c r="I9">
        <v>0</v>
      </c>
    </row>
    <row r="10" spans="1:9">
      <c r="A10" t="s">
        <v>12</v>
      </c>
      <c r="B10">
        <v>17</v>
      </c>
      <c r="C10">
        <v>17</v>
      </c>
      <c r="D10">
        <v>12.43</v>
      </c>
      <c r="E10">
        <v>5.18</v>
      </c>
      <c r="F10">
        <v>0</v>
      </c>
      <c r="G10">
        <v>0.22</v>
      </c>
      <c r="H10">
        <v>0.22</v>
      </c>
      <c r="I10">
        <v>0</v>
      </c>
    </row>
    <row r="11" spans="1:9">
      <c r="A11" t="s">
        <v>12</v>
      </c>
      <c r="B11">
        <v>19</v>
      </c>
      <c r="C11">
        <v>19</v>
      </c>
      <c r="D11">
        <v>8.23</v>
      </c>
      <c r="E11">
        <v>5.18</v>
      </c>
      <c r="F11">
        <v>0</v>
      </c>
      <c r="G11">
        <v>0.22</v>
      </c>
      <c r="H11">
        <v>0.22</v>
      </c>
      <c r="I11">
        <v>0</v>
      </c>
    </row>
    <row r="12" spans="1:9">
      <c r="A12" t="s">
        <v>12</v>
      </c>
      <c r="B12">
        <v>21</v>
      </c>
      <c r="C12">
        <v>21</v>
      </c>
      <c r="D12">
        <v>4.78</v>
      </c>
      <c r="E12">
        <v>5.18</v>
      </c>
      <c r="F12">
        <v>0</v>
      </c>
      <c r="G12">
        <v>0.22</v>
      </c>
      <c r="H12">
        <v>0.22</v>
      </c>
      <c r="I12">
        <v>0</v>
      </c>
    </row>
    <row r="13" spans="1:9">
      <c r="A13" t="s">
        <v>12</v>
      </c>
      <c r="B13">
        <v>23</v>
      </c>
      <c r="C13">
        <v>23</v>
      </c>
      <c r="D13">
        <v>14.85</v>
      </c>
      <c r="E13">
        <v>5.18</v>
      </c>
      <c r="F13">
        <v>0</v>
      </c>
      <c r="G13">
        <v>0.22</v>
      </c>
      <c r="H13">
        <v>0.22</v>
      </c>
      <c r="I13">
        <v>0</v>
      </c>
    </row>
    <row r="14" spans="1:9">
      <c r="A14" t="s">
        <v>12</v>
      </c>
      <c r="B14">
        <v>25</v>
      </c>
      <c r="C14">
        <v>25</v>
      </c>
      <c r="D14">
        <v>18.27</v>
      </c>
      <c r="E14">
        <v>5.18</v>
      </c>
      <c r="F14">
        <v>0</v>
      </c>
      <c r="G14">
        <v>0.22</v>
      </c>
      <c r="H14">
        <v>0.22</v>
      </c>
      <c r="I14">
        <v>0</v>
      </c>
    </row>
    <row r="15" spans="1:9">
      <c r="A15" t="s">
        <v>12</v>
      </c>
      <c r="B15">
        <v>103</v>
      </c>
      <c r="C15">
        <v>103</v>
      </c>
      <c r="D15">
        <v>18.27</v>
      </c>
      <c r="E15">
        <v>8.74</v>
      </c>
      <c r="F15">
        <v>0</v>
      </c>
      <c r="G15">
        <v>0.22</v>
      </c>
      <c r="H15">
        <v>0.22</v>
      </c>
      <c r="I15">
        <v>0</v>
      </c>
    </row>
    <row r="16" spans="1:9">
      <c r="A16" t="s">
        <v>12</v>
      </c>
      <c r="B16">
        <v>123</v>
      </c>
      <c r="C16">
        <v>123</v>
      </c>
      <c r="D16">
        <v>14.85</v>
      </c>
      <c r="E16">
        <v>8.74</v>
      </c>
      <c r="F16">
        <v>0</v>
      </c>
      <c r="G16">
        <v>0.22</v>
      </c>
      <c r="H16">
        <v>0.22</v>
      </c>
      <c r="I16">
        <v>0</v>
      </c>
    </row>
    <row r="17" spans="1:9">
      <c r="A17" t="s">
        <v>12</v>
      </c>
      <c r="B17">
        <v>158</v>
      </c>
      <c r="C17">
        <v>158</v>
      </c>
      <c r="D17">
        <v>8.23</v>
      </c>
      <c r="E17">
        <v>7.76</v>
      </c>
      <c r="F17">
        <v>0</v>
      </c>
      <c r="G17">
        <v>0.22</v>
      </c>
      <c r="H17">
        <v>0.22</v>
      </c>
      <c r="I17">
        <v>0</v>
      </c>
    </row>
    <row r="18" spans="1:9">
      <c r="A18" t="s">
        <v>12</v>
      </c>
      <c r="B18">
        <v>178</v>
      </c>
      <c r="C18">
        <v>178</v>
      </c>
      <c r="D18">
        <v>4.78</v>
      </c>
      <c r="E18">
        <v>7.76</v>
      </c>
      <c r="F18">
        <v>0</v>
      </c>
      <c r="G18">
        <v>0.22</v>
      </c>
      <c r="H18">
        <v>0.22</v>
      </c>
      <c r="I18">
        <v>0</v>
      </c>
    </row>
    <row r="19" spans="1:9">
      <c r="A19" t="s">
        <v>12</v>
      </c>
      <c r="B19">
        <v>282</v>
      </c>
      <c r="C19">
        <v>282</v>
      </c>
      <c r="D19">
        <v>9.75</v>
      </c>
      <c r="E19">
        <v>7.76</v>
      </c>
      <c r="F19">
        <v>0</v>
      </c>
      <c r="G19">
        <v>0.22</v>
      </c>
      <c r="H19">
        <v>0.22</v>
      </c>
      <c r="I19">
        <v>0</v>
      </c>
    </row>
    <row r="20" spans="1:9">
      <c r="A20" t="s">
        <v>12</v>
      </c>
      <c r="B20">
        <v>283</v>
      </c>
      <c r="C20">
        <v>283</v>
      </c>
      <c r="D20">
        <v>12.43</v>
      </c>
      <c r="E20">
        <v>7.76</v>
      </c>
      <c r="F20">
        <v>0</v>
      </c>
      <c r="G20">
        <v>0.22</v>
      </c>
      <c r="H20">
        <v>0.22</v>
      </c>
      <c r="I20">
        <v>0</v>
      </c>
    </row>
    <row r="21" spans="1:9">
      <c r="A21" t="s">
        <v>12</v>
      </c>
      <c r="B21">
        <v>284</v>
      </c>
      <c r="C21">
        <v>284</v>
      </c>
      <c r="D21">
        <v>20.78</v>
      </c>
      <c r="E21">
        <v>2.41</v>
      </c>
      <c r="F21">
        <v>0</v>
      </c>
      <c r="G21">
        <v>0.22</v>
      </c>
      <c r="H21">
        <v>0.22</v>
      </c>
      <c r="I21">
        <v>0</v>
      </c>
    </row>
    <row r="22" spans="1:9">
      <c r="A22" t="s">
        <v>12</v>
      </c>
      <c r="B22">
        <v>285</v>
      </c>
      <c r="C22">
        <v>285</v>
      </c>
      <c r="D22">
        <v>20.78</v>
      </c>
      <c r="E22">
        <v>3.78</v>
      </c>
      <c r="F22">
        <v>0</v>
      </c>
      <c r="G22">
        <v>0.22</v>
      </c>
      <c r="H22">
        <v>0.22</v>
      </c>
      <c r="I22">
        <v>0</v>
      </c>
    </row>
    <row r="23" spans="1:9">
      <c r="A23" t="s">
        <v>12</v>
      </c>
      <c r="B23">
        <v>286</v>
      </c>
      <c r="C23">
        <v>286</v>
      </c>
      <c r="D23">
        <v>20.78</v>
      </c>
      <c r="E23">
        <v>-0.23</v>
      </c>
      <c r="F23">
        <v>0</v>
      </c>
      <c r="G23">
        <v>0.22</v>
      </c>
      <c r="H23">
        <v>0.22</v>
      </c>
      <c r="I23">
        <v>0</v>
      </c>
    </row>
    <row r="24" spans="1:9">
      <c r="A24" t="s">
        <v>12</v>
      </c>
      <c r="B24">
        <v>287</v>
      </c>
      <c r="C24">
        <v>287</v>
      </c>
      <c r="D24">
        <v>20.78</v>
      </c>
      <c r="E24">
        <v>-1.8</v>
      </c>
      <c r="F24">
        <v>0</v>
      </c>
      <c r="G24">
        <v>0.22</v>
      </c>
      <c r="H24">
        <v>0.22</v>
      </c>
      <c r="I24">
        <v>0</v>
      </c>
    </row>
    <row r="25" spans="1:9">
      <c r="A25" t="s">
        <v>12</v>
      </c>
      <c r="B25">
        <v>288</v>
      </c>
      <c r="C25">
        <v>288</v>
      </c>
      <c r="D25">
        <v>16.97</v>
      </c>
      <c r="E25">
        <v>-1.8</v>
      </c>
      <c r="F25">
        <v>0</v>
      </c>
      <c r="G25">
        <v>0.22</v>
      </c>
      <c r="H25">
        <v>0.22</v>
      </c>
      <c r="I2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33"/>
  <sheetViews>
    <sheetView workbookViewId="0">
      <selection activeCell="B29" sqref="B29"/>
    </sheetView>
  </sheetViews>
  <sheetFormatPr defaultColWidth="9" defaultRowHeight="15"/>
  <cols>
    <col min="1" max="1" width="14" customWidth="1"/>
  </cols>
  <sheetData>
    <row r="1" spans="1:13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>
      <c r="A3" s="111" t="s">
        <v>38</v>
      </c>
      <c r="B3" s="112"/>
      <c r="C3" s="112"/>
      <c r="D3" s="112"/>
      <c r="E3" s="112"/>
      <c r="F3" s="112"/>
      <c r="G3" s="112"/>
      <c r="H3" s="112"/>
      <c r="I3" s="112"/>
      <c r="J3" s="112"/>
      <c r="K3" s="113"/>
      <c r="L3" s="113"/>
      <c r="M3" s="113"/>
    </row>
    <row r="4" spans="1:13">
      <c r="A4" s="114" t="s">
        <v>39</v>
      </c>
      <c r="B4" s="115" t="s">
        <v>40</v>
      </c>
      <c r="C4" s="115" t="s">
        <v>41</v>
      </c>
      <c r="D4" s="105" t="s">
        <v>42</v>
      </c>
      <c r="E4" s="115" t="s">
        <v>43</v>
      </c>
      <c r="F4" s="115" t="s">
        <v>44</v>
      </c>
      <c r="G4" s="115" t="s">
        <v>45</v>
      </c>
      <c r="H4" s="115" t="s">
        <v>46</v>
      </c>
      <c r="I4" s="115" t="s">
        <v>47</v>
      </c>
      <c r="J4" s="105" t="s">
        <v>48</v>
      </c>
      <c r="K4" s="105" t="s">
        <v>49</v>
      </c>
      <c r="L4" s="105" t="s">
        <v>50</v>
      </c>
      <c r="M4" s="116" t="s">
        <v>51</v>
      </c>
    </row>
    <row r="5" spans="1:13" ht="15.75">
      <c r="A5" s="117" t="s">
        <v>52</v>
      </c>
      <c r="B5" s="118">
        <v>8.5</v>
      </c>
      <c r="C5" s="118">
        <v>11.5</v>
      </c>
      <c r="D5" s="118">
        <v>13</v>
      </c>
      <c r="E5" s="118">
        <v>14.5</v>
      </c>
      <c r="F5" s="118">
        <v>17</v>
      </c>
      <c r="G5" s="118">
        <v>19.5</v>
      </c>
      <c r="H5" s="118">
        <v>22</v>
      </c>
      <c r="I5" s="118">
        <v>25</v>
      </c>
      <c r="J5" s="118">
        <v>27.5</v>
      </c>
      <c r="K5" s="118">
        <v>30</v>
      </c>
      <c r="L5" s="118">
        <v>33</v>
      </c>
      <c r="M5" s="119">
        <v>0</v>
      </c>
    </row>
    <row r="6" spans="1:13" ht="15.75">
      <c r="A6" s="117" t="s">
        <v>53</v>
      </c>
      <c r="B6" s="120">
        <v>0.75</v>
      </c>
      <c r="C6" s="118">
        <v>0.9</v>
      </c>
      <c r="D6" s="118">
        <v>1</v>
      </c>
      <c r="E6" s="118">
        <v>1.05</v>
      </c>
      <c r="F6" s="118">
        <v>1.1499999999999999</v>
      </c>
      <c r="G6" s="118">
        <v>1.3</v>
      </c>
      <c r="H6" s="118">
        <v>1.4</v>
      </c>
      <c r="I6" s="118">
        <v>1.5</v>
      </c>
      <c r="J6" s="118">
        <v>1.6</v>
      </c>
      <c r="K6" s="118">
        <v>1.7</v>
      </c>
      <c r="L6" s="118">
        <v>1.8</v>
      </c>
      <c r="M6" s="121">
        <v>0</v>
      </c>
    </row>
    <row r="7" spans="1:13" ht="15.75">
      <c r="A7" s="117" t="s">
        <v>54</v>
      </c>
      <c r="B7" s="118">
        <v>11</v>
      </c>
      <c r="C7" s="118">
        <v>15</v>
      </c>
      <c r="D7" s="118">
        <v>16.5</v>
      </c>
      <c r="E7" s="118">
        <v>18.5</v>
      </c>
      <c r="F7" s="118">
        <v>22</v>
      </c>
      <c r="G7" s="118">
        <v>25.5</v>
      </c>
      <c r="H7" s="118">
        <v>29</v>
      </c>
      <c r="I7" s="118">
        <v>32</v>
      </c>
      <c r="J7" s="118">
        <v>36</v>
      </c>
      <c r="K7" s="118">
        <v>39.5</v>
      </c>
      <c r="L7" s="118">
        <v>43</v>
      </c>
      <c r="M7" s="119">
        <v>0</v>
      </c>
    </row>
    <row r="8" spans="1:13" ht="15.75">
      <c r="A8" s="117" t="s">
        <v>55</v>
      </c>
      <c r="B8" s="120">
        <v>1.1000000000000001</v>
      </c>
      <c r="C8" s="120">
        <v>1.35</v>
      </c>
      <c r="D8" s="120">
        <v>1.45</v>
      </c>
      <c r="E8" s="120">
        <v>1.55</v>
      </c>
      <c r="F8" s="120">
        <v>1.75</v>
      </c>
      <c r="G8" s="120">
        <v>1.95</v>
      </c>
      <c r="H8" s="120">
        <v>2.1</v>
      </c>
      <c r="I8" s="120">
        <v>2.25</v>
      </c>
      <c r="J8" s="120">
        <v>2.4500000000000002</v>
      </c>
      <c r="K8" s="120">
        <v>2.6</v>
      </c>
      <c r="L8" s="120">
        <v>2.75</v>
      </c>
      <c r="M8" s="119">
        <v>0</v>
      </c>
    </row>
    <row r="9" spans="1:13" ht="15.75">
      <c r="A9" s="117" t="s">
        <v>56</v>
      </c>
      <c r="B9" s="122">
        <v>24000</v>
      </c>
      <c r="C9" s="122">
        <v>27500</v>
      </c>
      <c r="D9" s="122">
        <v>28500</v>
      </c>
      <c r="E9" s="122">
        <v>30000</v>
      </c>
      <c r="F9" s="122">
        <v>32500</v>
      </c>
      <c r="G9" s="122">
        <v>34500</v>
      </c>
      <c r="H9" s="122">
        <v>36000</v>
      </c>
      <c r="I9" s="122">
        <v>37000</v>
      </c>
      <c r="J9" s="122">
        <v>38000</v>
      </c>
      <c r="K9" s="122">
        <v>39000</v>
      </c>
      <c r="L9" s="122">
        <v>39500</v>
      </c>
      <c r="M9" s="119">
        <v>0</v>
      </c>
    </row>
    <row r="10" spans="1:13">
      <c r="A10" s="123"/>
      <c r="B10" s="112"/>
      <c r="C10" s="112"/>
      <c r="D10" s="124"/>
      <c r="E10" s="112"/>
      <c r="F10" s="112"/>
      <c r="G10" s="112"/>
      <c r="H10" s="124"/>
      <c r="I10" s="112"/>
      <c r="J10" s="112"/>
      <c r="K10" s="113"/>
      <c r="L10" s="113"/>
      <c r="M10" s="113"/>
    </row>
    <row r="11" spans="1:13">
      <c r="A11" s="123"/>
      <c r="B11" s="112"/>
      <c r="C11" s="112"/>
      <c r="D11" s="124"/>
      <c r="E11" s="112"/>
      <c r="F11" s="112"/>
      <c r="G11" s="112"/>
      <c r="H11" s="124"/>
      <c r="I11" s="112"/>
      <c r="J11" s="112"/>
      <c r="K11" s="113"/>
      <c r="L11" s="113"/>
      <c r="M11" s="113"/>
    </row>
    <row r="12" spans="1:13">
      <c r="A12" s="111" t="s">
        <v>57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3"/>
      <c r="L12" s="113"/>
      <c r="M12" s="113"/>
    </row>
    <row r="13" spans="1:13">
      <c r="A13" s="125" t="s">
        <v>58</v>
      </c>
      <c r="B13" s="105" t="s">
        <v>59</v>
      </c>
      <c r="C13" s="105" t="s">
        <v>60</v>
      </c>
      <c r="D13" s="105" t="s">
        <v>61</v>
      </c>
      <c r="E13" s="105" t="s">
        <v>62</v>
      </c>
      <c r="F13" s="126" t="s">
        <v>63</v>
      </c>
      <c r="G13" s="126" t="s">
        <v>64</v>
      </c>
      <c r="H13" s="126" t="s">
        <v>65</v>
      </c>
      <c r="I13" s="116" t="s">
        <v>51</v>
      </c>
      <c r="J13" s="112"/>
      <c r="K13" s="113"/>
      <c r="L13" s="113"/>
      <c r="M13" s="113"/>
    </row>
    <row r="14" spans="1:13" ht="15.75">
      <c r="A14" s="127" t="s">
        <v>66</v>
      </c>
      <c r="B14" s="128">
        <v>240</v>
      </c>
      <c r="C14" s="128">
        <v>300</v>
      </c>
      <c r="D14" s="128">
        <v>300</v>
      </c>
      <c r="E14" s="128">
        <v>400</v>
      </c>
      <c r="F14" s="128">
        <v>500</v>
      </c>
      <c r="G14" s="129">
        <v>390</v>
      </c>
      <c r="H14" s="129">
        <v>490</v>
      </c>
      <c r="I14" s="130">
        <v>0</v>
      </c>
      <c r="J14" s="112"/>
      <c r="K14" s="113"/>
      <c r="L14" s="113"/>
      <c r="M14" s="113"/>
    </row>
    <row r="15" spans="1:13" ht="15.75">
      <c r="A15" s="127" t="s">
        <v>67</v>
      </c>
      <c r="B15" s="18">
        <v>210</v>
      </c>
      <c r="C15" s="18">
        <v>260</v>
      </c>
      <c r="D15" s="18">
        <v>260</v>
      </c>
      <c r="E15" s="18">
        <v>350</v>
      </c>
      <c r="F15" s="128">
        <v>435</v>
      </c>
      <c r="G15" s="131">
        <f>G14/1.15</f>
        <v>339.13043478260897</v>
      </c>
      <c r="H15" s="131">
        <f>H14/1.15</f>
        <v>426.08695652173901</v>
      </c>
      <c r="I15" s="130">
        <v>365</v>
      </c>
      <c r="J15" s="112"/>
      <c r="K15" s="112"/>
      <c r="L15" s="112"/>
      <c r="M15" s="113"/>
    </row>
    <row r="16" spans="1:13" ht="15.75">
      <c r="A16" s="127" t="s">
        <v>68</v>
      </c>
      <c r="B16" s="18">
        <v>210</v>
      </c>
      <c r="C16" s="18">
        <v>260</v>
      </c>
      <c r="D16" s="18">
        <v>260</v>
      </c>
      <c r="E16" s="18">
        <v>350</v>
      </c>
      <c r="F16" s="128">
        <v>400</v>
      </c>
      <c r="G16" s="131">
        <f>MIN(G15,400)</f>
        <v>339.13043478260897</v>
      </c>
      <c r="H16" s="131">
        <f>MIN(H15,400)</f>
        <v>400</v>
      </c>
      <c r="I16" s="130">
        <v>365</v>
      </c>
      <c r="J16" s="112"/>
      <c r="K16" s="113"/>
      <c r="L16" s="113"/>
      <c r="M16" s="113"/>
    </row>
    <row r="17" spans="1:13" ht="15.75">
      <c r="A17" s="127" t="s">
        <v>69</v>
      </c>
      <c r="B17" s="18">
        <v>170</v>
      </c>
      <c r="C17" s="18">
        <v>210</v>
      </c>
      <c r="D17" s="18">
        <v>210</v>
      </c>
      <c r="E17" s="18">
        <v>280</v>
      </c>
      <c r="F17" s="128">
        <v>300</v>
      </c>
      <c r="G17" s="129">
        <f>MIN(0.7*G14,300)</f>
        <v>273</v>
      </c>
      <c r="H17" s="129">
        <f>MIN(0.7*H14,300)</f>
        <v>300</v>
      </c>
      <c r="I17" s="130">
        <v>0</v>
      </c>
      <c r="J17" s="112"/>
      <c r="K17" s="113"/>
      <c r="L17" s="113"/>
      <c r="M17" s="113"/>
    </row>
    <row r="18" spans="1:13" ht="15.75">
      <c r="A18" s="127" t="s">
        <v>70</v>
      </c>
      <c r="B18" s="128">
        <v>200000</v>
      </c>
      <c r="C18" s="128">
        <v>200000</v>
      </c>
      <c r="D18" s="128">
        <v>200000</v>
      </c>
      <c r="E18" s="128">
        <v>200000</v>
      </c>
      <c r="F18" s="128">
        <v>200000</v>
      </c>
      <c r="G18" s="128">
        <v>200000</v>
      </c>
      <c r="H18" s="128">
        <v>200000</v>
      </c>
      <c r="I18" s="130">
        <v>200000</v>
      </c>
      <c r="J18" s="112"/>
      <c r="K18" s="113"/>
      <c r="L18" s="113"/>
      <c r="M18" s="113"/>
    </row>
    <row r="26" spans="1:13">
      <c r="A26" s="150" t="s">
        <v>71</v>
      </c>
      <c r="B26" s="150"/>
      <c r="C26" s="150"/>
    </row>
    <row r="27" spans="1:13">
      <c r="A27" s="150" t="s">
        <v>72</v>
      </c>
      <c r="B27" s="150" t="s">
        <v>73</v>
      </c>
      <c r="C27" s="150" t="s">
        <v>74</v>
      </c>
    </row>
    <row r="28" spans="1:13">
      <c r="A28" s="150"/>
      <c r="B28" s="150"/>
      <c r="C28" s="150"/>
    </row>
    <row r="29" spans="1:13">
      <c r="A29" s="28">
        <v>10</v>
      </c>
      <c r="B29" s="28">
        <v>200</v>
      </c>
      <c r="C29" s="28">
        <v>1.1000000000000001</v>
      </c>
    </row>
    <row r="30" spans="1:13">
      <c r="A30" s="28">
        <v>12</v>
      </c>
      <c r="B30" s="28">
        <v>100</v>
      </c>
      <c r="C30" s="28"/>
    </row>
    <row r="31" spans="1:13">
      <c r="A31" s="28">
        <v>14</v>
      </c>
      <c r="B31" s="28"/>
      <c r="C31" s="28"/>
    </row>
    <row r="32" spans="1:13">
      <c r="A32" s="28">
        <v>16</v>
      </c>
      <c r="B32" s="28"/>
      <c r="C32" s="28"/>
    </row>
    <row r="33" spans="1:3">
      <c r="A33" s="28"/>
      <c r="B33" s="28"/>
      <c r="C33" s="28"/>
    </row>
  </sheetData>
  <mergeCells count="4">
    <mergeCell ref="A26:C26"/>
    <mergeCell ref="A27:A28"/>
    <mergeCell ref="B27:B28"/>
    <mergeCell ref="C27:C2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K2:Q7"/>
  <sheetViews>
    <sheetView workbookViewId="0">
      <selection activeCell="M11" sqref="M11"/>
    </sheetView>
  </sheetViews>
  <sheetFormatPr defaultColWidth="9" defaultRowHeight="15"/>
  <cols>
    <col min="12" max="12" width="48.42578125" customWidth="1"/>
  </cols>
  <sheetData>
    <row r="2" spans="11:17">
      <c r="K2" s="109" t="s">
        <v>75</v>
      </c>
      <c r="L2" s="109" t="s">
        <v>76</v>
      </c>
      <c r="M2" s="109" t="s">
        <v>77</v>
      </c>
      <c r="N2" s="109" t="s">
        <v>78</v>
      </c>
      <c r="O2" s="109" t="s">
        <v>79</v>
      </c>
      <c r="P2" s="109" t="s">
        <v>80</v>
      </c>
      <c r="Q2" s="109" t="s">
        <v>81</v>
      </c>
    </row>
    <row r="3" spans="11:17">
      <c r="K3" s="109" t="s">
        <v>82</v>
      </c>
      <c r="L3" s="109" t="s">
        <v>82</v>
      </c>
      <c r="M3" s="109" t="s">
        <v>83</v>
      </c>
      <c r="N3" s="109" t="s">
        <v>84</v>
      </c>
      <c r="O3" s="109" t="s">
        <v>85</v>
      </c>
      <c r="P3" s="109" t="s">
        <v>86</v>
      </c>
      <c r="Q3" s="109" t="s">
        <v>86</v>
      </c>
    </row>
    <row r="4" spans="11:17">
      <c r="K4" s="110" t="s">
        <v>87</v>
      </c>
      <c r="L4" s="110" t="s">
        <v>88</v>
      </c>
      <c r="M4" s="110">
        <v>1</v>
      </c>
      <c r="N4" s="110">
        <v>1.8</v>
      </c>
      <c r="O4" s="110"/>
      <c r="P4" s="110"/>
      <c r="Q4" s="110"/>
    </row>
    <row r="5" spans="11:17">
      <c r="K5" s="110" t="s">
        <v>89</v>
      </c>
      <c r="L5" s="110" t="s">
        <v>90</v>
      </c>
      <c r="M5" s="110">
        <v>3.7</v>
      </c>
      <c r="N5" s="110">
        <v>1.8</v>
      </c>
      <c r="O5" s="110">
        <v>17.13</v>
      </c>
      <c r="P5" s="110">
        <v>2.4</v>
      </c>
      <c r="Q5" s="110">
        <v>1070</v>
      </c>
    </row>
    <row r="6" spans="11:17">
      <c r="K6" s="110" t="s">
        <v>91</v>
      </c>
      <c r="L6" s="110" t="s">
        <v>92</v>
      </c>
      <c r="M6" s="110">
        <v>0.6</v>
      </c>
      <c r="N6" s="110">
        <v>1.83</v>
      </c>
      <c r="O6" s="110">
        <v>19.07</v>
      </c>
      <c r="P6" s="110">
        <v>2.59</v>
      </c>
      <c r="Q6" s="110">
        <v>1370</v>
      </c>
    </row>
    <row r="7" spans="11:17">
      <c r="K7" s="110" t="s">
        <v>93</v>
      </c>
      <c r="L7" s="110" t="s">
        <v>94</v>
      </c>
      <c r="M7" s="110">
        <v>24</v>
      </c>
      <c r="N7" s="110">
        <v>2.6</v>
      </c>
      <c r="O7" s="110"/>
      <c r="P7" s="110"/>
      <c r="Q7" s="110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I47"/>
  <sheetViews>
    <sheetView view="pageBreakPreview" topLeftCell="A16" zoomScaleNormal="100" workbookViewId="0">
      <selection activeCell="C45" sqref="C45"/>
    </sheetView>
  </sheetViews>
  <sheetFormatPr defaultColWidth="9" defaultRowHeight="15"/>
  <cols>
    <col min="3" max="3" width="6.42578125" customWidth="1"/>
    <col min="4" max="4" width="15.140625" customWidth="1"/>
    <col min="5" max="5" width="12.42578125" customWidth="1"/>
    <col min="6" max="6" width="13" customWidth="1"/>
    <col min="7" max="7" width="12.5703125" customWidth="1"/>
    <col min="8" max="8" width="11" customWidth="1"/>
    <col min="9" max="9" width="3" customWidth="1"/>
  </cols>
  <sheetData>
    <row r="1" spans="1:9">
      <c r="A1" s="151" t="s">
        <v>95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96</v>
      </c>
      <c r="B2" s="152"/>
      <c r="C2" s="152"/>
      <c r="D2" s="152"/>
      <c r="E2" s="152"/>
      <c r="F2" s="153" t="s">
        <v>97</v>
      </c>
      <c r="G2" s="153"/>
      <c r="H2" s="153" t="s">
        <v>98</v>
      </c>
      <c r="I2" s="153"/>
    </row>
    <row r="3" spans="1:9">
      <c r="A3" s="152" t="s">
        <v>99</v>
      </c>
      <c r="B3" s="152"/>
      <c r="C3" s="152"/>
      <c r="D3" s="152" t="s">
        <v>82</v>
      </c>
      <c r="E3" s="152"/>
      <c r="F3" s="153" t="s">
        <v>100</v>
      </c>
      <c r="G3" s="153"/>
      <c r="H3" s="154">
        <f ca="1">TODAY()</f>
        <v>46281</v>
      </c>
      <c r="I3" s="155"/>
    </row>
    <row r="4" spans="1:9">
      <c r="A4" s="152" t="s">
        <v>101</v>
      </c>
      <c r="B4" s="152"/>
      <c r="C4" s="152"/>
      <c r="D4" s="152" t="s">
        <v>82</v>
      </c>
      <c r="E4" s="152"/>
      <c r="F4" s="153" t="s">
        <v>102</v>
      </c>
      <c r="G4" s="153"/>
      <c r="H4" s="153" t="s">
        <v>82</v>
      </c>
      <c r="I4" s="153"/>
    </row>
    <row r="5" spans="1:9">
      <c r="A5" s="152" t="s">
        <v>103</v>
      </c>
      <c r="B5" s="152"/>
      <c r="C5" s="152"/>
      <c r="D5" s="152" t="s">
        <v>104</v>
      </c>
      <c r="E5" s="152"/>
      <c r="F5" s="153" t="s">
        <v>105</v>
      </c>
      <c r="G5" s="153"/>
      <c r="H5" s="153" t="s">
        <v>82</v>
      </c>
      <c r="I5" s="153"/>
    </row>
    <row r="6" spans="1:9">
      <c r="A6" s="156"/>
      <c r="B6" s="156"/>
      <c r="C6" s="156"/>
      <c r="D6" s="156"/>
      <c r="E6" s="156"/>
      <c r="F6" s="156"/>
      <c r="G6" s="156"/>
      <c r="H6" s="156"/>
      <c r="I6" s="156"/>
    </row>
    <row r="7" spans="1:9">
      <c r="A7" s="156" t="s">
        <v>106</v>
      </c>
      <c r="B7" s="156"/>
      <c r="C7" s="156"/>
      <c r="D7" s="156"/>
      <c r="E7" s="156"/>
      <c r="F7" s="156"/>
      <c r="G7" s="156"/>
      <c r="H7" s="156"/>
      <c r="I7" s="156"/>
    </row>
    <row r="8" spans="1:9">
      <c r="A8" s="156" t="s">
        <v>107</v>
      </c>
      <c r="B8" s="156"/>
      <c r="C8" s="156"/>
      <c r="D8" s="156"/>
      <c r="E8" s="156"/>
      <c r="F8" s="156"/>
      <c r="G8" s="156"/>
      <c r="H8" s="156"/>
      <c r="I8" s="156"/>
    </row>
    <row r="9" spans="1:9">
      <c r="A9" s="107"/>
      <c r="B9" s="107"/>
      <c r="C9" s="107"/>
      <c r="D9" s="107"/>
      <c r="E9" s="107"/>
      <c r="F9" s="107"/>
      <c r="G9" s="107"/>
      <c r="H9" s="107"/>
      <c r="I9" s="107"/>
    </row>
    <row r="10" spans="1:9">
      <c r="A10" s="156"/>
      <c r="B10" s="156"/>
      <c r="C10" s="156"/>
      <c r="D10" s="156"/>
      <c r="E10" s="156"/>
      <c r="F10" s="156"/>
      <c r="G10" s="156"/>
      <c r="H10" s="156"/>
      <c r="I10" s="156"/>
    </row>
    <row r="11" spans="1:9">
      <c r="A11" s="156"/>
      <c r="B11" s="156"/>
      <c r="C11" s="156"/>
      <c r="D11" s="156"/>
      <c r="E11" s="156"/>
      <c r="F11" s="156"/>
      <c r="G11" s="156"/>
      <c r="H11" s="156"/>
      <c r="I11" s="156"/>
    </row>
    <row r="12" spans="1:9">
      <c r="A12" s="156"/>
      <c r="B12" s="156"/>
      <c r="C12" s="156"/>
      <c r="D12" s="156"/>
      <c r="E12" s="156"/>
      <c r="F12" s="156"/>
      <c r="G12" s="156"/>
      <c r="H12" s="156"/>
      <c r="I12" s="156"/>
    </row>
    <row r="13" spans="1:9">
      <c r="A13" s="156" t="s">
        <v>108</v>
      </c>
      <c r="B13" s="156"/>
      <c r="C13" s="156"/>
      <c r="D13" s="156"/>
      <c r="E13" s="156"/>
      <c r="F13" s="156"/>
      <c r="G13" s="156"/>
      <c r="H13" s="156"/>
      <c r="I13" s="156"/>
    </row>
    <row r="14" spans="1:9">
      <c r="A14" s="156"/>
      <c r="B14" s="156"/>
      <c r="C14" s="156"/>
      <c r="D14" s="156"/>
      <c r="E14" s="156"/>
      <c r="F14" s="156"/>
      <c r="G14" s="156"/>
      <c r="H14" s="156"/>
      <c r="I14" s="156"/>
    </row>
    <row r="15" spans="1:9">
      <c r="A15" s="107"/>
      <c r="B15" s="108" t="s">
        <v>109</v>
      </c>
      <c r="C15" s="108">
        <v>1.8</v>
      </c>
      <c r="D15" s="157" t="s">
        <v>110</v>
      </c>
      <c r="E15" s="157"/>
      <c r="F15" s="157"/>
      <c r="G15" s="157"/>
      <c r="H15" s="157"/>
      <c r="I15" s="107"/>
    </row>
    <row r="16" spans="1:9">
      <c r="A16" s="107"/>
      <c r="B16" s="107"/>
      <c r="C16" s="107"/>
      <c r="D16" s="107"/>
      <c r="E16" s="107"/>
      <c r="F16" s="107"/>
      <c r="G16" s="107"/>
      <c r="H16" s="107"/>
      <c r="I16" s="107"/>
    </row>
    <row r="17" spans="1:9">
      <c r="A17" s="107"/>
      <c r="B17" s="108" t="s">
        <v>111</v>
      </c>
      <c r="C17" s="108">
        <v>1.8</v>
      </c>
      <c r="D17" s="157" t="s">
        <v>112</v>
      </c>
      <c r="E17" s="157"/>
      <c r="F17" s="157"/>
      <c r="G17" s="157"/>
      <c r="H17" s="157"/>
      <c r="I17" s="107"/>
    </row>
    <row r="18" spans="1:9">
      <c r="A18" s="107"/>
      <c r="B18" s="107"/>
      <c r="C18" s="107"/>
      <c r="D18" s="107"/>
      <c r="E18" s="107"/>
      <c r="F18" s="107"/>
      <c r="G18" s="107"/>
      <c r="H18" s="107"/>
      <c r="I18" s="107"/>
    </row>
    <row r="19" spans="1:9">
      <c r="A19" s="107"/>
      <c r="B19" s="107" t="s">
        <v>113</v>
      </c>
      <c r="C19" s="108">
        <v>0</v>
      </c>
      <c r="D19" s="157" t="s">
        <v>114</v>
      </c>
      <c r="E19" s="157"/>
      <c r="F19" s="157"/>
      <c r="G19" s="157"/>
      <c r="H19" s="157"/>
      <c r="I19" s="107"/>
    </row>
    <row r="20" spans="1:9">
      <c r="A20" s="107"/>
      <c r="B20" s="107"/>
      <c r="C20" s="107"/>
      <c r="D20" s="107"/>
      <c r="E20" s="107"/>
      <c r="F20" s="107"/>
      <c r="G20" s="107"/>
      <c r="H20" s="107"/>
      <c r="I20" s="107"/>
    </row>
    <row r="21" spans="1:9">
      <c r="A21" s="107"/>
      <c r="B21" s="107" t="s">
        <v>115</v>
      </c>
      <c r="C21" s="108">
        <v>1.2</v>
      </c>
      <c r="D21" s="157" t="s">
        <v>116</v>
      </c>
      <c r="E21" s="157"/>
      <c r="F21" s="157"/>
      <c r="G21" s="157"/>
      <c r="H21" s="157"/>
      <c r="I21" s="107"/>
    </row>
    <row r="22" spans="1:9">
      <c r="A22" s="107"/>
      <c r="B22" s="107"/>
      <c r="C22" s="107"/>
      <c r="D22" s="107"/>
      <c r="E22" s="107"/>
      <c r="F22" s="107"/>
      <c r="G22" s="107"/>
      <c r="H22" s="107"/>
      <c r="I22" s="107"/>
    </row>
    <row r="23" spans="1:9" ht="15.75">
      <c r="A23" s="108"/>
      <c r="B23" s="108" t="s">
        <v>117</v>
      </c>
      <c r="C23" s="108">
        <v>1.1000000000000001</v>
      </c>
      <c r="D23" s="157" t="s">
        <v>118</v>
      </c>
      <c r="E23" s="157"/>
      <c r="F23" s="157"/>
      <c r="G23" s="157"/>
      <c r="H23" s="157"/>
      <c r="I23" s="108"/>
    </row>
    <row r="24" spans="1:9">
      <c r="A24" s="156"/>
      <c r="B24" s="156"/>
      <c r="C24" s="156"/>
      <c r="D24" s="156"/>
      <c r="E24" s="156"/>
      <c r="F24" s="156"/>
      <c r="G24" s="156"/>
      <c r="H24" s="156"/>
      <c r="I24" s="156"/>
    </row>
    <row r="25" spans="1:9" ht="15.75">
      <c r="A25" s="108"/>
      <c r="B25" s="108" t="s">
        <v>119</v>
      </c>
      <c r="C25" s="108">
        <v>1</v>
      </c>
      <c r="D25" s="157" t="s">
        <v>118</v>
      </c>
      <c r="E25" s="157"/>
      <c r="F25" s="157"/>
      <c r="G25" s="157"/>
      <c r="H25" s="157"/>
      <c r="I25" s="108"/>
    </row>
    <row r="26" spans="1:9">
      <c r="A26" s="156"/>
      <c r="B26" s="156"/>
      <c r="C26" s="156"/>
      <c r="D26" s="156"/>
      <c r="E26" s="156"/>
      <c r="F26" s="156"/>
      <c r="G26" s="156"/>
      <c r="H26" s="156"/>
      <c r="I26" s="156"/>
    </row>
    <row r="27" spans="1:9" ht="15.75">
      <c r="A27" s="108"/>
      <c r="B27" s="108" t="s">
        <v>120</v>
      </c>
      <c r="C27" s="108">
        <v>1.1000000000000001</v>
      </c>
      <c r="D27" s="157" t="s">
        <v>121</v>
      </c>
      <c r="E27" s="157"/>
      <c r="F27" s="157"/>
      <c r="G27" s="157"/>
      <c r="H27" s="157"/>
      <c r="I27" s="108"/>
    </row>
    <row r="28" spans="1:9">
      <c r="A28" s="156"/>
      <c r="B28" s="156"/>
      <c r="C28" s="156"/>
      <c r="D28" s="156"/>
      <c r="E28" s="156"/>
      <c r="F28" s="156"/>
      <c r="G28" s="156"/>
      <c r="H28" s="156"/>
      <c r="I28" s="156"/>
    </row>
    <row r="29" spans="1:9" ht="15.75">
      <c r="A29" s="108"/>
      <c r="B29" s="108" t="s">
        <v>122</v>
      </c>
      <c r="C29" s="108">
        <v>19.100000000000001</v>
      </c>
      <c r="D29" s="157" t="s">
        <v>123</v>
      </c>
      <c r="E29" s="157"/>
      <c r="F29" s="157"/>
      <c r="G29" s="157"/>
      <c r="H29" s="157"/>
      <c r="I29" s="108"/>
    </row>
    <row r="30" spans="1:9">
      <c r="A30" s="156"/>
      <c r="B30" s="156"/>
      <c r="C30" s="156"/>
      <c r="D30" s="156"/>
      <c r="E30" s="156"/>
      <c r="F30" s="156"/>
      <c r="G30" s="156"/>
      <c r="H30" s="156"/>
      <c r="I30" s="156"/>
    </row>
    <row r="31" spans="1:9" ht="15.75">
      <c r="A31" s="108"/>
      <c r="B31" s="108" t="s">
        <v>124</v>
      </c>
      <c r="C31" s="108">
        <v>19.100000000000001</v>
      </c>
      <c r="D31" s="157" t="s">
        <v>125</v>
      </c>
      <c r="E31" s="157"/>
      <c r="F31" s="157"/>
      <c r="G31" s="157"/>
      <c r="H31" s="157"/>
      <c r="I31" s="108"/>
    </row>
    <row r="32" spans="1:9">
      <c r="A32" s="108"/>
      <c r="B32" s="108"/>
      <c r="C32" s="108"/>
      <c r="D32" s="108"/>
      <c r="E32" s="108"/>
      <c r="F32" s="108"/>
      <c r="G32" s="108"/>
      <c r="H32" s="108"/>
      <c r="I32" s="108"/>
    </row>
    <row r="33" spans="1:9" ht="15.75">
      <c r="A33" s="108"/>
      <c r="B33" s="108" t="s">
        <v>126</v>
      </c>
      <c r="C33" s="108">
        <v>19.5</v>
      </c>
      <c r="D33" s="157" t="s">
        <v>127</v>
      </c>
      <c r="E33" s="157"/>
      <c r="F33" s="157"/>
      <c r="G33" s="157"/>
      <c r="H33" s="157"/>
      <c r="I33" s="108"/>
    </row>
    <row r="34" spans="1:9">
      <c r="A34" s="108"/>
      <c r="B34" s="108"/>
      <c r="C34" s="108"/>
      <c r="D34" s="108"/>
      <c r="E34" s="108"/>
      <c r="F34" s="108"/>
      <c r="G34" s="108"/>
      <c r="H34" s="108"/>
      <c r="I34" s="108"/>
    </row>
    <row r="35" spans="1:9" ht="15.75">
      <c r="A35" s="108"/>
      <c r="B35" s="108" t="s">
        <v>128</v>
      </c>
      <c r="C35" s="108">
        <v>12.1</v>
      </c>
      <c r="D35" s="157" t="s">
        <v>129</v>
      </c>
      <c r="E35" s="157"/>
      <c r="F35" s="157"/>
      <c r="G35" s="157"/>
      <c r="H35" s="157"/>
      <c r="I35" s="108"/>
    </row>
    <row r="36" spans="1:9">
      <c r="A36" s="108"/>
      <c r="B36" s="108"/>
      <c r="C36" s="108"/>
      <c r="D36" s="108"/>
      <c r="E36" s="108"/>
      <c r="F36" s="108"/>
      <c r="G36" s="108"/>
      <c r="H36" s="108"/>
      <c r="I36" s="108"/>
    </row>
    <row r="37" spans="1:9">
      <c r="A37" s="108"/>
      <c r="B37" s="108" t="s">
        <v>130</v>
      </c>
      <c r="C37" s="108">
        <f>ROUND(0.25*PI()/((TAN(C35*PI()/180))^(-1)+C35*PI()/180-PI()/2),3)</f>
        <v>0.23799999999999999</v>
      </c>
      <c r="D37" s="157" t="s">
        <v>131</v>
      </c>
      <c r="E37" s="157"/>
      <c r="F37" s="157"/>
      <c r="G37" s="157"/>
      <c r="H37" s="157"/>
      <c r="I37" s="108"/>
    </row>
    <row r="38" spans="1:9">
      <c r="A38" s="108"/>
      <c r="B38" s="108"/>
      <c r="C38" s="108"/>
      <c r="D38" s="108"/>
      <c r="E38" s="108"/>
      <c r="F38" s="108"/>
      <c r="G38" s="108"/>
      <c r="H38" s="108"/>
      <c r="I38" s="108"/>
    </row>
    <row r="39" spans="1:9">
      <c r="A39" s="108"/>
      <c r="B39" s="108" t="s">
        <v>132</v>
      </c>
      <c r="C39" s="108">
        <f>ROUND(1+PI()/((TAN(C35*PI()/180))^(-1)+C35*PI()/180-PI()/2),3)</f>
        <v>1.9510000000000001</v>
      </c>
      <c r="D39" s="157" t="s">
        <v>131</v>
      </c>
      <c r="E39" s="157"/>
      <c r="F39" s="157"/>
      <c r="G39" s="157"/>
      <c r="H39" s="157"/>
      <c r="I39" s="108"/>
    </row>
    <row r="40" spans="1:9">
      <c r="A40" s="108"/>
      <c r="B40" s="108"/>
      <c r="C40" s="108"/>
      <c r="D40" s="108"/>
      <c r="E40" s="108"/>
      <c r="F40" s="108"/>
      <c r="G40" s="108"/>
      <c r="H40" s="108"/>
      <c r="I40" s="108"/>
    </row>
    <row r="41" spans="1:9">
      <c r="A41" s="108"/>
      <c r="B41" s="108" t="s">
        <v>133</v>
      </c>
      <c r="C41" s="108">
        <f>ROUND(PI()*(TAN(C35*PI()/180))^(-1)/((TAN(C35*PI()/180))^(-1)+C35*PI()/180-PI()/2),3)</f>
        <v>4.4340000000000002</v>
      </c>
      <c r="D41" s="157" t="s">
        <v>131</v>
      </c>
      <c r="E41" s="157"/>
      <c r="F41" s="157"/>
      <c r="G41" s="157"/>
      <c r="H41" s="157"/>
      <c r="I41" s="108"/>
    </row>
    <row r="42" spans="1:9">
      <c r="A42" s="108"/>
      <c r="B42" s="108"/>
      <c r="C42" s="108"/>
      <c r="D42" s="108"/>
      <c r="E42" s="108"/>
      <c r="F42" s="108"/>
      <c r="G42" s="108"/>
      <c r="H42" s="108"/>
      <c r="I42" s="108"/>
    </row>
    <row r="43" spans="1:9" ht="15.75">
      <c r="A43" s="108"/>
      <c r="B43" s="108" t="s">
        <v>134</v>
      </c>
      <c r="C43" s="108">
        <v>0</v>
      </c>
      <c r="D43" s="157" t="s">
        <v>135</v>
      </c>
      <c r="E43" s="157"/>
      <c r="F43" s="157"/>
      <c r="G43" s="157"/>
      <c r="H43" s="157"/>
      <c r="I43" s="108"/>
    </row>
    <row r="44" spans="1:9">
      <c r="A44" s="108"/>
      <c r="B44" s="108"/>
      <c r="C44" s="108"/>
      <c r="D44" s="108"/>
      <c r="E44" s="108"/>
      <c r="F44" s="108"/>
      <c r="G44" s="108"/>
      <c r="H44" s="108"/>
      <c r="I44" s="108"/>
    </row>
    <row r="45" spans="1:9">
      <c r="A45" s="108"/>
      <c r="B45" s="108" t="s">
        <v>136</v>
      </c>
      <c r="C45" s="108">
        <f>ROUND($C$23*$C$25*($C$37*MIN($C$15,$C$17)*IF($C$19=0,$C$29,IF($C$21&gt;$C$19,$C$29-10,$C$29))+$C$39*$C$21*$C$31+$C$41*$C$33-$C$29*$C$43)/$C$27,2)</f>
        <v>139.36000000000001</v>
      </c>
      <c r="D45" s="157" t="s">
        <v>137</v>
      </c>
      <c r="E45" s="157"/>
      <c r="F45" s="157"/>
      <c r="G45" s="157"/>
      <c r="H45" s="157"/>
      <c r="I45" s="108"/>
    </row>
    <row r="46" spans="1:9">
      <c r="A46" s="108"/>
      <c r="B46" s="108"/>
      <c r="C46" s="108"/>
      <c r="D46" s="108"/>
      <c r="E46" s="108"/>
      <c r="F46" s="108"/>
      <c r="G46" s="108"/>
      <c r="H46" s="108"/>
      <c r="I46" s="108"/>
    </row>
    <row r="47" spans="1:9">
      <c r="A47" s="108"/>
      <c r="B47" s="158" t="str">
        <f>"Chọn sức chịu tải của đất nền R = "&amp;ROUNDDOWN(C45,0)&amp;" kN/m2"</f>
        <v>Chọn sức chịu tải của đất nền R = 139 kN/m2</v>
      </c>
      <c r="C47" s="158"/>
      <c r="D47" s="158"/>
      <c r="E47" s="158"/>
      <c r="F47" s="158"/>
      <c r="G47" s="158"/>
      <c r="H47" s="158"/>
      <c r="I47" s="108"/>
    </row>
  </sheetData>
  <mergeCells count="46">
    <mergeCell ref="D43:H43"/>
    <mergeCell ref="D45:H45"/>
    <mergeCell ref="B47:H47"/>
    <mergeCell ref="D33:H33"/>
    <mergeCell ref="D35:H35"/>
    <mergeCell ref="D37:H37"/>
    <mergeCell ref="D39:H39"/>
    <mergeCell ref="D41:H41"/>
    <mergeCell ref="D27:H27"/>
    <mergeCell ref="A28:I28"/>
    <mergeCell ref="D29:H29"/>
    <mergeCell ref="A30:I30"/>
    <mergeCell ref="D31:H31"/>
    <mergeCell ref="D21:H21"/>
    <mergeCell ref="D23:H23"/>
    <mergeCell ref="A24:I24"/>
    <mergeCell ref="D25:H25"/>
    <mergeCell ref="A26:I26"/>
    <mergeCell ref="A13:I13"/>
    <mergeCell ref="A14:I14"/>
    <mergeCell ref="D15:H15"/>
    <mergeCell ref="D17:H17"/>
    <mergeCell ref="D19:H19"/>
    <mergeCell ref="A7:I7"/>
    <mergeCell ref="A8:I8"/>
    <mergeCell ref="A10:I10"/>
    <mergeCell ref="A11:I11"/>
    <mergeCell ref="A12:I12"/>
    <mergeCell ref="A5:C5"/>
    <mergeCell ref="D5:E5"/>
    <mergeCell ref="F5:G5"/>
    <mergeCell ref="H5:I5"/>
    <mergeCell ref="A6:I6"/>
    <mergeCell ref="A3:C3"/>
    <mergeCell ref="D3:E3"/>
    <mergeCell ref="F3:G3"/>
    <mergeCell ref="H3:I3"/>
    <mergeCell ref="A4:C4"/>
    <mergeCell ref="D4:E4"/>
    <mergeCell ref="F4:G4"/>
    <mergeCell ref="H4:I4"/>
    <mergeCell ref="A1:I1"/>
    <mergeCell ref="A2:C2"/>
    <mergeCell ref="D2:E2"/>
    <mergeCell ref="F2:G2"/>
    <mergeCell ref="H2:I2"/>
  </mergeCells>
  <pageMargins left="0.7" right="0.7" top="0.75" bottom="0.75" header="0.3" footer="0.3"/>
  <pageSetup scale="98" fitToWidth="0" fitToHeight="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S154"/>
  <sheetViews>
    <sheetView view="pageBreakPreview" topLeftCell="A22" zoomScale="115" zoomScaleNormal="100" workbookViewId="0">
      <selection activeCell="J44" sqref="J44"/>
    </sheetView>
  </sheetViews>
  <sheetFormatPr defaultColWidth="9.140625" defaultRowHeight="12.75" outlineLevelRow="1"/>
  <cols>
    <col min="1" max="1" width="6.85546875" style="40" customWidth="1"/>
    <col min="2" max="3" width="9.28515625" style="40" customWidth="1"/>
    <col min="4" max="4" width="14.7109375" style="40" customWidth="1"/>
    <col min="5" max="5" width="13.28515625" style="40" customWidth="1"/>
    <col min="6" max="6" width="11" style="40" customWidth="1"/>
    <col min="7" max="7" width="9.28515625" style="40" customWidth="1"/>
    <col min="8" max="8" width="13.7109375" style="40" customWidth="1"/>
    <col min="9" max="9" width="8.5703125" style="40" customWidth="1"/>
    <col min="10" max="10" width="10.7109375" style="40" customWidth="1"/>
    <col min="11" max="13" width="9.28515625" style="40" customWidth="1"/>
    <col min="14" max="14" width="9.28515625" style="41" customWidth="1"/>
    <col min="15" max="15" width="12.140625" style="41" customWidth="1"/>
    <col min="16" max="18" width="9.28515625" style="41" customWidth="1"/>
    <col min="19" max="20" width="9.140625" style="41"/>
    <col min="21" max="21" width="11.7109375" style="41" customWidth="1"/>
    <col min="22" max="24" width="9.28515625" style="41" customWidth="1"/>
    <col min="25" max="16384" width="9.140625" style="41"/>
  </cols>
  <sheetData>
    <row r="1" spans="1:13" ht="19.5" customHeight="1">
      <c r="A1" s="159" t="s">
        <v>95</v>
      </c>
      <c r="B1" s="159"/>
      <c r="C1" s="159"/>
      <c r="D1" s="159"/>
      <c r="E1" s="159"/>
      <c r="F1" s="159"/>
      <c r="G1" s="159"/>
      <c r="H1" s="159"/>
      <c r="J1" s="41" t="s">
        <v>138</v>
      </c>
    </row>
    <row r="2" spans="1:13" ht="15">
      <c r="A2" s="160" t="s">
        <v>96</v>
      </c>
      <c r="B2" s="160"/>
      <c r="C2" s="160"/>
      <c r="D2" s="161"/>
      <c r="E2" s="162"/>
      <c r="F2" s="163" t="s">
        <v>97</v>
      </c>
      <c r="G2" s="163"/>
      <c r="H2" s="42" t="s">
        <v>98</v>
      </c>
      <c r="J2" s="41" t="s">
        <v>139</v>
      </c>
    </row>
    <row r="3" spans="1:13" ht="15">
      <c r="A3" s="160" t="s">
        <v>99</v>
      </c>
      <c r="B3" s="160"/>
      <c r="C3" s="160"/>
      <c r="D3" s="161" t="s">
        <v>82</v>
      </c>
      <c r="E3" s="162"/>
      <c r="F3" s="163" t="s">
        <v>100</v>
      </c>
      <c r="G3" s="163"/>
      <c r="H3" s="43">
        <f ca="1">TODAY()</f>
        <v>46281</v>
      </c>
      <c r="J3" s="41" t="s">
        <v>140</v>
      </c>
    </row>
    <row r="4" spans="1:13" ht="15">
      <c r="A4" s="160" t="s">
        <v>101</v>
      </c>
      <c r="B4" s="160"/>
      <c r="C4" s="160"/>
      <c r="D4" s="161" t="s">
        <v>82</v>
      </c>
      <c r="E4" s="162"/>
      <c r="F4" s="163" t="s">
        <v>102</v>
      </c>
      <c r="G4" s="163"/>
      <c r="H4" s="42" t="s">
        <v>82</v>
      </c>
    </row>
    <row r="5" spans="1:13" ht="12.75" customHeight="1">
      <c r="A5" s="160" t="s">
        <v>103</v>
      </c>
      <c r="B5" s="160"/>
      <c r="C5" s="160"/>
      <c r="D5" s="161" t="s">
        <v>141</v>
      </c>
      <c r="E5" s="161"/>
      <c r="F5" s="163" t="s">
        <v>105</v>
      </c>
      <c r="G5" s="163"/>
      <c r="H5" s="42" t="s">
        <v>82</v>
      </c>
    </row>
    <row r="7" spans="1:13">
      <c r="A7" s="44" t="s">
        <v>142</v>
      </c>
    </row>
    <row r="8" spans="1:13">
      <c r="A8" s="44"/>
    </row>
    <row r="9" spans="1:13">
      <c r="B9" s="171" t="s">
        <v>143</v>
      </c>
      <c r="C9" s="171" t="s">
        <v>144</v>
      </c>
      <c r="D9" s="164" t="s">
        <v>145</v>
      </c>
      <c r="E9" s="165"/>
      <c r="F9" s="165"/>
      <c r="G9" s="165"/>
      <c r="H9" s="166"/>
    </row>
    <row r="10" spans="1:13">
      <c r="B10" s="172"/>
      <c r="C10" s="172"/>
      <c r="D10" s="45" t="s">
        <v>146</v>
      </c>
      <c r="E10" s="45" t="s">
        <v>147</v>
      </c>
      <c r="F10" s="45" t="s">
        <v>148</v>
      </c>
      <c r="G10" s="45" t="s">
        <v>149</v>
      </c>
      <c r="H10" s="45" t="s">
        <v>150</v>
      </c>
    </row>
    <row r="11" spans="1:13">
      <c r="B11" s="46">
        <v>288</v>
      </c>
      <c r="C11" s="47" t="str">
        <f>VLOOKUP(B11,MainTH!B:AP,26,0)</f>
        <v>ULS10</v>
      </c>
      <c r="D11" s="48">
        <f>FINDLOAD($B$11,$C$11,ULS!B:B,ULS!C:C,ULS!D:D)</f>
        <v>-5.3179126356787103</v>
      </c>
      <c r="E11" s="48">
        <f>FINDLOAD($B$11,$C$11,ULS!B:B,ULS!C:C,ULS!E:E)</f>
        <v>2.5388065011179899</v>
      </c>
      <c r="F11" s="48">
        <f>FINDLOAD($B$11,$C$11,ULS!B:B,ULS!C:C,ULS!F:F)</f>
        <v>40.524846262394298</v>
      </c>
      <c r="G11" s="48">
        <f>FINDLOAD($B$11,$C$11,ULS!B:B,ULS!C:C,ULS!G:G)</f>
        <v>-3.5831641484252601</v>
      </c>
      <c r="H11" s="48">
        <f>FINDLOAD($B$11,$C$11,ULS!B:B,ULS!C:C,ULS!H:H)</f>
        <v>-8.3635027731048499</v>
      </c>
    </row>
    <row r="12" spans="1:13">
      <c r="B12" s="49"/>
      <c r="C12" s="49"/>
      <c r="D12" s="50"/>
      <c r="E12" s="50"/>
      <c r="F12" s="50"/>
      <c r="G12" s="50"/>
      <c r="H12" s="50"/>
      <c r="I12" s="50"/>
      <c r="J12" s="50"/>
      <c r="K12" s="50"/>
      <c r="L12" s="50"/>
      <c r="M12" s="50"/>
    </row>
    <row r="13" spans="1:13">
      <c r="B13" s="171" t="s">
        <v>143</v>
      </c>
      <c r="C13" s="171" t="s">
        <v>144</v>
      </c>
      <c r="D13" s="164" t="s">
        <v>151</v>
      </c>
      <c r="E13" s="165"/>
      <c r="F13" s="165"/>
      <c r="G13" s="165"/>
      <c r="H13" s="166"/>
      <c r="I13" s="50"/>
      <c r="J13" s="50"/>
      <c r="K13" s="50"/>
      <c r="L13" s="50"/>
      <c r="M13" s="50"/>
    </row>
    <row r="14" spans="1:13">
      <c r="B14" s="172"/>
      <c r="C14" s="172"/>
      <c r="D14" s="45" t="s">
        <v>152</v>
      </c>
      <c r="E14" s="45" t="s">
        <v>153</v>
      </c>
      <c r="F14" s="45" t="s">
        <v>154</v>
      </c>
      <c r="G14" s="45" t="s">
        <v>155</v>
      </c>
      <c r="H14" s="45" t="s">
        <v>156</v>
      </c>
      <c r="I14" s="50"/>
      <c r="J14" s="50"/>
      <c r="K14" s="50"/>
      <c r="L14" s="50"/>
      <c r="M14" s="50"/>
    </row>
    <row r="15" spans="1:13">
      <c r="B15" s="46">
        <f>B11</f>
        <v>288</v>
      </c>
      <c r="C15" s="47" t="str">
        <f>VLOOKUP(B11,MainTH!B:AP,25,0)</f>
        <v>SLS10</v>
      </c>
      <c r="D15" s="48">
        <f>FINDLOAD($B$15,$C$15,SLS!B:B,SLS!C:C,SLS!D:D)</f>
        <v>-4.4441782810939303</v>
      </c>
      <c r="E15" s="48">
        <f>FINDLOAD($B$15,$C$15,SLS!B:B,SLS!C:C,SLS!E:E)</f>
        <v>2.1351843815117699</v>
      </c>
      <c r="F15" s="48">
        <f>FINDLOAD($B$15,$C$15,SLS!B:B,SLS!C:C,SLS!F:F)</f>
        <v>34.788943354161098</v>
      </c>
      <c r="G15" s="48">
        <f>FINDLOAD($B$15,$C$15,SLS!B:B,SLS!C:C,SLS!G:G)</f>
        <v>-3.0100084712596198</v>
      </c>
      <c r="H15" s="48">
        <f>FINDLOAD($B$15,$C$15,SLS!B:B,SLS!C:C,SLS!H:H)</f>
        <v>-6.98137736467078</v>
      </c>
      <c r="I15" s="50"/>
      <c r="J15" s="50"/>
      <c r="K15" s="50"/>
      <c r="L15" s="50"/>
      <c r="M15" s="50"/>
    </row>
    <row r="17" spans="1:15">
      <c r="A17" s="44" t="s">
        <v>157</v>
      </c>
    </row>
    <row r="18" spans="1:15" ht="15.75">
      <c r="B18" s="40" t="s">
        <v>158</v>
      </c>
      <c r="E18" s="51" t="s">
        <v>159</v>
      </c>
      <c r="F18" s="52">
        <f>VLOOKUP($B$11,MainTH!B:AP,4,0)</f>
        <v>0.22</v>
      </c>
      <c r="G18" s="51" t="s">
        <v>160</v>
      </c>
      <c r="H18" s="52">
        <f>VLOOKUP($B$11,MainTH!B:AP,5,0)</f>
        <v>0.22</v>
      </c>
      <c r="J18" s="167" t="s">
        <v>161</v>
      </c>
      <c r="K18" s="168"/>
      <c r="L18" s="167" t="s">
        <v>162</v>
      </c>
      <c r="M18" s="168"/>
      <c r="N18" s="167" t="s">
        <v>163</v>
      </c>
      <c r="O18" s="168"/>
    </row>
    <row r="19" spans="1:15" ht="15.75">
      <c r="B19" s="40" t="s">
        <v>164</v>
      </c>
      <c r="E19" s="51" t="s">
        <v>165</v>
      </c>
      <c r="F19" s="52">
        <f>VLOOKUP($B$11,MainTH!B:AP,2,0)</f>
        <v>1.2</v>
      </c>
      <c r="G19" s="51" t="s">
        <v>166</v>
      </c>
      <c r="H19" s="52">
        <f>VLOOKUP($B$11,MainTH!B:AP,3,0)</f>
        <v>1.2</v>
      </c>
      <c r="J19" s="53" t="s">
        <v>167</v>
      </c>
      <c r="K19" s="53" t="s">
        <v>168</v>
      </c>
      <c r="L19" s="53" t="s">
        <v>167</v>
      </c>
      <c r="M19" s="53" t="s">
        <v>168</v>
      </c>
      <c r="N19" s="53" t="s">
        <v>167</v>
      </c>
      <c r="O19" s="53" t="s">
        <v>168</v>
      </c>
    </row>
    <row r="20" spans="1:15" ht="15.75">
      <c r="B20" s="40" t="s">
        <v>169</v>
      </c>
      <c r="E20" s="51" t="s">
        <v>170</v>
      </c>
      <c r="F20" s="52">
        <f>VLOOKUP($B$11,MainTH!B:AP,6,0)</f>
        <v>0</v>
      </c>
      <c r="G20" s="51" t="s">
        <v>171</v>
      </c>
      <c r="H20" s="52">
        <f>VLOOKUP($B$11,MainTH!B:AP,7,0)</f>
        <v>0</v>
      </c>
      <c r="J20" s="53">
        <f>-xc/2+$F$20</f>
        <v>-0.11</v>
      </c>
      <c r="K20" s="53">
        <f>-yc/2+$H$20</f>
        <v>-0.11</v>
      </c>
      <c r="L20" s="53">
        <f>-LX/2</f>
        <v>-0.6</v>
      </c>
      <c r="M20" s="53">
        <f>-LY/2</f>
        <v>-0.6</v>
      </c>
      <c r="N20" s="54">
        <v>0</v>
      </c>
      <c r="O20" s="54">
        <f>MIN(M20:M24)</f>
        <v>-0.6</v>
      </c>
    </row>
    <row r="21" spans="1:15" ht="15.75">
      <c r="B21" s="40" t="s">
        <v>172</v>
      </c>
      <c r="E21" s="51" t="s">
        <v>173</v>
      </c>
      <c r="F21" s="52">
        <f>VLOOKUP($B$11,MainTH!B:AP,8,0)</f>
        <v>0.3</v>
      </c>
      <c r="G21" s="51" t="s">
        <v>174</v>
      </c>
      <c r="H21" s="52">
        <f>VLOOKUP($B$11,MainTH!B:AP,10,0)</f>
        <v>1</v>
      </c>
      <c r="J21" s="53">
        <f>-xc/2+$F$20</f>
        <v>-0.11</v>
      </c>
      <c r="K21" s="53">
        <f>yc/2+$H$20</f>
        <v>0.11</v>
      </c>
      <c r="L21" s="53">
        <f>-LX/2</f>
        <v>-0.6</v>
      </c>
      <c r="M21" s="53">
        <f>LY/2</f>
        <v>0.6</v>
      </c>
      <c r="N21" s="54">
        <v>0</v>
      </c>
      <c r="O21" s="54">
        <f>MAX(M20:M24)</f>
        <v>0.6</v>
      </c>
    </row>
    <row r="22" spans="1:15" ht="15.75">
      <c r="B22" s="40" t="s">
        <v>175</v>
      </c>
      <c r="E22" s="51" t="s">
        <v>176</v>
      </c>
      <c r="F22" s="52">
        <f>VLOOKUP($B$11,MainTH!B:AP,9,0)</f>
        <v>0.05</v>
      </c>
      <c r="G22" s="51" t="s">
        <v>177</v>
      </c>
      <c r="H22" s="55">
        <f>Hf-F22</f>
        <v>0.25</v>
      </c>
      <c r="J22" s="53">
        <f>xc/2+$F$20</f>
        <v>0.11</v>
      </c>
      <c r="K22" s="53">
        <f>yc/2+$H$20</f>
        <v>0.11</v>
      </c>
      <c r="L22" s="53">
        <f>LX/2</f>
        <v>0.6</v>
      </c>
      <c r="M22" s="53">
        <f>LY/2</f>
        <v>0.6</v>
      </c>
      <c r="N22" s="167" t="s">
        <v>178</v>
      </c>
      <c r="O22" s="168"/>
    </row>
    <row r="23" spans="1:15" ht="15.75">
      <c r="B23" s="40" t="s">
        <v>179</v>
      </c>
      <c r="E23" s="51" t="s">
        <v>180</v>
      </c>
      <c r="F23" s="56">
        <f>LX*LY</f>
        <v>1.44</v>
      </c>
      <c r="J23" s="53">
        <f>xc/2+$F$20</f>
        <v>0.11</v>
      </c>
      <c r="K23" s="53">
        <f>-yc/2+$H$20</f>
        <v>-0.11</v>
      </c>
      <c r="L23" s="53">
        <f>LX/2</f>
        <v>0.6</v>
      </c>
      <c r="M23" s="53">
        <f>-LY/2</f>
        <v>-0.6</v>
      </c>
      <c r="N23" s="54">
        <f>MIN(L20:L24)</f>
        <v>-0.6</v>
      </c>
      <c r="O23" s="54">
        <v>0</v>
      </c>
    </row>
    <row r="24" spans="1:15" ht="15.75">
      <c r="B24" s="40" t="s">
        <v>181</v>
      </c>
      <c r="E24" s="51" t="s">
        <v>182</v>
      </c>
      <c r="F24" s="57">
        <f>1/6*LX*LY^2</f>
        <v>0.28799999999999998</v>
      </c>
      <c r="G24" s="51" t="s">
        <v>183</v>
      </c>
      <c r="H24" s="57">
        <f>1/6*LY*LX^2</f>
        <v>0.28799999999999998</v>
      </c>
      <c r="J24" s="53">
        <f>-xc/2+$F$20</f>
        <v>-0.11</v>
      </c>
      <c r="K24" s="53">
        <f>-yc/2+$H$20</f>
        <v>-0.11</v>
      </c>
      <c r="L24" s="53">
        <f>-LX/2</f>
        <v>-0.6</v>
      </c>
      <c r="M24" s="53">
        <f>-LY/2</f>
        <v>-0.6</v>
      </c>
      <c r="N24" s="54">
        <f>MAX(L20:L24)</f>
        <v>0.6</v>
      </c>
      <c r="O24" s="54">
        <v>0</v>
      </c>
    </row>
    <row r="25" spans="1:15" ht="15.75">
      <c r="B25" s="40" t="s">
        <v>184</v>
      </c>
      <c r="E25" s="51" t="s">
        <v>185</v>
      </c>
      <c r="F25" s="52">
        <f>VLOOKUP($B$11,MainTH!B:AP,12,0)</f>
        <v>0</v>
      </c>
      <c r="G25" s="51" t="s">
        <v>186</v>
      </c>
      <c r="H25" s="58">
        <f>VLOOKUP($B$11,MainTH!B:AP,13,0)</f>
        <v>1.5</v>
      </c>
    </row>
    <row r="26" spans="1:15" ht="15.75">
      <c r="A26" s="40" t="s">
        <v>187</v>
      </c>
      <c r="J26" s="54" t="s">
        <v>188</v>
      </c>
      <c r="K26" s="54">
        <f>(H35/Af)+(H36*-LY/2)/(LY*LX^3/12)+(H37*-LX/2)/(LX*LY^3/12)+ytb*Df+$H$25</f>
        <v>86.304803144251139</v>
      </c>
      <c r="L26" s="54">
        <f>(H35/Af)+(H36*-LY/2)/(LY*LX^3/12)+(H37*LX/2)/(LX*LY^3/12)+ytb*Df+$H$25</f>
        <v>28.564311137313929</v>
      </c>
      <c r="M26" s="54" t="s">
        <v>189</v>
      </c>
    </row>
    <row r="27" spans="1:15" ht="15.75">
      <c r="B27" s="40" t="s">
        <v>190</v>
      </c>
      <c r="D27" s="59" t="str">
        <f>VLOOKUP($B$11,MainTH!B:AP,17,0)</f>
        <v>B22.5</v>
      </c>
      <c r="E27" s="51" t="s">
        <v>191</v>
      </c>
      <c r="F27" s="60">
        <f>HLOOKUP($D$27,Data!$B$4:$M$9,2,0)</f>
        <v>13</v>
      </c>
      <c r="G27" s="51" t="s">
        <v>192</v>
      </c>
      <c r="H27" s="60">
        <f>HLOOKUP($D$27,Data!$B$4:$M$9,3,0)</f>
        <v>1</v>
      </c>
      <c r="J27" s="54" t="s">
        <v>193</v>
      </c>
      <c r="K27" s="54">
        <f>(H35/Af)+(H36*LY/2)/(LY*LX^3/12)+(H37*-LX/2)/(LX*LY^3/12)+ytb*Df+$H$25</f>
        <v>60.953665743465379</v>
      </c>
      <c r="L27" s="54">
        <f>(H35/Af)+(H36*LY/2)/(LY*LX^3/12)+(H37*LX/2)/(LX*LY^3/12)+ytb*Df+$H$25</f>
        <v>3.2131737365281623</v>
      </c>
      <c r="M27" s="54" t="s">
        <v>194</v>
      </c>
    </row>
    <row r="28" spans="1:15">
      <c r="B28" s="40" t="s">
        <v>195</v>
      </c>
      <c r="D28" s="59" t="str">
        <f>VLOOKUP($B$11,MainTH!B:AP,21,0)</f>
        <v>CB300-V</v>
      </c>
      <c r="E28" s="51" t="s">
        <v>196</v>
      </c>
      <c r="F28" s="61">
        <f>HLOOKUP($D$28,Data!$B$13:$I$18,3,0)</f>
        <v>260</v>
      </c>
      <c r="J28" s="41"/>
      <c r="K28" s="41"/>
      <c r="L28" s="41"/>
      <c r="M28" s="41"/>
    </row>
    <row r="29" spans="1:15" ht="15.75">
      <c r="A29" s="40" t="s">
        <v>197</v>
      </c>
      <c r="J29" s="54" t="s">
        <v>198</v>
      </c>
      <c r="K29" s="54">
        <f>(H50/Af)+(H51*-LY/2)/(LY*LX^3/12)+(H52*-LX/2)/(LX*LY^3/12)+ytb*Df+$H$25</f>
        <v>98.407819149472147</v>
      </c>
      <c r="L29" s="54">
        <f>(H50/Af)+(H51*-LY/2)/(LY*LX^3/12)+(H52*LX/2)/(LX*LY^3/12)+ytb*Df+$H$25</f>
        <v>29.248954123024482</v>
      </c>
      <c r="M29" s="54" t="s">
        <v>199</v>
      </c>
    </row>
    <row r="30" spans="1:15" ht="15.75">
      <c r="B30" s="40" t="s">
        <v>200</v>
      </c>
      <c r="G30" s="62" t="s">
        <v>201</v>
      </c>
      <c r="H30" s="63">
        <f>VLOOKUP($B$11,MainTH!B:AP,11,0)</f>
        <v>19.100000000000001</v>
      </c>
      <c r="J30" s="54" t="s">
        <v>202</v>
      </c>
      <c r="K30" s="54">
        <f>(H50/Af)+(H51*LY/2)/(LY*LX^3/12)+(H52*-LX/2)/(LX*LY^3/12)+ytb*Df+$H$25</f>
        <v>68.235554574745379</v>
      </c>
      <c r="L30" s="54">
        <f>(H50/Af)+(H51*LY/2)/(LY*LX^3/12)+(H52*LX/2)/(LX*LY^3/12)+ytb*Df+$H$25</f>
        <v>-0.92331045170229586</v>
      </c>
      <c r="M30" s="54" t="s">
        <v>203</v>
      </c>
    </row>
    <row r="31" spans="1:15" ht="15.75">
      <c r="B31" s="40" t="s">
        <v>204</v>
      </c>
      <c r="G31" s="64" t="s">
        <v>205</v>
      </c>
      <c r="H31" s="65">
        <f>VLOOKUP($B$11,MainTH!B:AP,14,0)</f>
        <v>139</v>
      </c>
    </row>
    <row r="32" spans="1:15">
      <c r="A32" s="44" t="s">
        <v>206</v>
      </c>
    </row>
    <row r="33" spans="1:10">
      <c r="A33" s="40" t="s">
        <v>207</v>
      </c>
    </row>
    <row r="34" spans="1:10">
      <c r="B34" s="40" t="s">
        <v>208</v>
      </c>
    </row>
    <row r="35" spans="1:10" ht="14.25">
      <c r="C35" s="40" t="s">
        <v>209</v>
      </c>
      <c r="H35" s="66">
        <f>F15+ytb*F25*LX*LY</f>
        <v>34.788943354161098</v>
      </c>
    </row>
    <row r="36" spans="1:10" ht="15.75">
      <c r="C36" s="67" t="s">
        <v>210</v>
      </c>
      <c r="H36" s="68">
        <f>G15-E15*Hf-F15*H20</f>
        <v>-3.6505637857131505</v>
      </c>
    </row>
    <row r="37" spans="1:10" ht="15.75">
      <c r="C37" s="67" t="s">
        <v>211</v>
      </c>
      <c r="H37" s="68">
        <f>H15+D15*Hf+F15*F20</f>
        <v>-8.3146308489989593</v>
      </c>
    </row>
    <row r="38" spans="1:10">
      <c r="B38" s="40" t="s">
        <v>212</v>
      </c>
    </row>
    <row r="39" spans="1:10" ht="15.75">
      <c r="C39" s="67" t="s">
        <v>213</v>
      </c>
      <c r="H39" s="69">
        <f>H35/Af+ytb*Df+H25</f>
        <v>44.758988440389658</v>
      </c>
    </row>
    <row r="40" spans="1:10" ht="15.75">
      <c r="C40" s="67" t="s">
        <v>214</v>
      </c>
      <c r="H40" s="69">
        <f>H35/Af+ABS(H36)/Wx+ABS(H37)/WY+ytb*Df+H25</f>
        <v>86.304803144251139</v>
      </c>
      <c r="I40" s="70"/>
    </row>
    <row r="41" spans="1:10" ht="15.75">
      <c r="C41" s="67" t="s">
        <v>215</v>
      </c>
      <c r="H41" s="69">
        <f>H35/Af-ABS(H36)/Wx-ABS(H37)/WY+ytb*Df+H25</f>
        <v>3.2131737365281552</v>
      </c>
    </row>
    <row r="42" spans="1:10">
      <c r="B42" s="40" t="s">
        <v>216</v>
      </c>
    </row>
    <row r="43" spans="1:10" ht="15.75">
      <c r="C43" s="67" t="s">
        <v>217</v>
      </c>
      <c r="D43" s="69">
        <f>H39</f>
        <v>44.758988440389658</v>
      </c>
      <c r="F43" s="40" t="str">
        <f>IF(D43&lt;H43,"≤","&gt;")</f>
        <v>≤</v>
      </c>
      <c r="G43" s="40" t="s">
        <v>218</v>
      </c>
      <c r="H43" s="69">
        <f>Rtcc</f>
        <v>139</v>
      </c>
      <c r="I43" s="71" t="str">
        <f>IF(D43&lt;H43,"Ok","FAIL")</f>
        <v>Ok</v>
      </c>
      <c r="J43" s="40" t="s">
        <v>219</v>
      </c>
    </row>
    <row r="44" spans="1:10" ht="15.75">
      <c r="C44" s="67" t="s">
        <v>220</v>
      </c>
      <c r="D44" s="69">
        <f>H40</f>
        <v>86.304803144251139</v>
      </c>
      <c r="F44" s="40" t="str">
        <f>IF(D44&lt;H44,"≤","&gt;")</f>
        <v>≤</v>
      </c>
      <c r="G44" s="40" t="str">
        <f>J44&amp;"Rtc ="</f>
        <v>1.2Rtc =</v>
      </c>
      <c r="H44" s="69">
        <f>1.2*Rtcc</f>
        <v>166.8</v>
      </c>
      <c r="I44" s="71" t="str">
        <f>IF(D44&lt;H44,"Ok","FAIL")</f>
        <v>Ok</v>
      </c>
      <c r="J44" s="72">
        <v>1.2</v>
      </c>
    </row>
    <row r="45" spans="1:10" ht="15.75">
      <c r="C45" s="67" t="s">
        <v>221</v>
      </c>
      <c r="D45" s="69">
        <f>H41</f>
        <v>3.2131737365281552</v>
      </c>
      <c r="F45" s="40" t="str">
        <f>IF(D45&lt;H45,"≤","&gt;")</f>
        <v>&gt;</v>
      </c>
      <c r="H45" s="58">
        <v>0</v>
      </c>
      <c r="I45" s="71" t="str">
        <f>IF(D45&gt;H45,"Ok","FAIL")</f>
        <v>Ok</v>
      </c>
    </row>
    <row r="47" spans="1:10">
      <c r="A47" s="44" t="s">
        <v>222</v>
      </c>
    </row>
    <row r="48" spans="1:10">
      <c r="A48" s="40" t="s">
        <v>223</v>
      </c>
    </row>
    <row r="49" spans="1:8">
      <c r="B49" s="73" t="s">
        <v>208</v>
      </c>
    </row>
    <row r="50" spans="1:8">
      <c r="C50" s="67" t="s">
        <v>224</v>
      </c>
      <c r="H50" s="66">
        <f>ABS(F11)+ytb*F25*LX*LY</f>
        <v>40.524846262394298</v>
      </c>
    </row>
    <row r="51" spans="1:8" ht="15.75">
      <c r="C51" s="67" t="s">
        <v>225</v>
      </c>
      <c r="H51" s="68">
        <f>G11-E11*Hf-F11*H20</f>
        <v>-4.3448060987606567</v>
      </c>
    </row>
    <row r="52" spans="1:8" ht="15.75">
      <c r="C52" s="67" t="s">
        <v>226</v>
      </c>
      <c r="H52" s="68">
        <f>H11+D11*Hf+F11*F20</f>
        <v>-9.9588765638084631</v>
      </c>
    </row>
    <row r="53" spans="1:8">
      <c r="B53" s="73" t="s">
        <v>227</v>
      </c>
    </row>
    <row r="54" spans="1:8" ht="15.75">
      <c r="C54" s="67" t="s">
        <v>228</v>
      </c>
      <c r="H54" s="69">
        <f>H50/Af+ytb*Df+H25</f>
        <v>48.742254348884927</v>
      </c>
    </row>
    <row r="55" spans="1:8" ht="15.75">
      <c r="C55" s="67" t="s">
        <v>229</v>
      </c>
      <c r="H55" s="69">
        <f>H50/Af+ABS(H51)/Wx+ABS(H52)/WY+ytb*Df+H25</f>
        <v>98.407819149472147</v>
      </c>
    </row>
    <row r="56" spans="1:8" ht="15.75">
      <c r="C56" s="67" t="s">
        <v>230</v>
      </c>
      <c r="H56" s="69">
        <f>H50/Af-ABS(H51)/Wx-ABS(H52)/WY+ytb*Df+H25</f>
        <v>-0.92331045170229942</v>
      </c>
    </row>
    <row r="58" spans="1:8">
      <c r="A58" s="74" t="s">
        <v>231</v>
      </c>
    </row>
    <row r="59" spans="1:8">
      <c r="B59" s="75" t="s">
        <v>232</v>
      </c>
      <c r="E59" s="51" t="s">
        <v>233</v>
      </c>
      <c r="F59" s="55">
        <f>LX/2-xc/2+ex</f>
        <v>0.49</v>
      </c>
      <c r="G59" s="51" t="s">
        <v>234</v>
      </c>
      <c r="H59" s="55">
        <f>LY/2-yc/2+ey</f>
        <v>0.49</v>
      </c>
    </row>
    <row r="60" spans="1:8">
      <c r="E60" s="51" t="s">
        <v>235</v>
      </c>
      <c r="F60" s="55">
        <f>LX-F59-xc</f>
        <v>0.49</v>
      </c>
      <c r="G60" s="51" t="s">
        <v>236</v>
      </c>
      <c r="H60" s="55">
        <f>LY-H59-yc</f>
        <v>0.49</v>
      </c>
    </row>
    <row r="61" spans="1:8">
      <c r="B61" s="73" t="s">
        <v>237</v>
      </c>
    </row>
    <row r="62" spans="1:8" ht="15.75">
      <c r="C62" s="67" t="s">
        <v>238</v>
      </c>
    </row>
    <row r="63" spans="1:8" ht="15.75">
      <c r="C63" s="149" t="s">
        <v>239</v>
      </c>
      <c r="G63" s="76" t="s">
        <v>240</v>
      </c>
      <c r="H63" s="55">
        <f>(2*xc+2*yc+2*(MIN(F59,ho)+xc+MIN(F60,ho))+2*(MIN(H59,ho)+yc+MIN(H60,ho)))/2</f>
        <v>1.88</v>
      </c>
    </row>
    <row r="64" spans="1:8" ht="15.75">
      <c r="C64" s="149" t="s">
        <v>241</v>
      </c>
      <c r="G64" s="76" t="s">
        <v>242</v>
      </c>
      <c r="H64" s="56">
        <f>LX*LY-(MIN(F59,ho)+xc+MIN(F60,ho))*(MIN(H59,ho)+yc+MIN(H60,ho))</f>
        <v>0.92159999999999997</v>
      </c>
    </row>
    <row r="65" spans="1:14" ht="15.75">
      <c r="C65" s="149" t="s">
        <v>243</v>
      </c>
      <c r="G65" s="76" t="s">
        <v>244</v>
      </c>
      <c r="H65" s="66">
        <f>H55*H64</f>
        <v>90.692646128153527</v>
      </c>
      <c r="I65" s="71" t="str">
        <f>IF(H65&lt;H66,"Ok","FAIL")</f>
        <v>Ok</v>
      </c>
    </row>
    <row r="66" spans="1:14" ht="15.75">
      <c r="C66" s="149" t="s">
        <v>245</v>
      </c>
      <c r="G66" s="76" t="s">
        <v>246</v>
      </c>
      <c r="H66" s="66">
        <f>0.75*Rbt*1000*H63*ho</f>
        <v>352.5</v>
      </c>
      <c r="I66" s="71"/>
    </row>
    <row r="67" spans="1:14">
      <c r="B67" s="73" t="s">
        <v>247</v>
      </c>
      <c r="I67" s="71"/>
      <c r="J67" s="53" t="s">
        <v>248</v>
      </c>
      <c r="K67" s="53">
        <f>K69/K70</f>
        <v>0.20859659973037745</v>
      </c>
      <c r="L67" s="53">
        <f>L69/L70</f>
        <v>4.6285307105479651E-2</v>
      </c>
      <c r="M67" s="53">
        <f>M69/M70</f>
        <v>0.10999107124786614</v>
      </c>
      <c r="N67" s="53">
        <f>N69/N70</f>
        <v>0.27230236387276396</v>
      </c>
    </row>
    <row r="68" spans="1:14" ht="15.75">
      <c r="C68" s="67" t="s">
        <v>249</v>
      </c>
      <c r="I68" s="71"/>
      <c r="J68" s="53" t="s">
        <v>250</v>
      </c>
      <c r="K68" s="53" t="s">
        <v>251</v>
      </c>
      <c r="L68" s="53" t="s">
        <v>252</v>
      </c>
      <c r="M68" s="53" t="s">
        <v>253</v>
      </c>
      <c r="N68" s="53" t="s">
        <v>254</v>
      </c>
    </row>
    <row r="69" spans="1:14" ht="15.75">
      <c r="C69" s="149" t="s">
        <v>239</v>
      </c>
      <c r="G69" s="76" t="s">
        <v>255</v>
      </c>
      <c r="H69" s="55">
        <f>HLOOKUP(MAX($K$67:$N$67),$K$67:$N$72,5,0)</f>
        <v>0.47</v>
      </c>
      <c r="I69" s="71"/>
      <c r="J69" s="53" t="s">
        <v>256</v>
      </c>
      <c r="K69" s="53">
        <f>(K29+L29)/2*K72</f>
        <v>18.382575351239513</v>
      </c>
      <c r="L69" s="53">
        <f>(L29+L30)/2*L72</f>
        <v>4.0788926886703942</v>
      </c>
      <c r="M69" s="53">
        <f>(L30+K30)/2*M72</f>
        <v>9.6929631537182033</v>
      </c>
      <c r="N69" s="53">
        <f>(K30+K29)/2*N72</f>
        <v>23.996645816287323</v>
      </c>
    </row>
    <row r="70" spans="1:14" ht="15.75">
      <c r="C70" s="149" t="s">
        <v>241</v>
      </c>
      <c r="G70" s="76" t="s">
        <v>242</v>
      </c>
      <c r="H70" s="56">
        <f>HLOOKUP(MAX($K$67:$N$67),$K$67:$N$72,6,0)</f>
        <v>0.28799999999999998</v>
      </c>
      <c r="I70" s="71"/>
      <c r="J70" s="53" t="s">
        <v>257</v>
      </c>
      <c r="K70" s="53">
        <f>0.75*Rbt*1000*K71*ho</f>
        <v>88.125</v>
      </c>
      <c r="L70" s="53">
        <f>0.75*Rbt*1000*L71*ho</f>
        <v>88.125</v>
      </c>
      <c r="M70" s="53">
        <f>0.75*Rbt*1000*M71*ho</f>
        <v>88.125</v>
      </c>
      <c r="N70" s="53">
        <f>0.75*Rbt*1000*N71*ho</f>
        <v>88.125</v>
      </c>
    </row>
    <row r="71" spans="1:14" ht="15.75">
      <c r="C71" s="149" t="s">
        <v>243</v>
      </c>
      <c r="G71" s="76" t="s">
        <v>244</v>
      </c>
      <c r="H71" s="66">
        <f>HLOOKUP(MAX($K$67:$N$67),$K$67:$N$72,3,0)</f>
        <v>23.996645816287323</v>
      </c>
      <c r="I71" s="71" t="str">
        <f>IF(H71&lt;H72,"Ok","FAIL")</f>
        <v>Ok</v>
      </c>
      <c r="J71" s="53" t="s">
        <v>258</v>
      </c>
      <c r="K71" s="53">
        <f>(xc+2*MIN(ho,H60)+xc)/2</f>
        <v>0.47</v>
      </c>
      <c r="L71" s="53">
        <f>(yc+2*MIN(ho,F60)+yc)/2</f>
        <v>0.47</v>
      </c>
      <c r="M71" s="53">
        <f>(xc+2*MIN(ho,H59)+xc)/2</f>
        <v>0.47</v>
      </c>
      <c r="N71" s="53">
        <f>(yc+2*MIN(ho,F59)+yc)/2</f>
        <v>0.47</v>
      </c>
    </row>
    <row r="72" spans="1:14" ht="15.75">
      <c r="C72" s="149" t="s">
        <v>245</v>
      </c>
      <c r="G72" s="76" t="s">
        <v>259</v>
      </c>
      <c r="H72" s="66">
        <f>HLOOKUP(MAX($K$67:$N$67),$K$67:$N$72,4,0)</f>
        <v>88.125</v>
      </c>
      <c r="I72" s="71"/>
      <c r="J72" s="53" t="s">
        <v>260</v>
      </c>
      <c r="K72" s="53">
        <f>IF(H60&gt;ho,(H60-ho)*LX,0)</f>
        <v>0.28799999999999998</v>
      </c>
      <c r="L72" s="53">
        <f>IF(F60&gt;ho,(F60-ho)*LY,0)</f>
        <v>0.28799999999999998</v>
      </c>
      <c r="M72" s="53">
        <f>IF(H59&gt;ho,(H59-ho)*LX,0)</f>
        <v>0.28799999999999998</v>
      </c>
      <c r="N72" s="53">
        <f>IF(F59&gt;ho,(F59-ho)*LY,0)</f>
        <v>0.28799999999999998</v>
      </c>
    </row>
    <row r="74" spans="1:14">
      <c r="A74" s="44" t="s">
        <v>261</v>
      </c>
    </row>
    <row r="75" spans="1:14">
      <c r="A75" s="44"/>
      <c r="B75" s="40" t="s">
        <v>262</v>
      </c>
      <c r="G75" s="51" t="s">
        <v>263</v>
      </c>
      <c r="H75" s="77">
        <f>VLOOKUP($B$11,MainTH!B:AP,15,0)</f>
        <v>12.1</v>
      </c>
    </row>
    <row r="76" spans="1:14" ht="15.75">
      <c r="A76" s="44"/>
      <c r="B76" s="40" t="s">
        <v>264</v>
      </c>
      <c r="G76" s="76" t="s">
        <v>265</v>
      </c>
      <c r="H76" s="65">
        <f>VLOOKUP($B$11,MainTH!B:AP,16,0)</f>
        <v>19.5</v>
      </c>
    </row>
    <row r="77" spans="1:14" ht="15.75">
      <c r="B77" s="40" t="s">
        <v>266</v>
      </c>
      <c r="G77" s="76" t="s">
        <v>267</v>
      </c>
      <c r="H77" s="66">
        <f>D11</f>
        <v>-5.3179126356787103</v>
      </c>
    </row>
    <row r="78" spans="1:14" ht="15.75">
      <c r="B78" s="40" t="s">
        <v>268</v>
      </c>
      <c r="G78" s="76" t="s">
        <v>269</v>
      </c>
      <c r="H78" s="66">
        <f>E11</f>
        <v>2.5388065011179899</v>
      </c>
    </row>
    <row r="79" spans="1:14" ht="18">
      <c r="B79" s="40" t="s">
        <v>270</v>
      </c>
      <c r="G79" s="76" t="s">
        <v>271</v>
      </c>
      <c r="H79" s="78">
        <f>H50*TAN(RADIANS(phi))+Cu*LX*LY</f>
        <v>36.76777425923347</v>
      </c>
    </row>
    <row r="80" spans="1:14" ht="15.75">
      <c r="B80" s="40" t="s">
        <v>216</v>
      </c>
      <c r="D80" s="76" t="s">
        <v>272</v>
      </c>
      <c r="E80" s="79">
        <f>H79/(MAX(ABS(H77),ABS(H78)))</f>
        <v>6.9139485317138725</v>
      </c>
      <c r="F80" s="71" t="str">
        <f>IF(E80&lt;H80,"≤","&gt;")</f>
        <v>&gt;</v>
      </c>
      <c r="G80" s="76" t="s">
        <v>273</v>
      </c>
      <c r="H80" s="80">
        <v>1.2</v>
      </c>
      <c r="I80" s="71" t="str">
        <f>IF(E80&gt;H80,"Ok","FAIL")</f>
        <v>Ok</v>
      </c>
    </row>
    <row r="82" spans="1:14">
      <c r="A82" s="44" t="s">
        <v>274</v>
      </c>
    </row>
    <row r="83" spans="1:14">
      <c r="B83" s="40" t="s">
        <v>275</v>
      </c>
      <c r="E83" s="51" t="s">
        <v>276</v>
      </c>
      <c r="F83" s="68">
        <f>G11-E11*Hf-F11*H20</f>
        <v>-4.3448060987606567</v>
      </c>
      <c r="G83" s="51" t="s">
        <v>277</v>
      </c>
      <c r="H83" s="68">
        <f>H11+D11*Hf+F11*F20</f>
        <v>-9.9588765638084631</v>
      </c>
    </row>
    <row r="84" spans="1:14">
      <c r="B84" s="40" t="s">
        <v>278</v>
      </c>
      <c r="E84" s="51" t="s">
        <v>279</v>
      </c>
      <c r="F84" s="81">
        <f>F11*MIN(F59+xc/2,F60+xc/2)+LX*LY*Df*ytb*LX/2</f>
        <v>40.817307757436581</v>
      </c>
      <c r="G84" s="51" t="s">
        <v>280</v>
      </c>
      <c r="H84" s="81">
        <f>F11*MIN(H59+yc/2,H60+yc/2)+LX*LY*Df*ytb*LY/2</f>
        <v>40.817307757436581</v>
      </c>
    </row>
    <row r="85" spans="1:14" ht="15.75">
      <c r="B85" s="40" t="s">
        <v>216</v>
      </c>
      <c r="E85" s="76" t="s">
        <v>281</v>
      </c>
      <c r="F85" s="82">
        <f>ABS(F84)/ABS(F83)</f>
        <v>9.3945061826992919</v>
      </c>
      <c r="G85" s="76" t="s">
        <v>282</v>
      </c>
      <c r="H85" s="82">
        <f>ABS(H84)/ABS(H83)</f>
        <v>4.098585567951579</v>
      </c>
      <c r="I85" s="71" t="str">
        <f>IF(F85&gt;F86,"Ok","FAIL")</f>
        <v>Ok</v>
      </c>
    </row>
    <row r="86" spans="1:14">
      <c r="E86" s="71" t="str">
        <f>IF(F85&lt;F86,"≤","&gt;")</f>
        <v>&gt;</v>
      </c>
      <c r="F86" s="83">
        <v>1.5</v>
      </c>
      <c r="G86" s="71" t="str">
        <f>IF(H85&lt;H86,"≤","&gt;")</f>
        <v>&gt;</v>
      </c>
      <c r="H86" s="83">
        <f>F86</f>
        <v>1.5</v>
      </c>
      <c r="I86" s="71" t="str">
        <f>IF(H85&gt;H86,"Ok","FAIL")</f>
        <v>Ok</v>
      </c>
    </row>
    <row r="87" spans="1:14">
      <c r="A87" s="44" t="s">
        <v>283</v>
      </c>
    </row>
    <row r="88" spans="1:14">
      <c r="B88" s="40" t="s">
        <v>284</v>
      </c>
      <c r="J88" s="84" t="s">
        <v>285</v>
      </c>
      <c r="K88" s="53" t="s">
        <v>251</v>
      </c>
      <c r="L88" s="53" t="s">
        <v>252</v>
      </c>
      <c r="M88" s="53" t="s">
        <v>253</v>
      </c>
      <c r="N88" s="53" t="s">
        <v>254</v>
      </c>
    </row>
    <row r="89" spans="1:14" ht="15.75">
      <c r="C89" s="149" t="s">
        <v>286</v>
      </c>
      <c r="G89" s="76" t="s">
        <v>287</v>
      </c>
      <c r="H89" s="69">
        <f>HLOOKUP(MAX($K$89:$N$89),$K$89:$N$94,5,0)</f>
        <v>57.847607895659237</v>
      </c>
      <c r="J89" s="84" t="s">
        <v>288</v>
      </c>
      <c r="K89" s="85">
        <f>(2*K91+K93)*(F60^2)/6</f>
        <v>4.1483834086558264</v>
      </c>
      <c r="L89" s="85"/>
      <c r="M89" s="85">
        <f>(2*M91+M93)*(F59^2)/6</f>
        <v>10.190774235220717</v>
      </c>
      <c r="N89" s="85"/>
    </row>
    <row r="90" spans="1:14" ht="15.75">
      <c r="C90" s="149" t="s">
        <v>289</v>
      </c>
      <c r="G90" s="76" t="s">
        <v>290</v>
      </c>
      <c r="H90" s="86">
        <f>MAX($K$89:$N$89)</f>
        <v>10.190774235220717</v>
      </c>
      <c r="J90" s="84" t="s">
        <v>291</v>
      </c>
      <c r="K90" s="85"/>
      <c r="L90" s="85">
        <f>(2*L91+L94)*(H60^2)/6</f>
        <v>10.190774235220717</v>
      </c>
      <c r="M90" s="85"/>
      <c r="N90" s="85">
        <f>(2*N91+N94)*(H59^2)/6</f>
        <v>7.5546318605114449</v>
      </c>
    </row>
    <row r="91" spans="1:14" ht="15.75">
      <c r="C91" s="149" t="s">
        <v>292</v>
      </c>
      <c r="G91" s="62" t="s">
        <v>293</v>
      </c>
      <c r="H91" s="87">
        <f>H90*10^6/(0.9*RS*ho*1000)</f>
        <v>174.20126897813191</v>
      </c>
      <c r="J91" s="84" t="s">
        <v>294</v>
      </c>
      <c r="K91" s="85">
        <f>MAX(L29,L30)</f>
        <v>29.248954123024482</v>
      </c>
      <c r="L91" s="85">
        <f>MAX(K29,L29)</f>
        <v>98.407819149472147</v>
      </c>
      <c r="M91" s="85">
        <f>MAX(K29,K30)</f>
        <v>98.407819149472147</v>
      </c>
      <c r="N91" s="85">
        <f>MAX(K30,L30)</f>
        <v>68.235554574745379</v>
      </c>
    </row>
    <row r="92" spans="1:14" ht="15.75">
      <c r="C92" s="149" t="s">
        <v>295</v>
      </c>
      <c r="D92" s="88">
        <f>VLOOKUP($B$11,MainTH!B:AP,29,0)</f>
        <v>10</v>
      </c>
      <c r="E92" s="89">
        <f>VLOOKUP($B$11,MainTH!B:AP,30,0)</f>
        <v>200</v>
      </c>
      <c r="G92" s="40" t="s">
        <v>296</v>
      </c>
      <c r="H92" s="87">
        <f>(PI()*D92^2/4)*1000/E92</f>
        <v>392.699081698724</v>
      </c>
      <c r="J92" s="84" t="s">
        <v>297</v>
      </c>
      <c r="K92" s="85">
        <f>MIN(K29,K30)</f>
        <v>68.235554574745379</v>
      </c>
      <c r="L92" s="85">
        <f>MIN(K30,L30)</f>
        <v>-0.92331045170229586</v>
      </c>
      <c r="M92" s="85">
        <f>MIN(L29,L30)</f>
        <v>-0.92331045170229586</v>
      </c>
      <c r="N92" s="85">
        <f>MIN(K29,L29)</f>
        <v>29.248954123024482</v>
      </c>
    </row>
    <row r="93" spans="1:14">
      <c r="B93" s="40" t="s">
        <v>298</v>
      </c>
      <c r="J93" s="84" t="s">
        <v>299</v>
      </c>
      <c r="K93" s="85">
        <f>K92+(K91-K92)*(F59+xc)/LX</f>
        <v>45.16848264081051</v>
      </c>
      <c r="L93" s="85"/>
      <c r="M93" s="85">
        <f>M92+(M91-M92)*(F60+xc)/LX</f>
        <v>57.847607895659237</v>
      </c>
      <c r="N93" s="85"/>
    </row>
    <row r="94" spans="1:14" ht="15.75">
      <c r="C94" s="149" t="s">
        <v>286</v>
      </c>
      <c r="G94" s="76" t="s">
        <v>300</v>
      </c>
      <c r="H94" s="69">
        <f>HLOOKUP(MAX($K$90:$N$90),$K$90:$N$94,5,0)</f>
        <v>57.847607895659237</v>
      </c>
      <c r="J94" s="84" t="s">
        <v>301</v>
      </c>
      <c r="K94" s="85"/>
      <c r="L94" s="85">
        <f>L92+(L91-L92)*(H59+yc)/LY</f>
        <v>57.847607895659237</v>
      </c>
      <c r="M94" s="85"/>
      <c r="N94" s="85">
        <f>N92+(N91-N92)*(H60+yc)/LY</f>
        <v>52.316026056959345</v>
      </c>
    </row>
    <row r="95" spans="1:14" ht="15.75">
      <c r="C95" s="149" t="s">
        <v>302</v>
      </c>
      <c r="G95" s="76" t="s">
        <v>303</v>
      </c>
      <c r="H95" s="86">
        <f>MAX($K$90:$N$90)</f>
        <v>10.190774235220717</v>
      </c>
      <c r="I95" s="76"/>
      <c r="J95" s="76"/>
    </row>
    <row r="96" spans="1:14" ht="15.75">
      <c r="C96" s="149" t="s">
        <v>304</v>
      </c>
      <c r="D96" s="76"/>
      <c r="E96" s="90"/>
      <c r="G96" s="62" t="s">
        <v>305</v>
      </c>
      <c r="H96" s="87">
        <f>H95*10^6/(0.9*RS*ho*1000)</f>
        <v>174.20126897813191</v>
      </c>
      <c r="I96" s="71" t="str">
        <f>IF(H92&gt;H91,"Ok","FAIL")</f>
        <v>Ok</v>
      </c>
      <c r="J96" s="76" t="s">
        <v>306</v>
      </c>
      <c r="K96" s="91">
        <f>H92*100/(1000*ho*1000)</f>
        <v>0.15707963267948999</v>
      </c>
      <c r="L96" s="71" t="str">
        <f>IF(H92&gt;H91,ROUND((H92-H91)*100/H92,0)&amp;"%","")</f>
        <v>56%</v>
      </c>
    </row>
    <row r="97" spans="1:17" ht="15.75">
      <c r="C97" s="149" t="s">
        <v>295</v>
      </c>
      <c r="D97" s="88">
        <f>VLOOKUP($B$11,MainTH!B:AP,35,0)</f>
        <v>10</v>
      </c>
      <c r="E97" s="89">
        <f>VLOOKUP($B$11,MainTH!B:AP,36,0)</f>
        <v>200</v>
      </c>
      <c r="H97" s="87">
        <f>(PI()*D97^2/4)*1000/E97</f>
        <v>392.699081698724</v>
      </c>
      <c r="I97" s="71" t="str">
        <f>IF(H97&gt;H96,"Ok","FAIL")</f>
        <v>Ok</v>
      </c>
      <c r="J97" s="76" t="s">
        <v>306</v>
      </c>
      <c r="K97" s="91">
        <f>H97*100/(1000*ho*1000)</f>
        <v>0.15707963267948999</v>
      </c>
      <c r="L97" s="71" t="str">
        <f>IF(H97&gt;H96,ROUND((H97-H96)*100/H97,0)&amp;"%","")</f>
        <v>56%</v>
      </c>
    </row>
    <row r="98" spans="1:17" hidden="1" outlineLevel="1"/>
    <row r="99" spans="1:17" hidden="1" outlineLevel="1">
      <c r="A99" s="44" t="s">
        <v>307</v>
      </c>
    </row>
    <row r="100" spans="1:17" ht="15.75" hidden="1" outlineLevel="1">
      <c r="A100" s="44"/>
      <c r="B100" s="40" t="s">
        <v>308</v>
      </c>
      <c r="G100" s="76" t="s">
        <v>309</v>
      </c>
      <c r="H100" s="63">
        <f>VLOOKUP($B$11,MainTH!B:AP,11,0)</f>
        <v>19.100000000000001</v>
      </c>
    </row>
    <row r="101" spans="1:17" ht="15.75" hidden="1" outlineLevel="1">
      <c r="B101" s="40" t="s">
        <v>310</v>
      </c>
      <c r="G101" s="76" t="s">
        <v>311</v>
      </c>
      <c r="H101" s="55">
        <f>MIN(LX,LY)</f>
        <v>1.2</v>
      </c>
    </row>
    <row r="102" spans="1:17" ht="15.75" hidden="1" outlineLevel="1">
      <c r="B102" s="40" t="s">
        <v>312</v>
      </c>
      <c r="G102" s="76" t="s">
        <v>313</v>
      </c>
      <c r="H102" s="82">
        <f>MAX(LX,LY)/MIN(LX,LY)</f>
        <v>1</v>
      </c>
    </row>
    <row r="103" spans="1:17" ht="15.75" hidden="1" outlineLevel="1">
      <c r="B103" s="40" t="s">
        <v>314</v>
      </c>
      <c r="G103" s="76" t="s">
        <v>315</v>
      </c>
      <c r="H103" s="55">
        <f>H101/5</f>
        <v>0.24</v>
      </c>
    </row>
    <row r="104" spans="1:17" ht="15.75" hidden="1" outlineLevel="1">
      <c r="D104" s="40" t="s">
        <v>316</v>
      </c>
      <c r="E104" s="92">
        <f>SUM(H113:H125)</f>
        <v>0.59491064116396752</v>
      </c>
      <c r="F104" s="40" t="str">
        <f>IF(E104&lt;H104,"≤","&gt;")</f>
        <v>≤</v>
      </c>
      <c r="G104" s="76" t="s">
        <v>317</v>
      </c>
      <c r="H104" s="93">
        <v>8</v>
      </c>
      <c r="I104" s="71" t="str">
        <f>IF(E104&lt;=H104,"Ok","FAIL")</f>
        <v>Ok</v>
      </c>
    </row>
    <row r="105" spans="1:17" hidden="1" outlineLevel="1"/>
    <row r="106" spans="1:17" ht="15.75" hidden="1" outlineLevel="1">
      <c r="A106" s="94" t="s">
        <v>318</v>
      </c>
      <c r="B106" s="47">
        <v>0</v>
      </c>
      <c r="C106" s="47">
        <v>25</v>
      </c>
      <c r="D106" s="47">
        <v>50</v>
      </c>
      <c r="E106" s="47">
        <v>100</v>
      </c>
      <c r="F106" s="47">
        <v>200</v>
      </c>
      <c r="G106" s="47">
        <v>400</v>
      </c>
      <c r="H106" s="47">
        <v>800</v>
      </c>
      <c r="I106" s="95" t="s">
        <v>319</v>
      </c>
      <c r="J106" s="95" t="s">
        <v>320</v>
      </c>
    </row>
    <row r="107" spans="1:17" hidden="1" outlineLevel="1">
      <c r="A107" s="96" t="s">
        <v>321</v>
      </c>
      <c r="B107" s="96">
        <f>nstt(B$106,$C$106:$G$106,$C$107:$G$107)</f>
        <v>0.83399999999999985</v>
      </c>
      <c r="C107" s="96">
        <f>nstt($C$106,$D$106:$G$106,$D107:$G107)</f>
        <v>0.8234999999999999</v>
      </c>
      <c r="D107" s="47">
        <v>0.81299999999999994</v>
      </c>
      <c r="E107" s="47">
        <v>0.79200000000000004</v>
      </c>
      <c r="F107" s="47">
        <v>0.77800000000000002</v>
      </c>
      <c r="G107" s="47">
        <v>0.76800000000000002</v>
      </c>
      <c r="H107" s="96">
        <f>nstt(H$106,$C$106:$G$106,$C107:$G107)</f>
        <v>0.748</v>
      </c>
      <c r="I107" s="96">
        <v>2</v>
      </c>
      <c r="J107" s="96">
        <v>17</v>
      </c>
      <c r="N107" s="41" t="s">
        <v>322</v>
      </c>
    </row>
    <row r="108" spans="1:17" hidden="1" outlineLevel="1">
      <c r="A108" s="96" t="s">
        <v>323</v>
      </c>
      <c r="B108" s="96">
        <f>nstt(B$106,$C$106:$G$106,$C$108:$G$108)</f>
        <v>0.83399999999999985</v>
      </c>
      <c r="C108" s="96">
        <f>nstt($C$106,$D$106:$G$106,$D108:$G108)</f>
        <v>0.8234999999999999</v>
      </c>
      <c r="D108" s="47">
        <v>0.81299999999999994</v>
      </c>
      <c r="E108" s="47">
        <v>0.79200000000000004</v>
      </c>
      <c r="F108" s="47">
        <v>0.77800000000000002</v>
      </c>
      <c r="G108" s="47">
        <v>0.76800000000000002</v>
      </c>
      <c r="H108" s="96">
        <f>nstt(H$106,$C$106:$G$106,$C108:$G108)</f>
        <v>0.748</v>
      </c>
      <c r="I108" s="96">
        <v>2</v>
      </c>
      <c r="J108" s="96">
        <v>20</v>
      </c>
      <c r="N108" s="41" t="s">
        <v>324</v>
      </c>
      <c r="O108" s="41" t="s">
        <v>325</v>
      </c>
      <c r="P108" s="41">
        <f>IF(N108="Đất tốt",5,10)</f>
        <v>10</v>
      </c>
      <c r="Q108" s="41" t="s">
        <v>326</v>
      </c>
    </row>
    <row r="109" spans="1:17" hidden="1" outlineLevel="1">
      <c r="A109" s="96" t="s">
        <v>327</v>
      </c>
      <c r="B109" s="96">
        <f>nstt(B$106,$C$106:$G$106,$C$109:$G$109)</f>
        <v>0.83399999999999985</v>
      </c>
      <c r="C109" s="96">
        <f>nstt($C$106,$D$106:$G$106,$D109:$G109)</f>
        <v>0.8234999999999999</v>
      </c>
      <c r="D109" s="47">
        <v>0.81299999999999994</v>
      </c>
      <c r="E109" s="47">
        <v>0.79200000000000004</v>
      </c>
      <c r="F109" s="47">
        <v>0.77800000000000002</v>
      </c>
      <c r="G109" s="47">
        <v>0.76800000000000002</v>
      </c>
      <c r="H109" s="96">
        <f>nstt(H$106,$C$106:$G$106,$C109:$G109)</f>
        <v>0.748</v>
      </c>
      <c r="I109" s="96">
        <v>2</v>
      </c>
      <c r="J109" s="96">
        <v>20</v>
      </c>
    </row>
    <row r="110" spans="1:17" hidden="1" outlineLevel="1"/>
    <row r="111" spans="1:17" ht="15.75" hidden="1" outlineLevel="1">
      <c r="A111" s="169" t="s">
        <v>143</v>
      </c>
      <c r="B111" s="97" t="s">
        <v>328</v>
      </c>
      <c r="C111" s="169" t="s">
        <v>329</v>
      </c>
      <c r="D111" s="169" t="s">
        <v>330</v>
      </c>
      <c r="E111" s="98" t="s">
        <v>331</v>
      </c>
      <c r="F111" s="97" t="s">
        <v>332</v>
      </c>
      <c r="G111" s="97" t="s">
        <v>333</v>
      </c>
      <c r="H111" s="99" t="s">
        <v>334</v>
      </c>
      <c r="I111" s="97" t="s">
        <v>335</v>
      </c>
      <c r="J111" s="97" t="s">
        <v>336</v>
      </c>
      <c r="K111" s="97" t="s">
        <v>337</v>
      </c>
      <c r="L111" s="97" t="s">
        <v>338</v>
      </c>
      <c r="N111" s="100" t="s">
        <v>339</v>
      </c>
    </row>
    <row r="112" spans="1:17" ht="14.25" hidden="1" outlineLevel="1">
      <c r="A112" s="169"/>
      <c r="B112" s="97" t="s">
        <v>83</v>
      </c>
      <c r="C112" s="169"/>
      <c r="D112" s="169"/>
      <c r="E112" s="98" t="s">
        <v>340</v>
      </c>
      <c r="F112" s="97" t="s">
        <v>341</v>
      </c>
      <c r="G112" s="97" t="s">
        <v>341</v>
      </c>
      <c r="H112" s="99" t="s">
        <v>342</v>
      </c>
      <c r="I112" s="97" t="s">
        <v>341</v>
      </c>
      <c r="J112" s="97" t="s">
        <v>341</v>
      </c>
      <c r="K112" s="97"/>
      <c r="L112" s="97"/>
      <c r="N112" s="100"/>
    </row>
    <row r="113" spans="1:14" hidden="1" outlineLevel="1">
      <c r="A113" s="96">
        <v>0</v>
      </c>
      <c r="B113" s="101">
        <v>0</v>
      </c>
      <c r="C113" s="101">
        <v>0</v>
      </c>
      <c r="D113" s="101">
        <v>1</v>
      </c>
      <c r="E113" s="101">
        <f t="shared" ref="E113:E128" si="0">IF(B113="","",IF(B113&lt;=$I$107,$J$107,IF(B113&lt;=$I$107+$I$108,$J$108,$J$109)))</f>
        <v>17</v>
      </c>
      <c r="F113" s="102">
        <f>H39-G113</f>
        <v>25.658988440389656</v>
      </c>
      <c r="G113" s="102">
        <f>$H$100*Df</f>
        <v>19.100000000000001</v>
      </c>
      <c r="H113" s="102">
        <f t="shared" ref="H113:H127" si="1">IF(OR(K113="",L113=""),"",(K113-L113)/(1+K113)*(B114-B113)*100)</f>
        <v>0.13887831197705899</v>
      </c>
      <c r="I113" s="101">
        <f t="shared" ref="I113:I127" si="2">IF(ISNUMBER(G114),0.5*SUM(G113:G114),"")</f>
        <v>21.14</v>
      </c>
      <c r="J113" s="101">
        <f t="shared" ref="J113:J127" si="3">IF(ISNUMBER(I113),I113+0.5*SUM(F113:F114),"")</f>
        <v>46.285808671581862</v>
      </c>
      <c r="K113" s="101">
        <f t="shared" ref="K113:K128" si="4">IF(I113="","",IF(B113&lt;=$I$107,nstt(I113,$B$106:$H$106,$B$107:$H$107),IF(B113&lt;=$I$107+$I$108,nstt(I113,$B$106:$H$106,$B$108:$H$108),nstt(I113,$B$106:$H$106,$B$109:$H$109))))</f>
        <v>0.82512119999999989</v>
      </c>
      <c r="L113" s="101">
        <f t="shared" ref="L113:L128" si="5">IF(J113="","",IF(B113&lt;=$I$107,nstt(J113,$B$106:$H$106,$B$107:$H$107),IF(B113&lt;=$I$107+$I$108,nstt(J113,$B$106:$H$106,$B$108:$H$108),nstt(J113,$B$106:$H$106,$B$109:$H$109))))</f>
        <v>0.81455996035793554</v>
      </c>
      <c r="N113" s="54" t="str">
        <f t="shared" ref="N113:N128" si="6">IFERROR(IF(G113&gt;=$P$108*F113,"Dừng lún","Còn lún"),"")</f>
        <v>Còn lún</v>
      </c>
    </row>
    <row r="114" spans="1:14" hidden="1" outlineLevel="1">
      <c r="A114" s="96">
        <f t="shared" ref="A114:A128" si="7">IF(ISNUMBER(B114),A113+1,"")</f>
        <v>1</v>
      </c>
      <c r="B114" s="101">
        <f t="shared" ref="B114:B128" si="8">IFERROR(IF(G113&gt;=$P$108*F113,"",IF(AND(B113&lt;$I$107,$I$107-B113&lt;$H$103),$I$107,IF(AND(B113&lt;$I$107+$I$108,$I$107+$I$108-B113&lt;$H$103),$I$107+$I$108,B113+$H$103))),"")</f>
        <v>0.24</v>
      </c>
      <c r="C114" s="101">
        <f>IF(B114="","",B114*2/Bqu)</f>
        <v>0.4</v>
      </c>
      <c r="D114" s="101">
        <f>IF(B114="","",nsm(C114,$H$102,Ko!$A$3:$L$31))</f>
        <v>0.96</v>
      </c>
      <c r="E114" s="101">
        <f t="shared" si="0"/>
        <v>17</v>
      </c>
      <c r="F114" s="101">
        <f t="shared" ref="F114:F128" si="9">IF(ISNUMBER(D114),D114*$F$113,"")</f>
        <v>24.632628902774069</v>
      </c>
      <c r="G114" s="101">
        <f t="shared" ref="G114:G128" si="10">IF(ISNUMBER(D114),G113+(B114-B113)*E114,"")</f>
        <v>23.18</v>
      </c>
      <c r="H114" s="102">
        <f t="shared" si="1"/>
        <v>0.1248242527132337</v>
      </c>
      <c r="I114" s="101">
        <f t="shared" si="2"/>
        <v>25.22</v>
      </c>
      <c r="J114" s="101">
        <f t="shared" si="3"/>
        <v>47.799909827542898</v>
      </c>
      <c r="K114" s="101">
        <f t="shared" si="4"/>
        <v>0.82340759999999991</v>
      </c>
      <c r="L114" s="101">
        <f t="shared" si="5"/>
        <v>0.81392403787243195</v>
      </c>
      <c r="N114" s="54" t="str">
        <f t="shared" si="6"/>
        <v>Còn lún</v>
      </c>
    </row>
    <row r="115" spans="1:14" hidden="1" outlineLevel="1">
      <c r="A115" s="96">
        <f t="shared" si="7"/>
        <v>2</v>
      </c>
      <c r="B115" s="101">
        <f t="shared" si="8"/>
        <v>0.48</v>
      </c>
      <c r="C115" s="101">
        <f>IF(B115="","",B115*2/Bqu)</f>
        <v>0.8</v>
      </c>
      <c r="D115" s="101">
        <f>IF(B115="","",nsm(C115,$H$102,Ko!$A$3:$L$31))</f>
        <v>0.8</v>
      </c>
      <c r="E115" s="101">
        <f t="shared" si="0"/>
        <v>17</v>
      </c>
      <c r="F115" s="101">
        <f t="shared" si="9"/>
        <v>20.527190752311725</v>
      </c>
      <c r="G115" s="101">
        <f t="shared" si="10"/>
        <v>27.259999999999998</v>
      </c>
      <c r="H115" s="102">
        <f t="shared" si="1"/>
        <v>9.9811357036816428E-2</v>
      </c>
      <c r="I115" s="101">
        <f t="shared" si="2"/>
        <v>29.299999999999997</v>
      </c>
      <c r="J115" s="101">
        <f t="shared" si="3"/>
        <v>47.338268873593925</v>
      </c>
      <c r="K115" s="101">
        <f t="shared" si="4"/>
        <v>0.82169399999999992</v>
      </c>
      <c r="L115" s="101">
        <f t="shared" si="5"/>
        <v>0.8141179270730905</v>
      </c>
      <c r="N115" s="54" t="str">
        <f t="shared" si="6"/>
        <v>Còn lún</v>
      </c>
    </row>
    <row r="116" spans="1:14" hidden="1" outlineLevel="1">
      <c r="A116" s="96">
        <f t="shared" si="7"/>
        <v>3</v>
      </c>
      <c r="B116" s="101">
        <f t="shared" si="8"/>
        <v>0.72</v>
      </c>
      <c r="C116" s="101">
        <f t="shared" ref="C116:C128" si="11">IF(B116="","",B116*2/Bqu)</f>
        <v>1.2</v>
      </c>
      <c r="D116" s="101">
        <f>IF(B116="","",nsm(C116,$H$102,Ko!$A$3:$L$31))</f>
        <v>0.60599999999999998</v>
      </c>
      <c r="E116" s="101">
        <f t="shared" si="0"/>
        <v>17</v>
      </c>
      <c r="F116" s="101">
        <f t="shared" si="9"/>
        <v>15.549346994876132</v>
      </c>
      <c r="G116" s="101">
        <f t="shared" si="10"/>
        <v>31.339999999999996</v>
      </c>
      <c r="H116" s="102">
        <f t="shared" si="1"/>
        <v>7.4964528923080337E-2</v>
      </c>
      <c r="I116" s="101">
        <f t="shared" si="2"/>
        <v>33.379999999999995</v>
      </c>
      <c r="J116" s="101">
        <f t="shared" si="3"/>
        <v>46.915116402305543</v>
      </c>
      <c r="K116" s="101">
        <f t="shared" si="4"/>
        <v>0.81998039999999994</v>
      </c>
      <c r="L116" s="101">
        <f t="shared" si="5"/>
        <v>0.81429565111103164</v>
      </c>
      <c r="N116" s="54" t="str">
        <f t="shared" si="6"/>
        <v>Còn lún</v>
      </c>
    </row>
    <row r="117" spans="1:14" hidden="1" outlineLevel="1">
      <c r="A117" s="96">
        <f t="shared" si="7"/>
        <v>4</v>
      </c>
      <c r="B117" s="101">
        <f t="shared" si="8"/>
        <v>0.96</v>
      </c>
      <c r="C117" s="101">
        <f t="shared" si="11"/>
        <v>1.6</v>
      </c>
      <c r="D117" s="101">
        <f>IF(B117="","",nsm(C117,$H$102,Ko!$A$3:$L$31))</f>
        <v>0.44900000000000007</v>
      </c>
      <c r="E117" s="101">
        <f t="shared" si="0"/>
        <v>17</v>
      </c>
      <c r="F117" s="101">
        <f t="shared" si="9"/>
        <v>11.520885809734958</v>
      </c>
      <c r="G117" s="101">
        <f t="shared" si="10"/>
        <v>35.419999999999995</v>
      </c>
      <c r="H117" s="102">
        <f t="shared" si="1"/>
        <v>5.583186244480684E-2</v>
      </c>
      <c r="I117" s="101">
        <f t="shared" si="2"/>
        <v>37.459999999999994</v>
      </c>
      <c r="J117" s="101">
        <f t="shared" si="3"/>
        <v>47.531152962852936</v>
      </c>
      <c r="K117" s="101">
        <f t="shared" si="4"/>
        <v>0.81826679999999996</v>
      </c>
      <c r="L117" s="101">
        <f t="shared" si="5"/>
        <v>0.81403691575560166</v>
      </c>
      <c r="N117" s="54" t="str">
        <f t="shared" si="6"/>
        <v>Còn lún</v>
      </c>
    </row>
    <row r="118" spans="1:14" hidden="1" outlineLevel="1">
      <c r="A118" s="96">
        <f t="shared" si="7"/>
        <v>5</v>
      </c>
      <c r="B118" s="101">
        <f t="shared" si="8"/>
        <v>1.2</v>
      </c>
      <c r="C118" s="101">
        <f t="shared" si="11"/>
        <v>2</v>
      </c>
      <c r="D118" s="101">
        <f>IF(B118="","",nsm(C118,$H$102,Ko!$A$3:$L$31))</f>
        <v>0.33600000000000008</v>
      </c>
      <c r="E118" s="101">
        <f t="shared" si="0"/>
        <v>17</v>
      </c>
      <c r="F118" s="101">
        <f t="shared" si="9"/>
        <v>8.6214201159709258</v>
      </c>
      <c r="G118" s="101">
        <f t="shared" si="10"/>
        <v>39.499999999999993</v>
      </c>
      <c r="H118" s="102">
        <f t="shared" si="1"/>
        <v>4.221595708375759E-2</v>
      </c>
      <c r="I118" s="101">
        <f t="shared" si="2"/>
        <v>41.539999999999992</v>
      </c>
      <c r="J118" s="101">
        <f t="shared" si="3"/>
        <v>49.147890072575528</v>
      </c>
      <c r="K118" s="101">
        <f t="shared" si="4"/>
        <v>0.81655319999999998</v>
      </c>
      <c r="L118" s="101">
        <f t="shared" si="5"/>
        <v>0.81335788616951821</v>
      </c>
      <c r="N118" s="54" t="str">
        <f t="shared" si="6"/>
        <v>Còn lún</v>
      </c>
    </row>
    <row r="119" spans="1:14" hidden="1" outlineLevel="1">
      <c r="A119" s="96">
        <f t="shared" si="7"/>
        <v>6</v>
      </c>
      <c r="B119" s="101">
        <f t="shared" si="8"/>
        <v>1.44</v>
      </c>
      <c r="C119" s="101">
        <f t="shared" si="11"/>
        <v>2.4</v>
      </c>
      <c r="D119" s="101">
        <f>IF(B119="","",nsm(C119,$H$102,Ko!$A$3:$L$31))</f>
        <v>0.25700000000000012</v>
      </c>
      <c r="E119" s="101">
        <f t="shared" si="0"/>
        <v>17</v>
      </c>
      <c r="F119" s="101">
        <f t="shared" si="9"/>
        <v>6.5943600291801445</v>
      </c>
      <c r="G119" s="101">
        <f t="shared" si="10"/>
        <v>43.579999999999991</v>
      </c>
      <c r="H119" s="102">
        <f t="shared" si="1"/>
        <v>3.2636028107784154E-2</v>
      </c>
      <c r="I119" s="101">
        <f t="shared" si="2"/>
        <v>45.61999999999999</v>
      </c>
      <c r="J119" s="101">
        <f t="shared" si="3"/>
        <v>51.495908352849227</v>
      </c>
      <c r="K119" s="101">
        <f t="shared" si="4"/>
        <v>0.81483959999999989</v>
      </c>
      <c r="L119" s="101">
        <f t="shared" si="5"/>
        <v>0.81237171849180323</v>
      </c>
      <c r="N119" s="54" t="str">
        <f t="shared" si="6"/>
        <v>Còn lún</v>
      </c>
    </row>
    <row r="120" spans="1:14" hidden="1" outlineLevel="1">
      <c r="A120" s="96">
        <f t="shared" si="7"/>
        <v>7</v>
      </c>
      <c r="B120" s="101">
        <f t="shared" si="8"/>
        <v>1.68</v>
      </c>
      <c r="C120" s="101">
        <f t="shared" si="11"/>
        <v>2.8</v>
      </c>
      <c r="D120" s="101">
        <f>IF(B120="","",nsm(C120,$H$102,Ko!$A$3:$L$31))</f>
        <v>0.20100000000000007</v>
      </c>
      <c r="E120" s="101">
        <f t="shared" si="0"/>
        <v>17</v>
      </c>
      <c r="F120" s="101">
        <f t="shared" si="9"/>
        <v>5.157456676518323</v>
      </c>
      <c r="G120" s="101">
        <f t="shared" si="10"/>
        <v>47.659999999999989</v>
      </c>
      <c r="H120" s="102">
        <f t="shared" si="1"/>
        <v>2.5748342877429473E-2</v>
      </c>
      <c r="I120" s="101">
        <f t="shared" si="2"/>
        <v>49.699999999999989</v>
      </c>
      <c r="J120" s="101">
        <f t="shared" si="3"/>
        <v>54.331447413490324</v>
      </c>
      <c r="K120" s="101">
        <f t="shared" si="4"/>
        <v>0.8131259999999999</v>
      </c>
      <c r="L120" s="101">
        <f t="shared" si="5"/>
        <v>0.81118079208633398</v>
      </c>
      <c r="N120" s="54" t="str">
        <f t="shared" si="6"/>
        <v>Còn lún</v>
      </c>
    </row>
    <row r="121" spans="1:14" hidden="1" outlineLevel="1">
      <c r="A121" s="96">
        <f t="shared" si="7"/>
        <v>8</v>
      </c>
      <c r="B121" s="101">
        <f t="shared" si="8"/>
        <v>1.92</v>
      </c>
      <c r="C121" s="101">
        <f t="shared" si="11"/>
        <v>3.2</v>
      </c>
      <c r="D121" s="101">
        <f>IF(B121="","",nsm(C121,$H$102,Ko!$A$3:$L$31))</f>
        <v>0.16000000000000014</v>
      </c>
      <c r="E121" s="101">
        <f t="shared" si="0"/>
        <v>17</v>
      </c>
      <c r="F121" s="101">
        <f t="shared" si="9"/>
        <v>4.1054381504623487</v>
      </c>
      <c r="G121" s="101">
        <f t="shared" si="10"/>
        <v>51.739999999999988</v>
      </c>
      <c r="H121" s="102" t="str">
        <f t="shared" si="1"/>
        <v/>
      </c>
      <c r="I121" s="101" t="str">
        <f t="shared" si="2"/>
        <v/>
      </c>
      <c r="J121" s="101" t="str">
        <f t="shared" si="3"/>
        <v/>
      </c>
      <c r="K121" s="101" t="str">
        <f t="shared" si="4"/>
        <v/>
      </c>
      <c r="L121" s="101" t="str">
        <f t="shared" si="5"/>
        <v/>
      </c>
      <c r="N121" s="54" t="str">
        <f t="shared" si="6"/>
        <v>Dừng lún</v>
      </c>
    </row>
    <row r="122" spans="1:14" hidden="1" outlineLevel="1">
      <c r="A122" s="96" t="str">
        <f t="shared" si="7"/>
        <v/>
      </c>
      <c r="B122" s="101" t="str">
        <f t="shared" si="8"/>
        <v/>
      </c>
      <c r="C122" s="101" t="str">
        <f t="shared" si="11"/>
        <v/>
      </c>
      <c r="D122" s="101" t="str">
        <f>IF(B122="","",nsm(C122,$H$102,Ko!$A$3:$L$31))</f>
        <v/>
      </c>
      <c r="E122" s="101" t="str">
        <f t="shared" si="0"/>
        <v/>
      </c>
      <c r="F122" s="101" t="str">
        <f t="shared" si="9"/>
        <v/>
      </c>
      <c r="G122" s="101" t="str">
        <f t="shared" si="10"/>
        <v/>
      </c>
      <c r="H122" s="102" t="str">
        <f t="shared" si="1"/>
        <v/>
      </c>
      <c r="I122" s="101" t="str">
        <f t="shared" si="2"/>
        <v/>
      </c>
      <c r="J122" s="101" t="str">
        <f t="shared" si="3"/>
        <v/>
      </c>
      <c r="K122" s="101" t="str">
        <f t="shared" si="4"/>
        <v/>
      </c>
      <c r="L122" s="101" t="str">
        <f t="shared" si="5"/>
        <v/>
      </c>
      <c r="N122" s="54" t="str">
        <f t="shared" si="6"/>
        <v/>
      </c>
    </row>
    <row r="123" spans="1:14" hidden="1" outlineLevel="1">
      <c r="A123" s="96" t="str">
        <f t="shared" si="7"/>
        <v/>
      </c>
      <c r="B123" s="101" t="str">
        <f t="shared" si="8"/>
        <v/>
      </c>
      <c r="C123" s="101" t="str">
        <f t="shared" si="11"/>
        <v/>
      </c>
      <c r="D123" s="101" t="str">
        <f>IF(B123="","",nsm(C123,$H$102,Ko!$A$3:$L$31))</f>
        <v/>
      </c>
      <c r="E123" s="101" t="str">
        <f t="shared" si="0"/>
        <v/>
      </c>
      <c r="F123" s="101" t="str">
        <f t="shared" si="9"/>
        <v/>
      </c>
      <c r="G123" s="101" t="str">
        <f t="shared" si="10"/>
        <v/>
      </c>
      <c r="H123" s="102" t="str">
        <f t="shared" si="1"/>
        <v/>
      </c>
      <c r="I123" s="101" t="str">
        <f t="shared" si="2"/>
        <v/>
      </c>
      <c r="J123" s="101" t="str">
        <f t="shared" si="3"/>
        <v/>
      </c>
      <c r="K123" s="101" t="str">
        <f t="shared" si="4"/>
        <v/>
      </c>
      <c r="L123" s="101" t="str">
        <f t="shared" si="5"/>
        <v/>
      </c>
      <c r="N123" s="54" t="str">
        <f t="shared" si="6"/>
        <v/>
      </c>
    </row>
    <row r="124" spans="1:14" hidden="1" outlineLevel="1">
      <c r="A124" s="96" t="str">
        <f t="shared" si="7"/>
        <v/>
      </c>
      <c r="B124" s="101" t="str">
        <f t="shared" si="8"/>
        <v/>
      </c>
      <c r="C124" s="101" t="str">
        <f t="shared" si="11"/>
        <v/>
      </c>
      <c r="D124" s="101" t="str">
        <f>IF(B124="","",nsm(C124,$H$102,Ko!$A$3:$L$31))</f>
        <v/>
      </c>
      <c r="E124" s="101" t="str">
        <f t="shared" si="0"/>
        <v/>
      </c>
      <c r="F124" s="101" t="str">
        <f t="shared" si="9"/>
        <v/>
      </c>
      <c r="G124" s="101" t="str">
        <f t="shared" si="10"/>
        <v/>
      </c>
      <c r="H124" s="102" t="str">
        <f t="shared" si="1"/>
        <v/>
      </c>
      <c r="I124" s="101" t="str">
        <f t="shared" si="2"/>
        <v/>
      </c>
      <c r="J124" s="101" t="str">
        <f t="shared" si="3"/>
        <v/>
      </c>
      <c r="K124" s="101" t="str">
        <f t="shared" si="4"/>
        <v/>
      </c>
      <c r="L124" s="101" t="str">
        <f t="shared" si="5"/>
        <v/>
      </c>
      <c r="N124" s="54" t="str">
        <f t="shared" si="6"/>
        <v/>
      </c>
    </row>
    <row r="125" spans="1:14" hidden="1" outlineLevel="1">
      <c r="A125" s="96" t="str">
        <f t="shared" si="7"/>
        <v/>
      </c>
      <c r="B125" s="101" t="str">
        <f t="shared" si="8"/>
        <v/>
      </c>
      <c r="C125" s="101" t="str">
        <f t="shared" si="11"/>
        <v/>
      </c>
      <c r="D125" s="101" t="str">
        <f>IF(B125="","",nsm(C125,$H$102,Ko!$A$3:$L$31))</f>
        <v/>
      </c>
      <c r="E125" s="101" t="str">
        <f t="shared" si="0"/>
        <v/>
      </c>
      <c r="F125" s="101" t="str">
        <f t="shared" si="9"/>
        <v/>
      </c>
      <c r="G125" s="101" t="str">
        <f t="shared" si="10"/>
        <v/>
      </c>
      <c r="H125" s="102" t="str">
        <f t="shared" si="1"/>
        <v/>
      </c>
      <c r="I125" s="101" t="str">
        <f t="shared" si="2"/>
        <v/>
      </c>
      <c r="J125" s="101" t="str">
        <f t="shared" si="3"/>
        <v/>
      </c>
      <c r="K125" s="101" t="str">
        <f t="shared" si="4"/>
        <v/>
      </c>
      <c r="L125" s="101" t="str">
        <f t="shared" si="5"/>
        <v/>
      </c>
      <c r="N125" s="54" t="str">
        <f t="shared" si="6"/>
        <v/>
      </c>
    </row>
    <row r="126" spans="1:14" hidden="1" outlineLevel="1">
      <c r="A126" s="96" t="str">
        <f t="shared" si="7"/>
        <v/>
      </c>
      <c r="B126" s="101" t="str">
        <f t="shared" si="8"/>
        <v/>
      </c>
      <c r="C126" s="101" t="str">
        <f t="shared" si="11"/>
        <v/>
      </c>
      <c r="D126" s="101" t="str">
        <f>IF(B126="","",nsm(C126,$H$102,Ko!$A$3:$L$31))</f>
        <v/>
      </c>
      <c r="E126" s="101" t="str">
        <f t="shared" si="0"/>
        <v/>
      </c>
      <c r="F126" s="101" t="str">
        <f t="shared" si="9"/>
        <v/>
      </c>
      <c r="G126" s="101" t="str">
        <f t="shared" si="10"/>
        <v/>
      </c>
      <c r="H126" s="102" t="str">
        <f t="shared" si="1"/>
        <v/>
      </c>
      <c r="I126" s="101" t="str">
        <f t="shared" si="2"/>
        <v/>
      </c>
      <c r="J126" s="101" t="str">
        <f t="shared" si="3"/>
        <v/>
      </c>
      <c r="K126" s="101" t="str">
        <f t="shared" si="4"/>
        <v/>
      </c>
      <c r="L126" s="101" t="str">
        <f t="shared" si="5"/>
        <v/>
      </c>
      <c r="N126" s="54" t="str">
        <f t="shared" si="6"/>
        <v/>
      </c>
    </row>
    <row r="127" spans="1:14" hidden="1" outlineLevel="1">
      <c r="A127" s="96" t="str">
        <f t="shared" si="7"/>
        <v/>
      </c>
      <c r="B127" s="101" t="str">
        <f t="shared" si="8"/>
        <v/>
      </c>
      <c r="C127" s="101" t="str">
        <f t="shared" si="11"/>
        <v/>
      </c>
      <c r="D127" s="101" t="str">
        <f>IF(B127="","",nsm(C127,$H$102,Ko!$A$3:$L$31))</f>
        <v/>
      </c>
      <c r="E127" s="101" t="str">
        <f t="shared" si="0"/>
        <v/>
      </c>
      <c r="F127" s="101" t="str">
        <f t="shared" si="9"/>
        <v/>
      </c>
      <c r="G127" s="101" t="str">
        <f t="shared" si="10"/>
        <v/>
      </c>
      <c r="H127" s="102" t="str">
        <f t="shared" si="1"/>
        <v/>
      </c>
      <c r="I127" s="101" t="str">
        <f t="shared" si="2"/>
        <v/>
      </c>
      <c r="J127" s="101" t="str">
        <f t="shared" si="3"/>
        <v/>
      </c>
      <c r="K127" s="101" t="str">
        <f t="shared" si="4"/>
        <v/>
      </c>
      <c r="L127" s="101" t="str">
        <f t="shared" si="5"/>
        <v/>
      </c>
      <c r="N127" s="54" t="str">
        <f t="shared" si="6"/>
        <v/>
      </c>
    </row>
    <row r="128" spans="1:14" hidden="1" outlineLevel="1">
      <c r="A128" s="96" t="str">
        <f t="shared" si="7"/>
        <v/>
      </c>
      <c r="B128" s="101" t="str">
        <f t="shared" si="8"/>
        <v/>
      </c>
      <c r="C128" s="101" t="str">
        <f t="shared" si="11"/>
        <v/>
      </c>
      <c r="D128" s="101" t="str">
        <f>IF(B128="","",nsm(C128,$H$102,Ko!$A$3:$L$31))</f>
        <v/>
      </c>
      <c r="E128" s="101" t="str">
        <f t="shared" si="0"/>
        <v/>
      </c>
      <c r="F128" s="101" t="str">
        <f t="shared" si="9"/>
        <v/>
      </c>
      <c r="G128" s="101" t="str">
        <f t="shared" si="10"/>
        <v/>
      </c>
      <c r="H128" s="102" t="str">
        <f>IF(OR(K128="",L128=""),"",(K128-L128)/(1+K128)*(C129-B128)*100)</f>
        <v/>
      </c>
      <c r="I128" s="101" t="str">
        <f>IF(ISNUMBER(H129),0.5*SUM(H129:H129),"")</f>
        <v/>
      </c>
      <c r="J128" s="101" t="str">
        <f>IF(ISNUMBER(I128),I128+0.5*SUM(G129:G129),"")</f>
        <v/>
      </c>
      <c r="K128" s="101" t="str">
        <f t="shared" si="4"/>
        <v/>
      </c>
      <c r="L128" s="101" t="str">
        <f t="shared" si="5"/>
        <v/>
      </c>
      <c r="N128" s="54" t="str">
        <f t="shared" si="6"/>
        <v/>
      </c>
    </row>
    <row r="129" spans="1:19" hidden="1" outlineLevel="1">
      <c r="F129" s="40" t="str">
        <f>IF(C129="","",IF(C129&lt;=$I$107,$J$107,IF(C129&lt;=$I$107+$I$108,$J$108,$J$109)))</f>
        <v/>
      </c>
    </row>
    <row r="130" spans="1:19" hidden="1" outlineLevel="1">
      <c r="A130" s="44" t="s">
        <v>343</v>
      </c>
    </row>
    <row r="131" spans="1:19" ht="15.75" hidden="1" outlineLevel="1">
      <c r="B131" s="40" t="s">
        <v>310</v>
      </c>
      <c r="G131" s="76" t="s">
        <v>311</v>
      </c>
      <c r="H131" s="55">
        <f>MIN(LX,LY)</f>
        <v>1.2</v>
      </c>
      <c r="N131" s="54" t="s">
        <v>344</v>
      </c>
      <c r="O131" s="54" t="s">
        <v>345</v>
      </c>
      <c r="P131" s="54" t="s">
        <v>346</v>
      </c>
      <c r="Q131" s="54" t="s">
        <v>347</v>
      </c>
      <c r="R131" s="54" t="s">
        <v>348</v>
      </c>
      <c r="S131" s="54"/>
    </row>
    <row r="132" spans="1:19" ht="15.75" hidden="1" outlineLevel="1">
      <c r="B132" s="40" t="s">
        <v>312</v>
      </c>
      <c r="G132" s="76" t="s">
        <v>313</v>
      </c>
      <c r="H132" s="103">
        <f>MAX(LX,LY)/MIN(LX,LY)</f>
        <v>1</v>
      </c>
      <c r="N132" s="54">
        <v>1</v>
      </c>
      <c r="O132" s="54">
        <v>1.8</v>
      </c>
      <c r="P132" s="54">
        <v>17</v>
      </c>
      <c r="Q132" s="54">
        <v>11600</v>
      </c>
      <c r="R132" s="54">
        <f>IF(MIN($Q$132:$Q$134)&gt;=5000,0.2,0.1)</f>
        <v>0.2</v>
      </c>
      <c r="S132" s="54" t="s">
        <v>349</v>
      </c>
    </row>
    <row r="133" spans="1:19" ht="15.75" hidden="1" outlineLevel="1">
      <c r="B133" s="40" t="s">
        <v>314</v>
      </c>
      <c r="G133" s="76" t="s">
        <v>315</v>
      </c>
      <c r="H133" s="55">
        <f>H131/5</f>
        <v>0.24</v>
      </c>
      <c r="N133" s="54">
        <v>2</v>
      </c>
      <c r="O133" s="54">
        <v>5</v>
      </c>
      <c r="P133" s="54">
        <v>20</v>
      </c>
      <c r="Q133" s="54">
        <v>11600</v>
      </c>
      <c r="R133" s="54"/>
      <c r="S133" s="54"/>
    </row>
    <row r="134" spans="1:19" ht="15.75" hidden="1" outlineLevel="1">
      <c r="D134" s="40" t="s">
        <v>316</v>
      </c>
      <c r="E134" s="92">
        <f>SUM(H139:H153)</f>
        <v>0.16051555334143897</v>
      </c>
      <c r="F134" s="40" t="str">
        <f>IF(E134&lt;H134,"≤","&gt;")</f>
        <v>≤</v>
      </c>
      <c r="G134" s="76" t="s">
        <v>317</v>
      </c>
      <c r="H134" s="93">
        <v>8</v>
      </c>
      <c r="I134" s="71" t="str">
        <f>IF(E134&lt;=H134,"Ok","FAIL")</f>
        <v>Ok</v>
      </c>
      <c r="N134" s="54">
        <v>3</v>
      </c>
      <c r="O134" s="54">
        <v>2</v>
      </c>
      <c r="P134" s="54">
        <v>10</v>
      </c>
      <c r="Q134" s="54">
        <v>11600</v>
      </c>
      <c r="R134" s="54"/>
      <c r="S134" s="54"/>
    </row>
    <row r="135" spans="1:19" hidden="1" outlineLevel="1"/>
    <row r="136" spans="1:19" hidden="1" outlineLevel="1"/>
    <row r="137" spans="1:19" ht="15.75" hidden="1" outlineLevel="1">
      <c r="A137" s="170" t="s">
        <v>143</v>
      </c>
      <c r="B137" s="104" t="s">
        <v>328</v>
      </c>
      <c r="C137" s="170" t="s">
        <v>329</v>
      </c>
      <c r="D137" s="170" t="s">
        <v>330</v>
      </c>
      <c r="E137" s="105" t="s">
        <v>331</v>
      </c>
      <c r="F137" s="104" t="s">
        <v>332</v>
      </c>
      <c r="G137" s="104" t="s">
        <v>333</v>
      </c>
      <c r="H137" s="106" t="s">
        <v>334</v>
      </c>
      <c r="I137" s="104" t="s">
        <v>81</v>
      </c>
      <c r="J137" s="104" t="str">
        <f>R132&amp;"σbt"</f>
        <v>0.2σbt</v>
      </c>
      <c r="L137" s="54" t="s">
        <v>339</v>
      </c>
    </row>
    <row r="138" spans="1:19" ht="14.25" hidden="1" outlineLevel="1">
      <c r="A138" s="170"/>
      <c r="B138" s="104" t="s">
        <v>83</v>
      </c>
      <c r="C138" s="170"/>
      <c r="D138" s="170"/>
      <c r="E138" s="105" t="s">
        <v>340</v>
      </c>
      <c r="F138" s="104" t="s">
        <v>341</v>
      </c>
      <c r="G138" s="104" t="s">
        <v>341</v>
      </c>
      <c r="H138" s="106" t="s">
        <v>342</v>
      </c>
      <c r="I138" s="104" t="s">
        <v>341</v>
      </c>
      <c r="J138" s="104" t="s">
        <v>341</v>
      </c>
      <c r="L138" s="54"/>
    </row>
    <row r="139" spans="1:19" hidden="1" outlineLevel="1">
      <c r="A139" s="96">
        <v>0</v>
      </c>
      <c r="B139" s="101">
        <v>0</v>
      </c>
      <c r="C139" s="101">
        <v>0</v>
      </c>
      <c r="D139" s="101">
        <v>1</v>
      </c>
      <c r="E139" s="101">
        <f t="shared" ref="E139:E152" si="12">IF(B139="","",IF(B139&lt;=$O$132,$P$132,IF(B139&lt;=$O$132+$O$133,$P$133,$P$134)))</f>
        <v>17</v>
      </c>
      <c r="F139" s="101">
        <f>H39-G139</f>
        <v>25.658988440389656</v>
      </c>
      <c r="G139" s="101">
        <f>$H$100*Df</f>
        <v>19.100000000000001</v>
      </c>
      <c r="H139" s="101">
        <f t="shared" ref="H139:H152" si="13">IF(OR(F139&lt;J139,B140=""),"",0.8/I139*((F139+F140)/2)*(B140-B139)*100)</f>
        <v>4.1620648835721696E-2</v>
      </c>
      <c r="I139" s="101">
        <f t="shared" ref="I139:I153" si="14">IF(B139="","",IF(B139&lt;=$O$132,$Q$132,IF(B139&lt;=$O$132+$O$133,$Q$133,$Q$134)))</f>
        <v>11600</v>
      </c>
      <c r="J139" s="101">
        <f t="shared" ref="J139:J153" si="15">IF(G139="","",$R$132*G139)</f>
        <v>3.82</v>
      </c>
      <c r="L139" s="54" t="str">
        <f t="shared" ref="L139:L153" si="16">IF(F139="","",IF(F139&lt;J139,"Dừng lún","Còn lún"))</f>
        <v>Còn lún</v>
      </c>
    </row>
    <row r="140" spans="1:19" hidden="1" outlineLevel="1">
      <c r="A140" s="96">
        <f t="shared" ref="A140:A153" si="17">IF(ISNUMBER(B140),A139+1,"")</f>
        <v>1</v>
      </c>
      <c r="B140" s="101">
        <f t="shared" ref="B140:B153" si="18">IF(F139&lt;=J139,"",IF(AND(B139&lt;$O$132,$O$132-B139&lt;$H$133),$O$132,IF(AND(B139&lt;$O$132+$O$133,$O$132+$O$133-B139&lt;$H$133),$O$132+$O$133,B139+$H$133)))</f>
        <v>0.24</v>
      </c>
      <c r="C140" s="101">
        <f t="shared" ref="C140:C152" si="19">IF(B140="","",B140*2/$H$131)</f>
        <v>0.4</v>
      </c>
      <c r="D140" s="101">
        <f>IF(B140="","",nsm(C140,$H$132,Ko!$A$3:$L$31))</f>
        <v>0.96</v>
      </c>
      <c r="E140" s="101">
        <f t="shared" si="12"/>
        <v>17</v>
      </c>
      <c r="F140" s="101">
        <f t="shared" ref="F140:F153" si="20">IF(ISNUMBER(D140),D140*$F$139,"")</f>
        <v>24.632628902774069</v>
      </c>
      <c r="G140" s="101">
        <f t="shared" ref="G140:G153" si="21">IF(ISNUMBER(D140),G139+(B140-B139)*E140,"")</f>
        <v>23.18</v>
      </c>
      <c r="H140" s="101">
        <f t="shared" si="13"/>
        <v>3.7373643852484796E-2</v>
      </c>
      <c r="I140" s="101">
        <f t="shared" si="14"/>
        <v>11600</v>
      </c>
      <c r="J140" s="101">
        <f t="shared" si="15"/>
        <v>4.6360000000000001</v>
      </c>
      <c r="L140" s="54" t="str">
        <f t="shared" si="16"/>
        <v>Còn lún</v>
      </c>
    </row>
    <row r="141" spans="1:19" hidden="1" outlineLevel="1">
      <c r="A141" s="96">
        <f t="shared" si="17"/>
        <v>2</v>
      </c>
      <c r="B141" s="101">
        <f t="shared" si="18"/>
        <v>0.48</v>
      </c>
      <c r="C141" s="101">
        <f t="shared" si="19"/>
        <v>0.8</v>
      </c>
      <c r="D141" s="101">
        <f>IF(B141="","",nsm(C141,$H$132,Ko!$A$3:$L$31))</f>
        <v>0.8</v>
      </c>
      <c r="E141" s="101">
        <f t="shared" si="12"/>
        <v>17</v>
      </c>
      <c r="F141" s="101">
        <f t="shared" si="20"/>
        <v>20.527190752311725</v>
      </c>
      <c r="G141" s="101">
        <f t="shared" si="21"/>
        <v>27.259999999999998</v>
      </c>
      <c r="H141" s="101">
        <f t="shared" si="13"/>
        <v>2.9856445032155465E-2</v>
      </c>
      <c r="I141" s="101">
        <f t="shared" si="14"/>
        <v>11600</v>
      </c>
      <c r="J141" s="101">
        <f t="shared" si="15"/>
        <v>5.452</v>
      </c>
      <c r="L141" s="54" t="str">
        <f t="shared" si="16"/>
        <v>Còn lún</v>
      </c>
    </row>
    <row r="142" spans="1:19" hidden="1" outlineLevel="1">
      <c r="A142" s="96">
        <f t="shared" si="17"/>
        <v>3</v>
      </c>
      <c r="B142" s="101">
        <f t="shared" si="18"/>
        <v>0.72</v>
      </c>
      <c r="C142" s="101">
        <f t="shared" si="19"/>
        <v>1.2</v>
      </c>
      <c r="D142" s="101">
        <f>IF(B142="","",nsm(C142,$H$132,Ko!$A$3:$L$31))</f>
        <v>0.60599999999999998</v>
      </c>
      <c r="E142" s="101">
        <f t="shared" si="12"/>
        <v>17</v>
      </c>
      <c r="F142" s="101">
        <f t="shared" si="20"/>
        <v>15.549346994876132</v>
      </c>
      <c r="G142" s="101">
        <f t="shared" si="21"/>
        <v>31.339999999999996</v>
      </c>
      <c r="H142" s="101">
        <f t="shared" si="13"/>
        <v>2.2402951286574692E-2</v>
      </c>
      <c r="I142" s="101">
        <f t="shared" si="14"/>
        <v>11600</v>
      </c>
      <c r="J142" s="101">
        <f t="shared" si="15"/>
        <v>6.2679999999999998</v>
      </c>
      <c r="L142" s="54" t="str">
        <f t="shared" si="16"/>
        <v>Còn lún</v>
      </c>
    </row>
    <row r="143" spans="1:19" hidden="1" outlineLevel="1">
      <c r="A143" s="96">
        <f t="shared" si="17"/>
        <v>4</v>
      </c>
      <c r="B143" s="101">
        <f t="shared" si="18"/>
        <v>0.96</v>
      </c>
      <c r="C143" s="101">
        <f t="shared" si="19"/>
        <v>1.6</v>
      </c>
      <c r="D143" s="101">
        <f>IF(B143="","",nsm(C143,$H$132,Ko!$A$3:$L$31))</f>
        <v>0.44900000000000007</v>
      </c>
      <c r="E143" s="101">
        <f t="shared" si="12"/>
        <v>17</v>
      </c>
      <c r="F143" s="101">
        <f t="shared" si="20"/>
        <v>11.520885809734958</v>
      </c>
      <c r="G143" s="101">
        <f t="shared" si="21"/>
        <v>35.419999999999995</v>
      </c>
      <c r="H143" s="101">
        <f t="shared" si="13"/>
        <v>1.666949455920487E-2</v>
      </c>
      <c r="I143" s="101">
        <f t="shared" si="14"/>
        <v>11600</v>
      </c>
      <c r="J143" s="101">
        <f t="shared" si="15"/>
        <v>7.0839999999999996</v>
      </c>
      <c r="L143" s="54" t="str">
        <f t="shared" si="16"/>
        <v>Còn lún</v>
      </c>
    </row>
    <row r="144" spans="1:19" hidden="1" outlineLevel="1">
      <c r="A144" s="96">
        <f t="shared" si="17"/>
        <v>5</v>
      </c>
      <c r="B144" s="101">
        <f t="shared" si="18"/>
        <v>1.2</v>
      </c>
      <c r="C144" s="101">
        <f t="shared" si="19"/>
        <v>2</v>
      </c>
      <c r="D144" s="101">
        <f>IF(B144="","",nsm(C144,$H$132,Ko!$A$3:$L$31))</f>
        <v>0.33600000000000008</v>
      </c>
      <c r="E144" s="101">
        <f t="shared" si="12"/>
        <v>17</v>
      </c>
      <c r="F144" s="101">
        <f t="shared" si="20"/>
        <v>8.6214201159709258</v>
      </c>
      <c r="G144" s="101">
        <f t="shared" si="21"/>
        <v>39.499999999999993</v>
      </c>
      <c r="H144" s="101">
        <f t="shared" si="13"/>
        <v>1.2592369775297438E-2</v>
      </c>
      <c r="I144" s="101">
        <f t="shared" si="14"/>
        <v>11600</v>
      </c>
      <c r="J144" s="101">
        <f t="shared" si="15"/>
        <v>7.8999999999999986</v>
      </c>
      <c r="L144" s="54" t="str">
        <f t="shared" si="16"/>
        <v>Còn lún</v>
      </c>
    </row>
    <row r="145" spans="1:12" hidden="1" outlineLevel="1">
      <c r="A145" s="96">
        <f t="shared" si="17"/>
        <v>6</v>
      </c>
      <c r="B145" s="101">
        <f t="shared" si="18"/>
        <v>1.44</v>
      </c>
      <c r="C145" s="101">
        <f t="shared" si="19"/>
        <v>2.4</v>
      </c>
      <c r="D145" s="101">
        <f>IF(B145="","",nsm(C145,$H$132,Ko!$A$3:$L$31))</f>
        <v>0.25700000000000012</v>
      </c>
      <c r="E145" s="101">
        <f t="shared" si="12"/>
        <v>17</v>
      </c>
      <c r="F145" s="101">
        <f t="shared" si="20"/>
        <v>6.5943600291801445</v>
      </c>
      <c r="G145" s="101">
        <f t="shared" si="21"/>
        <v>43.579999999999991</v>
      </c>
      <c r="H145" s="101" t="str">
        <f t="shared" si="13"/>
        <v/>
      </c>
      <c r="I145" s="101">
        <f t="shared" si="14"/>
        <v>11600</v>
      </c>
      <c r="J145" s="101">
        <f t="shared" si="15"/>
        <v>8.7159999999999993</v>
      </c>
      <c r="L145" s="54" t="str">
        <f t="shared" si="16"/>
        <v>Dừng lún</v>
      </c>
    </row>
    <row r="146" spans="1:12" hidden="1" outlineLevel="1">
      <c r="A146" s="96" t="str">
        <f t="shared" si="17"/>
        <v/>
      </c>
      <c r="B146" s="101" t="str">
        <f t="shared" si="18"/>
        <v/>
      </c>
      <c r="C146" s="101" t="str">
        <f t="shared" si="19"/>
        <v/>
      </c>
      <c r="D146" s="101" t="str">
        <f>IF(B146="","",nsm(C146,$H$132,Ko!$A$3:$L$31))</f>
        <v/>
      </c>
      <c r="E146" s="101" t="str">
        <f t="shared" si="12"/>
        <v/>
      </c>
      <c r="F146" s="101" t="str">
        <f t="shared" si="20"/>
        <v/>
      </c>
      <c r="G146" s="101" t="str">
        <f t="shared" si="21"/>
        <v/>
      </c>
      <c r="H146" s="101" t="str">
        <f t="shared" si="13"/>
        <v/>
      </c>
      <c r="I146" s="101" t="str">
        <f t="shared" si="14"/>
        <v/>
      </c>
      <c r="J146" s="101" t="str">
        <f t="shared" si="15"/>
        <v/>
      </c>
      <c r="L146" s="54" t="str">
        <f t="shared" si="16"/>
        <v/>
      </c>
    </row>
    <row r="147" spans="1:12" hidden="1" outlineLevel="1">
      <c r="A147" s="96" t="str">
        <f t="shared" si="17"/>
        <v/>
      </c>
      <c r="B147" s="101" t="str">
        <f t="shared" si="18"/>
        <v/>
      </c>
      <c r="C147" s="101" t="str">
        <f t="shared" si="19"/>
        <v/>
      </c>
      <c r="D147" s="101" t="str">
        <f>IF(B147="","",nsm(C147,$H$132,Ko!$A$3:$L$31))</f>
        <v/>
      </c>
      <c r="E147" s="101" t="str">
        <f t="shared" si="12"/>
        <v/>
      </c>
      <c r="F147" s="101" t="str">
        <f t="shared" si="20"/>
        <v/>
      </c>
      <c r="G147" s="101" t="str">
        <f t="shared" si="21"/>
        <v/>
      </c>
      <c r="H147" s="101" t="str">
        <f t="shared" si="13"/>
        <v/>
      </c>
      <c r="I147" s="101" t="str">
        <f t="shared" si="14"/>
        <v/>
      </c>
      <c r="J147" s="101" t="str">
        <f t="shared" si="15"/>
        <v/>
      </c>
      <c r="L147" s="54" t="str">
        <f t="shared" si="16"/>
        <v/>
      </c>
    </row>
    <row r="148" spans="1:12" hidden="1" outlineLevel="1">
      <c r="A148" s="96" t="str">
        <f t="shared" si="17"/>
        <v/>
      </c>
      <c r="B148" s="101" t="str">
        <f t="shared" si="18"/>
        <v/>
      </c>
      <c r="C148" s="101" t="str">
        <f t="shared" si="19"/>
        <v/>
      </c>
      <c r="D148" s="101" t="str">
        <f>IF(B148="","",nsm(C148,$H$132,Ko!$A$3:$L$31))</f>
        <v/>
      </c>
      <c r="E148" s="101" t="str">
        <f t="shared" si="12"/>
        <v/>
      </c>
      <c r="F148" s="101" t="str">
        <f t="shared" si="20"/>
        <v/>
      </c>
      <c r="G148" s="101" t="str">
        <f t="shared" si="21"/>
        <v/>
      </c>
      <c r="H148" s="101" t="str">
        <f t="shared" si="13"/>
        <v/>
      </c>
      <c r="I148" s="101" t="str">
        <f t="shared" si="14"/>
        <v/>
      </c>
      <c r="J148" s="101" t="str">
        <f t="shared" si="15"/>
        <v/>
      </c>
      <c r="L148" s="54" t="str">
        <f t="shared" si="16"/>
        <v/>
      </c>
    </row>
    <row r="149" spans="1:12" hidden="1" outlineLevel="1">
      <c r="A149" s="96" t="str">
        <f t="shared" si="17"/>
        <v/>
      </c>
      <c r="B149" s="101" t="str">
        <f t="shared" si="18"/>
        <v/>
      </c>
      <c r="C149" s="101" t="str">
        <f t="shared" si="19"/>
        <v/>
      </c>
      <c r="D149" s="101" t="str">
        <f>IF(B149="","",nsm(C149,$H$132,Ko!$A$3:$L$31))</f>
        <v/>
      </c>
      <c r="E149" s="101" t="str">
        <f t="shared" si="12"/>
        <v/>
      </c>
      <c r="F149" s="101" t="str">
        <f t="shared" si="20"/>
        <v/>
      </c>
      <c r="G149" s="101" t="str">
        <f t="shared" si="21"/>
        <v/>
      </c>
      <c r="H149" s="101" t="str">
        <f t="shared" si="13"/>
        <v/>
      </c>
      <c r="I149" s="101" t="str">
        <f t="shared" si="14"/>
        <v/>
      </c>
      <c r="J149" s="101" t="str">
        <f t="shared" si="15"/>
        <v/>
      </c>
      <c r="L149" s="54" t="str">
        <f t="shared" si="16"/>
        <v/>
      </c>
    </row>
    <row r="150" spans="1:12" hidden="1" outlineLevel="1">
      <c r="A150" s="96" t="str">
        <f t="shared" si="17"/>
        <v/>
      </c>
      <c r="B150" s="101" t="str">
        <f t="shared" si="18"/>
        <v/>
      </c>
      <c r="C150" s="101" t="str">
        <f t="shared" si="19"/>
        <v/>
      </c>
      <c r="D150" s="101" t="str">
        <f>IF(B150="","",nsm(C150,$H$132,Ko!$A$3:$L$31))</f>
        <v/>
      </c>
      <c r="E150" s="101" t="str">
        <f t="shared" si="12"/>
        <v/>
      </c>
      <c r="F150" s="101" t="str">
        <f t="shared" si="20"/>
        <v/>
      </c>
      <c r="G150" s="101" t="str">
        <f t="shared" si="21"/>
        <v/>
      </c>
      <c r="H150" s="101" t="str">
        <f t="shared" si="13"/>
        <v/>
      </c>
      <c r="I150" s="101" t="str">
        <f t="shared" si="14"/>
        <v/>
      </c>
      <c r="J150" s="101" t="str">
        <f t="shared" si="15"/>
        <v/>
      </c>
      <c r="L150" s="54" t="str">
        <f t="shared" si="16"/>
        <v/>
      </c>
    </row>
    <row r="151" spans="1:12" hidden="1" outlineLevel="1">
      <c r="A151" s="96" t="str">
        <f t="shared" si="17"/>
        <v/>
      </c>
      <c r="B151" s="101" t="str">
        <f t="shared" si="18"/>
        <v/>
      </c>
      <c r="C151" s="101" t="str">
        <f t="shared" si="19"/>
        <v/>
      </c>
      <c r="D151" s="101" t="str">
        <f>IF(B151="","",nsm(C151,$H$132,Ko!$A$3:$L$31))</f>
        <v/>
      </c>
      <c r="E151" s="101" t="str">
        <f t="shared" si="12"/>
        <v/>
      </c>
      <c r="F151" s="101" t="str">
        <f t="shared" si="20"/>
        <v/>
      </c>
      <c r="G151" s="101" t="str">
        <f t="shared" si="21"/>
        <v/>
      </c>
      <c r="H151" s="101" t="str">
        <f t="shared" si="13"/>
        <v/>
      </c>
      <c r="I151" s="101" t="str">
        <f t="shared" si="14"/>
        <v/>
      </c>
      <c r="J151" s="101" t="str">
        <f t="shared" si="15"/>
        <v/>
      </c>
      <c r="L151" s="54" t="str">
        <f t="shared" si="16"/>
        <v/>
      </c>
    </row>
    <row r="152" spans="1:12" hidden="1" outlineLevel="1">
      <c r="A152" s="96" t="str">
        <f t="shared" si="17"/>
        <v/>
      </c>
      <c r="B152" s="101" t="str">
        <f t="shared" si="18"/>
        <v/>
      </c>
      <c r="C152" s="101" t="str">
        <f t="shared" si="19"/>
        <v/>
      </c>
      <c r="D152" s="101" t="str">
        <f>IF(B152="","",nsm(C152,$H$132,Ko!$A$3:$L$31))</f>
        <v/>
      </c>
      <c r="E152" s="101" t="str">
        <f t="shared" si="12"/>
        <v/>
      </c>
      <c r="F152" s="101" t="str">
        <f t="shared" si="20"/>
        <v/>
      </c>
      <c r="G152" s="101" t="str">
        <f t="shared" si="21"/>
        <v/>
      </c>
      <c r="H152" s="101" t="str">
        <f t="shared" si="13"/>
        <v/>
      </c>
      <c r="I152" s="101" t="str">
        <f t="shared" si="14"/>
        <v/>
      </c>
      <c r="J152" s="101" t="str">
        <f t="shared" si="15"/>
        <v/>
      </c>
      <c r="L152" s="54" t="str">
        <f t="shared" si="16"/>
        <v/>
      </c>
    </row>
    <row r="153" spans="1:12" hidden="1" outlineLevel="1">
      <c r="A153" s="40" t="str">
        <f t="shared" si="17"/>
        <v/>
      </c>
      <c r="B153" s="40" t="str">
        <f t="shared" si="18"/>
        <v/>
      </c>
      <c r="C153" s="40" t="str">
        <f t="shared" ref="C153" si="22">IF(B153="","",B153*2/$H$131)</f>
        <v/>
      </c>
      <c r="D153" s="40" t="str">
        <f>IF(B153="","",nsm(C153,$H$132,Ko!$A$3:$L$31))</f>
        <v/>
      </c>
      <c r="E153" s="40" t="str">
        <f t="shared" ref="E153" si="23">IF(B153="","",IF(B153&lt;=$O$132,$P$132,IF(B153&lt;=$O$132+$O$133,$P$133,$P$134)))</f>
        <v/>
      </c>
      <c r="F153" s="40" t="str">
        <f t="shared" si="20"/>
        <v/>
      </c>
      <c r="G153" s="40" t="str">
        <f t="shared" si="21"/>
        <v/>
      </c>
      <c r="H153" s="40" t="str">
        <f>IF(OR(F153&lt;J153,C154=""),"",0.8/I153*((F153+G154)/2)*(C154-B153)*100)</f>
        <v/>
      </c>
      <c r="I153" s="40" t="str">
        <f t="shared" si="14"/>
        <v/>
      </c>
      <c r="J153" s="40" t="str">
        <f t="shared" si="15"/>
        <v/>
      </c>
      <c r="L153" s="41" t="str">
        <f t="shared" si="16"/>
        <v/>
      </c>
    </row>
    <row r="154" spans="1:12" collapsed="1"/>
  </sheetData>
  <mergeCells count="29">
    <mergeCell ref="N22:O22"/>
    <mergeCell ref="A111:A112"/>
    <mergeCell ref="A137:A138"/>
    <mergeCell ref="B9:B10"/>
    <mergeCell ref="B13:B14"/>
    <mergeCell ref="C9:C10"/>
    <mergeCell ref="C13:C14"/>
    <mergeCell ref="C111:C112"/>
    <mergeCell ref="C137:C138"/>
    <mergeCell ref="D111:D112"/>
    <mergeCell ref="D137:D138"/>
    <mergeCell ref="D9:H9"/>
    <mergeCell ref="D13:H13"/>
    <mergeCell ref="J18:K18"/>
    <mergeCell ref="L18:M18"/>
    <mergeCell ref="N18:O18"/>
    <mergeCell ref="A4:C4"/>
    <mergeCell ref="D4:E4"/>
    <mergeCell ref="F4:G4"/>
    <mergeCell ref="A5:C5"/>
    <mergeCell ref="D5:E5"/>
    <mergeCell ref="F5:G5"/>
    <mergeCell ref="A1:H1"/>
    <mergeCell ref="A2:C2"/>
    <mergeCell ref="D2:E2"/>
    <mergeCell ref="F2:G2"/>
    <mergeCell ref="A3:C3"/>
    <mergeCell ref="D3:E3"/>
    <mergeCell ref="F3:G3"/>
  </mergeCells>
  <conditionalFormatting sqref="D43">
    <cfRule type="cellIs" dxfId="14" priority="9" operator="greaterThan">
      <formula>$H$43</formula>
    </cfRule>
    <cfRule type="cellIs" dxfId="13" priority="10" operator="greaterThan">
      <formula>$H$43</formula>
    </cfRule>
  </conditionalFormatting>
  <conditionalFormatting sqref="D44">
    <cfRule type="cellIs" dxfId="12" priority="8" operator="greaterThan">
      <formula>$H$44</formula>
    </cfRule>
  </conditionalFormatting>
  <conditionalFormatting sqref="D45">
    <cfRule type="cellIs" dxfId="11" priority="7" operator="lessThan">
      <formula>$H$45</formula>
    </cfRule>
  </conditionalFormatting>
  <conditionalFormatting sqref="H65">
    <cfRule type="cellIs" dxfId="10" priority="6" operator="greaterThan">
      <formula>$H$66</formula>
    </cfRule>
  </conditionalFormatting>
  <conditionalFormatting sqref="H71">
    <cfRule type="cellIs" dxfId="9" priority="5" operator="greaterThan">
      <formula>$H$72</formula>
    </cfRule>
  </conditionalFormatting>
  <conditionalFormatting sqref="E80">
    <cfRule type="cellIs" dxfId="8" priority="4" operator="lessThan">
      <formula>$H$80</formula>
    </cfRule>
  </conditionalFormatting>
  <conditionalFormatting sqref="F85">
    <cfRule type="cellIs" dxfId="7" priority="3" operator="lessThan">
      <formula>$F$86</formula>
    </cfRule>
  </conditionalFormatting>
  <conditionalFormatting sqref="H85">
    <cfRule type="cellIs" dxfId="6" priority="2" operator="lessThan">
      <formula>$H$86</formula>
    </cfRule>
  </conditionalFormatting>
  <conditionalFormatting sqref="I1:I105 I110:I15109 H106:H109">
    <cfRule type="cellIs" dxfId="5" priority="1" operator="equal">
      <formula>"FAIL"</formula>
    </cfRule>
  </conditionalFormatting>
  <pageMargins left="0.7" right="0.7" top="0.75" bottom="0.75" header="0.3" footer="0.3"/>
  <pageSetup fitToHeight="0" orientation="portrait" r:id="rId1"/>
  <colBreaks count="1" manualBreakCount="1">
    <brk id="13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Data!$B$4:$M$4</xm:f>
          </x14:formula1>
          <xm:sqref>D27</xm:sqref>
        </x14:dataValidation>
        <x14:dataValidation type="list" allowBlank="1" showInputMessage="1" showErrorMessage="1">
          <x14:formula1>
            <xm:f>Data!$B$13:$I$13</xm:f>
          </x14:formula1>
          <xm:sqref>D28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AQ28"/>
  <sheetViews>
    <sheetView tabSelected="1" workbookViewId="0">
      <selection activeCell="P29" sqref="P29"/>
    </sheetView>
  </sheetViews>
  <sheetFormatPr defaultColWidth="9.140625" defaultRowHeight="15"/>
  <cols>
    <col min="1" max="1" width="6" style="2" customWidth="1"/>
    <col min="2" max="2" width="5.7109375" style="19" customWidth="1"/>
    <col min="3" max="4" width="4" style="3" customWidth="1"/>
    <col min="5" max="6" width="5" style="3" customWidth="1"/>
    <col min="7" max="8" width="6.28515625" style="3" customWidth="1"/>
    <col min="9" max="9" width="4" style="3" customWidth="1"/>
    <col min="10" max="10" width="5" style="3" customWidth="1"/>
    <col min="11" max="11" width="3.5703125" style="3" customWidth="1"/>
    <col min="12" max="12" width="6.28515625" style="3" customWidth="1"/>
    <col min="13" max="13" width="4" style="3" customWidth="1"/>
    <col min="14" max="14" width="6.5703125" style="3" customWidth="1"/>
    <col min="15" max="15" width="6.28515625" style="3" customWidth="1"/>
    <col min="16" max="16" width="5" style="3" customWidth="1"/>
    <col min="17" max="17" width="6.5703125" style="3" customWidth="1"/>
    <col min="18" max="18" width="5.85546875" style="3" customWidth="1"/>
    <col min="19" max="20" width="4.85546875" style="19" customWidth="1"/>
    <col min="21" max="21" width="9.140625" style="3" hidden="1" customWidth="1"/>
    <col min="22" max="22" width="8.42578125" style="3" customWidth="1"/>
    <col min="23" max="23" width="4.85546875" style="19" customWidth="1"/>
    <col min="24" max="24" width="9" style="20" customWidth="1"/>
    <col min="25" max="25" width="9.28515625" style="20" customWidth="1"/>
    <col min="26" max="26" width="7" style="20" customWidth="1"/>
    <col min="27" max="27" width="7.7109375" style="20" customWidth="1"/>
    <col min="28" max="29" width="6.5703125" style="2" customWidth="1"/>
    <col min="30" max="30" width="3" style="3" customWidth="1"/>
    <col min="31" max="31" width="4" style="3" customWidth="1"/>
    <col min="32" max="32" width="7" style="2" customWidth="1"/>
    <col min="33" max="33" width="4.5703125" style="2" customWidth="1"/>
    <col min="34" max="34" width="5.5703125" style="2" customWidth="1"/>
    <col min="35" max="35" width="6.5703125" style="2" customWidth="1"/>
    <col min="36" max="36" width="3" style="3" customWidth="1"/>
    <col min="37" max="37" width="4" style="3" customWidth="1"/>
    <col min="38" max="38" width="7" style="2" customWidth="1"/>
    <col min="39" max="39" width="4.5703125" style="2" customWidth="1"/>
    <col min="40" max="40" width="6" style="2" customWidth="1"/>
    <col min="41" max="41" width="5.5703125" style="2" customWidth="1"/>
    <col min="42" max="42" width="4.5703125" style="21" customWidth="1"/>
    <col min="43" max="43" width="9.140625" style="2"/>
    <col min="44" max="16384" width="9.140625" style="6"/>
  </cols>
  <sheetData>
    <row r="1" spans="1:43" ht="35.25" customHeight="1">
      <c r="A1" s="173" t="s">
        <v>350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5"/>
      <c r="AN1" s="176" t="s">
        <v>351</v>
      </c>
      <c r="AO1" s="177"/>
      <c r="AP1" s="177"/>
      <c r="AQ1" s="177"/>
    </row>
    <row r="2" spans="1:43" ht="15.75">
      <c r="A2" s="183" t="s">
        <v>352</v>
      </c>
      <c r="B2" s="22" t="s">
        <v>353</v>
      </c>
      <c r="C2" s="23" t="s">
        <v>354</v>
      </c>
      <c r="D2" s="23" t="s">
        <v>355</v>
      </c>
      <c r="E2" s="24" t="s">
        <v>356</v>
      </c>
      <c r="F2" s="24" t="s">
        <v>357</v>
      </c>
      <c r="G2" s="178" t="s">
        <v>358</v>
      </c>
      <c r="H2" s="178"/>
      <c r="I2" s="24" t="s">
        <v>359</v>
      </c>
      <c r="J2" s="24" t="s">
        <v>360</v>
      </c>
      <c r="K2" s="24" t="s">
        <v>361</v>
      </c>
      <c r="L2" s="24" t="s">
        <v>362</v>
      </c>
      <c r="M2" s="24" t="s">
        <v>363</v>
      </c>
      <c r="N2" s="24" t="s">
        <v>364</v>
      </c>
      <c r="O2" s="24" t="s">
        <v>365</v>
      </c>
      <c r="P2" s="25" t="s">
        <v>366</v>
      </c>
      <c r="Q2" s="25" t="s">
        <v>367</v>
      </c>
      <c r="R2" s="183" t="s">
        <v>368</v>
      </c>
      <c r="S2" s="26" t="s">
        <v>369</v>
      </c>
      <c r="T2" s="26" t="s">
        <v>370</v>
      </c>
      <c r="U2" s="184"/>
      <c r="V2" s="183" t="s">
        <v>371</v>
      </c>
      <c r="W2" s="26" t="s">
        <v>372</v>
      </c>
      <c r="X2" s="186" t="s">
        <v>373</v>
      </c>
      <c r="Y2" s="186" t="s">
        <v>374</v>
      </c>
      <c r="Z2" s="186" t="s">
        <v>375</v>
      </c>
      <c r="AA2" s="186" t="s">
        <v>376</v>
      </c>
      <c r="AB2" s="26" t="s">
        <v>377</v>
      </c>
      <c r="AC2" s="22" t="s">
        <v>378</v>
      </c>
      <c r="AD2" s="179" t="s">
        <v>72</v>
      </c>
      <c r="AE2" s="179"/>
      <c r="AF2" s="22" t="s">
        <v>379</v>
      </c>
      <c r="AG2" s="187" t="s">
        <v>74</v>
      </c>
      <c r="AH2" s="26" t="s">
        <v>377</v>
      </c>
      <c r="AI2" s="22" t="s">
        <v>378</v>
      </c>
      <c r="AJ2" s="179" t="s">
        <v>72</v>
      </c>
      <c r="AK2" s="179"/>
      <c r="AL2" s="22" t="s">
        <v>379</v>
      </c>
      <c r="AM2" s="187" t="s">
        <v>74</v>
      </c>
      <c r="AN2" s="180" t="s">
        <v>380</v>
      </c>
      <c r="AO2" s="181"/>
      <c r="AP2" s="181"/>
      <c r="AQ2" s="182"/>
    </row>
    <row r="3" spans="1:43">
      <c r="A3" s="178"/>
      <c r="B3" s="22" t="s">
        <v>82</v>
      </c>
      <c r="C3" s="23" t="s">
        <v>83</v>
      </c>
      <c r="D3" s="23" t="s">
        <v>83</v>
      </c>
      <c r="E3" s="24" t="s">
        <v>83</v>
      </c>
      <c r="F3" s="24" t="s">
        <v>83</v>
      </c>
      <c r="G3" s="24" t="s">
        <v>381</v>
      </c>
      <c r="H3" s="24" t="s">
        <v>382</v>
      </c>
      <c r="I3" s="24" t="s">
        <v>83</v>
      </c>
      <c r="J3" s="24" t="s">
        <v>83</v>
      </c>
      <c r="K3" s="24" t="s">
        <v>83</v>
      </c>
      <c r="L3" s="24" t="s">
        <v>383</v>
      </c>
      <c r="M3" s="24" t="s">
        <v>83</v>
      </c>
      <c r="N3" s="24" t="s">
        <v>384</v>
      </c>
      <c r="O3" s="24" t="s">
        <v>385</v>
      </c>
      <c r="P3" s="24" t="s">
        <v>85</v>
      </c>
      <c r="Q3" s="24" t="s">
        <v>384</v>
      </c>
      <c r="R3" s="178"/>
      <c r="S3" s="22" t="s">
        <v>386</v>
      </c>
      <c r="T3" s="22" t="s">
        <v>386</v>
      </c>
      <c r="U3" s="185"/>
      <c r="V3" s="178"/>
      <c r="W3" s="22" t="s">
        <v>386</v>
      </c>
      <c r="X3" s="186"/>
      <c r="Y3" s="186"/>
      <c r="Z3" s="186"/>
      <c r="AA3" s="186"/>
      <c r="AB3" s="26" t="s">
        <v>387</v>
      </c>
      <c r="AC3" s="22" t="s">
        <v>388</v>
      </c>
      <c r="AD3" s="23" t="s">
        <v>389</v>
      </c>
      <c r="AE3" s="23" t="s">
        <v>360</v>
      </c>
      <c r="AF3" s="22" t="s">
        <v>390</v>
      </c>
      <c r="AG3" s="187"/>
      <c r="AH3" s="26" t="s">
        <v>387</v>
      </c>
      <c r="AI3" s="22" t="s">
        <v>388</v>
      </c>
      <c r="AJ3" s="23" t="s">
        <v>389</v>
      </c>
      <c r="AK3" s="23" t="s">
        <v>360</v>
      </c>
      <c r="AL3" s="22" t="s">
        <v>390</v>
      </c>
      <c r="AM3" s="187"/>
      <c r="AN3" s="22" t="s">
        <v>34</v>
      </c>
      <c r="AO3" s="22" t="s">
        <v>35</v>
      </c>
      <c r="AP3" s="27" t="s">
        <v>391</v>
      </c>
      <c r="AQ3" s="27" t="s">
        <v>392</v>
      </c>
    </row>
    <row r="4" spans="1:43">
      <c r="A4" s="28"/>
      <c r="B4" s="29">
        <v>1</v>
      </c>
      <c r="C4" s="30">
        <v>1.2</v>
      </c>
      <c r="D4" s="30">
        <v>1.2</v>
      </c>
      <c r="E4" s="31">
        <f>VLOOKUP(B4,POINT!$B:$H,6,TRUE)</f>
        <v>0.22</v>
      </c>
      <c r="F4" s="31">
        <f>VLOOKUP(B4,POINT!$B:$H,7,TRUE)</f>
        <v>0.22</v>
      </c>
      <c r="G4" s="31">
        <v>-0.5</v>
      </c>
      <c r="H4" s="31">
        <v>-0.5</v>
      </c>
      <c r="I4" s="31">
        <v>0.3</v>
      </c>
      <c r="J4" s="31">
        <f>0.05</f>
        <v>0.05</v>
      </c>
      <c r="K4" s="32">
        <f t="shared" ref="K4:K27" si="0">1</f>
        <v>1</v>
      </c>
      <c r="L4" s="31">
        <f>Rtc!$C$31</f>
        <v>19.100000000000001</v>
      </c>
      <c r="M4" s="31">
        <f t="shared" ref="M4:M27" si="1">0</f>
        <v>0</v>
      </c>
      <c r="N4" s="31">
        <f>1.5</f>
        <v>1.5</v>
      </c>
      <c r="O4" s="31">
        <f>ROUNDDOWN(Rtc!$C$45,0)</f>
        <v>139</v>
      </c>
      <c r="P4" s="31">
        <f>Rtc!$C$35</f>
        <v>12.1</v>
      </c>
      <c r="Q4" s="31">
        <f>Rtc!$C$33</f>
        <v>19.5</v>
      </c>
      <c r="R4" s="31" t="str">
        <f>"B22.5"</f>
        <v>B22.5</v>
      </c>
      <c r="S4" s="29">
        <f>HLOOKUP(R4,Data!$B$4:$M$9,2,0)</f>
        <v>13</v>
      </c>
      <c r="T4" s="29">
        <f>HLOOKUP(R4,Data!$B$4:$M$9,3,0)</f>
        <v>1</v>
      </c>
      <c r="U4" s="31"/>
      <c r="V4" s="31" t="str">
        <f>"CB300-V"</f>
        <v>CB300-V</v>
      </c>
      <c r="W4" s="29">
        <f>HLOOKUP(V4,Data!$B$13:$I$18,3,0)</f>
        <v>260</v>
      </c>
      <c r="X4" s="33" t="b">
        <v>1</v>
      </c>
      <c r="Y4" s="33" t="b">
        <v>1</v>
      </c>
      <c r="Z4" s="33" t="s">
        <v>14</v>
      </c>
      <c r="AA4" s="33" t="s">
        <v>26</v>
      </c>
      <c r="AB4" s="34">
        <v>20.725514172595599</v>
      </c>
      <c r="AC4" s="34">
        <v>354.282293548643</v>
      </c>
      <c r="AD4" s="28">
        <v>10</v>
      </c>
      <c r="AE4" s="28">
        <v>200</v>
      </c>
      <c r="AF4" s="34">
        <f>((1000/AE4)*PI()*AD4^2/4)/1</f>
        <v>392.699081698724</v>
      </c>
      <c r="AG4" s="34">
        <f>IFERROR(AF4/AC4,0)</f>
        <v>1.10843552965993</v>
      </c>
      <c r="AH4" s="34">
        <v>20.725514172595599</v>
      </c>
      <c r="AI4" s="34">
        <v>354.282293548643</v>
      </c>
      <c r="AJ4" s="28">
        <v>10</v>
      </c>
      <c r="AK4" s="28">
        <v>200</v>
      </c>
      <c r="AL4" s="34">
        <f>((1000/AK4)*PI()*AJ4^2/4)/1</f>
        <v>392.699081698724</v>
      </c>
      <c r="AM4" s="34">
        <f>IFERROR(AL4/AI4,0)</f>
        <v>1.10843552965993</v>
      </c>
      <c r="AN4" s="33">
        <f>VLOOKUP(B4,POINT!B:E,3,0)</f>
        <v>18.27</v>
      </c>
      <c r="AO4" s="33">
        <f>VLOOKUP(B4,POINT!B:E,4,0)</f>
        <v>0</v>
      </c>
      <c r="AP4" s="35">
        <f>VLOOKUP(B4,POINT!B:I,8,0)</f>
        <v>0</v>
      </c>
    </row>
    <row r="5" spans="1:43">
      <c r="A5" s="28"/>
      <c r="B5" s="33">
        <v>3</v>
      </c>
      <c r="C5" s="30">
        <v>1.2</v>
      </c>
      <c r="D5" s="30">
        <v>1.2</v>
      </c>
      <c r="E5" s="31">
        <f>VLOOKUP(B5,POINT!$B:$H,6,TRUE)</f>
        <v>0.22</v>
      </c>
      <c r="F5" s="31">
        <f>VLOOKUP(B5,POINT!$B:$H,7,TRUE)</f>
        <v>0.22</v>
      </c>
      <c r="G5" s="31">
        <v>-0.5</v>
      </c>
      <c r="H5" s="31">
        <v>-0.5</v>
      </c>
      <c r="I5" s="31">
        <v>0.3</v>
      </c>
      <c r="J5" s="31">
        <f t="shared" ref="J5:J27" si="2">0.05</f>
        <v>0.05</v>
      </c>
      <c r="K5" s="32">
        <f t="shared" si="0"/>
        <v>1</v>
      </c>
      <c r="L5" s="31">
        <f>Rtc!$C$31</f>
        <v>19.100000000000001</v>
      </c>
      <c r="M5" s="31">
        <f t="shared" si="1"/>
        <v>0</v>
      </c>
      <c r="N5" s="31">
        <f t="shared" ref="N5:N27" si="3">1.5</f>
        <v>1.5</v>
      </c>
      <c r="O5" s="31">
        <f>ROUNDDOWN(Rtc!$C$45,0)</f>
        <v>139</v>
      </c>
      <c r="P5" s="31">
        <f>Rtc!$C$35</f>
        <v>12.1</v>
      </c>
      <c r="Q5" s="31">
        <f>Rtc!$C$33</f>
        <v>19.5</v>
      </c>
      <c r="R5" s="31" t="str">
        <f t="shared" ref="R5:R27" si="4">"B22.5"</f>
        <v>B22.5</v>
      </c>
      <c r="S5" s="29">
        <f>HLOOKUP(R5,Data!$B$4:$M$9,2,0)</f>
        <v>13</v>
      </c>
      <c r="T5" s="29">
        <f>HLOOKUP(R5,Data!$B$4:$M$9,3,0)</f>
        <v>1</v>
      </c>
      <c r="U5" s="31"/>
      <c r="V5" s="31" t="str">
        <f t="shared" ref="V5:V27" si="5">"CB300-V"</f>
        <v>CB300-V</v>
      </c>
      <c r="W5" s="29">
        <f>HLOOKUP(V5,Data!$B$13:$I$18,3,0)</f>
        <v>260</v>
      </c>
      <c r="X5" s="33" t="b">
        <v>1</v>
      </c>
      <c r="Y5" s="33" t="b">
        <v>1</v>
      </c>
      <c r="Z5" s="33" t="s">
        <v>17</v>
      </c>
      <c r="AA5" s="33" t="s">
        <v>27</v>
      </c>
      <c r="AB5" s="34">
        <v>21.2516825715431</v>
      </c>
      <c r="AC5" s="34">
        <v>363.276625154584</v>
      </c>
      <c r="AD5" s="28">
        <v>10</v>
      </c>
      <c r="AE5" s="28">
        <v>100</v>
      </c>
      <c r="AF5" s="34">
        <f t="shared" ref="AF5:AF27" si="6">((1000/AE5)*PI()*AD5^2/4)/1</f>
        <v>785.398163397448</v>
      </c>
      <c r="AG5" s="34">
        <f t="shared" ref="AG5:AG27" si="7">IFERROR(AF5/AC5,0)</f>
        <v>2.1619837584189199</v>
      </c>
      <c r="AH5" s="34">
        <v>21.2516825715431</v>
      </c>
      <c r="AI5" s="34">
        <v>363.276625154584</v>
      </c>
      <c r="AJ5" s="28">
        <v>10</v>
      </c>
      <c r="AK5" s="28">
        <v>100</v>
      </c>
      <c r="AL5" s="34">
        <f t="shared" ref="AL5:AL27" si="8">((1000/AK5)*PI()*AJ5^2/4)/1</f>
        <v>785.398163397448</v>
      </c>
      <c r="AM5" s="34">
        <f t="shared" ref="AM5:AM27" si="9">IFERROR(AL5/AI5,0)</f>
        <v>2.1619837584189199</v>
      </c>
      <c r="AN5" s="33">
        <f>VLOOKUP(B5,POINT!B:E,3,0)</f>
        <v>14.85</v>
      </c>
      <c r="AO5" s="33">
        <f>VLOOKUP(B5,POINT!B:E,4,0)</f>
        <v>0</v>
      </c>
      <c r="AP5" s="35">
        <f>VLOOKUP(B5,POINT!B:I,8,0)</f>
        <v>0</v>
      </c>
    </row>
    <row r="6" spans="1:43">
      <c r="A6" s="28"/>
      <c r="B6" s="33">
        <v>5</v>
      </c>
      <c r="C6" s="30">
        <v>1.2</v>
      </c>
      <c r="D6" s="30">
        <v>1.2</v>
      </c>
      <c r="E6" s="31">
        <f>VLOOKUP(B6,POINT!$B:$H,6,TRUE)</f>
        <v>0.22</v>
      </c>
      <c r="F6" s="31">
        <f>VLOOKUP(B6,POINT!$B:$H,7,TRUE)</f>
        <v>0.22</v>
      </c>
      <c r="G6" s="31">
        <v>-0.5</v>
      </c>
      <c r="H6" s="31">
        <v>-0.5</v>
      </c>
      <c r="I6" s="31">
        <v>0.3</v>
      </c>
      <c r="J6" s="31">
        <f t="shared" si="2"/>
        <v>0.05</v>
      </c>
      <c r="K6" s="32">
        <f t="shared" si="0"/>
        <v>1</v>
      </c>
      <c r="L6" s="31">
        <f>Rtc!$C$31</f>
        <v>19.100000000000001</v>
      </c>
      <c r="M6" s="31">
        <f t="shared" si="1"/>
        <v>0</v>
      </c>
      <c r="N6" s="31">
        <f t="shared" si="3"/>
        <v>1.5</v>
      </c>
      <c r="O6" s="31">
        <f>ROUNDDOWN(Rtc!$C$45,0)</f>
        <v>139</v>
      </c>
      <c r="P6" s="31">
        <f>Rtc!$C$35</f>
        <v>12.1</v>
      </c>
      <c r="Q6" s="31">
        <f>Rtc!$C$33</f>
        <v>19.5</v>
      </c>
      <c r="R6" s="31" t="str">
        <f t="shared" si="4"/>
        <v>B22.5</v>
      </c>
      <c r="S6" s="29">
        <f>HLOOKUP(R6,Data!$B$4:$M$9,2,0)</f>
        <v>13</v>
      </c>
      <c r="T6" s="29">
        <f>HLOOKUP(R6,Data!$B$4:$M$9,3,0)</f>
        <v>1</v>
      </c>
      <c r="U6" s="31"/>
      <c r="V6" s="31" t="str">
        <f t="shared" si="5"/>
        <v>CB300-V</v>
      </c>
      <c r="W6" s="29">
        <f>HLOOKUP(V6,Data!$B$13:$I$18,3,0)</f>
        <v>260</v>
      </c>
      <c r="X6" s="33" t="b">
        <v>1</v>
      </c>
      <c r="Y6" s="33" t="b">
        <v>1</v>
      </c>
      <c r="Z6" s="33" t="s">
        <v>18</v>
      </c>
      <c r="AA6" s="33" t="s">
        <v>28</v>
      </c>
      <c r="AB6" s="34">
        <v>20.3815312711213</v>
      </c>
      <c r="AC6" s="34">
        <v>348.40224395079201</v>
      </c>
      <c r="AD6" s="28">
        <v>10</v>
      </c>
      <c r="AE6" s="28">
        <v>200</v>
      </c>
      <c r="AF6" s="34">
        <f t="shared" si="6"/>
        <v>392.699081698724</v>
      </c>
      <c r="AG6" s="34">
        <f t="shared" si="7"/>
        <v>1.12714280265712</v>
      </c>
      <c r="AH6" s="34">
        <v>20.3815312711213</v>
      </c>
      <c r="AI6" s="34">
        <v>348.40224395079201</v>
      </c>
      <c r="AJ6" s="28">
        <v>10</v>
      </c>
      <c r="AK6" s="28">
        <v>200</v>
      </c>
      <c r="AL6" s="34">
        <f t="shared" si="8"/>
        <v>392.699081698724</v>
      </c>
      <c r="AM6" s="34">
        <f t="shared" si="9"/>
        <v>1.12714280265712</v>
      </c>
      <c r="AN6" s="33">
        <f>VLOOKUP(B6,POINT!B:E,3,0)</f>
        <v>11.54</v>
      </c>
      <c r="AO6" s="33">
        <f>VLOOKUP(B6,POINT!B:E,4,0)</f>
        <v>0</v>
      </c>
      <c r="AP6" s="35">
        <f>VLOOKUP(B6,POINT!B:I,8,0)</f>
        <v>0</v>
      </c>
    </row>
    <row r="7" spans="1:43">
      <c r="A7" s="28"/>
      <c r="B7" s="33">
        <v>7</v>
      </c>
      <c r="C7" s="30">
        <v>1.3</v>
      </c>
      <c r="D7" s="30">
        <v>1.3</v>
      </c>
      <c r="E7" s="31">
        <f>VLOOKUP(B7,POINT!$B:$H,6,TRUE)</f>
        <v>0.22</v>
      </c>
      <c r="F7" s="31">
        <f>VLOOKUP(B7,POINT!$B:$H,7,TRUE)</f>
        <v>0.22</v>
      </c>
      <c r="G7" s="31">
        <f t="shared" ref="G7:G27" si="10">0</f>
        <v>0</v>
      </c>
      <c r="H7" s="31">
        <f t="shared" ref="H7:H27" si="11">0</f>
        <v>0</v>
      </c>
      <c r="I7" s="31">
        <v>0.3</v>
      </c>
      <c r="J7" s="31">
        <f t="shared" si="2"/>
        <v>0.05</v>
      </c>
      <c r="K7" s="32">
        <f t="shared" si="0"/>
        <v>1</v>
      </c>
      <c r="L7" s="31">
        <f>Rtc!$C$31</f>
        <v>19.100000000000001</v>
      </c>
      <c r="M7" s="31">
        <f t="shared" si="1"/>
        <v>0</v>
      </c>
      <c r="N7" s="31">
        <f t="shared" si="3"/>
        <v>1.5</v>
      </c>
      <c r="O7" s="31">
        <f>ROUNDDOWN(Rtc!$C$45,0)</f>
        <v>139</v>
      </c>
      <c r="P7" s="31">
        <f>Rtc!$C$35</f>
        <v>12.1</v>
      </c>
      <c r="Q7" s="31">
        <f>Rtc!$C$33</f>
        <v>19.5</v>
      </c>
      <c r="R7" s="31" t="str">
        <f t="shared" si="4"/>
        <v>B22.5</v>
      </c>
      <c r="S7" s="29">
        <f>HLOOKUP(R7,Data!$B$4:$M$9,2,0)</f>
        <v>13</v>
      </c>
      <c r="T7" s="29">
        <f>HLOOKUP(R7,Data!$B$4:$M$9,3,0)</f>
        <v>1</v>
      </c>
      <c r="U7" s="31"/>
      <c r="V7" s="31" t="str">
        <f t="shared" si="5"/>
        <v>CB300-V</v>
      </c>
      <c r="W7" s="29">
        <f>HLOOKUP(V7,Data!$B$13:$I$18,3,0)</f>
        <v>260</v>
      </c>
      <c r="X7" s="33" t="b">
        <v>1</v>
      </c>
      <c r="Y7" s="33" t="b">
        <v>1</v>
      </c>
      <c r="Z7" s="33" t="s">
        <v>18</v>
      </c>
      <c r="AA7" s="33" t="s">
        <v>28</v>
      </c>
      <c r="AB7" s="34">
        <v>21.750051073907201</v>
      </c>
      <c r="AC7" s="34">
        <v>371.79574485311502</v>
      </c>
      <c r="AD7" s="28">
        <v>10</v>
      </c>
      <c r="AE7" s="28">
        <v>100</v>
      </c>
      <c r="AF7" s="34">
        <f t="shared" si="6"/>
        <v>785.398163397448</v>
      </c>
      <c r="AG7" s="34">
        <f t="shared" si="7"/>
        <v>2.1124452720881299</v>
      </c>
      <c r="AH7" s="34">
        <v>21.750051073907201</v>
      </c>
      <c r="AI7" s="34">
        <v>371.79574485311502</v>
      </c>
      <c r="AJ7" s="28">
        <v>10</v>
      </c>
      <c r="AK7" s="28">
        <v>100</v>
      </c>
      <c r="AL7" s="34">
        <f t="shared" si="8"/>
        <v>785.398163397448</v>
      </c>
      <c r="AM7" s="34">
        <f t="shared" si="9"/>
        <v>2.1124452720881299</v>
      </c>
      <c r="AN7" s="33">
        <f>VLOOKUP(B7,POINT!B:E,3,0)</f>
        <v>8.23</v>
      </c>
      <c r="AO7" s="33">
        <f>VLOOKUP(B7,POINT!B:E,4,0)</f>
        <v>0</v>
      </c>
      <c r="AP7" s="35">
        <f>VLOOKUP(B7,POINT!B:I,8,0)</f>
        <v>0</v>
      </c>
    </row>
    <row r="8" spans="1:43">
      <c r="A8" s="28"/>
      <c r="B8" s="33">
        <v>9</v>
      </c>
      <c r="C8" s="30">
        <v>1.4</v>
      </c>
      <c r="D8" s="30">
        <v>1.4</v>
      </c>
      <c r="E8" s="31">
        <f>VLOOKUP(B8,POINT!$B:$H,6,TRUE)</f>
        <v>0.22</v>
      </c>
      <c r="F8" s="31">
        <f>VLOOKUP(B8,POINT!$B:$H,7,TRUE)</f>
        <v>0.22</v>
      </c>
      <c r="G8" s="31">
        <f t="shared" si="10"/>
        <v>0</v>
      </c>
      <c r="H8" s="31">
        <f t="shared" si="11"/>
        <v>0</v>
      </c>
      <c r="I8" s="31">
        <v>0.3</v>
      </c>
      <c r="J8" s="31">
        <f t="shared" si="2"/>
        <v>0.05</v>
      </c>
      <c r="K8" s="32">
        <f t="shared" si="0"/>
        <v>1</v>
      </c>
      <c r="L8" s="31">
        <f>Rtc!$C$31</f>
        <v>19.100000000000001</v>
      </c>
      <c r="M8" s="31">
        <f t="shared" si="1"/>
        <v>0</v>
      </c>
      <c r="N8" s="31">
        <f t="shared" si="3"/>
        <v>1.5</v>
      </c>
      <c r="O8" s="31">
        <f>ROUNDDOWN(Rtc!$C$45,0)</f>
        <v>139</v>
      </c>
      <c r="P8" s="31">
        <f>Rtc!$C$35</f>
        <v>12.1</v>
      </c>
      <c r="Q8" s="31">
        <f>Rtc!$C$33</f>
        <v>19.5</v>
      </c>
      <c r="R8" s="31" t="str">
        <f t="shared" si="4"/>
        <v>B22.5</v>
      </c>
      <c r="S8" s="29">
        <f>HLOOKUP(R8,Data!$B$4:$M$9,2,0)</f>
        <v>13</v>
      </c>
      <c r="T8" s="29">
        <f>HLOOKUP(R8,Data!$B$4:$M$9,3,0)</f>
        <v>1</v>
      </c>
      <c r="U8" s="31"/>
      <c r="V8" s="31" t="str">
        <f t="shared" si="5"/>
        <v>CB300-V</v>
      </c>
      <c r="W8" s="29">
        <f>HLOOKUP(V8,Data!$B$13:$I$18,3,0)</f>
        <v>260</v>
      </c>
      <c r="X8" s="33" t="b">
        <v>1</v>
      </c>
      <c r="Y8" s="33" t="b">
        <v>1</v>
      </c>
      <c r="Z8" s="33" t="s">
        <v>17</v>
      </c>
      <c r="AA8" s="33" t="s">
        <v>27</v>
      </c>
      <c r="AB8" s="34">
        <v>29.114226630533601</v>
      </c>
      <c r="AC8" s="34">
        <v>497.67908770142901</v>
      </c>
      <c r="AD8" s="28">
        <v>10</v>
      </c>
      <c r="AE8" s="28">
        <v>100</v>
      </c>
      <c r="AF8" s="34">
        <f t="shared" si="6"/>
        <v>785.398163397448</v>
      </c>
      <c r="AG8" s="34">
        <f t="shared" si="7"/>
        <v>1.57812169087689</v>
      </c>
      <c r="AH8" s="34">
        <v>29.114226630533601</v>
      </c>
      <c r="AI8" s="34">
        <v>497.67908770142901</v>
      </c>
      <c r="AJ8" s="28">
        <v>10</v>
      </c>
      <c r="AK8" s="28">
        <v>100</v>
      </c>
      <c r="AL8" s="34">
        <f t="shared" si="8"/>
        <v>785.398163397448</v>
      </c>
      <c r="AM8" s="34">
        <f t="shared" si="9"/>
        <v>1.57812169087689</v>
      </c>
      <c r="AN8" s="33">
        <f>VLOOKUP(B8,POINT!B:E,3,0)</f>
        <v>4.78</v>
      </c>
      <c r="AO8" s="33">
        <f>VLOOKUP(B8,POINT!B:E,4,0)</f>
        <v>0</v>
      </c>
      <c r="AP8" s="35">
        <f>VLOOKUP(B8,POINT!B:I,8,0)</f>
        <v>0</v>
      </c>
    </row>
    <row r="9" spans="1:43">
      <c r="A9" s="28"/>
      <c r="B9" s="33">
        <v>11</v>
      </c>
      <c r="C9" s="30">
        <v>1.4</v>
      </c>
      <c r="D9" s="30">
        <v>1.4</v>
      </c>
      <c r="E9" s="31">
        <f>VLOOKUP(B9,POINT!$B:$H,6,TRUE)</f>
        <v>0.22</v>
      </c>
      <c r="F9" s="31">
        <f>VLOOKUP(B9,POINT!$B:$H,7,TRUE)</f>
        <v>0.22</v>
      </c>
      <c r="G9" s="31">
        <f t="shared" si="10"/>
        <v>0</v>
      </c>
      <c r="H9" s="31">
        <f t="shared" si="11"/>
        <v>0</v>
      </c>
      <c r="I9" s="31">
        <v>0.3</v>
      </c>
      <c r="J9" s="31">
        <f t="shared" si="2"/>
        <v>0.05</v>
      </c>
      <c r="K9" s="32">
        <f t="shared" si="0"/>
        <v>1</v>
      </c>
      <c r="L9" s="31">
        <f>Rtc!$C$31</f>
        <v>19.100000000000001</v>
      </c>
      <c r="M9" s="31">
        <f t="shared" si="1"/>
        <v>0</v>
      </c>
      <c r="N9" s="31">
        <f t="shared" si="3"/>
        <v>1.5</v>
      </c>
      <c r="O9" s="31">
        <f>ROUNDDOWN(Rtc!$C$45,0)</f>
        <v>139</v>
      </c>
      <c r="P9" s="31">
        <f>Rtc!$C$35</f>
        <v>12.1</v>
      </c>
      <c r="Q9" s="31">
        <f>Rtc!$C$33</f>
        <v>19.5</v>
      </c>
      <c r="R9" s="31" t="str">
        <f t="shared" si="4"/>
        <v>B22.5</v>
      </c>
      <c r="S9" s="29">
        <f>HLOOKUP(R9,Data!$B$4:$M$9,2,0)</f>
        <v>13</v>
      </c>
      <c r="T9" s="29">
        <f>HLOOKUP(R9,Data!$B$4:$M$9,3,0)</f>
        <v>1</v>
      </c>
      <c r="U9" s="31"/>
      <c r="V9" s="31" t="str">
        <f t="shared" si="5"/>
        <v>CB300-V</v>
      </c>
      <c r="W9" s="29">
        <f>HLOOKUP(V9,Data!$B$13:$I$18,3,0)</f>
        <v>260</v>
      </c>
      <c r="X9" s="33" t="b">
        <v>1</v>
      </c>
      <c r="Y9" s="33" t="b">
        <v>1</v>
      </c>
      <c r="Z9" s="33" t="s">
        <v>22</v>
      </c>
      <c r="AA9" s="33" t="s">
        <v>32</v>
      </c>
      <c r="AB9" s="34">
        <v>29.177584211395999</v>
      </c>
      <c r="AC9" s="34">
        <v>498.76212327172698</v>
      </c>
      <c r="AD9" s="28">
        <v>10</v>
      </c>
      <c r="AE9" s="28">
        <v>100</v>
      </c>
      <c r="AF9" s="34">
        <f t="shared" si="6"/>
        <v>785.398163397448</v>
      </c>
      <c r="AG9" s="34">
        <f t="shared" si="7"/>
        <v>1.5746948830947201</v>
      </c>
      <c r="AH9" s="34">
        <v>29.177584211395999</v>
      </c>
      <c r="AI9" s="34">
        <v>498.76212327172698</v>
      </c>
      <c r="AJ9" s="28">
        <v>10</v>
      </c>
      <c r="AK9" s="28">
        <v>100</v>
      </c>
      <c r="AL9" s="34">
        <f t="shared" si="8"/>
        <v>785.398163397448</v>
      </c>
      <c r="AM9" s="34">
        <f t="shared" si="9"/>
        <v>1.5746948830947201</v>
      </c>
      <c r="AN9" s="33">
        <f>VLOOKUP(B9,POINT!B:E,3,0)</f>
        <v>0</v>
      </c>
      <c r="AO9" s="33">
        <f>VLOOKUP(B9,POINT!B:E,4,0)</f>
        <v>0</v>
      </c>
      <c r="AP9" s="35">
        <f>VLOOKUP(B9,POINT!B:I,8,0)</f>
        <v>0</v>
      </c>
    </row>
    <row r="10" spans="1:43">
      <c r="A10" s="28"/>
      <c r="B10" s="33">
        <v>13</v>
      </c>
      <c r="C10" s="30">
        <v>1.2</v>
      </c>
      <c r="D10" s="30">
        <v>1.2</v>
      </c>
      <c r="E10" s="31">
        <f>VLOOKUP(B10,POINT!$B:$H,6,TRUE)</f>
        <v>0.22</v>
      </c>
      <c r="F10" s="31">
        <f>VLOOKUP(B10,POINT!$B:$H,7,TRUE)</f>
        <v>0.22</v>
      </c>
      <c r="G10" s="31">
        <f t="shared" si="10"/>
        <v>0</v>
      </c>
      <c r="H10" s="31">
        <f t="shared" si="11"/>
        <v>0</v>
      </c>
      <c r="I10" s="31">
        <v>0.3</v>
      </c>
      <c r="J10" s="31">
        <f t="shared" si="2"/>
        <v>0.05</v>
      </c>
      <c r="K10" s="32">
        <f t="shared" si="0"/>
        <v>1</v>
      </c>
      <c r="L10" s="31">
        <f>Rtc!$C$31</f>
        <v>19.100000000000001</v>
      </c>
      <c r="M10" s="31">
        <f t="shared" si="1"/>
        <v>0</v>
      </c>
      <c r="N10" s="31">
        <f t="shared" si="3"/>
        <v>1.5</v>
      </c>
      <c r="O10" s="31">
        <f>ROUNDDOWN(Rtc!$C$45,0)</f>
        <v>139</v>
      </c>
      <c r="P10" s="31">
        <f>Rtc!$C$35</f>
        <v>12.1</v>
      </c>
      <c r="Q10" s="31">
        <f>Rtc!$C$33</f>
        <v>19.5</v>
      </c>
      <c r="R10" s="31" t="str">
        <f t="shared" si="4"/>
        <v>B22.5</v>
      </c>
      <c r="S10" s="29">
        <f>HLOOKUP(R10,Data!$B$4:$M$9,2,0)</f>
        <v>13</v>
      </c>
      <c r="T10" s="29">
        <f>HLOOKUP(R10,Data!$B$4:$M$9,3,0)</f>
        <v>1</v>
      </c>
      <c r="U10" s="31"/>
      <c r="V10" s="31" t="str">
        <f t="shared" si="5"/>
        <v>CB300-V</v>
      </c>
      <c r="W10" s="29">
        <f>HLOOKUP(V10,Data!$B$13:$I$18,3,0)</f>
        <v>260</v>
      </c>
      <c r="X10" s="33" t="b">
        <v>1</v>
      </c>
      <c r="Y10" s="33" t="b">
        <v>1</v>
      </c>
      <c r="Z10" s="33" t="s">
        <v>18</v>
      </c>
      <c r="AA10" s="33" t="s">
        <v>28</v>
      </c>
      <c r="AB10" s="34">
        <v>18.055125819997102</v>
      </c>
      <c r="AC10" s="34">
        <v>308.63462940165999</v>
      </c>
      <c r="AD10" s="28">
        <v>10</v>
      </c>
      <c r="AE10" s="28">
        <v>200</v>
      </c>
      <c r="AF10" s="34">
        <f t="shared" si="6"/>
        <v>392.699081698724</v>
      </c>
      <c r="AG10" s="34">
        <f t="shared" si="7"/>
        <v>1.2723753081760001</v>
      </c>
      <c r="AH10" s="34">
        <v>18.055125819997102</v>
      </c>
      <c r="AI10" s="34">
        <v>308.63462940165999</v>
      </c>
      <c r="AJ10" s="28">
        <v>10</v>
      </c>
      <c r="AK10" s="28">
        <v>200</v>
      </c>
      <c r="AL10" s="34">
        <f t="shared" si="8"/>
        <v>392.699081698724</v>
      </c>
      <c r="AM10" s="34">
        <f t="shared" si="9"/>
        <v>1.2723753081760001</v>
      </c>
      <c r="AN10" s="33">
        <f>VLOOKUP(B10,POINT!B:E,3,0)</f>
        <v>9.75</v>
      </c>
      <c r="AO10" s="33">
        <f>VLOOKUP(B10,POINT!B:E,4,0)</f>
        <v>5.18</v>
      </c>
      <c r="AP10" s="35">
        <f>VLOOKUP(B10,POINT!B:I,8,0)</f>
        <v>0</v>
      </c>
    </row>
    <row r="11" spans="1:43">
      <c r="A11" s="18"/>
      <c r="B11" s="36">
        <v>15</v>
      </c>
      <c r="C11" s="30">
        <v>1.4</v>
      </c>
      <c r="D11" s="30">
        <v>1.4</v>
      </c>
      <c r="E11" s="31">
        <f>VLOOKUP(B11,POINT!$B:$H,6,TRUE)</f>
        <v>0.22</v>
      </c>
      <c r="F11" s="31">
        <f>VLOOKUP(B11,POINT!$B:$H,7,TRUE)</f>
        <v>0.22</v>
      </c>
      <c r="G11" s="31">
        <f t="shared" si="10"/>
        <v>0</v>
      </c>
      <c r="H11" s="31">
        <f t="shared" si="11"/>
        <v>0</v>
      </c>
      <c r="I11" s="31">
        <v>0.3</v>
      </c>
      <c r="J11" s="31">
        <f t="shared" si="2"/>
        <v>0.05</v>
      </c>
      <c r="K11" s="32">
        <f t="shared" si="0"/>
        <v>1</v>
      </c>
      <c r="L11" s="31">
        <f>Rtc!$C$31</f>
        <v>19.100000000000001</v>
      </c>
      <c r="M11" s="31">
        <f t="shared" si="1"/>
        <v>0</v>
      </c>
      <c r="N11" s="31">
        <f t="shared" si="3"/>
        <v>1.5</v>
      </c>
      <c r="O11" s="31">
        <f>ROUNDDOWN(Rtc!$C$45,0)</f>
        <v>139</v>
      </c>
      <c r="P11" s="31">
        <f>Rtc!$C$35</f>
        <v>12.1</v>
      </c>
      <c r="Q11" s="31">
        <f>Rtc!$C$33</f>
        <v>19.5</v>
      </c>
      <c r="R11" s="31" t="str">
        <f t="shared" si="4"/>
        <v>B22.5</v>
      </c>
      <c r="S11" s="29">
        <f>HLOOKUP(R11,Data!$B$4:$M$9,2,0)</f>
        <v>13</v>
      </c>
      <c r="T11" s="29">
        <f>HLOOKUP(R11,Data!$B$4:$M$9,3,0)</f>
        <v>1</v>
      </c>
      <c r="U11" s="31"/>
      <c r="V11" s="31" t="str">
        <f t="shared" si="5"/>
        <v>CB300-V</v>
      </c>
      <c r="W11" s="29">
        <f>HLOOKUP(V11,Data!$B$13:$I$18,3,0)</f>
        <v>260</v>
      </c>
      <c r="X11" s="33" t="b">
        <v>1</v>
      </c>
      <c r="Y11" s="33" t="b">
        <v>1</v>
      </c>
      <c r="Z11" s="33" t="s">
        <v>21</v>
      </c>
      <c r="AA11" s="33" t="s">
        <v>31</v>
      </c>
      <c r="AB11" s="34">
        <v>28.243214074452201</v>
      </c>
      <c r="AC11" s="34">
        <v>482.78998417867098</v>
      </c>
      <c r="AD11" s="28">
        <v>10</v>
      </c>
      <c r="AE11" s="28">
        <v>100</v>
      </c>
      <c r="AF11" s="34">
        <f t="shared" si="6"/>
        <v>785.398163397448</v>
      </c>
      <c r="AG11" s="34">
        <f t="shared" si="7"/>
        <v>1.6267905075404101</v>
      </c>
      <c r="AH11" s="34">
        <v>28.243214074452201</v>
      </c>
      <c r="AI11" s="34">
        <v>482.78998417867098</v>
      </c>
      <c r="AJ11" s="28">
        <v>10</v>
      </c>
      <c r="AK11" s="28">
        <v>100</v>
      </c>
      <c r="AL11" s="34">
        <f t="shared" si="8"/>
        <v>785.398163397448</v>
      </c>
      <c r="AM11" s="34">
        <f t="shared" si="9"/>
        <v>1.6267905075404101</v>
      </c>
      <c r="AN11" s="33">
        <f>VLOOKUP(B11,POINT!B:E,3,0)</f>
        <v>0</v>
      </c>
      <c r="AO11" s="33">
        <f>VLOOKUP(B11,POINT!B:E,4,0)</f>
        <v>5.18</v>
      </c>
      <c r="AP11" s="35">
        <f>VLOOKUP(B11,POINT!B:I,8,0)</f>
        <v>0</v>
      </c>
    </row>
    <row r="12" spans="1:43">
      <c r="A12" s="18"/>
      <c r="B12" s="36">
        <v>17</v>
      </c>
      <c r="C12" s="30">
        <v>1.2</v>
      </c>
      <c r="D12" s="30">
        <v>1.2</v>
      </c>
      <c r="E12" s="31">
        <f>VLOOKUP(B12,POINT!$B:$H,6,TRUE)</f>
        <v>0.22</v>
      </c>
      <c r="F12" s="31">
        <f>VLOOKUP(B12,POINT!$B:$H,7,TRUE)</f>
        <v>0.22</v>
      </c>
      <c r="G12" s="31">
        <f t="shared" si="10"/>
        <v>0</v>
      </c>
      <c r="H12" s="31">
        <f t="shared" si="11"/>
        <v>0</v>
      </c>
      <c r="I12" s="31">
        <v>0.3</v>
      </c>
      <c r="J12" s="31">
        <f t="shared" si="2"/>
        <v>0.05</v>
      </c>
      <c r="K12" s="32">
        <f t="shared" si="0"/>
        <v>1</v>
      </c>
      <c r="L12" s="31">
        <f>Rtc!$C$31</f>
        <v>19.100000000000001</v>
      </c>
      <c r="M12" s="31">
        <f t="shared" si="1"/>
        <v>0</v>
      </c>
      <c r="N12" s="31">
        <f t="shared" si="3"/>
        <v>1.5</v>
      </c>
      <c r="O12" s="31">
        <f>ROUNDDOWN(Rtc!$C$45,0)</f>
        <v>139</v>
      </c>
      <c r="P12" s="31">
        <f>Rtc!$C$35</f>
        <v>12.1</v>
      </c>
      <c r="Q12" s="31">
        <f>Rtc!$C$33</f>
        <v>19.5</v>
      </c>
      <c r="R12" s="31" t="str">
        <f t="shared" si="4"/>
        <v>B22.5</v>
      </c>
      <c r="S12" s="29">
        <f>HLOOKUP(R12,Data!$B$4:$M$9,2,0)</f>
        <v>13</v>
      </c>
      <c r="T12" s="29">
        <f>HLOOKUP(R12,Data!$B$4:$M$9,3,0)</f>
        <v>1</v>
      </c>
      <c r="U12" s="31"/>
      <c r="V12" s="31" t="str">
        <f t="shared" si="5"/>
        <v>CB300-V</v>
      </c>
      <c r="W12" s="29">
        <f>HLOOKUP(V12,Data!$B$13:$I$18,3,0)</f>
        <v>260</v>
      </c>
      <c r="X12" s="33" t="b">
        <v>1</v>
      </c>
      <c r="Y12" s="33" t="b">
        <v>1</v>
      </c>
      <c r="Z12" s="33" t="s">
        <v>18</v>
      </c>
      <c r="AA12" s="33" t="s">
        <v>28</v>
      </c>
      <c r="AB12" s="34">
        <v>19.015200463532999</v>
      </c>
      <c r="AC12" s="34">
        <v>325.04616176979403</v>
      </c>
      <c r="AD12" s="28">
        <v>10</v>
      </c>
      <c r="AE12" s="28">
        <v>200</v>
      </c>
      <c r="AF12" s="34">
        <f t="shared" si="6"/>
        <v>392.699081698724</v>
      </c>
      <c r="AG12" s="34">
        <f t="shared" si="7"/>
        <v>1.20813326808899</v>
      </c>
      <c r="AH12" s="34">
        <v>19.015200463532999</v>
      </c>
      <c r="AI12" s="34">
        <v>325.04616176979403</v>
      </c>
      <c r="AJ12" s="28">
        <v>10</v>
      </c>
      <c r="AK12" s="28">
        <v>200</v>
      </c>
      <c r="AL12" s="34">
        <f t="shared" si="8"/>
        <v>392.699081698724</v>
      </c>
      <c r="AM12" s="34">
        <f t="shared" si="9"/>
        <v>1.20813326808899</v>
      </c>
      <c r="AN12" s="33">
        <f>VLOOKUP(B12,POINT!B:E,3,0)</f>
        <v>12.43</v>
      </c>
      <c r="AO12" s="33">
        <f>VLOOKUP(B12,POINT!B:E,4,0)</f>
        <v>5.18</v>
      </c>
      <c r="AP12" s="35">
        <f>VLOOKUP(B12,POINT!B:I,8,0)</f>
        <v>0</v>
      </c>
    </row>
    <row r="13" spans="1:43">
      <c r="A13" s="18"/>
      <c r="B13" s="36">
        <v>19</v>
      </c>
      <c r="C13" s="30">
        <v>1.3</v>
      </c>
      <c r="D13" s="30">
        <v>1.3</v>
      </c>
      <c r="E13" s="31">
        <f>VLOOKUP(B13,POINT!$B:$H,6,TRUE)</f>
        <v>0.22</v>
      </c>
      <c r="F13" s="31">
        <f>VLOOKUP(B13,POINT!$B:$H,7,TRUE)</f>
        <v>0.22</v>
      </c>
      <c r="G13" s="31">
        <f t="shared" si="10"/>
        <v>0</v>
      </c>
      <c r="H13" s="31">
        <f t="shared" si="11"/>
        <v>0</v>
      </c>
      <c r="I13" s="31">
        <v>0.3</v>
      </c>
      <c r="J13" s="31">
        <f t="shared" si="2"/>
        <v>0.05</v>
      </c>
      <c r="K13" s="32">
        <f t="shared" si="0"/>
        <v>1</v>
      </c>
      <c r="L13" s="31">
        <f>Rtc!$C$31</f>
        <v>19.100000000000001</v>
      </c>
      <c r="M13" s="31">
        <f t="shared" si="1"/>
        <v>0</v>
      </c>
      <c r="N13" s="31">
        <f t="shared" si="3"/>
        <v>1.5</v>
      </c>
      <c r="O13" s="31">
        <f>ROUNDDOWN(Rtc!$C$45,0)</f>
        <v>139</v>
      </c>
      <c r="P13" s="31">
        <f>Rtc!$C$35</f>
        <v>12.1</v>
      </c>
      <c r="Q13" s="31">
        <f>Rtc!$C$33</f>
        <v>19.5</v>
      </c>
      <c r="R13" s="31" t="str">
        <f t="shared" si="4"/>
        <v>B22.5</v>
      </c>
      <c r="S13" s="29">
        <f>HLOOKUP(R13,Data!$B$4:$M$9,2,0)</f>
        <v>13</v>
      </c>
      <c r="T13" s="29">
        <f>HLOOKUP(R13,Data!$B$4:$M$9,3,0)</f>
        <v>1</v>
      </c>
      <c r="U13" s="31"/>
      <c r="V13" s="31" t="str">
        <f t="shared" si="5"/>
        <v>CB300-V</v>
      </c>
      <c r="W13" s="29">
        <f>HLOOKUP(V13,Data!$B$13:$I$18,3,0)</f>
        <v>260</v>
      </c>
      <c r="X13" s="33" t="b">
        <v>1</v>
      </c>
      <c r="Y13" s="33" t="b">
        <v>1</v>
      </c>
      <c r="Z13" s="33" t="s">
        <v>18</v>
      </c>
      <c r="AA13" s="33" t="s">
        <v>28</v>
      </c>
      <c r="AB13" s="34">
        <v>22.0864444930329</v>
      </c>
      <c r="AC13" s="34">
        <v>377.546059709963</v>
      </c>
      <c r="AD13" s="28">
        <v>10</v>
      </c>
      <c r="AE13" s="28">
        <v>100</v>
      </c>
      <c r="AF13" s="34">
        <f t="shared" si="6"/>
        <v>785.398163397448</v>
      </c>
      <c r="AG13" s="34">
        <f t="shared" si="7"/>
        <v>2.0802711171209198</v>
      </c>
      <c r="AH13" s="34">
        <v>22.0864444930329</v>
      </c>
      <c r="AI13" s="34">
        <v>377.546059709963</v>
      </c>
      <c r="AJ13" s="28">
        <v>10</v>
      </c>
      <c r="AK13" s="28">
        <v>100</v>
      </c>
      <c r="AL13" s="34">
        <f t="shared" si="8"/>
        <v>785.398163397448</v>
      </c>
      <c r="AM13" s="34">
        <f t="shared" si="9"/>
        <v>2.0802711171209198</v>
      </c>
      <c r="AN13" s="33">
        <f>VLOOKUP(B13,POINT!B:E,3,0)</f>
        <v>8.23</v>
      </c>
      <c r="AO13" s="33">
        <f>VLOOKUP(B13,POINT!B:E,4,0)</f>
        <v>5.18</v>
      </c>
      <c r="AP13" s="35">
        <f>VLOOKUP(B13,POINT!B:I,8,0)</f>
        <v>0</v>
      </c>
    </row>
    <row r="14" spans="1:43">
      <c r="A14" s="18"/>
      <c r="B14" s="36">
        <v>21</v>
      </c>
      <c r="C14" s="30">
        <v>1.5</v>
      </c>
      <c r="D14" s="30">
        <v>1.5</v>
      </c>
      <c r="E14" s="31">
        <f>VLOOKUP(B14,POINT!$B:$H,6,TRUE)</f>
        <v>0.22</v>
      </c>
      <c r="F14" s="31">
        <f>VLOOKUP(B14,POINT!$B:$H,7,TRUE)</f>
        <v>0.22</v>
      </c>
      <c r="G14" s="31">
        <f t="shared" si="10"/>
        <v>0</v>
      </c>
      <c r="H14" s="31">
        <f t="shared" si="11"/>
        <v>0</v>
      </c>
      <c r="I14" s="31">
        <v>0.4</v>
      </c>
      <c r="J14" s="31">
        <f t="shared" si="2"/>
        <v>0.05</v>
      </c>
      <c r="K14" s="32">
        <f t="shared" si="0"/>
        <v>1</v>
      </c>
      <c r="L14" s="31">
        <f>Rtc!$C$31</f>
        <v>19.100000000000001</v>
      </c>
      <c r="M14" s="31">
        <f t="shared" si="1"/>
        <v>0</v>
      </c>
      <c r="N14" s="31">
        <f t="shared" si="3"/>
        <v>1.5</v>
      </c>
      <c r="O14" s="31">
        <f>ROUNDDOWN(Rtc!$C$45,0)</f>
        <v>139</v>
      </c>
      <c r="P14" s="31">
        <f>Rtc!$C$35</f>
        <v>12.1</v>
      </c>
      <c r="Q14" s="31">
        <f>Rtc!$C$33</f>
        <v>19.5</v>
      </c>
      <c r="R14" s="31" t="str">
        <f t="shared" si="4"/>
        <v>B22.5</v>
      </c>
      <c r="S14" s="29">
        <f>HLOOKUP(R14,Data!$B$4:$M$9,2,0)</f>
        <v>13</v>
      </c>
      <c r="T14" s="29">
        <f>HLOOKUP(R14,Data!$B$4:$M$9,3,0)</f>
        <v>1</v>
      </c>
      <c r="U14" s="31"/>
      <c r="V14" s="31" t="str">
        <f t="shared" si="5"/>
        <v>CB300-V</v>
      </c>
      <c r="W14" s="29">
        <f>HLOOKUP(V14,Data!$B$13:$I$18,3,0)</f>
        <v>260</v>
      </c>
      <c r="X14" s="33" t="b">
        <v>1</v>
      </c>
      <c r="Y14" s="33" t="b">
        <v>1</v>
      </c>
      <c r="Z14" s="33" t="s">
        <v>18</v>
      </c>
      <c r="AA14" s="33" t="s">
        <v>28</v>
      </c>
      <c r="AB14" s="34">
        <v>32.586628516886499</v>
      </c>
      <c r="AC14" s="34">
        <v>397.88313207431599</v>
      </c>
      <c r="AD14" s="28">
        <v>10</v>
      </c>
      <c r="AE14" s="28">
        <v>100</v>
      </c>
      <c r="AF14" s="34">
        <f t="shared" si="6"/>
        <v>785.398163397448</v>
      </c>
      <c r="AG14" s="34">
        <f t="shared" si="7"/>
        <v>1.9739418439351</v>
      </c>
      <c r="AH14" s="34">
        <v>32.586628516886499</v>
      </c>
      <c r="AI14" s="34">
        <v>397.88313207431599</v>
      </c>
      <c r="AJ14" s="28">
        <v>10</v>
      </c>
      <c r="AK14" s="28">
        <v>100</v>
      </c>
      <c r="AL14" s="34">
        <f t="shared" si="8"/>
        <v>785.398163397448</v>
      </c>
      <c r="AM14" s="34">
        <f t="shared" si="9"/>
        <v>1.9739418439351</v>
      </c>
      <c r="AN14" s="33">
        <f>VLOOKUP(B14,POINT!B:E,3,0)</f>
        <v>4.78</v>
      </c>
      <c r="AO14" s="33">
        <f>VLOOKUP(B14,POINT!B:E,4,0)</f>
        <v>5.18</v>
      </c>
      <c r="AP14" s="35">
        <f>VLOOKUP(B14,POINT!B:I,8,0)</f>
        <v>0</v>
      </c>
    </row>
    <row r="15" spans="1:43">
      <c r="A15" s="18"/>
      <c r="B15" s="36">
        <v>23</v>
      </c>
      <c r="C15" s="30">
        <v>1.2</v>
      </c>
      <c r="D15" s="30">
        <v>1.2</v>
      </c>
      <c r="E15" s="31">
        <f>VLOOKUP(B15,POINT!$B:$H,6,TRUE)</f>
        <v>0.22</v>
      </c>
      <c r="F15" s="31">
        <f>VLOOKUP(B15,POINT!$B:$H,7,TRUE)</f>
        <v>0.22</v>
      </c>
      <c r="G15" s="31">
        <f t="shared" si="10"/>
        <v>0</v>
      </c>
      <c r="H15" s="31">
        <f t="shared" si="11"/>
        <v>0</v>
      </c>
      <c r="I15" s="31">
        <v>0.3</v>
      </c>
      <c r="J15" s="31">
        <f t="shared" si="2"/>
        <v>0.05</v>
      </c>
      <c r="K15" s="32">
        <f t="shared" si="0"/>
        <v>1</v>
      </c>
      <c r="L15" s="31">
        <f>Rtc!$C$31</f>
        <v>19.100000000000001</v>
      </c>
      <c r="M15" s="31">
        <f t="shared" si="1"/>
        <v>0</v>
      </c>
      <c r="N15" s="31">
        <f t="shared" si="3"/>
        <v>1.5</v>
      </c>
      <c r="O15" s="31">
        <f>ROUNDDOWN(Rtc!$C$45,0)</f>
        <v>139</v>
      </c>
      <c r="P15" s="31">
        <f>Rtc!$C$35</f>
        <v>12.1</v>
      </c>
      <c r="Q15" s="31">
        <f>Rtc!$C$33</f>
        <v>19.5</v>
      </c>
      <c r="R15" s="31" t="str">
        <f t="shared" si="4"/>
        <v>B22.5</v>
      </c>
      <c r="S15" s="29">
        <f>HLOOKUP(R15,Data!$B$4:$M$9,2,0)</f>
        <v>13</v>
      </c>
      <c r="T15" s="29">
        <f>HLOOKUP(R15,Data!$B$4:$M$9,3,0)</f>
        <v>1</v>
      </c>
      <c r="U15" s="31"/>
      <c r="V15" s="31" t="str">
        <f t="shared" si="5"/>
        <v>CB300-V</v>
      </c>
      <c r="W15" s="29">
        <f>HLOOKUP(V15,Data!$B$13:$I$18,3,0)</f>
        <v>260</v>
      </c>
      <c r="X15" s="33" t="b">
        <v>1</v>
      </c>
      <c r="Y15" s="33" t="b">
        <v>1</v>
      </c>
      <c r="Z15" s="33" t="s">
        <v>18</v>
      </c>
      <c r="AA15" s="33" t="s">
        <v>28</v>
      </c>
      <c r="AB15" s="34">
        <v>21.2752216000207</v>
      </c>
      <c r="AC15" s="34">
        <v>363.67900170975503</v>
      </c>
      <c r="AD15" s="28">
        <v>10</v>
      </c>
      <c r="AE15" s="28">
        <v>100</v>
      </c>
      <c r="AF15" s="34">
        <f t="shared" si="6"/>
        <v>785.398163397448</v>
      </c>
      <c r="AG15" s="34">
        <f t="shared" si="7"/>
        <v>2.15959172705896</v>
      </c>
      <c r="AH15" s="34">
        <v>21.2752216000207</v>
      </c>
      <c r="AI15" s="34">
        <v>363.67900170975503</v>
      </c>
      <c r="AJ15" s="28">
        <v>10</v>
      </c>
      <c r="AK15" s="28">
        <v>100</v>
      </c>
      <c r="AL15" s="34">
        <f t="shared" si="8"/>
        <v>785.398163397448</v>
      </c>
      <c r="AM15" s="34">
        <f t="shared" si="9"/>
        <v>2.15959172705896</v>
      </c>
      <c r="AN15" s="33">
        <f>VLOOKUP(B15,POINT!B:E,3,0)</f>
        <v>14.85</v>
      </c>
      <c r="AO15" s="33">
        <f>VLOOKUP(B15,POINT!B:E,4,0)</f>
        <v>5.18</v>
      </c>
      <c r="AP15" s="35">
        <f>VLOOKUP(B15,POINT!B:I,8,0)</f>
        <v>0</v>
      </c>
    </row>
    <row r="16" spans="1:43">
      <c r="A16" s="18"/>
      <c r="B16" s="36">
        <v>25</v>
      </c>
      <c r="C16" s="30">
        <v>1.3</v>
      </c>
      <c r="D16" s="30">
        <v>1.3</v>
      </c>
      <c r="E16" s="31">
        <f>VLOOKUP(B16,POINT!$B:$H,6,TRUE)</f>
        <v>0.22</v>
      </c>
      <c r="F16" s="31">
        <f>VLOOKUP(B16,POINT!$B:$H,7,TRUE)</f>
        <v>0.22</v>
      </c>
      <c r="G16" s="31">
        <f t="shared" si="10"/>
        <v>0</v>
      </c>
      <c r="H16" s="31">
        <f t="shared" si="11"/>
        <v>0</v>
      </c>
      <c r="I16" s="31">
        <v>0.3</v>
      </c>
      <c r="J16" s="31">
        <f t="shared" si="2"/>
        <v>0.05</v>
      </c>
      <c r="K16" s="32">
        <f t="shared" si="0"/>
        <v>1</v>
      </c>
      <c r="L16" s="31">
        <f>Rtc!$C$31</f>
        <v>19.100000000000001</v>
      </c>
      <c r="M16" s="31">
        <f t="shared" si="1"/>
        <v>0</v>
      </c>
      <c r="N16" s="31">
        <f t="shared" si="3"/>
        <v>1.5</v>
      </c>
      <c r="O16" s="31">
        <f>ROUNDDOWN(Rtc!$C$45,0)</f>
        <v>139</v>
      </c>
      <c r="P16" s="31">
        <f>Rtc!$C$35</f>
        <v>12.1</v>
      </c>
      <c r="Q16" s="31">
        <f>Rtc!$C$33</f>
        <v>19.5</v>
      </c>
      <c r="R16" s="31" t="str">
        <f t="shared" si="4"/>
        <v>B22.5</v>
      </c>
      <c r="S16" s="29">
        <f>HLOOKUP(R16,Data!$B$4:$M$9,2,0)</f>
        <v>13</v>
      </c>
      <c r="T16" s="29">
        <f>HLOOKUP(R16,Data!$B$4:$M$9,3,0)</f>
        <v>1</v>
      </c>
      <c r="U16" s="31"/>
      <c r="V16" s="31" t="str">
        <f t="shared" si="5"/>
        <v>CB300-V</v>
      </c>
      <c r="W16" s="29">
        <f>HLOOKUP(V16,Data!$B$13:$I$18,3,0)</f>
        <v>260</v>
      </c>
      <c r="X16" s="33" t="b">
        <v>1</v>
      </c>
      <c r="Y16" s="33" t="b">
        <v>1</v>
      </c>
      <c r="Z16" s="33" t="s">
        <v>17</v>
      </c>
      <c r="AA16" s="33" t="s">
        <v>25</v>
      </c>
      <c r="AB16" s="34">
        <v>25.694835787480201</v>
      </c>
      <c r="AC16" s="34">
        <v>439.22796217914902</v>
      </c>
      <c r="AD16" s="28">
        <v>10</v>
      </c>
      <c r="AE16" s="28">
        <v>100</v>
      </c>
      <c r="AF16" s="34">
        <f t="shared" si="6"/>
        <v>785.398163397448</v>
      </c>
      <c r="AG16" s="34">
        <f t="shared" si="7"/>
        <v>1.78813334083021</v>
      </c>
      <c r="AH16" s="34">
        <v>25.694835787480201</v>
      </c>
      <c r="AI16" s="34">
        <v>439.22796217914902</v>
      </c>
      <c r="AJ16" s="28">
        <v>10</v>
      </c>
      <c r="AK16" s="28">
        <v>100</v>
      </c>
      <c r="AL16" s="34">
        <f t="shared" si="8"/>
        <v>785.398163397448</v>
      </c>
      <c r="AM16" s="34">
        <f t="shared" si="9"/>
        <v>1.78813334083021</v>
      </c>
      <c r="AN16" s="33">
        <f>VLOOKUP(B16,POINT!B:E,3,0)</f>
        <v>18.27</v>
      </c>
      <c r="AO16" s="33">
        <f>VLOOKUP(B16,POINT!B:E,4,0)</f>
        <v>5.18</v>
      </c>
      <c r="AP16" s="35">
        <f>VLOOKUP(B16,POINT!B:I,8,0)</f>
        <v>0</v>
      </c>
    </row>
    <row r="17" spans="1:42">
      <c r="A17" s="18"/>
      <c r="B17" s="36">
        <v>103</v>
      </c>
      <c r="C17" s="30">
        <v>1.2</v>
      </c>
      <c r="D17" s="30">
        <v>1.2</v>
      </c>
      <c r="E17" s="31">
        <f>VLOOKUP(B17,POINT!$B:$H,6,TRUE)</f>
        <v>0.22</v>
      </c>
      <c r="F17" s="31">
        <f>VLOOKUP(B17,POINT!$B:$H,7,TRUE)</f>
        <v>0.22</v>
      </c>
      <c r="G17" s="31">
        <f t="shared" si="10"/>
        <v>0</v>
      </c>
      <c r="H17" s="31">
        <f t="shared" si="11"/>
        <v>0</v>
      </c>
      <c r="I17" s="31">
        <v>0.3</v>
      </c>
      <c r="J17" s="31">
        <f t="shared" si="2"/>
        <v>0.05</v>
      </c>
      <c r="K17" s="32">
        <f t="shared" si="0"/>
        <v>1</v>
      </c>
      <c r="L17" s="31">
        <f>Rtc!$C$31</f>
        <v>19.100000000000001</v>
      </c>
      <c r="M17" s="31">
        <f t="shared" si="1"/>
        <v>0</v>
      </c>
      <c r="N17" s="31">
        <f t="shared" si="3"/>
        <v>1.5</v>
      </c>
      <c r="O17" s="31">
        <f>ROUNDDOWN(Rtc!$C$45,0)</f>
        <v>139</v>
      </c>
      <c r="P17" s="31">
        <f>Rtc!$C$35</f>
        <v>12.1</v>
      </c>
      <c r="Q17" s="31">
        <f>Rtc!$C$33</f>
        <v>19.5</v>
      </c>
      <c r="R17" s="31" t="str">
        <f t="shared" si="4"/>
        <v>B22.5</v>
      </c>
      <c r="S17" s="29">
        <f>HLOOKUP(R17,Data!$B$4:$M$9,2,0)</f>
        <v>13</v>
      </c>
      <c r="T17" s="29">
        <f>HLOOKUP(R17,Data!$B$4:$M$9,3,0)</f>
        <v>1</v>
      </c>
      <c r="U17" s="31"/>
      <c r="V17" s="31" t="str">
        <f t="shared" si="5"/>
        <v>CB300-V</v>
      </c>
      <c r="W17" s="29">
        <f>HLOOKUP(V17,Data!$B$13:$I$18,3,0)</f>
        <v>260</v>
      </c>
      <c r="X17" s="33" t="b">
        <v>1</v>
      </c>
      <c r="Y17" s="33" t="b">
        <v>1</v>
      </c>
      <c r="Z17" s="33" t="s">
        <v>16</v>
      </c>
      <c r="AA17" s="33" t="s">
        <v>26</v>
      </c>
      <c r="AB17" s="34">
        <v>9.1270972313770997</v>
      </c>
      <c r="AC17" s="34">
        <v>250</v>
      </c>
      <c r="AD17" s="28">
        <v>10</v>
      </c>
      <c r="AE17" s="28">
        <v>200</v>
      </c>
      <c r="AF17" s="34">
        <f t="shared" si="6"/>
        <v>392.699081698724</v>
      </c>
      <c r="AG17" s="34">
        <f t="shared" si="7"/>
        <v>1.5707963267949001</v>
      </c>
      <c r="AH17" s="34">
        <v>9.1270972313770997</v>
      </c>
      <c r="AI17" s="34">
        <v>250</v>
      </c>
      <c r="AJ17" s="28">
        <v>10</v>
      </c>
      <c r="AK17" s="28">
        <v>200</v>
      </c>
      <c r="AL17" s="34">
        <f t="shared" si="8"/>
        <v>392.699081698724</v>
      </c>
      <c r="AM17" s="34">
        <f t="shared" si="9"/>
        <v>1.5707963267949001</v>
      </c>
      <c r="AN17" s="33">
        <f>VLOOKUP(B17,POINT!B:E,3,0)</f>
        <v>18.27</v>
      </c>
      <c r="AO17" s="33">
        <f>VLOOKUP(B17,POINT!B:E,4,0)</f>
        <v>8.74</v>
      </c>
      <c r="AP17" s="35">
        <f>VLOOKUP(B17,POINT!B:I,8,0)</f>
        <v>0</v>
      </c>
    </row>
    <row r="18" spans="1:42">
      <c r="A18" s="18"/>
      <c r="B18" s="36">
        <v>123</v>
      </c>
      <c r="C18" s="30">
        <v>1.4</v>
      </c>
      <c r="D18" s="30">
        <v>1.4</v>
      </c>
      <c r="E18" s="31">
        <f>VLOOKUP(B18,POINT!$B:$H,6,TRUE)</f>
        <v>0.22</v>
      </c>
      <c r="F18" s="31">
        <f>VLOOKUP(B18,POINT!$B:$H,7,TRUE)</f>
        <v>0.22</v>
      </c>
      <c r="G18" s="31">
        <f t="shared" si="10"/>
        <v>0</v>
      </c>
      <c r="H18" s="31">
        <f t="shared" si="11"/>
        <v>0</v>
      </c>
      <c r="I18" s="31">
        <v>0.3</v>
      </c>
      <c r="J18" s="31">
        <f t="shared" si="2"/>
        <v>0.05</v>
      </c>
      <c r="K18" s="32">
        <f t="shared" si="0"/>
        <v>1</v>
      </c>
      <c r="L18" s="31">
        <f>Rtc!$C$31</f>
        <v>19.100000000000001</v>
      </c>
      <c r="M18" s="31">
        <f t="shared" si="1"/>
        <v>0</v>
      </c>
      <c r="N18" s="31">
        <f t="shared" si="3"/>
        <v>1.5</v>
      </c>
      <c r="O18" s="31">
        <f>ROUNDDOWN(Rtc!$C$45,0)</f>
        <v>139</v>
      </c>
      <c r="P18" s="31">
        <f>Rtc!$C$35</f>
        <v>12.1</v>
      </c>
      <c r="Q18" s="31">
        <f>Rtc!$C$33</f>
        <v>19.5</v>
      </c>
      <c r="R18" s="31" t="str">
        <f t="shared" si="4"/>
        <v>B22.5</v>
      </c>
      <c r="S18" s="29">
        <f>HLOOKUP(R18,Data!$B$4:$M$9,2,0)</f>
        <v>13</v>
      </c>
      <c r="T18" s="29">
        <f>HLOOKUP(R18,Data!$B$4:$M$9,3,0)</f>
        <v>1</v>
      </c>
      <c r="U18" s="31"/>
      <c r="V18" s="31" t="str">
        <f t="shared" si="5"/>
        <v>CB300-V</v>
      </c>
      <c r="W18" s="29">
        <f>HLOOKUP(V18,Data!$B$13:$I$18,3,0)</f>
        <v>260</v>
      </c>
      <c r="X18" s="33" t="b">
        <v>1</v>
      </c>
      <c r="Y18" s="33" t="b">
        <v>1</v>
      </c>
      <c r="Z18" s="33" t="s">
        <v>16</v>
      </c>
      <c r="AA18" s="33" t="s">
        <v>30</v>
      </c>
      <c r="AB18" s="34">
        <v>7.8628916243545799</v>
      </c>
      <c r="AC18" s="34">
        <v>250</v>
      </c>
      <c r="AD18" s="28">
        <v>10</v>
      </c>
      <c r="AE18" s="28">
        <v>200</v>
      </c>
      <c r="AF18" s="34">
        <f t="shared" si="6"/>
        <v>392.699081698724</v>
      </c>
      <c r="AG18" s="34">
        <f t="shared" si="7"/>
        <v>1.5707963267949001</v>
      </c>
      <c r="AH18" s="34">
        <v>7.8628916243545799</v>
      </c>
      <c r="AI18" s="34">
        <v>250</v>
      </c>
      <c r="AJ18" s="28">
        <v>10</v>
      </c>
      <c r="AK18" s="28">
        <v>200</v>
      </c>
      <c r="AL18" s="34">
        <f t="shared" si="8"/>
        <v>392.699081698724</v>
      </c>
      <c r="AM18" s="34">
        <f t="shared" si="9"/>
        <v>1.5707963267949001</v>
      </c>
      <c r="AN18" s="33">
        <f>VLOOKUP(B18,POINT!B:E,3,0)</f>
        <v>14.85</v>
      </c>
      <c r="AO18" s="33">
        <f>VLOOKUP(B18,POINT!B:E,4,0)</f>
        <v>8.74</v>
      </c>
      <c r="AP18" s="35">
        <f>VLOOKUP(B18,POINT!B:I,8,0)</f>
        <v>0</v>
      </c>
    </row>
    <row r="19" spans="1:42">
      <c r="A19" s="18"/>
      <c r="B19" s="36">
        <v>158</v>
      </c>
      <c r="C19" s="30">
        <v>1.7</v>
      </c>
      <c r="D19" s="30">
        <v>1.7</v>
      </c>
      <c r="E19" s="31">
        <f>VLOOKUP(B19,POINT!$B:$H,6,TRUE)</f>
        <v>0.22</v>
      </c>
      <c r="F19" s="31">
        <f>VLOOKUP(B19,POINT!$B:$H,7,TRUE)</f>
        <v>0.22</v>
      </c>
      <c r="G19" s="31">
        <f t="shared" si="10"/>
        <v>0</v>
      </c>
      <c r="H19" s="31">
        <f t="shared" si="11"/>
        <v>0</v>
      </c>
      <c r="I19" s="31">
        <v>0.3</v>
      </c>
      <c r="J19" s="31">
        <f t="shared" si="2"/>
        <v>0.05</v>
      </c>
      <c r="K19" s="32">
        <f t="shared" si="0"/>
        <v>1</v>
      </c>
      <c r="L19" s="31">
        <f>Rtc!$C$31</f>
        <v>19.100000000000001</v>
      </c>
      <c r="M19" s="31">
        <f t="shared" si="1"/>
        <v>0</v>
      </c>
      <c r="N19" s="31">
        <f t="shared" si="3"/>
        <v>1.5</v>
      </c>
      <c r="O19" s="31">
        <f>ROUNDDOWN(Rtc!$C$45,0)</f>
        <v>139</v>
      </c>
      <c r="P19" s="31">
        <f>Rtc!$C$35</f>
        <v>12.1</v>
      </c>
      <c r="Q19" s="31">
        <f>Rtc!$C$33</f>
        <v>19.5</v>
      </c>
      <c r="R19" s="31" t="str">
        <f t="shared" si="4"/>
        <v>B22.5</v>
      </c>
      <c r="S19" s="29">
        <f>HLOOKUP(R19,Data!$B$4:$M$9,2,0)</f>
        <v>13</v>
      </c>
      <c r="T19" s="29">
        <f>HLOOKUP(R19,Data!$B$4:$M$9,3,0)</f>
        <v>1</v>
      </c>
      <c r="U19" s="31"/>
      <c r="V19" s="31" t="str">
        <f t="shared" si="5"/>
        <v>CB300-V</v>
      </c>
      <c r="W19" s="29">
        <f>HLOOKUP(V19,Data!$B$13:$I$18,3,0)</f>
        <v>260</v>
      </c>
      <c r="X19" s="33" t="b">
        <v>1</v>
      </c>
      <c r="Y19" s="33" t="b">
        <v>1</v>
      </c>
      <c r="Z19" s="33" t="s">
        <v>21</v>
      </c>
      <c r="AA19" s="33" t="s">
        <v>31</v>
      </c>
      <c r="AB19" s="34">
        <v>16.887121315624999</v>
      </c>
      <c r="AC19" s="34">
        <v>288.66874043803398</v>
      </c>
      <c r="AD19" s="28">
        <v>10</v>
      </c>
      <c r="AE19" s="28">
        <v>200</v>
      </c>
      <c r="AF19" s="34">
        <f t="shared" si="6"/>
        <v>392.699081698724</v>
      </c>
      <c r="AG19" s="34">
        <f t="shared" si="7"/>
        <v>1.36037965559704</v>
      </c>
      <c r="AH19" s="34">
        <v>16.887121315624999</v>
      </c>
      <c r="AI19" s="34">
        <v>288.66874043803398</v>
      </c>
      <c r="AJ19" s="28">
        <v>10</v>
      </c>
      <c r="AK19" s="28">
        <v>200</v>
      </c>
      <c r="AL19" s="34">
        <f t="shared" si="8"/>
        <v>392.699081698724</v>
      </c>
      <c r="AM19" s="34">
        <f t="shared" si="9"/>
        <v>1.36037965559704</v>
      </c>
      <c r="AN19" s="33">
        <f>VLOOKUP(B19,POINT!B:E,3,0)</f>
        <v>8.23</v>
      </c>
      <c r="AO19" s="33">
        <f>VLOOKUP(B19,POINT!B:E,4,0)</f>
        <v>7.76</v>
      </c>
      <c r="AP19" s="35">
        <f>VLOOKUP(B19,POINT!B:I,8,0)</f>
        <v>0</v>
      </c>
    </row>
    <row r="20" spans="1:42">
      <c r="A20" s="18"/>
      <c r="B20" s="36">
        <v>178</v>
      </c>
      <c r="C20" s="30">
        <v>1.9</v>
      </c>
      <c r="D20" s="30">
        <v>1.9</v>
      </c>
      <c r="E20" s="31">
        <f>VLOOKUP(B20,POINT!$B:$H,6,TRUE)</f>
        <v>0.22</v>
      </c>
      <c r="F20" s="31">
        <f>VLOOKUP(B20,POINT!$B:$H,7,TRUE)</f>
        <v>0.22</v>
      </c>
      <c r="G20" s="31">
        <f t="shared" si="10"/>
        <v>0</v>
      </c>
      <c r="H20" s="31">
        <f t="shared" si="11"/>
        <v>0</v>
      </c>
      <c r="I20" s="31">
        <v>0.3</v>
      </c>
      <c r="J20" s="31">
        <f t="shared" si="2"/>
        <v>0.05</v>
      </c>
      <c r="K20" s="32">
        <f t="shared" si="0"/>
        <v>1</v>
      </c>
      <c r="L20" s="31">
        <f>Rtc!$C$31</f>
        <v>19.100000000000001</v>
      </c>
      <c r="M20" s="31">
        <f t="shared" si="1"/>
        <v>0</v>
      </c>
      <c r="N20" s="31">
        <f t="shared" si="3"/>
        <v>1.5</v>
      </c>
      <c r="O20" s="31">
        <f>ROUNDDOWN(Rtc!$C$45,0)</f>
        <v>139</v>
      </c>
      <c r="P20" s="31">
        <f>Rtc!$C$35</f>
        <v>12.1</v>
      </c>
      <c r="Q20" s="31">
        <f>Rtc!$C$33</f>
        <v>19.5</v>
      </c>
      <c r="R20" s="31" t="str">
        <f t="shared" si="4"/>
        <v>B22.5</v>
      </c>
      <c r="S20" s="29">
        <f>HLOOKUP(R20,Data!$B$4:$M$9,2,0)</f>
        <v>13</v>
      </c>
      <c r="T20" s="29">
        <f>HLOOKUP(R20,Data!$B$4:$M$9,3,0)</f>
        <v>1</v>
      </c>
      <c r="U20" s="31"/>
      <c r="V20" s="31" t="str">
        <f t="shared" si="5"/>
        <v>CB300-V</v>
      </c>
      <c r="W20" s="29">
        <f>HLOOKUP(V20,Data!$B$13:$I$18,3,0)</f>
        <v>260</v>
      </c>
      <c r="X20" s="33" t="b">
        <v>1</v>
      </c>
      <c r="Y20" s="33" t="b">
        <v>1</v>
      </c>
      <c r="Z20" s="33" t="s">
        <v>21</v>
      </c>
      <c r="AA20" s="33" t="s">
        <v>31</v>
      </c>
      <c r="AB20" s="34">
        <v>17.509584152597601</v>
      </c>
      <c r="AC20" s="34">
        <v>299.309130813634</v>
      </c>
      <c r="AD20" s="28">
        <v>10</v>
      </c>
      <c r="AE20" s="28">
        <v>200</v>
      </c>
      <c r="AF20" s="34">
        <f t="shared" si="6"/>
        <v>392.699081698724</v>
      </c>
      <c r="AG20" s="34">
        <f t="shared" si="7"/>
        <v>1.31201838257062</v>
      </c>
      <c r="AH20" s="34">
        <v>17.509584152597601</v>
      </c>
      <c r="AI20" s="34">
        <v>299.309130813634</v>
      </c>
      <c r="AJ20" s="28">
        <v>10</v>
      </c>
      <c r="AK20" s="28">
        <v>200</v>
      </c>
      <c r="AL20" s="34">
        <f t="shared" si="8"/>
        <v>392.699081698724</v>
      </c>
      <c r="AM20" s="34">
        <f t="shared" si="9"/>
        <v>1.31201838257062</v>
      </c>
      <c r="AN20" s="33">
        <f>VLOOKUP(B20,POINT!B:E,3,0)</f>
        <v>4.78</v>
      </c>
      <c r="AO20" s="33">
        <f>VLOOKUP(B20,POINT!B:E,4,0)</f>
        <v>7.76</v>
      </c>
      <c r="AP20" s="35">
        <f>VLOOKUP(B20,POINT!B:I,8,0)</f>
        <v>0</v>
      </c>
    </row>
    <row r="21" spans="1:42">
      <c r="A21" s="18"/>
      <c r="B21" s="36">
        <v>282</v>
      </c>
      <c r="C21" s="30">
        <v>1.7</v>
      </c>
      <c r="D21" s="30">
        <v>1.7</v>
      </c>
      <c r="E21" s="31">
        <f>VLOOKUP(B21,POINT!$B:$H,6,TRUE)</f>
        <v>0.22</v>
      </c>
      <c r="F21" s="31">
        <f>VLOOKUP(B21,POINT!$B:$H,7,TRUE)</f>
        <v>0.22</v>
      </c>
      <c r="G21" s="31">
        <f t="shared" si="10"/>
        <v>0</v>
      </c>
      <c r="H21" s="31">
        <f t="shared" si="11"/>
        <v>0</v>
      </c>
      <c r="I21" s="31">
        <v>0.3</v>
      </c>
      <c r="J21" s="31">
        <f t="shared" si="2"/>
        <v>0.05</v>
      </c>
      <c r="K21" s="32">
        <f t="shared" si="0"/>
        <v>1</v>
      </c>
      <c r="L21" s="31">
        <f>Rtc!$C$31</f>
        <v>19.100000000000001</v>
      </c>
      <c r="M21" s="31">
        <f t="shared" si="1"/>
        <v>0</v>
      </c>
      <c r="N21" s="31">
        <f t="shared" si="3"/>
        <v>1.5</v>
      </c>
      <c r="O21" s="31">
        <f>ROUNDDOWN(Rtc!$C$45,0)</f>
        <v>139</v>
      </c>
      <c r="P21" s="31">
        <f>Rtc!$C$35</f>
        <v>12.1</v>
      </c>
      <c r="Q21" s="31">
        <f>Rtc!$C$33</f>
        <v>19.5</v>
      </c>
      <c r="R21" s="31" t="str">
        <f t="shared" si="4"/>
        <v>B22.5</v>
      </c>
      <c r="S21" s="29">
        <f>HLOOKUP(R21,Data!$B$4:$M$9,2,0)</f>
        <v>13</v>
      </c>
      <c r="T21" s="29">
        <f>HLOOKUP(R21,Data!$B$4:$M$9,3,0)</f>
        <v>1</v>
      </c>
      <c r="U21" s="31"/>
      <c r="V21" s="31" t="str">
        <f t="shared" si="5"/>
        <v>CB300-V</v>
      </c>
      <c r="W21" s="29">
        <f>HLOOKUP(V21,Data!$B$13:$I$18,3,0)</f>
        <v>260</v>
      </c>
      <c r="X21" s="33" t="b">
        <v>1</v>
      </c>
      <c r="Y21" s="33" t="b">
        <v>1</v>
      </c>
      <c r="Z21" s="33" t="s">
        <v>21</v>
      </c>
      <c r="AA21" s="33" t="s">
        <v>31</v>
      </c>
      <c r="AB21" s="34">
        <v>8.5502632907450007</v>
      </c>
      <c r="AC21" s="34">
        <v>250</v>
      </c>
      <c r="AD21" s="28">
        <v>10</v>
      </c>
      <c r="AE21" s="28">
        <v>200</v>
      </c>
      <c r="AF21" s="34">
        <f t="shared" si="6"/>
        <v>392.699081698724</v>
      </c>
      <c r="AG21" s="34">
        <f t="shared" si="7"/>
        <v>1.5707963267949001</v>
      </c>
      <c r="AH21" s="34">
        <v>8.5502632907450007</v>
      </c>
      <c r="AI21" s="34">
        <v>250</v>
      </c>
      <c r="AJ21" s="28">
        <v>10</v>
      </c>
      <c r="AK21" s="28">
        <v>200</v>
      </c>
      <c r="AL21" s="34">
        <f t="shared" si="8"/>
        <v>392.699081698724</v>
      </c>
      <c r="AM21" s="34">
        <f t="shared" si="9"/>
        <v>1.5707963267949001</v>
      </c>
      <c r="AN21" s="33">
        <f>VLOOKUP(B21,POINT!B:E,3,0)</f>
        <v>9.75</v>
      </c>
      <c r="AO21" s="33">
        <f>VLOOKUP(B21,POINT!B:E,4,0)</f>
        <v>7.76</v>
      </c>
      <c r="AP21" s="35">
        <f>VLOOKUP(B21,POINT!B:I,8,0)</f>
        <v>0</v>
      </c>
    </row>
    <row r="22" spans="1:42">
      <c r="A22" s="18"/>
      <c r="B22" s="36">
        <v>283</v>
      </c>
      <c r="C22" s="30">
        <v>1.5</v>
      </c>
      <c r="D22" s="30">
        <v>1.5</v>
      </c>
      <c r="E22" s="31">
        <f>VLOOKUP(B22,POINT!$B:$H,6,TRUE)</f>
        <v>0.22</v>
      </c>
      <c r="F22" s="31">
        <f>VLOOKUP(B22,POINT!$B:$H,7,TRUE)</f>
        <v>0.22</v>
      </c>
      <c r="G22" s="31">
        <f t="shared" si="10"/>
        <v>0</v>
      </c>
      <c r="H22" s="31">
        <f t="shared" si="11"/>
        <v>0</v>
      </c>
      <c r="I22" s="31">
        <v>0.3</v>
      </c>
      <c r="J22" s="31">
        <f t="shared" si="2"/>
        <v>0.05</v>
      </c>
      <c r="K22" s="32">
        <f t="shared" si="0"/>
        <v>1</v>
      </c>
      <c r="L22" s="31">
        <f>Rtc!$C$31</f>
        <v>19.100000000000001</v>
      </c>
      <c r="M22" s="31">
        <f t="shared" si="1"/>
        <v>0</v>
      </c>
      <c r="N22" s="31">
        <f t="shared" si="3"/>
        <v>1.5</v>
      </c>
      <c r="O22" s="31">
        <f>ROUNDDOWN(Rtc!$C$45,0)</f>
        <v>139</v>
      </c>
      <c r="P22" s="31">
        <f>Rtc!$C$35</f>
        <v>12.1</v>
      </c>
      <c r="Q22" s="31">
        <f>Rtc!$C$33</f>
        <v>19.5</v>
      </c>
      <c r="R22" s="31" t="str">
        <f t="shared" si="4"/>
        <v>B22.5</v>
      </c>
      <c r="S22" s="29">
        <f>HLOOKUP(R22,Data!$B$4:$M$9,2,0)</f>
        <v>13</v>
      </c>
      <c r="T22" s="29">
        <f>HLOOKUP(R22,Data!$B$4:$M$9,3,0)</f>
        <v>1</v>
      </c>
      <c r="U22" s="31"/>
      <c r="V22" s="31" t="str">
        <f t="shared" si="5"/>
        <v>CB300-V</v>
      </c>
      <c r="W22" s="29">
        <f>HLOOKUP(V22,Data!$B$13:$I$18,3,0)</f>
        <v>260</v>
      </c>
      <c r="X22" s="33" t="b">
        <v>1</v>
      </c>
      <c r="Y22" s="33" t="b">
        <v>1</v>
      </c>
      <c r="Z22" s="33" t="s">
        <v>21</v>
      </c>
      <c r="AA22" s="33" t="s">
        <v>31</v>
      </c>
      <c r="AB22" s="34">
        <v>7.2090070371825998</v>
      </c>
      <c r="AC22" s="34">
        <v>250</v>
      </c>
      <c r="AD22" s="28">
        <v>10</v>
      </c>
      <c r="AE22" s="28">
        <v>200</v>
      </c>
      <c r="AF22" s="34">
        <f t="shared" si="6"/>
        <v>392.699081698724</v>
      </c>
      <c r="AG22" s="34">
        <f t="shared" si="7"/>
        <v>1.5707963267949001</v>
      </c>
      <c r="AH22" s="34">
        <v>7.2090070371825998</v>
      </c>
      <c r="AI22" s="34">
        <v>250</v>
      </c>
      <c r="AJ22" s="28">
        <v>10</v>
      </c>
      <c r="AK22" s="28">
        <v>200</v>
      </c>
      <c r="AL22" s="34">
        <f t="shared" si="8"/>
        <v>392.699081698724</v>
      </c>
      <c r="AM22" s="34">
        <f t="shared" si="9"/>
        <v>1.5707963267949001</v>
      </c>
      <c r="AN22" s="33">
        <f>VLOOKUP(B22,POINT!B:E,3,0)</f>
        <v>12.43</v>
      </c>
      <c r="AO22" s="33">
        <f>VLOOKUP(B22,POINT!B:E,4,0)</f>
        <v>7.76</v>
      </c>
      <c r="AP22" s="35">
        <f>VLOOKUP(B22,POINT!B:I,8,0)</f>
        <v>0</v>
      </c>
    </row>
    <row r="23" spans="1:42">
      <c r="A23" s="18"/>
      <c r="B23" s="36">
        <v>284</v>
      </c>
      <c r="C23" s="30">
        <v>1.2</v>
      </c>
      <c r="D23" s="30">
        <v>1.2</v>
      </c>
      <c r="E23" s="31">
        <f>VLOOKUP(B23,POINT!$B:$H,6,TRUE)</f>
        <v>0.22</v>
      </c>
      <c r="F23" s="31">
        <f>VLOOKUP(B23,POINT!$B:$H,7,TRUE)</f>
        <v>0.22</v>
      </c>
      <c r="G23" s="31">
        <f t="shared" si="10"/>
        <v>0</v>
      </c>
      <c r="H23" s="31">
        <f t="shared" si="11"/>
        <v>0</v>
      </c>
      <c r="I23" s="31">
        <v>0.3</v>
      </c>
      <c r="J23" s="31">
        <f t="shared" si="2"/>
        <v>0.05</v>
      </c>
      <c r="K23" s="32">
        <f t="shared" si="0"/>
        <v>1</v>
      </c>
      <c r="L23" s="31">
        <f>Rtc!$C$31</f>
        <v>19.100000000000001</v>
      </c>
      <c r="M23" s="31">
        <f t="shared" si="1"/>
        <v>0</v>
      </c>
      <c r="N23" s="31">
        <f t="shared" si="3"/>
        <v>1.5</v>
      </c>
      <c r="O23" s="31">
        <f>ROUNDDOWN(Rtc!$C$45,0)</f>
        <v>139</v>
      </c>
      <c r="P23" s="31">
        <f>Rtc!$C$35</f>
        <v>12.1</v>
      </c>
      <c r="Q23" s="31">
        <f>Rtc!$C$33</f>
        <v>19.5</v>
      </c>
      <c r="R23" s="31" t="str">
        <f t="shared" si="4"/>
        <v>B22.5</v>
      </c>
      <c r="S23" s="29">
        <f>HLOOKUP(R23,Data!$B$4:$M$9,2,0)</f>
        <v>13</v>
      </c>
      <c r="T23" s="29">
        <f>HLOOKUP(R23,Data!$B$4:$M$9,3,0)</f>
        <v>1</v>
      </c>
      <c r="U23" s="31"/>
      <c r="V23" s="31" t="str">
        <f t="shared" si="5"/>
        <v>CB300-V</v>
      </c>
      <c r="W23" s="29">
        <f>HLOOKUP(V23,Data!$B$13:$I$18,3,0)</f>
        <v>260</v>
      </c>
      <c r="X23" s="33" t="b">
        <v>1</v>
      </c>
      <c r="Y23" s="33" t="b">
        <v>1</v>
      </c>
      <c r="Z23" s="33" t="s">
        <v>19</v>
      </c>
      <c r="AA23" s="33" t="s">
        <v>25</v>
      </c>
      <c r="AB23" s="34">
        <v>5.8243229361865501</v>
      </c>
      <c r="AC23" s="34">
        <v>250</v>
      </c>
      <c r="AD23" s="28">
        <v>10</v>
      </c>
      <c r="AE23" s="28">
        <v>200</v>
      </c>
      <c r="AF23" s="34">
        <f t="shared" si="6"/>
        <v>392.699081698724</v>
      </c>
      <c r="AG23" s="34">
        <f t="shared" si="7"/>
        <v>1.5707963267949001</v>
      </c>
      <c r="AH23" s="34">
        <v>5.8243229361865501</v>
      </c>
      <c r="AI23" s="34">
        <v>250</v>
      </c>
      <c r="AJ23" s="28">
        <v>10</v>
      </c>
      <c r="AK23" s="28">
        <v>200</v>
      </c>
      <c r="AL23" s="34">
        <f t="shared" si="8"/>
        <v>392.699081698724</v>
      </c>
      <c r="AM23" s="34">
        <f t="shared" si="9"/>
        <v>1.5707963267949001</v>
      </c>
      <c r="AN23" s="33">
        <f>VLOOKUP(B23,POINT!B:E,3,0)</f>
        <v>20.78</v>
      </c>
      <c r="AO23" s="33">
        <f>VLOOKUP(B23,POINT!B:E,4,0)</f>
        <v>2.41</v>
      </c>
      <c r="AP23" s="35">
        <f>VLOOKUP(B23,POINT!B:I,8,0)</f>
        <v>0</v>
      </c>
    </row>
    <row r="24" spans="1:42">
      <c r="A24" s="18"/>
      <c r="B24" s="36">
        <v>285</v>
      </c>
      <c r="C24" s="30">
        <v>1.4</v>
      </c>
      <c r="D24" s="30">
        <v>1.4</v>
      </c>
      <c r="E24" s="31">
        <f>VLOOKUP(B24,POINT!$B:$H,6,TRUE)</f>
        <v>0.22</v>
      </c>
      <c r="F24" s="31">
        <f>VLOOKUP(B24,POINT!$B:$H,7,TRUE)</f>
        <v>0.22</v>
      </c>
      <c r="G24" s="31">
        <f t="shared" si="10"/>
        <v>0</v>
      </c>
      <c r="H24" s="31">
        <f t="shared" si="11"/>
        <v>0</v>
      </c>
      <c r="I24" s="31">
        <v>0.3</v>
      </c>
      <c r="J24" s="31">
        <f t="shared" si="2"/>
        <v>0.05</v>
      </c>
      <c r="K24" s="32">
        <f t="shared" si="0"/>
        <v>1</v>
      </c>
      <c r="L24" s="31">
        <f>Rtc!$C$31</f>
        <v>19.100000000000001</v>
      </c>
      <c r="M24" s="31">
        <f t="shared" si="1"/>
        <v>0</v>
      </c>
      <c r="N24" s="31">
        <f t="shared" si="3"/>
        <v>1.5</v>
      </c>
      <c r="O24" s="31">
        <f>ROUNDDOWN(Rtc!$C$45,0)</f>
        <v>139</v>
      </c>
      <c r="P24" s="31">
        <f>Rtc!$C$35</f>
        <v>12.1</v>
      </c>
      <c r="Q24" s="31">
        <f>Rtc!$C$33</f>
        <v>19.5</v>
      </c>
      <c r="R24" s="31" t="str">
        <f t="shared" si="4"/>
        <v>B22.5</v>
      </c>
      <c r="S24" s="29">
        <f>HLOOKUP(R24,Data!$B$4:$M$9,2,0)</f>
        <v>13</v>
      </c>
      <c r="T24" s="29">
        <f>HLOOKUP(R24,Data!$B$4:$M$9,3,0)</f>
        <v>1</v>
      </c>
      <c r="U24" s="31"/>
      <c r="V24" s="31" t="str">
        <f t="shared" si="5"/>
        <v>CB300-V</v>
      </c>
      <c r="W24" s="29">
        <f>HLOOKUP(V24,Data!$B$13:$I$18,3,0)</f>
        <v>260</v>
      </c>
      <c r="X24" s="33" t="b">
        <v>1</v>
      </c>
      <c r="Y24" s="33" t="b">
        <v>1</v>
      </c>
      <c r="Z24" s="33" t="s">
        <v>19</v>
      </c>
      <c r="AA24" s="33" t="s">
        <v>29</v>
      </c>
      <c r="AB24" s="34">
        <v>5.3060612350871503</v>
      </c>
      <c r="AC24" s="34">
        <v>250</v>
      </c>
      <c r="AD24" s="28">
        <v>10</v>
      </c>
      <c r="AE24" s="28">
        <v>200</v>
      </c>
      <c r="AF24" s="34">
        <f t="shared" si="6"/>
        <v>392.699081698724</v>
      </c>
      <c r="AG24" s="34">
        <f t="shared" si="7"/>
        <v>1.5707963267949001</v>
      </c>
      <c r="AH24" s="34">
        <v>5.3060612350871503</v>
      </c>
      <c r="AI24" s="34">
        <v>250</v>
      </c>
      <c r="AJ24" s="28">
        <v>10</v>
      </c>
      <c r="AK24" s="28">
        <v>200</v>
      </c>
      <c r="AL24" s="34">
        <f t="shared" si="8"/>
        <v>392.699081698724</v>
      </c>
      <c r="AM24" s="34">
        <f t="shared" si="9"/>
        <v>1.5707963267949001</v>
      </c>
      <c r="AN24" s="33">
        <f>VLOOKUP(B24,POINT!B:E,3,0)</f>
        <v>20.78</v>
      </c>
      <c r="AO24" s="33">
        <f>VLOOKUP(B24,POINT!B:E,4,0)</f>
        <v>3.78</v>
      </c>
      <c r="AP24" s="35">
        <f>VLOOKUP(B24,POINT!B:I,8,0)</f>
        <v>0</v>
      </c>
    </row>
    <row r="25" spans="1:42">
      <c r="A25" s="18"/>
      <c r="B25" s="36">
        <v>286</v>
      </c>
      <c r="C25" s="30">
        <v>1.2</v>
      </c>
      <c r="D25" s="30">
        <v>1.2</v>
      </c>
      <c r="E25" s="31">
        <f>VLOOKUP(B25,POINT!$B:$H,6,TRUE)</f>
        <v>0.22</v>
      </c>
      <c r="F25" s="31">
        <f>VLOOKUP(B25,POINT!$B:$H,7,TRUE)</f>
        <v>0.22</v>
      </c>
      <c r="G25" s="31">
        <f t="shared" si="10"/>
        <v>0</v>
      </c>
      <c r="H25" s="31">
        <f t="shared" si="11"/>
        <v>0</v>
      </c>
      <c r="I25" s="31">
        <v>0.3</v>
      </c>
      <c r="J25" s="31">
        <f t="shared" si="2"/>
        <v>0.05</v>
      </c>
      <c r="K25" s="32">
        <f t="shared" si="0"/>
        <v>1</v>
      </c>
      <c r="L25" s="31">
        <f>Rtc!$C$31</f>
        <v>19.100000000000001</v>
      </c>
      <c r="M25" s="31">
        <f t="shared" si="1"/>
        <v>0</v>
      </c>
      <c r="N25" s="31">
        <f t="shared" si="3"/>
        <v>1.5</v>
      </c>
      <c r="O25" s="31">
        <f>ROUNDDOWN(Rtc!$C$45,0)</f>
        <v>139</v>
      </c>
      <c r="P25" s="31">
        <f>Rtc!$C$35</f>
        <v>12.1</v>
      </c>
      <c r="Q25" s="31">
        <f>Rtc!$C$33</f>
        <v>19.5</v>
      </c>
      <c r="R25" s="31" t="str">
        <f t="shared" si="4"/>
        <v>B22.5</v>
      </c>
      <c r="S25" s="29">
        <f>HLOOKUP(R25,Data!$B$4:$M$9,2,0)</f>
        <v>13</v>
      </c>
      <c r="T25" s="29">
        <f>HLOOKUP(R25,Data!$B$4:$M$9,3,0)</f>
        <v>1</v>
      </c>
      <c r="U25" s="31"/>
      <c r="V25" s="31" t="str">
        <f t="shared" si="5"/>
        <v>CB300-V</v>
      </c>
      <c r="W25" s="29">
        <f>HLOOKUP(V25,Data!$B$13:$I$18,3,0)</f>
        <v>260</v>
      </c>
      <c r="X25" s="33" t="b">
        <v>1</v>
      </c>
      <c r="Y25" s="33" t="b">
        <v>1</v>
      </c>
      <c r="Z25" s="33" t="s">
        <v>15</v>
      </c>
      <c r="AA25" s="33" t="s">
        <v>28</v>
      </c>
      <c r="AB25" s="34">
        <v>5.9400534462849199</v>
      </c>
      <c r="AC25" s="34">
        <v>250</v>
      </c>
      <c r="AD25" s="28">
        <v>10</v>
      </c>
      <c r="AE25" s="28">
        <v>200</v>
      </c>
      <c r="AF25" s="34">
        <f t="shared" si="6"/>
        <v>392.699081698724</v>
      </c>
      <c r="AG25" s="34">
        <f t="shared" si="7"/>
        <v>1.5707963267949001</v>
      </c>
      <c r="AH25" s="34">
        <v>5.9400534462849199</v>
      </c>
      <c r="AI25" s="34">
        <v>250</v>
      </c>
      <c r="AJ25" s="28">
        <v>10</v>
      </c>
      <c r="AK25" s="28">
        <v>200</v>
      </c>
      <c r="AL25" s="34">
        <f t="shared" si="8"/>
        <v>392.699081698724</v>
      </c>
      <c r="AM25" s="34">
        <f t="shared" si="9"/>
        <v>1.5707963267949001</v>
      </c>
      <c r="AN25" s="33">
        <f>VLOOKUP(B25,POINT!B:E,3,0)</f>
        <v>20.78</v>
      </c>
      <c r="AO25" s="33">
        <f>VLOOKUP(B25,POINT!B:E,4,0)</f>
        <v>-0.23</v>
      </c>
      <c r="AP25" s="35">
        <f>VLOOKUP(B25,POINT!B:I,8,0)</f>
        <v>0</v>
      </c>
    </row>
    <row r="26" spans="1:42">
      <c r="A26" s="18"/>
      <c r="B26" s="36">
        <v>287</v>
      </c>
      <c r="C26" s="30">
        <v>1.4</v>
      </c>
      <c r="D26" s="30">
        <v>1.4</v>
      </c>
      <c r="E26" s="31">
        <f>VLOOKUP(B26,POINT!$B:$H,6,TRUE)</f>
        <v>0.22</v>
      </c>
      <c r="F26" s="31">
        <f>VLOOKUP(B26,POINT!$B:$H,7,TRUE)</f>
        <v>0.22</v>
      </c>
      <c r="G26" s="31">
        <f t="shared" si="10"/>
        <v>0</v>
      </c>
      <c r="H26" s="31">
        <f t="shared" si="11"/>
        <v>0</v>
      </c>
      <c r="I26" s="31">
        <v>0.3</v>
      </c>
      <c r="J26" s="31">
        <f t="shared" si="2"/>
        <v>0.05</v>
      </c>
      <c r="K26" s="32">
        <f t="shared" si="0"/>
        <v>1</v>
      </c>
      <c r="L26" s="31">
        <f>Rtc!$C$31</f>
        <v>19.100000000000001</v>
      </c>
      <c r="M26" s="31">
        <f t="shared" si="1"/>
        <v>0</v>
      </c>
      <c r="N26" s="31">
        <f t="shared" si="3"/>
        <v>1.5</v>
      </c>
      <c r="O26" s="31">
        <f>ROUNDDOWN(Rtc!$C$45,0)</f>
        <v>139</v>
      </c>
      <c r="P26" s="31">
        <f>Rtc!$C$35</f>
        <v>12.1</v>
      </c>
      <c r="Q26" s="31">
        <f>Rtc!$C$33</f>
        <v>19.5</v>
      </c>
      <c r="R26" s="31" t="str">
        <f t="shared" si="4"/>
        <v>B22.5</v>
      </c>
      <c r="S26" s="29">
        <f>HLOOKUP(R26,Data!$B$4:$M$9,2,0)</f>
        <v>13</v>
      </c>
      <c r="T26" s="29">
        <f>HLOOKUP(R26,Data!$B$4:$M$9,3,0)</f>
        <v>1</v>
      </c>
      <c r="U26" s="31"/>
      <c r="V26" s="31" t="str">
        <f t="shared" si="5"/>
        <v>CB300-V</v>
      </c>
      <c r="W26" s="29">
        <f>HLOOKUP(V26,Data!$B$13:$I$18,3,0)</f>
        <v>260</v>
      </c>
      <c r="X26" s="33" t="b">
        <v>1</v>
      </c>
      <c r="Y26" s="33" t="b">
        <v>1</v>
      </c>
      <c r="Z26" s="33" t="s">
        <v>22</v>
      </c>
      <c r="AA26" s="33" t="s">
        <v>32</v>
      </c>
      <c r="AB26" s="34">
        <v>5.6884517155234198</v>
      </c>
      <c r="AC26" s="34">
        <v>250</v>
      </c>
      <c r="AD26" s="28">
        <v>10</v>
      </c>
      <c r="AE26" s="28">
        <v>200</v>
      </c>
      <c r="AF26" s="34">
        <f t="shared" si="6"/>
        <v>392.699081698724</v>
      </c>
      <c r="AG26" s="34">
        <f t="shared" si="7"/>
        <v>1.5707963267949001</v>
      </c>
      <c r="AH26" s="34">
        <v>5.6884517155234198</v>
      </c>
      <c r="AI26" s="34">
        <v>250</v>
      </c>
      <c r="AJ26" s="28">
        <v>10</v>
      </c>
      <c r="AK26" s="28">
        <v>200</v>
      </c>
      <c r="AL26" s="34">
        <f t="shared" si="8"/>
        <v>392.699081698724</v>
      </c>
      <c r="AM26" s="34">
        <f t="shared" si="9"/>
        <v>1.5707963267949001</v>
      </c>
      <c r="AN26" s="33">
        <f>VLOOKUP(B26,POINT!B:E,3,0)</f>
        <v>20.78</v>
      </c>
      <c r="AO26" s="33">
        <f>VLOOKUP(B26,POINT!B:E,4,0)</f>
        <v>-1.8</v>
      </c>
      <c r="AP26" s="35">
        <f>VLOOKUP(B26,POINT!B:I,8,0)</f>
        <v>0</v>
      </c>
    </row>
    <row r="27" spans="1:42">
      <c r="A27" s="18"/>
      <c r="B27" s="36">
        <v>288</v>
      </c>
      <c r="C27" s="30">
        <v>1.2</v>
      </c>
      <c r="D27" s="30">
        <v>1.2</v>
      </c>
      <c r="E27" s="31">
        <f>VLOOKUP(B27,POINT!$B:$H,6,TRUE)</f>
        <v>0.22</v>
      </c>
      <c r="F27" s="31">
        <f>VLOOKUP(B27,POINT!$B:$H,7,TRUE)</f>
        <v>0.22</v>
      </c>
      <c r="G27" s="31">
        <f t="shared" si="10"/>
        <v>0</v>
      </c>
      <c r="H27" s="31">
        <f t="shared" si="11"/>
        <v>0</v>
      </c>
      <c r="I27" s="31">
        <v>0.3</v>
      </c>
      <c r="J27" s="31">
        <f t="shared" si="2"/>
        <v>0.05</v>
      </c>
      <c r="K27" s="32">
        <f t="shared" si="0"/>
        <v>1</v>
      </c>
      <c r="L27" s="31">
        <f>Rtc!$C$31</f>
        <v>19.100000000000001</v>
      </c>
      <c r="M27" s="31">
        <f t="shared" si="1"/>
        <v>0</v>
      </c>
      <c r="N27" s="31">
        <f t="shared" si="3"/>
        <v>1.5</v>
      </c>
      <c r="O27" s="31">
        <f>ROUNDDOWN(Rtc!$C$45,0)</f>
        <v>139</v>
      </c>
      <c r="P27" s="31">
        <f>Rtc!$C$35</f>
        <v>12.1</v>
      </c>
      <c r="Q27" s="31">
        <f>Rtc!$C$33</f>
        <v>19.5</v>
      </c>
      <c r="R27" s="31" t="str">
        <f t="shared" si="4"/>
        <v>B22.5</v>
      </c>
      <c r="S27" s="29">
        <f>HLOOKUP(R27,Data!$B$4:$M$9,2,0)</f>
        <v>13</v>
      </c>
      <c r="T27" s="29">
        <f>HLOOKUP(R27,Data!$B$4:$M$9,3,0)</f>
        <v>1</v>
      </c>
      <c r="U27" s="31"/>
      <c r="V27" s="31" t="str">
        <f t="shared" si="5"/>
        <v>CB300-V</v>
      </c>
      <c r="W27" s="29">
        <f>HLOOKUP(V27,Data!$B$13:$I$18,3,0)</f>
        <v>260</v>
      </c>
      <c r="X27" s="33" t="b">
        <v>1</v>
      </c>
      <c r="Y27" s="33" t="b">
        <v>1</v>
      </c>
      <c r="Z27" s="33" t="s">
        <v>22</v>
      </c>
      <c r="AA27" s="33" t="s">
        <v>32</v>
      </c>
      <c r="AB27" s="34">
        <v>6.2713625412965301</v>
      </c>
      <c r="AC27" s="34">
        <v>250</v>
      </c>
      <c r="AD27" s="28">
        <v>10</v>
      </c>
      <c r="AE27" s="28">
        <v>200</v>
      </c>
      <c r="AF27" s="34">
        <f t="shared" si="6"/>
        <v>392.699081698724</v>
      </c>
      <c r="AG27" s="34">
        <f t="shared" si="7"/>
        <v>1.5707963267949001</v>
      </c>
      <c r="AH27" s="34">
        <v>6.2713625412965301</v>
      </c>
      <c r="AI27" s="34">
        <v>250</v>
      </c>
      <c r="AJ27" s="28">
        <v>10</v>
      </c>
      <c r="AK27" s="28">
        <v>200</v>
      </c>
      <c r="AL27" s="34">
        <f t="shared" si="8"/>
        <v>392.699081698724</v>
      </c>
      <c r="AM27" s="34">
        <f t="shared" si="9"/>
        <v>1.5707963267949001</v>
      </c>
      <c r="AN27" s="33">
        <f>VLOOKUP(B27,POINT!B:E,3,0)</f>
        <v>16.97</v>
      </c>
      <c r="AO27" s="33">
        <f>VLOOKUP(B27,POINT!B:E,4,0)</f>
        <v>-1.8</v>
      </c>
      <c r="AP27" s="35">
        <f>VLOOKUP(B27,POINT!B:I,8,0)</f>
        <v>0</v>
      </c>
    </row>
    <row r="28" spans="1:42">
      <c r="A28" s="18"/>
      <c r="B28" s="36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36"/>
      <c r="T28" s="36"/>
      <c r="U28" s="15"/>
      <c r="V28" s="15"/>
      <c r="W28" s="36"/>
      <c r="X28" s="37"/>
      <c r="Y28" s="37"/>
      <c r="Z28" s="37"/>
      <c r="AA28" s="37"/>
      <c r="AB28" s="38"/>
      <c r="AC28" s="18"/>
      <c r="AD28" s="15"/>
      <c r="AE28" s="15"/>
      <c r="AF28" s="18"/>
      <c r="AG28" s="18"/>
      <c r="AH28" s="18"/>
      <c r="AI28" s="18"/>
      <c r="AJ28" s="15"/>
      <c r="AK28" s="15"/>
      <c r="AL28" s="18"/>
      <c r="AM28" s="18"/>
      <c r="AN28" s="18"/>
      <c r="AO28" s="18"/>
      <c r="AP28" s="39"/>
    </row>
  </sheetData>
  <mergeCells count="16">
    <mergeCell ref="A1:AM1"/>
    <mergeCell ref="AN1:AQ1"/>
    <mergeCell ref="G2:H2"/>
    <mergeCell ref="AD2:AE2"/>
    <mergeCell ref="AJ2:AK2"/>
    <mergeCell ref="AN2:AQ2"/>
    <mergeCell ref="A2:A3"/>
    <mergeCell ref="R2:R3"/>
    <mergeCell ref="U2:U3"/>
    <mergeCell ref="V2:V3"/>
    <mergeCell ref="X2:X3"/>
    <mergeCell ref="Y2:Y3"/>
    <mergeCell ref="Z2:Z3"/>
    <mergeCell ref="AA2:AA3"/>
    <mergeCell ref="AG2:AG3"/>
    <mergeCell ref="AM2:AM3"/>
  </mergeCells>
  <conditionalFormatting sqref="I2:I27">
    <cfRule type="cellIs" dxfId="4" priority="12" operator="equal">
      <formula>#REF!</formula>
    </cfRule>
  </conditionalFormatting>
  <conditionalFormatting sqref="X1:Y15000">
    <cfRule type="cellIs" dxfId="3" priority="1" operator="equal">
      <formula>"FAIL"</formula>
    </cfRule>
  </conditionalFormatting>
  <dataValidations count="1">
    <dataValidation type="list" allowBlank="1" showInputMessage="1" showErrorMessage="1" sqref="A1">
      <formula1>"MÓNG ĐƠN LỆCH TÂM XIÊN,MÓNG ĐƠN"</formula1>
    </dataValidation>
  </dataValidations>
  <pageMargins left="0.7" right="0.7" top="0.75" bottom="0.75" header="0.3" footer="0.3"/>
  <pageSetup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lessThan" id="{155E5494-F6D8-4718-8918-79D053D257E0}">
            <xm:f>Data!$C$29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AG2:AG27 AM2:AM27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Data!$B$4:$M$4</xm:f>
          </x14:formula1>
          <xm:sqref>R4:R27</xm:sqref>
        </x14:dataValidation>
        <x14:dataValidation type="list" allowBlank="1" showInputMessage="1" showErrorMessage="1">
          <x14:formula1>
            <xm:f>Data!$B$13:$I$13</xm:f>
          </x14:formula1>
          <xm:sqref>V4:V27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CJ243"/>
  <sheetViews>
    <sheetView topLeftCell="AJ1" workbookViewId="0">
      <selection activeCell="BE4" sqref="BE4"/>
    </sheetView>
  </sheetViews>
  <sheetFormatPr defaultColWidth="9.140625" defaultRowHeight="15"/>
  <cols>
    <col min="1" max="1" width="5.5703125" style="2" customWidth="1"/>
    <col min="2" max="2" width="6" style="3" customWidth="1"/>
    <col min="3" max="3" width="6.85546875" style="3" customWidth="1"/>
    <col min="4" max="4" width="6.42578125" style="4" customWidth="1"/>
    <col min="5" max="5" width="6.7109375" style="4" customWidth="1"/>
    <col min="6" max="6" width="6.5703125" style="4" customWidth="1"/>
    <col min="7" max="7" width="7.28515625" style="4" customWidth="1"/>
    <col min="8" max="8" width="7.5703125" style="4" customWidth="1"/>
    <col min="9" max="9" width="6.85546875" style="4" customWidth="1"/>
    <col min="10" max="10" width="6.42578125" style="4" customWidth="1"/>
    <col min="11" max="11" width="6.7109375" style="4" customWidth="1"/>
    <col min="12" max="12" width="6.5703125" style="4" customWidth="1"/>
    <col min="13" max="13" width="7.28515625" style="4" customWidth="1"/>
    <col min="14" max="14" width="7.5703125" style="4" customWidth="1"/>
    <col min="15" max="23" width="4.5703125" style="4" customWidth="1"/>
    <col min="24" max="24" width="5.5703125" style="4" customWidth="1"/>
    <col min="25" max="26" width="4.5703125" style="4" customWidth="1"/>
    <col min="27" max="27" width="7" style="4" customWidth="1"/>
    <col min="28" max="29" width="5.5703125" style="4" customWidth="1"/>
    <col min="30" max="30" width="5.7109375" style="3" customWidth="1"/>
    <col min="31" max="31" width="8.28515625" style="3" customWidth="1"/>
    <col min="32" max="32" width="5.5703125" style="5" customWidth="1"/>
    <col min="33" max="33" width="4.85546875" style="5" customWidth="1"/>
    <col min="34" max="34" width="6.5703125" style="5" customWidth="1"/>
    <col min="35" max="35" width="5" style="2" customWidth="1"/>
    <col min="36" max="42" width="4.5703125" style="5" customWidth="1"/>
    <col min="43" max="43" width="4.85546875" style="5" customWidth="1"/>
    <col min="44" max="44" width="4.5703125" style="5" customWidth="1"/>
    <col min="45" max="45" width="6.5703125" style="5" customWidth="1"/>
    <col min="46" max="47" width="6.28515625" style="5" customWidth="1"/>
    <col min="48" max="48" width="6.5703125" style="5" customWidth="1"/>
    <col min="49" max="49" width="6.28515625" style="5" customWidth="1"/>
    <col min="50" max="50" width="5.7109375" style="5" customWidth="1"/>
    <col min="51" max="56" width="6.5703125" style="5" customWidth="1"/>
    <col min="57" max="57" width="6.28515625" style="5" customWidth="1"/>
    <col min="58" max="59" width="6.5703125" style="5" customWidth="1"/>
    <col min="60" max="60" width="6.28515625" style="5" customWidth="1"/>
    <col min="61" max="68" width="7.5703125" style="5" customWidth="1"/>
    <col min="69" max="69" width="6.28515625" style="5" customWidth="1"/>
    <col min="70" max="70" width="5.5703125" style="5" customWidth="1"/>
    <col min="71" max="71" width="6.5703125" style="5" customWidth="1"/>
    <col min="72" max="72" width="4.5703125" style="5" customWidth="1"/>
    <col min="73" max="73" width="6.28515625" style="5" customWidth="1"/>
    <col min="74" max="74" width="6.5703125" style="5" customWidth="1"/>
    <col min="75" max="75" width="4.5703125" style="5" customWidth="1"/>
    <col min="76" max="76" width="6.28515625" style="5" customWidth="1"/>
    <col min="77" max="80" width="6.5703125" style="5" customWidth="1"/>
    <col min="81" max="82" width="7.42578125" style="5" customWidth="1"/>
    <col min="83" max="86" width="7.5703125" style="5" customWidth="1"/>
    <col min="87" max="88" width="7" style="5" customWidth="1"/>
    <col min="89" max="16384" width="9.140625" style="6"/>
  </cols>
  <sheetData>
    <row r="1" spans="1:88" s="1" customFormat="1">
      <c r="A1" s="7"/>
      <c r="B1" s="8"/>
      <c r="C1" s="188" t="s">
        <v>376</v>
      </c>
      <c r="D1" s="189"/>
      <c r="E1" s="189"/>
      <c r="F1" s="189"/>
      <c r="G1" s="189"/>
      <c r="H1" s="190"/>
      <c r="I1" s="191" t="s">
        <v>375</v>
      </c>
      <c r="J1" s="191"/>
      <c r="K1" s="191"/>
      <c r="L1" s="191"/>
      <c r="M1" s="191"/>
      <c r="N1" s="191"/>
      <c r="O1" s="192" t="s">
        <v>393</v>
      </c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4"/>
      <c r="AF1" s="192" t="s">
        <v>394</v>
      </c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4"/>
    </row>
    <row r="2" spans="1:88">
      <c r="B2" s="9"/>
      <c r="C2" s="10" t="s">
        <v>395</v>
      </c>
      <c r="D2" s="10" t="s">
        <v>396</v>
      </c>
      <c r="E2" s="10" t="s">
        <v>397</v>
      </c>
      <c r="F2" s="10" t="s">
        <v>398</v>
      </c>
      <c r="G2" s="10" t="s">
        <v>399</v>
      </c>
      <c r="H2" s="10" t="s">
        <v>400</v>
      </c>
      <c r="I2" s="10" t="s">
        <v>395</v>
      </c>
      <c r="J2" s="10" t="s">
        <v>396</v>
      </c>
      <c r="K2" s="10" t="s">
        <v>397</v>
      </c>
      <c r="L2" s="10" t="s">
        <v>398</v>
      </c>
      <c r="M2" s="10" t="s">
        <v>399</v>
      </c>
      <c r="N2" s="10" t="s">
        <v>400</v>
      </c>
      <c r="O2" s="11" t="s">
        <v>401</v>
      </c>
      <c r="P2" s="11" t="s">
        <v>402</v>
      </c>
      <c r="Q2" s="11" t="s">
        <v>403</v>
      </c>
      <c r="R2" s="11" t="s">
        <v>404</v>
      </c>
      <c r="S2" s="11" t="s">
        <v>405</v>
      </c>
      <c r="T2" s="11" t="s">
        <v>406</v>
      </c>
      <c r="U2" s="11" t="s">
        <v>407</v>
      </c>
      <c r="V2" s="11" t="s">
        <v>360</v>
      </c>
      <c r="W2" s="11" t="s">
        <v>408</v>
      </c>
      <c r="X2" s="11" t="s">
        <v>409</v>
      </c>
      <c r="Y2" s="11" t="s">
        <v>410</v>
      </c>
      <c r="Z2" s="11" t="s">
        <v>411</v>
      </c>
      <c r="AA2" s="11" t="s">
        <v>412</v>
      </c>
      <c r="AB2" s="11" t="s">
        <v>366</v>
      </c>
      <c r="AC2" s="11" t="s">
        <v>413</v>
      </c>
      <c r="AD2" s="11" t="s">
        <v>414</v>
      </c>
      <c r="AE2" s="11" t="s">
        <v>72</v>
      </c>
      <c r="AF2" s="11" t="s">
        <v>369</v>
      </c>
      <c r="AG2" s="11" t="s">
        <v>370</v>
      </c>
      <c r="AH2" s="11" t="s">
        <v>372</v>
      </c>
      <c r="AI2" s="11" t="s">
        <v>415</v>
      </c>
      <c r="AJ2" s="11" t="s">
        <v>416</v>
      </c>
      <c r="AK2" s="11" t="s">
        <v>417</v>
      </c>
      <c r="AL2" s="11" t="s">
        <v>418</v>
      </c>
      <c r="AM2" s="11" t="s">
        <v>419</v>
      </c>
      <c r="AN2" s="11" t="s">
        <v>420</v>
      </c>
      <c r="AO2" s="11" t="s">
        <v>421</v>
      </c>
      <c r="AP2" s="11" t="s">
        <v>422</v>
      </c>
      <c r="AQ2" s="11" t="s">
        <v>423</v>
      </c>
      <c r="AR2" s="11" t="s">
        <v>260</v>
      </c>
      <c r="AS2" s="195" t="s">
        <v>424</v>
      </c>
      <c r="AT2" s="195"/>
      <c r="AU2" s="195"/>
      <c r="AV2" s="195" t="s">
        <v>425</v>
      </c>
      <c r="AW2" s="195"/>
      <c r="AX2" s="195"/>
      <c r="AY2" s="195" t="s">
        <v>426</v>
      </c>
      <c r="AZ2" s="195"/>
      <c r="BA2" s="195"/>
      <c r="BB2" s="195" t="s">
        <v>427</v>
      </c>
      <c r="BC2" s="195"/>
      <c r="BD2" s="195"/>
      <c r="BE2" s="195"/>
      <c r="BF2" s="195" t="s">
        <v>428</v>
      </c>
      <c r="BG2" s="195"/>
      <c r="BH2" s="195"/>
      <c r="BI2" s="195" t="s">
        <v>429</v>
      </c>
      <c r="BJ2" s="195"/>
      <c r="BK2" s="195"/>
      <c r="BL2" s="195"/>
      <c r="BM2" s="195"/>
      <c r="BN2" s="195"/>
      <c r="BO2" s="195"/>
      <c r="BP2" s="195"/>
      <c r="BQ2" s="195"/>
      <c r="BR2" s="195" t="s">
        <v>430</v>
      </c>
      <c r="BS2" s="195"/>
      <c r="BT2" s="195"/>
      <c r="BU2" s="195"/>
      <c r="BV2" s="195" t="s">
        <v>431</v>
      </c>
      <c r="BW2" s="195"/>
      <c r="BX2" s="195"/>
      <c r="BY2" s="195" t="s">
        <v>432</v>
      </c>
      <c r="BZ2" s="195"/>
      <c r="CA2" s="195"/>
      <c r="CB2" s="195"/>
      <c r="CC2" s="195"/>
      <c r="CD2" s="195"/>
      <c r="CE2" s="195"/>
      <c r="CF2" s="195"/>
      <c r="CG2" s="195" t="s">
        <v>433</v>
      </c>
      <c r="CH2" s="195"/>
      <c r="CI2" s="195"/>
      <c r="CJ2" s="195"/>
    </row>
    <row r="3" spans="1:88" ht="30">
      <c r="A3" s="9" t="s">
        <v>434</v>
      </c>
      <c r="B3" s="9" t="s">
        <v>435</v>
      </c>
      <c r="C3" s="10" t="s">
        <v>395</v>
      </c>
      <c r="D3" s="10" t="s">
        <v>436</v>
      </c>
      <c r="E3" s="10" t="s">
        <v>436</v>
      </c>
      <c r="F3" s="10" t="s">
        <v>436</v>
      </c>
      <c r="G3" s="10" t="s">
        <v>437</v>
      </c>
      <c r="H3" s="10" t="s">
        <v>437</v>
      </c>
      <c r="I3" s="10" t="s">
        <v>395</v>
      </c>
      <c r="J3" s="10" t="s">
        <v>436</v>
      </c>
      <c r="K3" s="10" t="s">
        <v>436</v>
      </c>
      <c r="L3" s="10" t="s">
        <v>436</v>
      </c>
      <c r="M3" s="10" t="s">
        <v>437</v>
      </c>
      <c r="N3" s="10" t="s">
        <v>437</v>
      </c>
      <c r="O3" s="10" t="s">
        <v>83</v>
      </c>
      <c r="P3" s="10" t="s">
        <v>83</v>
      </c>
      <c r="Q3" s="10" t="s">
        <v>83</v>
      </c>
      <c r="R3" s="10" t="s">
        <v>83</v>
      </c>
      <c r="S3" s="10" t="s">
        <v>83</v>
      </c>
      <c r="T3" s="10" t="s">
        <v>83</v>
      </c>
      <c r="U3" s="10" t="s">
        <v>83</v>
      </c>
      <c r="V3" s="10" t="s">
        <v>83</v>
      </c>
      <c r="W3" s="10" t="s">
        <v>83</v>
      </c>
      <c r="X3" s="10"/>
      <c r="Y3" s="10"/>
      <c r="Z3" s="10"/>
      <c r="AA3" s="11" t="s">
        <v>384</v>
      </c>
      <c r="AB3" s="11"/>
      <c r="AC3" s="11"/>
      <c r="AD3" s="11"/>
      <c r="AE3" s="11"/>
      <c r="AF3" s="11" t="s">
        <v>438</v>
      </c>
      <c r="AG3" s="11" t="s">
        <v>438</v>
      </c>
      <c r="AH3" s="11" t="s">
        <v>438</v>
      </c>
      <c r="AI3" s="10"/>
      <c r="AJ3" s="10"/>
      <c r="AK3" s="10"/>
      <c r="AL3" s="10" t="s">
        <v>377</v>
      </c>
      <c r="AM3" s="11"/>
      <c r="AN3" s="11"/>
      <c r="AO3" s="11"/>
      <c r="AP3" s="11"/>
      <c r="AQ3" s="11"/>
      <c r="AR3" s="11"/>
      <c r="AS3" s="13" t="s">
        <v>439</v>
      </c>
      <c r="AT3" s="13" t="s">
        <v>440</v>
      </c>
      <c r="AU3" s="13" t="s">
        <v>441</v>
      </c>
      <c r="AV3" s="13" t="s">
        <v>442</v>
      </c>
      <c r="AW3" s="13" t="s">
        <v>443</v>
      </c>
      <c r="AX3" s="13" t="s">
        <v>444</v>
      </c>
      <c r="AY3" s="13" t="s">
        <v>445</v>
      </c>
      <c r="AZ3" s="13" t="s">
        <v>446</v>
      </c>
      <c r="BA3" s="13" t="s">
        <v>447</v>
      </c>
      <c r="BB3" s="13" t="s">
        <v>448</v>
      </c>
      <c r="BC3" s="13" t="s">
        <v>449</v>
      </c>
      <c r="BD3" s="13" t="s">
        <v>450</v>
      </c>
      <c r="BE3" s="14" t="s">
        <v>451</v>
      </c>
      <c r="BF3" s="13" t="s">
        <v>452</v>
      </c>
      <c r="BG3" s="13" t="s">
        <v>453</v>
      </c>
      <c r="BH3" s="14" t="s">
        <v>451</v>
      </c>
      <c r="BI3" s="13" t="s">
        <v>454</v>
      </c>
      <c r="BJ3" s="13" t="s">
        <v>455</v>
      </c>
      <c r="BK3" s="13" t="s">
        <v>456</v>
      </c>
      <c r="BL3" s="13" t="s">
        <v>457</v>
      </c>
      <c r="BM3" s="13" t="s">
        <v>458</v>
      </c>
      <c r="BN3" s="13" t="s">
        <v>459</v>
      </c>
      <c r="BO3" s="13" t="s">
        <v>460</v>
      </c>
      <c r="BP3" s="13" t="s">
        <v>461</v>
      </c>
      <c r="BQ3" s="14" t="s">
        <v>451</v>
      </c>
      <c r="BR3" s="13" t="s">
        <v>462</v>
      </c>
      <c r="BS3" s="12" t="s">
        <v>463</v>
      </c>
      <c r="BT3" s="14" t="s">
        <v>464</v>
      </c>
      <c r="BU3" s="14" t="s">
        <v>451</v>
      </c>
      <c r="BV3" s="14" t="s">
        <v>465</v>
      </c>
      <c r="BW3" s="14" t="s">
        <v>464</v>
      </c>
      <c r="BX3" s="14" t="s">
        <v>451</v>
      </c>
      <c r="BY3" s="13" t="s">
        <v>466</v>
      </c>
      <c r="BZ3" s="13" t="s">
        <v>467</v>
      </c>
      <c r="CA3" s="13" t="s">
        <v>468</v>
      </c>
      <c r="CB3" s="13" t="s">
        <v>469</v>
      </c>
      <c r="CC3" s="13" t="s">
        <v>470</v>
      </c>
      <c r="CD3" s="13" t="s">
        <v>471</v>
      </c>
      <c r="CE3" s="13" t="s">
        <v>472</v>
      </c>
      <c r="CF3" s="13" t="s">
        <v>473</v>
      </c>
      <c r="CG3" s="13" t="s">
        <v>474</v>
      </c>
      <c r="CH3" s="13" t="s">
        <v>475</v>
      </c>
      <c r="CI3" s="13" t="s">
        <v>476</v>
      </c>
      <c r="CJ3" s="13" t="s">
        <v>477</v>
      </c>
    </row>
    <row r="4" spans="1:88">
      <c r="B4" s="15">
        <v>1</v>
      </c>
      <c r="C4" s="15" t="s">
        <v>23</v>
      </c>
      <c r="D4" s="16">
        <v>0.54234657320067003</v>
      </c>
      <c r="E4" s="16">
        <v>0.486853374189056</v>
      </c>
      <c r="F4" s="16">
        <v>170.91357170184901</v>
      </c>
      <c r="G4" s="16">
        <v>-0.69216108091454098</v>
      </c>
      <c r="H4" s="16">
        <v>0.70575310045711104</v>
      </c>
      <c r="I4" s="16" t="s">
        <v>13</v>
      </c>
      <c r="J4" s="16">
        <v>0.451836132359061</v>
      </c>
      <c r="K4" s="16">
        <v>0.42480858898570101</v>
      </c>
      <c r="L4" s="16">
        <v>146.04490812021999</v>
      </c>
      <c r="M4" s="16">
        <v>-0.60046419010543195</v>
      </c>
      <c r="N4" s="16">
        <v>0.58885344089998204</v>
      </c>
      <c r="O4" s="16">
        <v>1.2</v>
      </c>
      <c r="P4" s="16">
        <v>1.2</v>
      </c>
      <c r="Q4" s="16">
        <v>0.22</v>
      </c>
      <c r="R4" s="16">
        <v>0.22</v>
      </c>
      <c r="S4" s="16">
        <v>0</v>
      </c>
      <c r="T4" s="16">
        <v>0</v>
      </c>
      <c r="U4" s="16">
        <v>0.3</v>
      </c>
      <c r="V4" s="16">
        <v>0.05</v>
      </c>
      <c r="W4" s="16">
        <v>1</v>
      </c>
      <c r="X4" s="16">
        <v>19.100000000000001</v>
      </c>
      <c r="Y4" s="16">
        <v>0</v>
      </c>
      <c r="Z4" s="16">
        <v>1.5</v>
      </c>
      <c r="AA4" s="16">
        <v>139</v>
      </c>
      <c r="AB4" s="16">
        <v>12.1</v>
      </c>
      <c r="AC4" s="16">
        <v>19.5</v>
      </c>
      <c r="AD4" s="15" t="s">
        <v>42</v>
      </c>
      <c r="AE4" s="15" t="s">
        <v>61</v>
      </c>
      <c r="AF4" s="17">
        <f>HLOOKUP(AD4,Data!$B$4:$M$9,2,0)</f>
        <v>13</v>
      </c>
      <c r="AG4" s="17">
        <f>HLOOKUP(AD4,Data!$B$4:$M$9,3,0)</f>
        <v>1</v>
      </c>
      <c r="AH4" s="17">
        <f>HLOOKUP(AE4,Data!$B$13:$I$18,3,0)</f>
        <v>260</v>
      </c>
      <c r="AI4" s="18">
        <f t="shared" ref="AI4" si="0">O4*P4</f>
        <v>1.44</v>
      </c>
      <c r="AJ4" s="17">
        <f t="shared" ref="AJ4" si="1">1/6*O4*P4^2</f>
        <v>0.28799999999999998</v>
      </c>
      <c r="AK4" s="17">
        <f t="shared" ref="AK4" si="2">1/6*P4*O4^2</f>
        <v>0.28799999999999998</v>
      </c>
      <c r="AL4" s="17">
        <f t="shared" ref="AL4" si="3">U4-V4</f>
        <v>0.25</v>
      </c>
      <c r="AM4" s="17">
        <f t="shared" ref="AM4" si="4">O4/2-Q4/2+S4</f>
        <v>0.49</v>
      </c>
      <c r="AN4" s="17">
        <f t="shared" ref="AN4" si="5">O4-AM4-Q4</f>
        <v>0.49</v>
      </c>
      <c r="AO4" s="17">
        <f t="shared" ref="AO4" si="6">P4/2-R4/2+T4</f>
        <v>0.49</v>
      </c>
      <c r="AP4" s="17">
        <f>P4-AO4-R4</f>
        <v>0.49</v>
      </c>
      <c r="AQ4" s="17">
        <f t="shared" ref="AQ4" si="7">(2*Q4+2*R4+2*(MIN(AM4,AL4)+Q4+MIN(AN4,AL4))+2*(MIN(AO4,AL4)+R4+MIN(AP4,AL4)))/2</f>
        <v>1.88</v>
      </c>
      <c r="AR4" s="17">
        <f t="shared" ref="AR4" si="8">O4*P4-(MIN(AM4,AL4)+Q4+MIN(AN4,AL4))*(MIN(AO4,AL4)+R4+MIN(AP4,AL4))</f>
        <v>0.92159999999999997</v>
      </c>
      <c r="AS4" s="17">
        <f t="shared" ref="AS4" si="9">F4+X4*Y4*O4*P4</f>
        <v>170.91357170184901</v>
      </c>
      <c r="AT4" s="17">
        <f t="shared" ref="AT4" si="10">G4-E4*U4-F4*T4</f>
        <v>-0.83821709317125803</v>
      </c>
      <c r="AU4" s="17">
        <f t="shared" ref="AU4" si="11">H4+D4*U4+F4*S4</f>
        <v>0.86845707241731196</v>
      </c>
      <c r="AV4" s="17">
        <f t="shared" ref="AV4" si="12">L4+X4*Y4*O4*P4</f>
        <v>146.04490812021999</v>
      </c>
      <c r="AW4" s="17">
        <f t="shared" ref="AW4" si="13">M4-K4*U4-L4*T4</f>
        <v>-0.72790676680114297</v>
      </c>
      <c r="AX4" s="17">
        <f t="shared" ref="AX4" si="14">N4+J4*U4+L4*S4</f>
        <v>0.72440428060770001</v>
      </c>
      <c r="AY4" s="17">
        <f t="shared" ref="AY4" si="15">AS4/AI4+ABS(AT4)/AJ4+ABS(AU4)/AK4+X4*W4+Z4</f>
        <v>145.21593231235499</v>
      </c>
      <c r="AZ4" s="17">
        <f t="shared" ref="AZ4" si="16">AS4/AI4-ABS(AT4)/AJ4-ABS(AU4)/AK4+X4*W4+Z4</f>
        <v>133.36402838465699</v>
      </c>
      <c r="BA4" s="17">
        <f t="shared" ref="BA4" si="17">AS4/AI4+X4*W4+Z4</f>
        <v>139.28998034850599</v>
      </c>
      <c r="BB4" s="17">
        <f t="shared" ref="BB4" si="18">AV4/AI4+ABS(AW4)/AJ4+ABS(AX4)/AK4+X4*W4+Z4</f>
        <v>127.06282177587801</v>
      </c>
      <c r="BC4" s="17">
        <f t="shared" ref="BC4" si="19">AV4/AI4-ABS(AW4)/AJ4-ABS(AX4)/AK4+X4*W4+Z4</f>
        <v>116.977328391095</v>
      </c>
      <c r="BD4" s="17">
        <f t="shared" ref="BD4" si="20">AV4/AI4+X4*W4+Z4</f>
        <v>122.02007508348601</v>
      </c>
      <c r="BE4" s="17" t="str">
        <f>IF(AND(BD4&lt;=AA4,BB4&lt;=AA4*MongDon!$J$44,BC4&gt;0),"Ok","FAIL")</f>
        <v>Ok</v>
      </c>
      <c r="BF4" s="17">
        <f t="shared" ref="BF4" si="21">AY4*AR4</f>
        <v>133.83100321906699</v>
      </c>
      <c r="BG4" s="17">
        <f t="shared" ref="BG4" si="22">0.75*AG4*1000*AQ4*AL4</f>
        <v>352.5</v>
      </c>
      <c r="BH4" s="17" t="str">
        <f>IF(BF4&lt;BG4,"Ok","FAIL")</f>
        <v>Ok</v>
      </c>
      <c r="BI4" s="17">
        <f t="shared" ref="BI4" si="23">(BY4+BZ4)/2*(IF(AP4&gt;AL4,(AP4-AL4)*O4,0))</f>
        <v>40.953731433541002</v>
      </c>
      <c r="BJ4" s="17">
        <f t="shared" ref="BJ4" si="24">(BZ4+CA4)/2*(IF(AN4&gt;AL4,(AN4-AL4)*P4,0))</f>
        <v>40.983971412787099</v>
      </c>
      <c r="BK4" s="17">
        <f t="shared" ref="BK4" si="25">(CA4+CB4)/2*(IF(AO4&gt;AL4,(AO4-AL4)*O4,0))</f>
        <v>39.277297247198497</v>
      </c>
      <c r="BL4" s="17">
        <f t="shared" ref="BL4" si="26">(CB4+BY4)/2*(IF(AM4&gt;AL4,(AM4-AL4)*P4,0))</f>
        <v>39.247057267952499</v>
      </c>
      <c r="BM4" s="17">
        <f>0.75*AG4*1000*((Q4+2*MIN(AL4,AP4)+Q4)/2)*AL4</f>
        <v>88.125</v>
      </c>
      <c r="BN4" s="17">
        <f t="shared" ref="BN4" si="27">0.75*AG4*1000*((R4+2*MIN(AL4,AN4)+R4)/2)*AL4</f>
        <v>88.125</v>
      </c>
      <c r="BO4" s="17">
        <f t="shared" ref="BO4" si="28">0.75*AG4*1000*((Q4+2*MIN(AL4,AO4)+Q4)/2)*AL4</f>
        <v>88.125</v>
      </c>
      <c r="BP4" s="17">
        <f t="shared" ref="BP4" si="29">0.75*AG4*1000*((R4+2*MIN(AL4,AM4)+R4)/2)*AL4</f>
        <v>88.125</v>
      </c>
      <c r="BQ4" s="17" t="str">
        <f>IF(AND(BI4&lt;BM4,BJ4&lt;BN4,BK4&lt;BO4,BL4&lt;BP4),"Ok","FAIL")</f>
        <v>Ok</v>
      </c>
      <c r="BR4" s="17">
        <f>AS4*TAN(RADIANS(AB4))+AC4*O4*P4</f>
        <v>64.720694925050907</v>
      </c>
      <c r="BS4" s="17">
        <f t="shared" ref="BS4" si="30">ABS(BR4)/MAX(ABS(D4),ABS(E4))</f>
        <v>119.334569670276</v>
      </c>
      <c r="BT4" s="16">
        <f>MongDon!$H$80</f>
        <v>1.2</v>
      </c>
      <c r="BU4" s="17" t="str">
        <f>IF(BS4&gt;BT4,"Ok","FAIL")</f>
        <v>Ok</v>
      </c>
      <c r="BV4" s="17">
        <f>MIN(ABS((F4*MIN(AM4+Q4/2,AN4+Q4/2)+O4*P4*W4*X4*O4/2)/(G4-E4*U4-F4*T4)),ABS((F4*MIN(AO4+R4/2,AP4+R4/2)+O4*P4*W4*X4*P4/2)/(H4+D4*U4+F4*S4)))</f>
        <v>137.08281825575699</v>
      </c>
      <c r="BW4" s="16">
        <f>MongDon!$F$86</f>
        <v>1.5</v>
      </c>
      <c r="BX4" s="17" t="str">
        <f>IF(BV4&gt;BW4,"Ok","FAIL")</f>
        <v>Ok</v>
      </c>
      <c r="BY4" s="17">
        <f>(AS4/AI4)+(AT4*-P4/2)/(P4*O4^3/12)+(AU4*-O4/2)/(O4*P4^3/12)+X4*W4+Z4</f>
        <v>139.184980420568</v>
      </c>
      <c r="BZ4" s="17">
        <f>(AS4/AI4)+(AT4*-P4/2)/(P4*O4^3/12)+(AU4*O4/2)/(O4*P4^3/12)+X4*W4+Z4</f>
        <v>145.21593231235499</v>
      </c>
      <c r="CA4" s="17">
        <f>(AS4/AI4)+(AT4*P4/2)/(P4*O4^3/12)+(AU4*O4/2)/(O4*P4^3/12)+X4*W4+Z4</f>
        <v>139.39498027644399</v>
      </c>
      <c r="CB4" s="17">
        <f>(AS4/AI4)+(AT4*P4/2)/(P4*O4^3/12)+(AU4*-O4/2)/(O4*P4^3/12)+X4*W4+Z4</f>
        <v>133.36402838465699</v>
      </c>
      <c r="CC4" s="17">
        <f t="shared" ref="CC4" si="31">(MIN(BY4,CB4)+(MAX(BZ4,CA4)-MIN(BY4,CB4))*(AM4+Q4)/O4)</f>
        <v>140.37640487521199</v>
      </c>
      <c r="CD4" s="17">
        <f t="shared" ref="CD4" si="32">(MIN(BZ4,CA4)+(MAX(BY4,CB4)-MIN(BZ4,CA4))*(AN4+Q4)/O4)</f>
        <v>139.27073036171799</v>
      </c>
      <c r="CE4" s="17">
        <f t="shared" ref="CE4" si="33">(MIN(CA4,CB4)+(MAX(BY4,BZ4)-MIN(CA4,CB4))*(AO4+R4)/P4)</f>
        <v>140.37640487521199</v>
      </c>
      <c r="CF4" s="17">
        <f t="shared" ref="CF4" si="34">(MIN(BY4,BZ4)+(MAX(CA4,CB4)-MIN(BY4,BZ4))*(AP4+R4)/P4)</f>
        <v>139.30923033529501</v>
      </c>
      <c r="CG4" s="17">
        <f t="shared" ref="CG4" si="35">MAX(((2*MAX(BY4,BZ4)+CE4)*(AP4^2)/6),((2*MAX(CA4,CB4)+CF4)*(AO4^2)/6))</f>
        <v>17.239510917821899</v>
      </c>
      <c r="CH4" s="17">
        <f t="shared" ref="CH4" si="36">MAX(((2*MAX(BZ4,CA4)+CC4)*(AN4^2)/6),((2*MAX(BY4,CB4)+CD4)*(AM4^2)/6))</f>
        <v>17.239510917821899</v>
      </c>
      <c r="CI4" s="17">
        <f t="shared" ref="CI4" si="37">MAX(CH4*10^6/(0.9*AH4*AL4*1000),(0.1/100)*1000*AL4*1000)</f>
        <v>294.692494321742</v>
      </c>
      <c r="CJ4" s="17">
        <f t="shared" ref="CJ4" si="38">MAX(CG4*10^6/(0.9*AH4*AL4*1000),(0.1/100)*1000*AL4*1000)</f>
        <v>294.692494321742</v>
      </c>
    </row>
    <row r="5" spans="1:88">
      <c r="B5" s="15">
        <v>1</v>
      </c>
      <c r="C5" s="15" t="s">
        <v>24</v>
      </c>
      <c r="D5" s="16">
        <v>0.63300022841207604</v>
      </c>
      <c r="E5" s="16">
        <v>0.52598122679862402</v>
      </c>
      <c r="F5" s="16">
        <v>191.44191724106199</v>
      </c>
      <c r="G5" s="16">
        <v>-0.75546202451167399</v>
      </c>
      <c r="H5" s="16">
        <v>0.82178173139137201</v>
      </c>
      <c r="I5" s="16" t="s">
        <v>14</v>
      </c>
      <c r="J5" s="16">
        <v>0.52738084503523197</v>
      </c>
      <c r="K5" s="16">
        <v>0.45741513282700802</v>
      </c>
      <c r="L5" s="16">
        <v>163.15186273623101</v>
      </c>
      <c r="M5" s="16">
        <v>-0.65321497643637605</v>
      </c>
      <c r="N5" s="16">
        <v>0.68554396667853301</v>
      </c>
      <c r="O5" s="16">
        <v>1.2</v>
      </c>
      <c r="P5" s="16">
        <v>1.2</v>
      </c>
      <c r="Q5" s="16">
        <v>0.22</v>
      </c>
      <c r="R5" s="16">
        <v>0.22</v>
      </c>
      <c r="S5" s="16">
        <v>0</v>
      </c>
      <c r="T5" s="16">
        <v>0</v>
      </c>
      <c r="U5" s="16">
        <v>0.3</v>
      </c>
      <c r="V5" s="16">
        <v>0.05</v>
      </c>
      <c r="W5" s="16">
        <v>1</v>
      </c>
      <c r="X5" s="16">
        <v>19.100000000000001</v>
      </c>
      <c r="Y5" s="16">
        <v>0</v>
      </c>
      <c r="Z5" s="16">
        <v>1.5</v>
      </c>
      <c r="AA5" s="16">
        <v>139</v>
      </c>
      <c r="AB5" s="16">
        <v>12.1</v>
      </c>
      <c r="AC5" s="16">
        <v>19.5</v>
      </c>
      <c r="AD5" s="15" t="s">
        <v>42</v>
      </c>
      <c r="AE5" s="15" t="s">
        <v>61</v>
      </c>
      <c r="AF5" s="17">
        <f>HLOOKUP(AD5,Data!$B$4:$M$9,2,0)</f>
        <v>13</v>
      </c>
      <c r="AG5" s="17">
        <f>HLOOKUP(AD5,Data!$B$4:$M$9,3,0)</f>
        <v>1</v>
      </c>
      <c r="AH5" s="17">
        <f>HLOOKUP(AE5,Data!$B$13:$I$18,3,0)</f>
        <v>260</v>
      </c>
      <c r="AI5" s="18">
        <f t="shared" ref="AI5:AI68" si="39">O5*P5</f>
        <v>1.44</v>
      </c>
      <c r="AJ5" s="17">
        <f t="shared" ref="AJ5:AJ68" si="40">1/6*O5*P5^2</f>
        <v>0.28799999999999998</v>
      </c>
      <c r="AK5" s="17">
        <f t="shared" ref="AK5:AK68" si="41">1/6*P5*O5^2</f>
        <v>0.28799999999999998</v>
      </c>
      <c r="AL5" s="17">
        <f t="shared" ref="AL5:AL68" si="42">U5-V5</f>
        <v>0.25</v>
      </c>
      <c r="AM5" s="17">
        <f t="shared" ref="AM5:AM68" si="43">O5/2-Q5/2+S5</f>
        <v>0.49</v>
      </c>
      <c r="AN5" s="17">
        <f t="shared" ref="AN5:AN68" si="44">O5-AM5-Q5</f>
        <v>0.49</v>
      </c>
      <c r="AO5" s="17">
        <f t="shared" ref="AO5:AO68" si="45">P5/2-R5/2+T5</f>
        <v>0.49</v>
      </c>
      <c r="AP5" s="17">
        <f t="shared" ref="AP5:AP68" si="46">P5-AO5-R5</f>
        <v>0.49</v>
      </c>
      <c r="AQ5" s="17">
        <f t="shared" ref="AQ5:AQ68" si="47">(2*Q5+2*R5+2*(MIN(AM5,AL5)+Q5+MIN(AN5,AL5))+2*(MIN(AO5,AL5)+R5+MIN(AP5,AL5)))/2</f>
        <v>1.88</v>
      </c>
      <c r="AR5" s="17">
        <f t="shared" ref="AR5:AR68" si="48">O5*P5-(MIN(AM5,AL5)+Q5+MIN(AN5,AL5))*(MIN(AO5,AL5)+R5+MIN(AP5,AL5))</f>
        <v>0.92159999999999997</v>
      </c>
      <c r="AS5" s="17">
        <f t="shared" ref="AS5:AS68" si="49">F5+X5*Y5*O5*P5</f>
        <v>191.44191724106199</v>
      </c>
      <c r="AT5" s="17">
        <f t="shared" ref="AT5:AT68" si="50">G5-E5*U5-F5*T5</f>
        <v>-0.91325639255126101</v>
      </c>
      <c r="AU5" s="17">
        <f t="shared" ref="AU5:AU68" si="51">H5+D5*U5+F5*S5</f>
        <v>1.0116817999149901</v>
      </c>
      <c r="AV5" s="17">
        <f t="shared" ref="AV5:AV68" si="52">L5+X5*Y5*O5*P5</f>
        <v>163.15186273623101</v>
      </c>
      <c r="AW5" s="17">
        <f t="shared" ref="AW5:AW68" si="53">M5-K5*U5-L5*T5</f>
        <v>-0.79043951628447795</v>
      </c>
      <c r="AX5" s="17">
        <f t="shared" ref="AX5:AX68" si="54">N5+J5*U5+L5*S5</f>
        <v>0.84375822018910196</v>
      </c>
      <c r="AY5" s="17">
        <f t="shared" ref="AY5:AY68" si="55">AS5/AI5+ABS(AT5)/AJ5+ABS(AU5)/AK5+X5*W5+Z5</f>
        <v>160.22958903013401</v>
      </c>
      <c r="AZ5" s="17">
        <f t="shared" ref="AZ5:AZ68" si="56">AS5/AI5-ABS(AT5)/AJ5-ABS(AU5)/AK5+X5*W5+Z5</f>
        <v>146.86196269356299</v>
      </c>
      <c r="BA5" s="17">
        <f t="shared" ref="BA5:BA68" si="57">AS5/AI5+X5*W5+Z5</f>
        <v>153.545775861848</v>
      </c>
      <c r="BB5" s="17">
        <f t="shared" ref="BB5:BB68" si="58">AV5/AI5+ABS(AW5)/AJ5+ABS(AX5)/AK5+X5*W5+Z5</f>
        <v>139.57420237402701</v>
      </c>
      <c r="BC5" s="17">
        <f t="shared" ref="BC5:BC68" si="59">AV5/AI5-ABS(AW5)/AJ5-ABS(AX5)/AK5+X5*W5+Z5</f>
        <v>128.22560698184901</v>
      </c>
      <c r="BD5" s="17">
        <f t="shared" ref="BD5:BD68" si="60">AV5/AI5+X5*W5+Z5</f>
        <v>133.899904677938</v>
      </c>
      <c r="BE5" s="17" t="str">
        <f>IF(AND(BD5&lt;=AA5,BB5&lt;=AA5*MongDon!$J$44,BC5&gt;0),"Ok","FAIL")</f>
        <v>Ok</v>
      </c>
      <c r="BF5" s="17">
        <f t="shared" ref="BF5:BF68" si="61">AY5*AR5</f>
        <v>147.667589250172</v>
      </c>
      <c r="BG5" s="17">
        <f t="shared" ref="BG5:BG68" si="62">0.75*AG5*1000*AQ5*AL5</f>
        <v>352.5</v>
      </c>
      <c r="BH5" s="17" t="str">
        <f t="shared" ref="BH5:BH68" si="63">IF(BF5&lt;BG5,"Ok","FAIL")</f>
        <v>Ok</v>
      </c>
      <c r="BI5" s="17">
        <f t="shared" ref="BI5:BI68" si="64">(BY5+BZ5)/2*(IF(AP5&gt;AL5,(AP5-AL5)*O5,0))</f>
        <v>45.134439840763598</v>
      </c>
      <c r="BJ5" s="17">
        <f t="shared" ref="BJ5:BJ68" si="65">(BZ5+CA5)/2*(IF(AN5&gt;AL5,(AN5-AL5)*P5,0))</f>
        <v>45.232865248127297</v>
      </c>
      <c r="BK5" s="17">
        <f t="shared" ref="BK5:BK68" si="66">(CA5+CB5)/2*(IF(AO5&gt;AL5,(AO5-AL5)*O5,0))</f>
        <v>43.307927055661096</v>
      </c>
      <c r="BL5" s="17">
        <f t="shared" ref="BL5:BL68" si="67">(CB5+BY5)/2*(IF(AM5&gt;AL5,(AM5-AL5)*P5,0))</f>
        <v>43.209501648297397</v>
      </c>
      <c r="BM5" s="17">
        <f t="shared" ref="BM5:BM68" si="68">0.75*AG5*1000*((Q5+2*MIN(AL5,AP5)+Q5)/2)*AL5</f>
        <v>88.125</v>
      </c>
      <c r="BN5" s="17">
        <f t="shared" ref="BN5:BN68" si="69">0.75*AG5*1000*((R5+2*MIN(AL5,AN5)+R5)/2)*AL5</f>
        <v>88.125</v>
      </c>
      <c r="BO5" s="17">
        <f t="shared" ref="BO5:BO68" si="70">0.75*AG5*1000*((Q5+2*MIN(AL5,AO5)+Q5)/2)*AL5</f>
        <v>88.125</v>
      </c>
      <c r="BP5" s="17">
        <f t="shared" ref="BP5:BP68" si="71">0.75*AG5*1000*((R5+2*MIN(AL5,AM5)+R5)/2)*AL5</f>
        <v>88.125</v>
      </c>
      <c r="BQ5" s="17" t="str">
        <f t="shared" ref="BQ5:BQ68" si="72">IF(AND(BI5&lt;BM5,BJ5&lt;BN5,BK5&lt;BO5,BL5&lt;BP5),"Ok","FAIL")</f>
        <v>Ok</v>
      </c>
      <c r="BR5" s="17">
        <f t="shared" ref="BR5:BR68" si="73">AS5*TAN(RADIANS(AB5))+AC5*O5*P5</f>
        <v>69.1215908792379</v>
      </c>
      <c r="BS5" s="17">
        <f t="shared" ref="BS5:BS68" si="74">ABS(BR5)/MAX(ABS(D5),ABS(E5))</f>
        <v>109.196786630921</v>
      </c>
      <c r="BT5" s="16">
        <f>MongDon!$H$80</f>
        <v>1.2</v>
      </c>
      <c r="BU5" s="17" t="str">
        <f t="shared" ref="BU5:BU68" si="75">IF(BS5&gt;BT5,"Ok","FAIL")</f>
        <v>Ok</v>
      </c>
      <c r="BV5" s="17">
        <f t="shared" ref="BV5:BV68" si="76">MIN(ABS((F5*MIN(AM5+Q5/2,AN5+Q5/2)+O5*P5*W5*X5*O5/2)/(G5-E5*U5-F5*T5)),ABS((F5*MIN(AO5+R5/2,AP5+R5/2)+O5*P5*W5*X5*P5/2)/(H5+D5*U5+F5*S5)))</f>
        <v>129.85066090511401</v>
      </c>
      <c r="BW5" s="16">
        <f>MongDon!$F$86</f>
        <v>1.5</v>
      </c>
      <c r="BX5" s="17" t="str">
        <f t="shared" ref="BX5:BX68" si="77">IF(BV5&gt;BW5,"Ok","FAIL")</f>
        <v>Ok</v>
      </c>
      <c r="BY5" s="17">
        <f t="shared" ref="BY5:BY68" si="78">(AS5/AI5)+(AT5*-P5/2)/(P5*O5^3/12)+(AU5*-O5/2)/(O5*P5^3/12)+X5*W5+Z5</f>
        <v>153.20402097516899</v>
      </c>
      <c r="BZ5" s="17">
        <f t="shared" ref="BZ5:BZ68" si="79">(AS5/AI5)+(AT5*-P5/2)/(P5*O5^3/12)+(AU5*O5/2)/(O5*P5^3/12)+X5*W5+Z5</f>
        <v>160.22958903013401</v>
      </c>
      <c r="CA5" s="17">
        <f t="shared" ref="CA5:CA68" si="80">(AS5/AI5)+(AT5*P5/2)/(P5*O5^3/12)+(AU5*O5/2)/(O5*P5^3/12)+X5*W5+Z5</f>
        <v>153.88753074852801</v>
      </c>
      <c r="CB5" s="17">
        <f t="shared" ref="CB5:CB68" si="81">(AS5/AI5)+(AT5*P5/2)/(P5*O5^3/12)+(AU5*-O5/2)/(O5*P5^3/12)+X5*W5+Z5</f>
        <v>146.86196269356299</v>
      </c>
      <c r="CC5" s="17">
        <f t="shared" ref="CC5:CC68" si="82">(MIN(BY5,CB5)+(MAX(BZ5,CA5)-MIN(BY5,CB5))*(AM5+Q5)/O5)</f>
        <v>154.77114160936699</v>
      </c>
      <c r="CD5" s="17">
        <f t="shared" ref="CD5:CD68" si="83">(MIN(BZ5,CA5)+(MAX(BY5,CB5)-MIN(BZ5,CA5))*(AN5+Q5)/O5)</f>
        <v>153.48312079929099</v>
      </c>
      <c r="CE5" s="17">
        <f t="shared" ref="CE5:CE68" si="84">(MIN(CA5,CB5)+(MAX(BY5,BZ5)-MIN(CA5,CB5))*(AO5+R5)/P5)</f>
        <v>154.77114160936699</v>
      </c>
      <c r="CF5" s="17">
        <f t="shared" ref="CF5:CF68" si="85">(MIN(BY5,BZ5)+(MAX(CA5,CB5)-MIN(BY5,BZ5))*(AP5+R5)/P5)</f>
        <v>153.60843092440601</v>
      </c>
      <c r="CG5" s="17">
        <f t="shared" ref="CG5:CG68" si="86">MAX(((2*MAX(BY5,BZ5)+CE5)*(AP5^2)/6),((2*MAX(CA5,CB5)+CF5)*(AO5^2)/6))</f>
        <v>19.017133292113201</v>
      </c>
      <c r="CH5" s="17">
        <f t="shared" ref="CH5:CH68" si="87">MAX(((2*MAX(BZ5,CA5)+CC5)*(AN5^2)/6),((2*MAX(BY5,CB5)+CD5)*(AM5^2)/6))</f>
        <v>19.017133292113201</v>
      </c>
      <c r="CI5" s="17">
        <f t="shared" ref="CI5:CI68" si="88">MAX(CH5*10^6/(0.9*AH5*AL5*1000),(0.1/100)*1000*AL5*1000)</f>
        <v>325.079201574585</v>
      </c>
      <c r="CJ5" s="17">
        <f t="shared" ref="CJ5:CJ68" si="89">MAX(CG5*10^6/(0.9*AH5*AL5*1000),(0.1/100)*1000*AL5*1000)</f>
        <v>325.079201574585</v>
      </c>
    </row>
    <row r="6" spans="1:88">
      <c r="B6" s="15">
        <v>1</v>
      </c>
      <c r="C6" s="15" t="s">
        <v>25</v>
      </c>
      <c r="D6" s="16">
        <v>-2.7591417639032798</v>
      </c>
      <c r="E6" s="16">
        <v>1.3759598396870301</v>
      </c>
      <c r="F6" s="16">
        <v>190.015782551608</v>
      </c>
      <c r="G6" s="16">
        <v>-2.2037044225455502</v>
      </c>
      <c r="H6" s="16">
        <v>-4.5040163323964704</v>
      </c>
      <c r="I6" s="16" t="s">
        <v>15</v>
      </c>
      <c r="J6" s="16">
        <v>-2.2994041485609</v>
      </c>
      <c r="K6" s="16">
        <v>1.16573064356735</v>
      </c>
      <c r="L6" s="16">
        <v>161.96341716168601</v>
      </c>
      <c r="M6" s="16">
        <v>-1.86008364146461</v>
      </c>
      <c r="N6" s="16">
        <v>-3.7526210864779999</v>
      </c>
      <c r="O6" s="16">
        <v>1.2</v>
      </c>
      <c r="P6" s="16">
        <v>1.2</v>
      </c>
      <c r="Q6" s="16">
        <v>0.22</v>
      </c>
      <c r="R6" s="16">
        <v>0.22</v>
      </c>
      <c r="S6" s="16">
        <v>0</v>
      </c>
      <c r="T6" s="16">
        <v>0</v>
      </c>
      <c r="U6" s="16">
        <v>0.3</v>
      </c>
      <c r="V6" s="16">
        <v>0.05</v>
      </c>
      <c r="W6" s="16">
        <v>1</v>
      </c>
      <c r="X6" s="16">
        <v>19.100000000000001</v>
      </c>
      <c r="Y6" s="16">
        <v>0</v>
      </c>
      <c r="Z6" s="16">
        <v>1.5</v>
      </c>
      <c r="AA6" s="16">
        <v>139</v>
      </c>
      <c r="AB6" s="16">
        <v>12.1</v>
      </c>
      <c r="AC6" s="16">
        <v>19.5</v>
      </c>
      <c r="AD6" s="15" t="s">
        <v>42</v>
      </c>
      <c r="AE6" s="15" t="s">
        <v>61</v>
      </c>
      <c r="AF6" s="17">
        <f>HLOOKUP(AD6,Data!$B$4:$M$9,2,0)</f>
        <v>13</v>
      </c>
      <c r="AG6" s="17">
        <f>HLOOKUP(AD6,Data!$B$4:$M$9,3,0)</f>
        <v>1</v>
      </c>
      <c r="AH6" s="17">
        <f>HLOOKUP(AE6,Data!$B$13:$I$18,3,0)</f>
        <v>260</v>
      </c>
      <c r="AI6" s="18">
        <f t="shared" si="39"/>
        <v>1.44</v>
      </c>
      <c r="AJ6" s="17">
        <f t="shared" si="40"/>
        <v>0.28799999999999998</v>
      </c>
      <c r="AK6" s="17">
        <f t="shared" si="41"/>
        <v>0.28799999999999998</v>
      </c>
      <c r="AL6" s="17">
        <f t="shared" si="42"/>
        <v>0.25</v>
      </c>
      <c r="AM6" s="17">
        <f t="shared" si="43"/>
        <v>0.49</v>
      </c>
      <c r="AN6" s="17">
        <f t="shared" si="44"/>
        <v>0.49</v>
      </c>
      <c r="AO6" s="17">
        <f t="shared" si="45"/>
        <v>0.49</v>
      </c>
      <c r="AP6" s="17">
        <f t="shared" si="46"/>
        <v>0.49</v>
      </c>
      <c r="AQ6" s="17">
        <f t="shared" si="47"/>
        <v>1.88</v>
      </c>
      <c r="AR6" s="17">
        <f t="shared" si="48"/>
        <v>0.92159999999999997</v>
      </c>
      <c r="AS6" s="17">
        <f t="shared" si="49"/>
        <v>190.015782551608</v>
      </c>
      <c r="AT6" s="17">
        <f t="shared" si="50"/>
        <v>-2.6164923744516599</v>
      </c>
      <c r="AU6" s="17">
        <f t="shared" si="51"/>
        <v>-5.33175886156745</v>
      </c>
      <c r="AV6" s="17">
        <f t="shared" si="52"/>
        <v>161.96341716168601</v>
      </c>
      <c r="AW6" s="17">
        <f t="shared" si="53"/>
        <v>-2.20980283453481</v>
      </c>
      <c r="AX6" s="17">
        <f t="shared" si="54"/>
        <v>-4.4424423310462702</v>
      </c>
      <c r="AY6" s="17">
        <f t="shared" si="55"/>
        <v>180.153499119239</v>
      </c>
      <c r="AZ6" s="17">
        <f t="shared" si="56"/>
        <v>124.957309980217</v>
      </c>
      <c r="BA6" s="17">
        <f t="shared" si="57"/>
        <v>152.555404549728</v>
      </c>
      <c r="BB6" s="17">
        <f t="shared" si="58"/>
        <v>156.172668742772</v>
      </c>
      <c r="BC6" s="17">
        <f t="shared" si="59"/>
        <v>109.97652175957001</v>
      </c>
      <c r="BD6" s="17">
        <f t="shared" si="60"/>
        <v>133.07459525117099</v>
      </c>
      <c r="BE6" s="17" t="str">
        <f>IF(AND(BD6&lt;=AA6,BB6&lt;=AA6*MongDon!$J$44,BC6&gt;0),"Ok","FAIL")</f>
        <v>Ok</v>
      </c>
      <c r="BF6" s="17">
        <f t="shared" si="61"/>
        <v>166.02946478829</v>
      </c>
      <c r="BG6" s="17">
        <f t="shared" si="62"/>
        <v>352.5</v>
      </c>
      <c r="BH6" s="17" t="str">
        <f t="shared" si="63"/>
        <v>Ok</v>
      </c>
      <c r="BI6" s="17">
        <f t="shared" si="64"/>
        <v>46.552448884773298</v>
      </c>
      <c r="BJ6" s="17">
        <f t="shared" si="65"/>
        <v>38.604197648754202</v>
      </c>
      <c r="BK6" s="17">
        <f t="shared" si="66"/>
        <v>41.31946413587</v>
      </c>
      <c r="BL6" s="17">
        <f t="shared" si="67"/>
        <v>49.267715371889103</v>
      </c>
      <c r="BM6" s="17">
        <f t="shared" si="68"/>
        <v>88.125</v>
      </c>
      <c r="BN6" s="17">
        <f t="shared" si="69"/>
        <v>88.125</v>
      </c>
      <c r="BO6" s="17">
        <f t="shared" si="70"/>
        <v>88.125</v>
      </c>
      <c r="BP6" s="17">
        <f t="shared" si="71"/>
        <v>88.125</v>
      </c>
      <c r="BQ6" s="17" t="str">
        <f t="shared" si="72"/>
        <v>Ok</v>
      </c>
      <c r="BR6" s="17">
        <f t="shared" si="73"/>
        <v>68.815854093340903</v>
      </c>
      <c r="BS6" s="17">
        <f t="shared" si="74"/>
        <v>24.941036011135999</v>
      </c>
      <c r="BT6" s="16">
        <f>MongDon!$H$80</f>
        <v>1.2</v>
      </c>
      <c r="BU6" s="17" t="str">
        <f t="shared" si="75"/>
        <v>Ok</v>
      </c>
      <c r="BV6" s="17">
        <f t="shared" si="76"/>
        <v>24.478201831617799</v>
      </c>
      <c r="BW6" s="16">
        <f>MongDon!$F$86</f>
        <v>1.5</v>
      </c>
      <c r="BX6" s="17" t="str">
        <f t="shared" si="77"/>
        <v>Ok</v>
      </c>
      <c r="BY6" s="17">
        <f t="shared" si="78"/>
        <v>180.153499119239</v>
      </c>
      <c r="BZ6" s="17">
        <f t="shared" si="79"/>
        <v>143.127395913909</v>
      </c>
      <c r="CA6" s="17">
        <f t="shared" si="80"/>
        <v>124.957309980217</v>
      </c>
      <c r="CB6" s="17">
        <f t="shared" si="81"/>
        <v>161.98341318554699</v>
      </c>
      <c r="CC6" s="17">
        <f t="shared" si="82"/>
        <v>150.82693629982799</v>
      </c>
      <c r="CD6" s="17">
        <f t="shared" si="83"/>
        <v>157.615055220805</v>
      </c>
      <c r="CE6" s="17">
        <f t="shared" si="84"/>
        <v>157.615055220805</v>
      </c>
      <c r="CF6" s="17">
        <f t="shared" si="85"/>
        <v>154.283872799628</v>
      </c>
      <c r="CG6" s="17">
        <f t="shared" si="86"/>
        <v>20.725514172595599</v>
      </c>
      <c r="CH6" s="17">
        <f t="shared" si="87"/>
        <v>20.725514172595599</v>
      </c>
      <c r="CI6" s="17">
        <f t="shared" si="88"/>
        <v>354.282293548643</v>
      </c>
      <c r="CJ6" s="17">
        <f t="shared" si="89"/>
        <v>354.282293548643</v>
      </c>
    </row>
    <row r="7" spans="1:88">
      <c r="B7" s="15">
        <v>1</v>
      </c>
      <c r="C7" s="15" t="s">
        <v>26</v>
      </c>
      <c r="D7" s="16">
        <v>4.0070114896851496</v>
      </c>
      <c r="E7" s="16">
        <v>-0.33182295661170003</v>
      </c>
      <c r="F7" s="16">
        <v>188.762382822673</v>
      </c>
      <c r="G7" s="16">
        <v>0.70544056224163298</v>
      </c>
      <c r="H7" s="16">
        <v>6.1243740689923598</v>
      </c>
      <c r="I7" s="16" t="s">
        <v>16</v>
      </c>
      <c r="J7" s="16">
        <v>3.33905689609613</v>
      </c>
      <c r="K7" s="16">
        <v>-0.25742168668159499</v>
      </c>
      <c r="L7" s="16">
        <v>160.918917387574</v>
      </c>
      <c r="M7" s="16">
        <v>0.56420384585804695</v>
      </c>
      <c r="N7" s="16">
        <v>5.1043709146793601</v>
      </c>
      <c r="O7" s="16">
        <v>1.2</v>
      </c>
      <c r="P7" s="16">
        <v>1.2</v>
      </c>
      <c r="Q7" s="16">
        <v>0.22</v>
      </c>
      <c r="R7" s="16">
        <v>0.22</v>
      </c>
      <c r="S7" s="16">
        <v>0</v>
      </c>
      <c r="T7" s="16">
        <v>0</v>
      </c>
      <c r="U7" s="16">
        <v>0.3</v>
      </c>
      <c r="V7" s="16">
        <v>0.05</v>
      </c>
      <c r="W7" s="16">
        <v>1</v>
      </c>
      <c r="X7" s="16">
        <v>19.100000000000001</v>
      </c>
      <c r="Y7" s="16">
        <v>0</v>
      </c>
      <c r="Z7" s="16">
        <v>1.5</v>
      </c>
      <c r="AA7" s="16">
        <v>139</v>
      </c>
      <c r="AB7" s="16">
        <v>12.1</v>
      </c>
      <c r="AC7" s="16">
        <v>19.5</v>
      </c>
      <c r="AD7" s="15" t="s">
        <v>42</v>
      </c>
      <c r="AE7" s="15" t="s">
        <v>61</v>
      </c>
      <c r="AF7" s="17">
        <f>HLOOKUP(AD7,Data!$B$4:$M$9,2,0)</f>
        <v>13</v>
      </c>
      <c r="AG7" s="17">
        <f>HLOOKUP(AD7,Data!$B$4:$M$9,3,0)</f>
        <v>1</v>
      </c>
      <c r="AH7" s="17">
        <f>HLOOKUP(AE7,Data!$B$13:$I$18,3,0)</f>
        <v>260</v>
      </c>
      <c r="AI7" s="18">
        <f t="shared" si="39"/>
        <v>1.44</v>
      </c>
      <c r="AJ7" s="17">
        <f t="shared" si="40"/>
        <v>0.28799999999999998</v>
      </c>
      <c r="AK7" s="17">
        <f t="shared" si="41"/>
        <v>0.28799999999999998</v>
      </c>
      <c r="AL7" s="17">
        <f t="shared" si="42"/>
        <v>0.25</v>
      </c>
      <c r="AM7" s="17">
        <f t="shared" si="43"/>
        <v>0.49</v>
      </c>
      <c r="AN7" s="17">
        <f t="shared" si="44"/>
        <v>0.49</v>
      </c>
      <c r="AO7" s="17">
        <f t="shared" si="45"/>
        <v>0.49</v>
      </c>
      <c r="AP7" s="17">
        <f t="shared" si="46"/>
        <v>0.49</v>
      </c>
      <c r="AQ7" s="17">
        <f t="shared" si="47"/>
        <v>1.88</v>
      </c>
      <c r="AR7" s="17">
        <f t="shared" si="48"/>
        <v>0.92159999999999997</v>
      </c>
      <c r="AS7" s="17">
        <f t="shared" si="49"/>
        <v>188.762382822673</v>
      </c>
      <c r="AT7" s="17">
        <f t="shared" si="50"/>
        <v>0.80498744922514298</v>
      </c>
      <c r="AU7" s="17">
        <f t="shared" si="51"/>
        <v>7.3264775158979099</v>
      </c>
      <c r="AV7" s="17">
        <f t="shared" si="52"/>
        <v>160.918917387574</v>
      </c>
      <c r="AW7" s="17">
        <f t="shared" si="53"/>
        <v>0.64143035186252495</v>
      </c>
      <c r="AX7" s="17">
        <f t="shared" si="54"/>
        <v>6.1060879835081998</v>
      </c>
      <c r="AY7" s="17">
        <f t="shared" si="55"/>
        <v>179.919241422422</v>
      </c>
      <c r="AZ7" s="17">
        <f t="shared" si="56"/>
        <v>123.450734720179</v>
      </c>
      <c r="BA7" s="17">
        <f t="shared" si="57"/>
        <v>151.68498807130101</v>
      </c>
      <c r="BB7" s="17">
        <f t="shared" si="58"/>
        <v>155.778131294741</v>
      </c>
      <c r="BC7" s="17">
        <f t="shared" si="59"/>
        <v>108.920365076889</v>
      </c>
      <c r="BD7" s="17">
        <f t="shared" si="60"/>
        <v>132.34924818581499</v>
      </c>
      <c r="BE7" s="17" t="str">
        <f>IF(AND(BD7&lt;=AA7,BB7&lt;=AA7*MongDon!$J$44,BC7&gt;0),"Ok","FAIL")</f>
        <v>Ok</v>
      </c>
      <c r="BF7" s="17">
        <f t="shared" si="61"/>
        <v>165.81357289490401</v>
      </c>
      <c r="BG7" s="17">
        <f t="shared" si="62"/>
        <v>352.5</v>
      </c>
      <c r="BH7" s="17" t="str">
        <f t="shared" si="63"/>
        <v>Ok</v>
      </c>
      <c r="BI7" s="17">
        <f t="shared" si="64"/>
        <v>42.880289115309402</v>
      </c>
      <c r="BJ7" s="17">
        <f t="shared" si="65"/>
        <v>51.011754080432503</v>
      </c>
      <c r="BK7" s="17">
        <f t="shared" si="66"/>
        <v>44.490264013759699</v>
      </c>
      <c r="BL7" s="17">
        <f t="shared" si="67"/>
        <v>36.358799048636598</v>
      </c>
      <c r="BM7" s="17">
        <f t="shared" si="68"/>
        <v>88.125</v>
      </c>
      <c r="BN7" s="17">
        <f t="shared" si="69"/>
        <v>88.125</v>
      </c>
      <c r="BO7" s="17">
        <f t="shared" si="70"/>
        <v>88.125</v>
      </c>
      <c r="BP7" s="17">
        <f t="shared" si="71"/>
        <v>88.125</v>
      </c>
      <c r="BQ7" s="17" t="str">
        <f t="shared" si="72"/>
        <v>Ok</v>
      </c>
      <c r="BR7" s="17">
        <f t="shared" si="73"/>
        <v>68.547148474297501</v>
      </c>
      <c r="BS7" s="17">
        <f t="shared" si="74"/>
        <v>17.106801078747001</v>
      </c>
      <c r="BT7" s="16">
        <f>MongDon!$H$80</f>
        <v>1.2</v>
      </c>
      <c r="BU7" s="17" t="str">
        <f t="shared" si="75"/>
        <v>Ok</v>
      </c>
      <c r="BV7" s="17">
        <f t="shared" si="76"/>
        <v>17.7110800397646</v>
      </c>
      <c r="BW7" s="16">
        <f>MongDon!$F$86</f>
        <v>1.5</v>
      </c>
      <c r="BX7" s="17" t="str">
        <f t="shared" si="77"/>
        <v>Ok</v>
      </c>
      <c r="BY7" s="17">
        <f t="shared" si="78"/>
        <v>123.450734720179</v>
      </c>
      <c r="BZ7" s="17">
        <f t="shared" si="79"/>
        <v>174.32905080280301</v>
      </c>
      <c r="CA7" s="17">
        <f t="shared" si="80"/>
        <v>179.919241422422</v>
      </c>
      <c r="CB7" s="17">
        <f t="shared" si="81"/>
        <v>129.04092533979801</v>
      </c>
      <c r="CC7" s="17">
        <f t="shared" si="82"/>
        <v>156.86126785234001</v>
      </c>
      <c r="CD7" s="17">
        <f t="shared" si="83"/>
        <v>147.53357657052501</v>
      </c>
      <c r="CE7" s="17">
        <f t="shared" si="84"/>
        <v>155.836399572076</v>
      </c>
      <c r="CF7" s="17">
        <f t="shared" si="85"/>
        <v>156.86126785234001</v>
      </c>
      <c r="CG7" s="17">
        <f t="shared" si="86"/>
        <v>20.676601690399</v>
      </c>
      <c r="CH7" s="17">
        <f t="shared" si="87"/>
        <v>20.676601690399</v>
      </c>
      <c r="CI7" s="17">
        <f t="shared" si="88"/>
        <v>353.44618274186303</v>
      </c>
      <c r="CJ7" s="17">
        <f t="shared" si="89"/>
        <v>353.44618274186303</v>
      </c>
    </row>
    <row r="8" spans="1:88">
      <c r="B8" s="15">
        <v>1</v>
      </c>
      <c r="C8" s="15" t="s">
        <v>27</v>
      </c>
      <c r="D8" s="16">
        <v>3.9394227777037099</v>
      </c>
      <c r="E8" s="16">
        <v>0.48180348219776098</v>
      </c>
      <c r="F8" s="16">
        <v>188.642908603683</v>
      </c>
      <c r="G8" s="16">
        <v>-0.64999777142922599</v>
      </c>
      <c r="H8" s="16">
        <v>6.0545995612415302</v>
      </c>
      <c r="I8" s="16" t="s">
        <v>17</v>
      </c>
      <c r="J8" s="16">
        <v>3.2827329694449299</v>
      </c>
      <c r="K8" s="16">
        <v>0.42060034565962301</v>
      </c>
      <c r="L8" s="16">
        <v>160.819355538416</v>
      </c>
      <c r="M8" s="16">
        <v>-0.56532809886766899</v>
      </c>
      <c r="N8" s="16">
        <v>5.0462254915536704</v>
      </c>
      <c r="O8" s="16">
        <v>1.2</v>
      </c>
      <c r="P8" s="16">
        <v>1.2</v>
      </c>
      <c r="Q8" s="16">
        <v>0.22</v>
      </c>
      <c r="R8" s="16">
        <v>0.22</v>
      </c>
      <c r="S8" s="16">
        <v>0</v>
      </c>
      <c r="T8" s="16">
        <v>0</v>
      </c>
      <c r="U8" s="16">
        <v>0.3</v>
      </c>
      <c r="V8" s="16">
        <v>0.05</v>
      </c>
      <c r="W8" s="16">
        <v>1</v>
      </c>
      <c r="X8" s="16">
        <v>19.100000000000001</v>
      </c>
      <c r="Y8" s="16">
        <v>0</v>
      </c>
      <c r="Z8" s="16">
        <v>1.5</v>
      </c>
      <c r="AA8" s="16">
        <v>139</v>
      </c>
      <c r="AB8" s="16">
        <v>12.1</v>
      </c>
      <c r="AC8" s="16">
        <v>19.5</v>
      </c>
      <c r="AD8" s="15" t="s">
        <v>42</v>
      </c>
      <c r="AE8" s="15" t="s">
        <v>61</v>
      </c>
      <c r="AF8" s="17">
        <f>HLOOKUP(AD8,Data!$B$4:$M$9,2,0)</f>
        <v>13</v>
      </c>
      <c r="AG8" s="17">
        <f>HLOOKUP(AD8,Data!$B$4:$M$9,3,0)</f>
        <v>1</v>
      </c>
      <c r="AH8" s="17">
        <f>HLOOKUP(AE8,Data!$B$13:$I$18,3,0)</f>
        <v>260</v>
      </c>
      <c r="AI8" s="18">
        <f t="shared" si="39"/>
        <v>1.44</v>
      </c>
      <c r="AJ8" s="17">
        <f t="shared" si="40"/>
        <v>0.28799999999999998</v>
      </c>
      <c r="AK8" s="17">
        <f t="shared" si="41"/>
        <v>0.28799999999999998</v>
      </c>
      <c r="AL8" s="17">
        <f t="shared" si="42"/>
        <v>0.25</v>
      </c>
      <c r="AM8" s="17">
        <f t="shared" si="43"/>
        <v>0.49</v>
      </c>
      <c r="AN8" s="17">
        <f t="shared" si="44"/>
        <v>0.49</v>
      </c>
      <c r="AO8" s="17">
        <f t="shared" si="45"/>
        <v>0.49</v>
      </c>
      <c r="AP8" s="17">
        <f t="shared" si="46"/>
        <v>0.49</v>
      </c>
      <c r="AQ8" s="17">
        <f t="shared" si="47"/>
        <v>1.88</v>
      </c>
      <c r="AR8" s="17">
        <f t="shared" si="48"/>
        <v>0.92159999999999997</v>
      </c>
      <c r="AS8" s="17">
        <f t="shared" si="49"/>
        <v>188.642908603683</v>
      </c>
      <c r="AT8" s="17">
        <f t="shared" si="50"/>
        <v>-0.79453881608855403</v>
      </c>
      <c r="AU8" s="17">
        <f t="shared" si="51"/>
        <v>7.2364263945526499</v>
      </c>
      <c r="AV8" s="17">
        <f t="shared" si="52"/>
        <v>160.819355538416</v>
      </c>
      <c r="AW8" s="17">
        <f t="shared" si="53"/>
        <v>-0.69150820256555601</v>
      </c>
      <c r="AX8" s="17">
        <f t="shared" si="54"/>
        <v>6.0310453823871502</v>
      </c>
      <c r="AY8" s="17">
        <f t="shared" si="55"/>
        <v>179.48731573395099</v>
      </c>
      <c r="AZ8" s="17">
        <f t="shared" si="56"/>
        <v>123.71672399338701</v>
      </c>
      <c r="BA8" s="17">
        <f t="shared" si="57"/>
        <v>151.602019863669</v>
      </c>
      <c r="BB8" s="17">
        <f t="shared" si="58"/>
        <v>155.62230796054101</v>
      </c>
      <c r="BC8" s="17">
        <f t="shared" si="59"/>
        <v>108.937908065036</v>
      </c>
      <c r="BD8" s="17">
        <f t="shared" si="60"/>
        <v>132.28010801278899</v>
      </c>
      <c r="BE8" s="17" t="str">
        <f>IF(AND(BD8&lt;=AA8,BB8&lt;=AA8*MongDon!$J$44,BC8&gt;0),"Ok","FAIL")</f>
        <v>Ok</v>
      </c>
      <c r="BF8" s="17">
        <f t="shared" si="61"/>
        <v>165.415510180409</v>
      </c>
      <c r="BG8" s="17">
        <f t="shared" si="62"/>
        <v>352.5</v>
      </c>
      <c r="BH8" s="17" t="str">
        <f t="shared" si="63"/>
        <v>Ok</v>
      </c>
      <c r="BI8" s="17">
        <f t="shared" si="64"/>
        <v>44.455920536825197</v>
      </c>
      <c r="BJ8" s="17">
        <f t="shared" si="65"/>
        <v>50.897808115289301</v>
      </c>
      <c r="BK8" s="17">
        <f t="shared" si="66"/>
        <v>42.866842904648102</v>
      </c>
      <c r="BL8" s="17">
        <f t="shared" si="67"/>
        <v>36.424955326183998</v>
      </c>
      <c r="BM8" s="17">
        <f t="shared" si="68"/>
        <v>88.125</v>
      </c>
      <c r="BN8" s="17">
        <f t="shared" si="69"/>
        <v>88.125</v>
      </c>
      <c r="BO8" s="17">
        <f t="shared" si="70"/>
        <v>88.125</v>
      </c>
      <c r="BP8" s="17">
        <f t="shared" si="71"/>
        <v>88.125</v>
      </c>
      <c r="BQ8" s="17" t="str">
        <f t="shared" si="72"/>
        <v>Ok</v>
      </c>
      <c r="BR8" s="17">
        <f t="shared" si="73"/>
        <v>68.521535421069501</v>
      </c>
      <c r="BS8" s="17">
        <f t="shared" si="74"/>
        <v>17.393800891056099</v>
      </c>
      <c r="BT8" s="16">
        <f>MongDon!$H$80</f>
        <v>1.2</v>
      </c>
      <c r="BU8" s="17" t="str">
        <f t="shared" si="75"/>
        <v>Ok</v>
      </c>
      <c r="BV8" s="17">
        <f t="shared" si="76"/>
        <v>17.921573175930501</v>
      </c>
      <c r="BW8" s="16">
        <f>MongDon!$F$86</f>
        <v>1.5</v>
      </c>
      <c r="BX8" s="17" t="str">
        <f t="shared" si="77"/>
        <v>Ok</v>
      </c>
      <c r="BY8" s="17">
        <f t="shared" si="78"/>
        <v>129.234354660669</v>
      </c>
      <c r="BZ8" s="17">
        <f t="shared" si="79"/>
        <v>179.48731573395099</v>
      </c>
      <c r="CA8" s="17">
        <f t="shared" si="80"/>
        <v>173.969685066669</v>
      </c>
      <c r="CB8" s="17">
        <f t="shared" si="81"/>
        <v>123.71672399338701</v>
      </c>
      <c r="CC8" s="17">
        <f t="shared" si="82"/>
        <v>156.71432410655399</v>
      </c>
      <c r="CD8" s="17">
        <f t="shared" si="83"/>
        <v>147.501281243119</v>
      </c>
      <c r="CE8" s="17">
        <f t="shared" si="84"/>
        <v>156.71432410655399</v>
      </c>
      <c r="CF8" s="17">
        <f t="shared" si="85"/>
        <v>155.702758484219</v>
      </c>
      <c r="CG8" s="17">
        <f t="shared" si="86"/>
        <v>20.636153038904499</v>
      </c>
      <c r="CH8" s="17">
        <f t="shared" si="87"/>
        <v>20.636153038904499</v>
      </c>
      <c r="CI8" s="17">
        <f t="shared" si="88"/>
        <v>352.75475280178603</v>
      </c>
      <c r="CJ8" s="17">
        <f t="shared" si="89"/>
        <v>352.75475280178603</v>
      </c>
    </row>
    <row r="9" spans="1:88">
      <c r="B9" s="15">
        <v>1</v>
      </c>
      <c r="C9" s="15" t="s">
        <v>28</v>
      </c>
      <c r="D9" s="16">
        <v>-2.69155305192184</v>
      </c>
      <c r="E9" s="16">
        <v>0.562333400877573</v>
      </c>
      <c r="F9" s="16">
        <v>190.13525677059701</v>
      </c>
      <c r="G9" s="16">
        <v>-0.84826608887469501</v>
      </c>
      <c r="H9" s="16">
        <v>-4.4342418246456399</v>
      </c>
      <c r="I9" s="16" t="s">
        <v>18</v>
      </c>
      <c r="J9" s="16">
        <v>-2.2430802219096999</v>
      </c>
      <c r="K9" s="16">
        <v>0.48770861122613202</v>
      </c>
      <c r="L9" s="16">
        <v>162.062979010844</v>
      </c>
      <c r="M9" s="16">
        <v>-0.73055169673889297</v>
      </c>
      <c r="N9" s="16">
        <v>-3.6944756633523101</v>
      </c>
      <c r="O9" s="16">
        <v>1.2</v>
      </c>
      <c r="P9" s="16">
        <v>1.2</v>
      </c>
      <c r="Q9" s="16">
        <v>0.22</v>
      </c>
      <c r="R9" s="16">
        <v>0.22</v>
      </c>
      <c r="S9" s="16">
        <v>0</v>
      </c>
      <c r="T9" s="16">
        <v>0</v>
      </c>
      <c r="U9" s="16">
        <v>0.3</v>
      </c>
      <c r="V9" s="16">
        <v>0.05</v>
      </c>
      <c r="W9" s="16">
        <v>1</v>
      </c>
      <c r="X9" s="16">
        <v>19.100000000000001</v>
      </c>
      <c r="Y9" s="16">
        <v>0</v>
      </c>
      <c r="Z9" s="16">
        <v>1.5</v>
      </c>
      <c r="AA9" s="16">
        <v>139</v>
      </c>
      <c r="AB9" s="16">
        <v>12.1</v>
      </c>
      <c r="AC9" s="16">
        <v>19.5</v>
      </c>
      <c r="AD9" s="15" t="s">
        <v>42</v>
      </c>
      <c r="AE9" s="15" t="s">
        <v>61</v>
      </c>
      <c r="AF9" s="17">
        <f>HLOOKUP(AD9,Data!$B$4:$M$9,2,0)</f>
        <v>13</v>
      </c>
      <c r="AG9" s="17">
        <f>HLOOKUP(AD9,Data!$B$4:$M$9,3,0)</f>
        <v>1</v>
      </c>
      <c r="AH9" s="17">
        <f>HLOOKUP(AE9,Data!$B$13:$I$18,3,0)</f>
        <v>260</v>
      </c>
      <c r="AI9" s="18">
        <f t="shared" si="39"/>
        <v>1.44</v>
      </c>
      <c r="AJ9" s="17">
        <f t="shared" si="40"/>
        <v>0.28799999999999998</v>
      </c>
      <c r="AK9" s="17">
        <f t="shared" si="41"/>
        <v>0.28799999999999998</v>
      </c>
      <c r="AL9" s="17">
        <f t="shared" si="42"/>
        <v>0.25</v>
      </c>
      <c r="AM9" s="17">
        <f t="shared" si="43"/>
        <v>0.49</v>
      </c>
      <c r="AN9" s="17">
        <f t="shared" si="44"/>
        <v>0.49</v>
      </c>
      <c r="AO9" s="17">
        <f t="shared" si="45"/>
        <v>0.49</v>
      </c>
      <c r="AP9" s="17">
        <f t="shared" si="46"/>
        <v>0.49</v>
      </c>
      <c r="AQ9" s="17">
        <f t="shared" si="47"/>
        <v>1.88</v>
      </c>
      <c r="AR9" s="17">
        <f t="shared" si="48"/>
        <v>0.92159999999999997</v>
      </c>
      <c r="AS9" s="17">
        <f t="shared" si="49"/>
        <v>190.13525677059701</v>
      </c>
      <c r="AT9" s="17">
        <f t="shared" si="50"/>
        <v>-1.01696610913797</v>
      </c>
      <c r="AU9" s="17">
        <f t="shared" si="51"/>
        <v>-5.2417077402221999</v>
      </c>
      <c r="AV9" s="17">
        <f t="shared" si="52"/>
        <v>162.062979010844</v>
      </c>
      <c r="AW9" s="17">
        <f t="shared" si="53"/>
        <v>-0.87686428010673301</v>
      </c>
      <c r="AX9" s="17">
        <f t="shared" si="54"/>
        <v>-4.3673997299252196</v>
      </c>
      <c r="AY9" s="17">
        <f t="shared" si="55"/>
        <v>174.36987917874899</v>
      </c>
      <c r="AZ9" s="17">
        <f t="shared" si="56"/>
        <v>130.90686633596999</v>
      </c>
      <c r="BA9" s="17">
        <f t="shared" si="57"/>
        <v>152.63837275735901</v>
      </c>
      <c r="BB9" s="17">
        <f t="shared" si="58"/>
        <v>151.352985459031</v>
      </c>
      <c r="BC9" s="17">
        <f t="shared" si="59"/>
        <v>114.934485389364</v>
      </c>
      <c r="BD9" s="17">
        <f t="shared" si="60"/>
        <v>133.14373542419699</v>
      </c>
      <c r="BE9" s="17" t="str">
        <f>IF(AND(BD9&lt;=AA9,BB9&lt;=AA9*MongDon!$J$44,BC9&gt;0),"Ok","FAIL")</f>
        <v>Ok</v>
      </c>
      <c r="BF9" s="17">
        <f t="shared" si="61"/>
        <v>160.69928065113501</v>
      </c>
      <c r="BG9" s="17">
        <f t="shared" si="62"/>
        <v>352.5</v>
      </c>
      <c r="BH9" s="17" t="str">
        <f t="shared" si="63"/>
        <v>Ok</v>
      </c>
      <c r="BI9" s="17">
        <f t="shared" si="64"/>
        <v>44.976817463257497</v>
      </c>
      <c r="BJ9" s="17">
        <f t="shared" si="65"/>
        <v>38.718143613897297</v>
      </c>
      <c r="BK9" s="17">
        <f t="shared" si="66"/>
        <v>42.942885244981497</v>
      </c>
      <c r="BL9" s="17">
        <f t="shared" si="67"/>
        <v>49.201559094341697</v>
      </c>
      <c r="BM9" s="17">
        <f t="shared" si="68"/>
        <v>88.125</v>
      </c>
      <c r="BN9" s="17">
        <f t="shared" si="69"/>
        <v>88.125</v>
      </c>
      <c r="BO9" s="17">
        <f t="shared" si="70"/>
        <v>88.125</v>
      </c>
      <c r="BP9" s="17">
        <f t="shared" si="71"/>
        <v>88.125</v>
      </c>
      <c r="BQ9" s="17" t="str">
        <f t="shared" si="72"/>
        <v>Ok</v>
      </c>
      <c r="BR9" s="17">
        <f t="shared" si="73"/>
        <v>68.841467146569002</v>
      </c>
      <c r="BS9" s="17">
        <f t="shared" si="74"/>
        <v>25.576856862403002</v>
      </c>
      <c r="BT9" s="16">
        <f>MongDon!$H$80</f>
        <v>1.2</v>
      </c>
      <c r="BU9" s="17" t="str">
        <f t="shared" si="75"/>
        <v>Ok</v>
      </c>
      <c r="BV9" s="17">
        <f t="shared" si="76"/>
        <v>24.912406515977001</v>
      </c>
      <c r="BW9" s="16">
        <f>MongDon!$F$86</f>
        <v>1.5</v>
      </c>
      <c r="BX9" s="17" t="str">
        <f t="shared" si="77"/>
        <v>Ok</v>
      </c>
      <c r="BY9" s="17">
        <f t="shared" si="78"/>
        <v>174.36987917874899</v>
      </c>
      <c r="BZ9" s="17">
        <f t="shared" si="79"/>
        <v>137.96913098276099</v>
      </c>
      <c r="CA9" s="17">
        <f t="shared" si="80"/>
        <v>130.90686633596999</v>
      </c>
      <c r="CB9" s="17">
        <f t="shared" si="81"/>
        <v>167.307614531957</v>
      </c>
      <c r="CC9" s="17">
        <f t="shared" si="82"/>
        <v>149.94901176535001</v>
      </c>
      <c r="CD9" s="17">
        <f t="shared" si="83"/>
        <v>156.62248226794699</v>
      </c>
      <c r="CE9" s="17">
        <f t="shared" si="84"/>
        <v>156.62248226794699</v>
      </c>
      <c r="CF9" s="17">
        <f t="shared" si="85"/>
        <v>155.327733749369</v>
      </c>
      <c r="CG9" s="17">
        <f t="shared" si="86"/>
        <v>20.222912329028201</v>
      </c>
      <c r="CH9" s="17">
        <f t="shared" si="87"/>
        <v>20.222912329028201</v>
      </c>
      <c r="CI9" s="17">
        <f t="shared" si="88"/>
        <v>345.69080904321697</v>
      </c>
      <c r="CJ9" s="17">
        <f t="shared" si="89"/>
        <v>345.69080904321697</v>
      </c>
    </row>
    <row r="10" spans="1:88">
      <c r="B10" s="15">
        <v>1</v>
      </c>
      <c r="C10" s="15" t="s">
        <v>29</v>
      </c>
      <c r="D10" s="16">
        <v>-3.2166274565706798</v>
      </c>
      <c r="E10" s="16">
        <v>1.4356215943550199</v>
      </c>
      <c r="F10" s="16">
        <v>171.609904884591</v>
      </c>
      <c r="G10" s="16">
        <v>-2.3083527391296501</v>
      </c>
      <c r="H10" s="16">
        <v>-5.1989082336478001</v>
      </c>
      <c r="I10" s="16" t="s">
        <v>19</v>
      </c>
      <c r="J10" s="16">
        <v>-2.6806422257837301</v>
      </c>
      <c r="K10" s="16">
        <v>1.21544877245734</v>
      </c>
      <c r="L10" s="16">
        <v>146.62518577250501</v>
      </c>
      <c r="M10" s="16">
        <v>-1.94729057195135</v>
      </c>
      <c r="N10" s="16">
        <v>-4.3316976708541102</v>
      </c>
      <c r="O10" s="16">
        <v>1.2</v>
      </c>
      <c r="P10" s="16">
        <v>1.2</v>
      </c>
      <c r="Q10" s="16">
        <v>0.22</v>
      </c>
      <c r="R10" s="16">
        <v>0.22</v>
      </c>
      <c r="S10" s="16">
        <v>0</v>
      </c>
      <c r="T10" s="16">
        <v>0</v>
      </c>
      <c r="U10" s="16">
        <v>0.3</v>
      </c>
      <c r="V10" s="16">
        <v>0.05</v>
      </c>
      <c r="W10" s="16">
        <v>1</v>
      </c>
      <c r="X10" s="16">
        <v>19.100000000000001</v>
      </c>
      <c r="Y10" s="16">
        <v>0</v>
      </c>
      <c r="Z10" s="16">
        <v>1.5</v>
      </c>
      <c r="AA10" s="16">
        <v>139</v>
      </c>
      <c r="AB10" s="16">
        <v>12.1</v>
      </c>
      <c r="AC10" s="16">
        <v>19.5</v>
      </c>
      <c r="AD10" s="15" t="s">
        <v>42</v>
      </c>
      <c r="AE10" s="15" t="s">
        <v>61</v>
      </c>
      <c r="AF10" s="17">
        <f>HLOOKUP(AD10,Data!$B$4:$M$9,2,0)</f>
        <v>13</v>
      </c>
      <c r="AG10" s="17">
        <f>HLOOKUP(AD10,Data!$B$4:$M$9,3,0)</f>
        <v>1</v>
      </c>
      <c r="AH10" s="17">
        <f>HLOOKUP(AE10,Data!$B$13:$I$18,3,0)</f>
        <v>260</v>
      </c>
      <c r="AI10" s="18">
        <f t="shared" si="39"/>
        <v>1.44</v>
      </c>
      <c r="AJ10" s="17">
        <f t="shared" si="40"/>
        <v>0.28799999999999998</v>
      </c>
      <c r="AK10" s="17">
        <f t="shared" si="41"/>
        <v>0.28799999999999998</v>
      </c>
      <c r="AL10" s="17">
        <f t="shared" si="42"/>
        <v>0.25</v>
      </c>
      <c r="AM10" s="17">
        <f t="shared" si="43"/>
        <v>0.49</v>
      </c>
      <c r="AN10" s="17">
        <f t="shared" si="44"/>
        <v>0.49</v>
      </c>
      <c r="AO10" s="17">
        <f t="shared" si="45"/>
        <v>0.49</v>
      </c>
      <c r="AP10" s="17">
        <f t="shared" si="46"/>
        <v>0.49</v>
      </c>
      <c r="AQ10" s="17">
        <f t="shared" si="47"/>
        <v>1.88</v>
      </c>
      <c r="AR10" s="17">
        <f t="shared" si="48"/>
        <v>0.92159999999999997</v>
      </c>
      <c r="AS10" s="17">
        <f t="shared" si="49"/>
        <v>171.609904884591</v>
      </c>
      <c r="AT10" s="17">
        <f t="shared" si="50"/>
        <v>-2.73903921743615</v>
      </c>
      <c r="AU10" s="17">
        <f t="shared" si="51"/>
        <v>-6.163896470619</v>
      </c>
      <c r="AV10" s="17">
        <f t="shared" si="52"/>
        <v>146.62518577250501</v>
      </c>
      <c r="AW10" s="17">
        <f t="shared" si="53"/>
        <v>-2.31192520368855</v>
      </c>
      <c r="AX10" s="17">
        <f t="shared" si="54"/>
        <v>-5.1358903385892303</v>
      </c>
      <c r="AY10" s="17">
        <f t="shared" si="55"/>
        <v>170.68651619782401</v>
      </c>
      <c r="AZ10" s="17">
        <f t="shared" si="56"/>
        <v>108.860573919663</v>
      </c>
      <c r="BA10" s="17">
        <f t="shared" si="57"/>
        <v>139.77354505874399</v>
      </c>
      <c r="BB10" s="17">
        <f t="shared" si="58"/>
        <v>148.28351630826</v>
      </c>
      <c r="BC10" s="17">
        <f t="shared" si="59"/>
        <v>96.562575042441907</v>
      </c>
      <c r="BD10" s="17">
        <f t="shared" si="60"/>
        <v>122.42304567535101</v>
      </c>
      <c r="BE10" s="17" t="str">
        <f>IF(AND(BD10&lt;=AA10,BB10&lt;=AA10*MongDon!$J$44,BC10&gt;0),"Ok","FAIL")</f>
        <v>Ok</v>
      </c>
      <c r="BF10" s="17">
        <f t="shared" si="61"/>
        <v>157.304693327915</v>
      </c>
      <c r="BG10" s="17">
        <f t="shared" si="62"/>
        <v>352.5</v>
      </c>
      <c r="BH10" s="17" t="str">
        <f t="shared" si="63"/>
        <v>Ok</v>
      </c>
      <c r="BI10" s="17">
        <f t="shared" si="64"/>
        <v>42.993820194354299</v>
      </c>
      <c r="BJ10" s="17">
        <f t="shared" si="65"/>
        <v>34.090884506299098</v>
      </c>
      <c r="BK10" s="17">
        <f t="shared" si="66"/>
        <v>37.515741759481998</v>
      </c>
      <c r="BL10" s="17">
        <f t="shared" si="67"/>
        <v>46.4186774475371</v>
      </c>
      <c r="BM10" s="17">
        <f t="shared" si="68"/>
        <v>88.125</v>
      </c>
      <c r="BN10" s="17">
        <f t="shared" si="69"/>
        <v>88.125</v>
      </c>
      <c r="BO10" s="17">
        <f t="shared" si="70"/>
        <v>88.125</v>
      </c>
      <c r="BP10" s="17">
        <f t="shared" si="71"/>
        <v>88.125</v>
      </c>
      <c r="BQ10" s="17" t="str">
        <f t="shared" si="72"/>
        <v>Ok</v>
      </c>
      <c r="BR10" s="17">
        <f t="shared" si="73"/>
        <v>64.8699758245194</v>
      </c>
      <c r="BS10" s="17">
        <f t="shared" si="74"/>
        <v>20.167077692509299</v>
      </c>
      <c r="BT10" s="16">
        <f>MongDon!$H$80</f>
        <v>1.2</v>
      </c>
      <c r="BU10" s="17" t="str">
        <f t="shared" si="75"/>
        <v>Ok</v>
      </c>
      <c r="BV10" s="17">
        <f t="shared" si="76"/>
        <v>19.381951578877999</v>
      </c>
      <c r="BW10" s="16">
        <f>MongDon!$F$86</f>
        <v>1.5</v>
      </c>
      <c r="BX10" s="17" t="str">
        <f t="shared" si="77"/>
        <v>Ok</v>
      </c>
      <c r="BY10" s="17">
        <f t="shared" si="78"/>
        <v>170.68651619782401</v>
      </c>
      <c r="BZ10" s="17">
        <f t="shared" si="79"/>
        <v>127.881679596303</v>
      </c>
      <c r="CA10" s="17">
        <f t="shared" si="80"/>
        <v>108.860573919663</v>
      </c>
      <c r="CB10" s="17">
        <f t="shared" si="81"/>
        <v>151.66541052118399</v>
      </c>
      <c r="CC10" s="17">
        <f t="shared" si="82"/>
        <v>137.59336972396301</v>
      </c>
      <c r="CD10" s="17">
        <f t="shared" si="83"/>
        <v>145.44092310090801</v>
      </c>
      <c r="CE10" s="17">
        <f t="shared" si="84"/>
        <v>145.44092310090801</v>
      </c>
      <c r="CF10" s="17">
        <f t="shared" si="85"/>
        <v>141.95372039352401</v>
      </c>
      <c r="CG10" s="17">
        <f t="shared" si="86"/>
        <v>19.480671785787202</v>
      </c>
      <c r="CH10" s="17">
        <f t="shared" si="87"/>
        <v>19.480671785787202</v>
      </c>
      <c r="CI10" s="17">
        <f t="shared" si="88"/>
        <v>333.00293650918297</v>
      </c>
      <c r="CJ10" s="17">
        <f t="shared" si="89"/>
        <v>333.00293650918297</v>
      </c>
    </row>
    <row r="11" spans="1:88">
      <c r="B11" s="15">
        <v>1</v>
      </c>
      <c r="C11" s="15" t="s">
        <v>30</v>
      </c>
      <c r="D11" s="16">
        <v>4.3013206029720203</v>
      </c>
      <c r="E11" s="16">
        <v>-0.46191484597690802</v>
      </c>
      <c r="F11" s="16">
        <v>170.21723851910701</v>
      </c>
      <c r="G11" s="16">
        <v>0.92403057730056304</v>
      </c>
      <c r="H11" s="16">
        <v>6.6104144345620197</v>
      </c>
      <c r="I11" s="16" t="s">
        <v>20</v>
      </c>
      <c r="J11" s="16">
        <v>3.5843144905018498</v>
      </c>
      <c r="K11" s="16">
        <v>-0.365831594485935</v>
      </c>
      <c r="L11" s="16">
        <v>145.464630467935</v>
      </c>
      <c r="M11" s="16">
        <v>0.74636219174048801</v>
      </c>
      <c r="N11" s="16">
        <v>5.50940455265407</v>
      </c>
      <c r="O11" s="16">
        <v>1.2</v>
      </c>
      <c r="P11" s="16">
        <v>1.2</v>
      </c>
      <c r="Q11" s="16">
        <v>0.22</v>
      </c>
      <c r="R11" s="16">
        <v>0.22</v>
      </c>
      <c r="S11" s="16">
        <v>0</v>
      </c>
      <c r="T11" s="16">
        <v>0</v>
      </c>
      <c r="U11" s="16">
        <v>0.3</v>
      </c>
      <c r="V11" s="16">
        <v>0.05</v>
      </c>
      <c r="W11" s="16">
        <v>1</v>
      </c>
      <c r="X11" s="16">
        <v>19.100000000000001</v>
      </c>
      <c r="Y11" s="16">
        <v>0</v>
      </c>
      <c r="Z11" s="16">
        <v>1.5</v>
      </c>
      <c r="AA11" s="16">
        <v>139</v>
      </c>
      <c r="AB11" s="16">
        <v>12.1</v>
      </c>
      <c r="AC11" s="16">
        <v>19.5</v>
      </c>
      <c r="AD11" s="15" t="s">
        <v>42</v>
      </c>
      <c r="AE11" s="15" t="s">
        <v>61</v>
      </c>
      <c r="AF11" s="17">
        <f>HLOOKUP(AD11,Data!$B$4:$M$9,2,0)</f>
        <v>13</v>
      </c>
      <c r="AG11" s="17">
        <f>HLOOKUP(AD11,Data!$B$4:$M$9,3,0)</f>
        <v>1</v>
      </c>
      <c r="AH11" s="17">
        <f>HLOOKUP(AE11,Data!$B$13:$I$18,3,0)</f>
        <v>260</v>
      </c>
      <c r="AI11" s="18">
        <f t="shared" si="39"/>
        <v>1.44</v>
      </c>
      <c r="AJ11" s="17">
        <f t="shared" si="40"/>
        <v>0.28799999999999998</v>
      </c>
      <c r="AK11" s="17">
        <f t="shared" si="41"/>
        <v>0.28799999999999998</v>
      </c>
      <c r="AL11" s="17">
        <f t="shared" si="42"/>
        <v>0.25</v>
      </c>
      <c r="AM11" s="17">
        <f t="shared" si="43"/>
        <v>0.49</v>
      </c>
      <c r="AN11" s="17">
        <f t="shared" si="44"/>
        <v>0.49</v>
      </c>
      <c r="AO11" s="17">
        <f t="shared" si="45"/>
        <v>0.49</v>
      </c>
      <c r="AP11" s="17">
        <f t="shared" si="46"/>
        <v>0.49</v>
      </c>
      <c r="AQ11" s="17">
        <f t="shared" si="47"/>
        <v>1.88</v>
      </c>
      <c r="AR11" s="17">
        <f t="shared" si="48"/>
        <v>0.92159999999999997</v>
      </c>
      <c r="AS11" s="17">
        <f t="shared" si="49"/>
        <v>170.21723851910701</v>
      </c>
      <c r="AT11" s="17">
        <f t="shared" si="50"/>
        <v>1.0626050310936399</v>
      </c>
      <c r="AU11" s="17">
        <f t="shared" si="51"/>
        <v>7.9008106154536204</v>
      </c>
      <c r="AV11" s="17">
        <f t="shared" si="52"/>
        <v>145.464630467935</v>
      </c>
      <c r="AW11" s="17">
        <f t="shared" si="53"/>
        <v>0.85611167008626898</v>
      </c>
      <c r="AX11" s="17">
        <f t="shared" si="54"/>
        <v>6.5846988998046303</v>
      </c>
      <c r="AY11" s="17">
        <f t="shared" si="55"/>
        <v>169.929386633224</v>
      </c>
      <c r="AZ11" s="17">
        <f t="shared" si="56"/>
        <v>107.683444643313</v>
      </c>
      <c r="BA11" s="17">
        <f t="shared" si="57"/>
        <v>138.80641563826899</v>
      </c>
      <c r="BB11" s="17">
        <f t="shared" si="58"/>
        <v>147.453252303743</v>
      </c>
      <c r="BC11" s="17">
        <f t="shared" si="59"/>
        <v>95.780956679500704</v>
      </c>
      <c r="BD11" s="17">
        <f t="shared" si="60"/>
        <v>121.617104491622</v>
      </c>
      <c r="BE11" s="17" t="str">
        <f>IF(AND(BD11&lt;=AA11,BB11&lt;=AA11*MongDon!$J$44,BC11&gt;0),"Ok","FAIL")</f>
        <v>Ok</v>
      </c>
      <c r="BF11" s="17">
        <f t="shared" si="61"/>
        <v>156.60692272118001</v>
      </c>
      <c r="BG11" s="17">
        <f t="shared" si="62"/>
        <v>352.5</v>
      </c>
      <c r="BH11" s="17" t="str">
        <f t="shared" si="63"/>
        <v>Ok</v>
      </c>
      <c r="BI11" s="17">
        <f t="shared" si="64"/>
        <v>38.913642672727804</v>
      </c>
      <c r="BJ11" s="17">
        <f t="shared" si="65"/>
        <v>47.877058319275001</v>
      </c>
      <c r="BK11" s="17">
        <f t="shared" si="66"/>
        <v>41.038852734914997</v>
      </c>
      <c r="BL11" s="17">
        <f t="shared" si="67"/>
        <v>32.075437088367799</v>
      </c>
      <c r="BM11" s="17">
        <f t="shared" si="68"/>
        <v>88.125</v>
      </c>
      <c r="BN11" s="17">
        <f t="shared" si="69"/>
        <v>88.125</v>
      </c>
      <c r="BO11" s="17">
        <f t="shared" si="70"/>
        <v>88.125</v>
      </c>
      <c r="BP11" s="17">
        <f t="shared" si="71"/>
        <v>88.125</v>
      </c>
      <c r="BQ11" s="17" t="str">
        <f t="shared" si="72"/>
        <v>Ok</v>
      </c>
      <c r="BR11" s="17">
        <f t="shared" si="73"/>
        <v>64.5714140255823</v>
      </c>
      <c r="BS11" s="17">
        <f t="shared" si="74"/>
        <v>15.011997473744801</v>
      </c>
      <c r="BT11" s="16">
        <f>MongDon!$H$80</f>
        <v>1.2</v>
      </c>
      <c r="BU11" s="17" t="str">
        <f t="shared" si="75"/>
        <v>Ok</v>
      </c>
      <c r="BV11" s="17">
        <f t="shared" si="76"/>
        <v>15.015262216186301</v>
      </c>
      <c r="BW11" s="16">
        <f>MongDon!$F$86</f>
        <v>1.5</v>
      </c>
      <c r="BX11" s="17" t="str">
        <f t="shared" si="77"/>
        <v>Ok</v>
      </c>
      <c r="BY11" s="17">
        <f t="shared" si="78"/>
        <v>107.683444643313</v>
      </c>
      <c r="BZ11" s="17">
        <f t="shared" si="79"/>
        <v>162.55018502840801</v>
      </c>
      <c r="CA11" s="17">
        <f t="shared" si="80"/>
        <v>169.929386633224</v>
      </c>
      <c r="CB11" s="17">
        <f t="shared" si="81"/>
        <v>115.06264624812999</v>
      </c>
      <c r="CC11" s="17">
        <f t="shared" si="82"/>
        <v>144.51229365401099</v>
      </c>
      <c r="CD11" s="17">
        <f t="shared" si="83"/>
        <v>134.453391250077</v>
      </c>
      <c r="CE11" s="17">
        <f t="shared" si="84"/>
        <v>143.159440026461</v>
      </c>
      <c r="CF11" s="17">
        <f t="shared" si="85"/>
        <v>144.51229365401099</v>
      </c>
      <c r="CG11" s="17">
        <f t="shared" si="86"/>
        <v>19.382915527933701</v>
      </c>
      <c r="CH11" s="17">
        <f t="shared" si="87"/>
        <v>19.382915527933701</v>
      </c>
      <c r="CI11" s="17">
        <f t="shared" si="88"/>
        <v>331.331889366388</v>
      </c>
      <c r="CJ11" s="17">
        <f t="shared" si="89"/>
        <v>331.331889366388</v>
      </c>
    </row>
    <row r="12" spans="1:88">
      <c r="B12" s="15">
        <v>1</v>
      </c>
      <c r="C12" s="15" t="s">
        <v>31</v>
      </c>
      <c r="D12" s="16">
        <v>4.2262220341037597</v>
      </c>
      <c r="E12" s="16">
        <v>0.44211453047804899</v>
      </c>
      <c r="F12" s="16">
        <v>170.08448938689699</v>
      </c>
      <c r="G12" s="16">
        <v>-0.58201201566705896</v>
      </c>
      <c r="H12" s="16">
        <v>6.5328872037277597</v>
      </c>
      <c r="I12" s="16" t="s">
        <v>21</v>
      </c>
      <c r="J12" s="16">
        <v>3.5217323497783002</v>
      </c>
      <c r="K12" s="16">
        <v>0.38752621922652902</v>
      </c>
      <c r="L12" s="16">
        <v>145.35400619109399</v>
      </c>
      <c r="M12" s="16">
        <v>-0.50867330239919595</v>
      </c>
      <c r="N12" s="16">
        <v>5.4447985269588601</v>
      </c>
      <c r="O12" s="16">
        <v>1.2</v>
      </c>
      <c r="P12" s="16">
        <v>1.2</v>
      </c>
      <c r="Q12" s="16">
        <v>0.22</v>
      </c>
      <c r="R12" s="16">
        <v>0.22</v>
      </c>
      <c r="S12" s="16">
        <v>0</v>
      </c>
      <c r="T12" s="16">
        <v>0</v>
      </c>
      <c r="U12" s="16">
        <v>0.3</v>
      </c>
      <c r="V12" s="16">
        <v>0.05</v>
      </c>
      <c r="W12" s="16">
        <v>1</v>
      </c>
      <c r="X12" s="16">
        <v>19.100000000000001</v>
      </c>
      <c r="Y12" s="16">
        <v>0</v>
      </c>
      <c r="Z12" s="16">
        <v>1.5</v>
      </c>
      <c r="AA12" s="16">
        <v>139</v>
      </c>
      <c r="AB12" s="16">
        <v>12.1</v>
      </c>
      <c r="AC12" s="16">
        <v>19.5</v>
      </c>
      <c r="AD12" s="15" t="s">
        <v>42</v>
      </c>
      <c r="AE12" s="15" t="s">
        <v>61</v>
      </c>
      <c r="AF12" s="17">
        <f>HLOOKUP(AD12,Data!$B$4:$M$9,2,0)</f>
        <v>13</v>
      </c>
      <c r="AG12" s="17">
        <f>HLOOKUP(AD12,Data!$B$4:$M$9,3,0)</f>
        <v>1</v>
      </c>
      <c r="AH12" s="17">
        <f>HLOOKUP(AE12,Data!$B$13:$I$18,3,0)</f>
        <v>260</v>
      </c>
      <c r="AI12" s="18">
        <f t="shared" si="39"/>
        <v>1.44</v>
      </c>
      <c r="AJ12" s="17">
        <f t="shared" si="40"/>
        <v>0.28799999999999998</v>
      </c>
      <c r="AK12" s="17">
        <f t="shared" si="41"/>
        <v>0.28799999999999998</v>
      </c>
      <c r="AL12" s="17">
        <f t="shared" si="42"/>
        <v>0.25</v>
      </c>
      <c r="AM12" s="17">
        <f t="shared" si="43"/>
        <v>0.49</v>
      </c>
      <c r="AN12" s="17">
        <f t="shared" si="44"/>
        <v>0.49</v>
      </c>
      <c r="AO12" s="17">
        <f t="shared" si="45"/>
        <v>0.49</v>
      </c>
      <c r="AP12" s="17">
        <f t="shared" si="46"/>
        <v>0.49</v>
      </c>
      <c r="AQ12" s="17">
        <f t="shared" si="47"/>
        <v>1.88</v>
      </c>
      <c r="AR12" s="17">
        <f t="shared" si="48"/>
        <v>0.92159999999999997</v>
      </c>
      <c r="AS12" s="17">
        <f t="shared" si="49"/>
        <v>170.08448938689699</v>
      </c>
      <c r="AT12" s="17">
        <f t="shared" si="50"/>
        <v>-0.714646374810473</v>
      </c>
      <c r="AU12" s="17">
        <f t="shared" si="51"/>
        <v>7.8007538139588899</v>
      </c>
      <c r="AV12" s="17">
        <f t="shared" si="52"/>
        <v>145.35400619109399</v>
      </c>
      <c r="AW12" s="17">
        <f t="shared" si="53"/>
        <v>-0.62493116816715499</v>
      </c>
      <c r="AX12" s="17">
        <f t="shared" si="54"/>
        <v>6.5013182318923501</v>
      </c>
      <c r="AY12" s="17">
        <f t="shared" si="55"/>
        <v>168.281590507461</v>
      </c>
      <c r="AZ12" s="17">
        <f t="shared" si="56"/>
        <v>109.14686697434</v>
      </c>
      <c r="BA12" s="17">
        <f t="shared" si="57"/>
        <v>138.71422874090001</v>
      </c>
      <c r="BB12" s="17">
        <f t="shared" si="58"/>
        <v>146.284203605133</v>
      </c>
      <c r="BC12" s="17">
        <f t="shared" si="59"/>
        <v>96.796360549163893</v>
      </c>
      <c r="BD12" s="17">
        <f t="shared" si="60"/>
        <v>121.54028207714801</v>
      </c>
      <c r="BE12" s="17" t="str">
        <f>IF(AND(BD12&lt;=AA12,BB12&lt;=AA12*MongDon!$J$44,BC12&gt;0),"Ok","FAIL")</f>
        <v>Ok</v>
      </c>
      <c r="BF12" s="17">
        <f t="shared" si="61"/>
        <v>155.08831381167599</v>
      </c>
      <c r="BG12" s="17">
        <f t="shared" si="62"/>
        <v>352.5</v>
      </c>
      <c r="BH12" s="17" t="str">
        <f t="shared" si="63"/>
        <v>Ok</v>
      </c>
      <c r="BI12" s="17">
        <f t="shared" si="64"/>
        <v>40.6643442521898</v>
      </c>
      <c r="BJ12" s="17">
        <f t="shared" si="65"/>
        <v>47.750451691338199</v>
      </c>
      <c r="BK12" s="17">
        <f t="shared" si="66"/>
        <v>39.235051502568801</v>
      </c>
      <c r="BL12" s="17">
        <f t="shared" si="67"/>
        <v>32.148944063420402</v>
      </c>
      <c r="BM12" s="17">
        <f t="shared" si="68"/>
        <v>88.125</v>
      </c>
      <c r="BN12" s="17">
        <f t="shared" si="69"/>
        <v>88.125</v>
      </c>
      <c r="BO12" s="17">
        <f t="shared" si="70"/>
        <v>88.125</v>
      </c>
      <c r="BP12" s="17">
        <f t="shared" si="71"/>
        <v>88.125</v>
      </c>
      <c r="BQ12" s="17" t="str">
        <f t="shared" si="72"/>
        <v>Ok</v>
      </c>
      <c r="BR12" s="17">
        <f t="shared" si="73"/>
        <v>64.542955077551099</v>
      </c>
      <c r="BS12" s="17">
        <f t="shared" si="74"/>
        <v>15.272021809719799</v>
      </c>
      <c r="BT12" s="16">
        <f>MongDon!$H$80</f>
        <v>1.2</v>
      </c>
      <c r="BU12" s="17" t="str">
        <f t="shared" si="75"/>
        <v>Ok</v>
      </c>
      <c r="BV12" s="17">
        <f t="shared" si="76"/>
        <v>15.1976458249452</v>
      </c>
      <c r="BW12" s="16">
        <f>MongDon!$F$86</f>
        <v>1.5</v>
      </c>
      <c r="BX12" s="17" t="str">
        <f t="shared" si="77"/>
        <v>Ok</v>
      </c>
      <c r="BY12" s="17">
        <f t="shared" si="78"/>
        <v>114.10968902163501</v>
      </c>
      <c r="BZ12" s="17">
        <f t="shared" si="79"/>
        <v>168.281590507461</v>
      </c>
      <c r="CA12" s="17">
        <f t="shared" si="80"/>
        <v>163.31876846016601</v>
      </c>
      <c r="CB12" s="17">
        <f t="shared" si="81"/>
        <v>109.14686697434</v>
      </c>
      <c r="CC12" s="17">
        <f t="shared" si="82"/>
        <v>144.13491173143601</v>
      </c>
      <c r="CD12" s="17">
        <f t="shared" si="83"/>
        <v>134.20339645903499</v>
      </c>
      <c r="CE12" s="17">
        <f t="shared" si="84"/>
        <v>144.13491173143601</v>
      </c>
      <c r="CF12" s="17">
        <f t="shared" si="85"/>
        <v>143.225061022766</v>
      </c>
      <c r="CG12" s="17">
        <f t="shared" si="86"/>
        <v>19.235935344733399</v>
      </c>
      <c r="CH12" s="17">
        <f t="shared" si="87"/>
        <v>19.235935344733399</v>
      </c>
      <c r="CI12" s="17">
        <f t="shared" si="88"/>
        <v>328.81940760228099</v>
      </c>
      <c r="CJ12" s="17">
        <f t="shared" si="89"/>
        <v>328.81940760228099</v>
      </c>
    </row>
    <row r="13" spans="1:88">
      <c r="B13" s="15">
        <v>1</v>
      </c>
      <c r="C13" s="15" t="s">
        <v>32</v>
      </c>
      <c r="D13" s="16">
        <v>-3.1415288877024201</v>
      </c>
      <c r="E13" s="16">
        <v>0.53159221790006195</v>
      </c>
      <c r="F13" s="16">
        <v>171.742654016801</v>
      </c>
      <c r="G13" s="16">
        <v>-0.80231014616202401</v>
      </c>
      <c r="H13" s="16">
        <v>-5.12138100281354</v>
      </c>
      <c r="I13" s="16" t="s">
        <v>22</v>
      </c>
      <c r="J13" s="16">
        <v>-2.6180600850601801</v>
      </c>
      <c r="K13" s="16">
        <v>0.46209095874487299</v>
      </c>
      <c r="L13" s="16">
        <v>146.73581004934701</v>
      </c>
      <c r="M13" s="16">
        <v>-0.69225507781166795</v>
      </c>
      <c r="N13" s="16">
        <v>-4.2670916451589003</v>
      </c>
      <c r="O13" s="16">
        <v>1.2</v>
      </c>
      <c r="P13" s="16">
        <v>1.2</v>
      </c>
      <c r="Q13" s="16">
        <v>0.22</v>
      </c>
      <c r="R13" s="16">
        <v>0.22</v>
      </c>
      <c r="S13" s="16">
        <v>0</v>
      </c>
      <c r="T13" s="16">
        <v>0</v>
      </c>
      <c r="U13" s="16">
        <v>0.3</v>
      </c>
      <c r="V13" s="16">
        <v>0.05</v>
      </c>
      <c r="W13" s="16">
        <v>1</v>
      </c>
      <c r="X13" s="16">
        <v>19.100000000000001</v>
      </c>
      <c r="Y13" s="16">
        <v>0</v>
      </c>
      <c r="Z13" s="16">
        <v>1.5</v>
      </c>
      <c r="AA13" s="16">
        <v>139</v>
      </c>
      <c r="AB13" s="16">
        <v>12.1</v>
      </c>
      <c r="AC13" s="16">
        <v>19.5</v>
      </c>
      <c r="AD13" s="15" t="s">
        <v>42</v>
      </c>
      <c r="AE13" s="15" t="s">
        <v>61</v>
      </c>
      <c r="AF13" s="17">
        <f>HLOOKUP(AD13,Data!$B$4:$M$9,2,0)</f>
        <v>13</v>
      </c>
      <c r="AG13" s="17">
        <f>HLOOKUP(AD13,Data!$B$4:$M$9,3,0)</f>
        <v>1</v>
      </c>
      <c r="AH13" s="17">
        <f>HLOOKUP(AE13,Data!$B$13:$I$18,3,0)</f>
        <v>260</v>
      </c>
      <c r="AI13" s="18">
        <f t="shared" si="39"/>
        <v>1.44</v>
      </c>
      <c r="AJ13" s="17">
        <f t="shared" si="40"/>
        <v>0.28799999999999998</v>
      </c>
      <c r="AK13" s="17">
        <f t="shared" si="41"/>
        <v>0.28799999999999998</v>
      </c>
      <c r="AL13" s="17">
        <f t="shared" si="42"/>
        <v>0.25</v>
      </c>
      <c r="AM13" s="17">
        <f t="shared" si="43"/>
        <v>0.49</v>
      </c>
      <c r="AN13" s="17">
        <f t="shared" si="44"/>
        <v>0.49</v>
      </c>
      <c r="AO13" s="17">
        <f t="shared" si="45"/>
        <v>0.49</v>
      </c>
      <c r="AP13" s="17">
        <f t="shared" si="46"/>
        <v>0.49</v>
      </c>
      <c r="AQ13" s="17">
        <f t="shared" si="47"/>
        <v>1.88</v>
      </c>
      <c r="AR13" s="17">
        <f t="shared" si="48"/>
        <v>0.92159999999999997</v>
      </c>
      <c r="AS13" s="17">
        <f t="shared" si="49"/>
        <v>171.742654016801</v>
      </c>
      <c r="AT13" s="17">
        <f t="shared" si="50"/>
        <v>-0.96178781153204296</v>
      </c>
      <c r="AU13" s="17">
        <f t="shared" si="51"/>
        <v>-6.0638396691242704</v>
      </c>
      <c r="AV13" s="17">
        <f t="shared" si="52"/>
        <v>146.73581004934701</v>
      </c>
      <c r="AW13" s="17">
        <f t="shared" si="53"/>
        <v>-0.83088236543513005</v>
      </c>
      <c r="AX13" s="17">
        <f t="shared" si="54"/>
        <v>-5.0525096706769501</v>
      </c>
      <c r="AY13" s="17">
        <f t="shared" si="55"/>
        <v>164.26027181950201</v>
      </c>
      <c r="AZ13" s="17">
        <f t="shared" si="56"/>
        <v>115.47119209272201</v>
      </c>
      <c r="BA13" s="17">
        <f t="shared" si="57"/>
        <v>139.865731956112</v>
      </c>
      <c r="BB13" s="17">
        <f t="shared" si="58"/>
        <v>142.92831265965799</v>
      </c>
      <c r="BC13" s="17">
        <f t="shared" si="59"/>
        <v>102.071423519991</v>
      </c>
      <c r="BD13" s="17">
        <f t="shared" si="60"/>
        <v>122.49986808982401</v>
      </c>
      <c r="BE13" s="17" t="str">
        <f>IF(AND(BD13&lt;=AA13,BB13&lt;=AA13*MongDon!$J$44,BC13&gt;0),"Ok","FAIL")</f>
        <v>Ok</v>
      </c>
      <c r="BF13" s="17">
        <f t="shared" si="61"/>
        <v>151.38226650885301</v>
      </c>
      <c r="BG13" s="17">
        <f t="shared" si="62"/>
        <v>352.5</v>
      </c>
      <c r="BH13" s="17" t="str">
        <f t="shared" si="63"/>
        <v>Ok</v>
      </c>
      <c r="BI13" s="17">
        <f t="shared" si="64"/>
        <v>41.243118614892303</v>
      </c>
      <c r="BJ13" s="17">
        <f t="shared" si="65"/>
        <v>34.217491134235999</v>
      </c>
      <c r="BK13" s="17">
        <f t="shared" si="66"/>
        <v>39.3195429918282</v>
      </c>
      <c r="BL13" s="17">
        <f t="shared" si="67"/>
        <v>46.345170472484497</v>
      </c>
      <c r="BM13" s="17">
        <f t="shared" si="68"/>
        <v>88.125</v>
      </c>
      <c r="BN13" s="17">
        <f t="shared" si="69"/>
        <v>88.125</v>
      </c>
      <c r="BO13" s="17">
        <f t="shared" si="70"/>
        <v>88.125</v>
      </c>
      <c r="BP13" s="17">
        <f t="shared" si="71"/>
        <v>88.125</v>
      </c>
      <c r="BQ13" s="17" t="str">
        <f t="shared" si="72"/>
        <v>Ok</v>
      </c>
      <c r="BR13" s="17">
        <f t="shared" si="73"/>
        <v>64.898434772550601</v>
      </c>
      <c r="BS13" s="17">
        <f t="shared" si="74"/>
        <v>20.6582326925584</v>
      </c>
      <c r="BT13" s="16">
        <f>MongDon!$H$80</f>
        <v>1.2</v>
      </c>
      <c r="BU13" s="17" t="str">
        <f t="shared" si="75"/>
        <v>Ok</v>
      </c>
      <c r="BV13" s="17">
        <f t="shared" si="76"/>
        <v>19.714899953373202</v>
      </c>
      <c r="BW13" s="16">
        <f>MongDon!$F$86</f>
        <v>1.5</v>
      </c>
      <c r="BX13" s="17" t="str">
        <f t="shared" si="77"/>
        <v>Ok</v>
      </c>
      <c r="BY13" s="17">
        <f t="shared" si="78"/>
        <v>164.26027181950201</v>
      </c>
      <c r="BZ13" s="17">
        <f t="shared" si="79"/>
        <v>122.15027411725001</v>
      </c>
      <c r="CA13" s="17">
        <f t="shared" si="80"/>
        <v>115.47119209272201</v>
      </c>
      <c r="CB13" s="17">
        <f t="shared" si="81"/>
        <v>157.58118979497399</v>
      </c>
      <c r="CC13" s="17">
        <f t="shared" si="82"/>
        <v>136.61789801898701</v>
      </c>
      <c r="CD13" s="17">
        <f t="shared" si="83"/>
        <v>144.3380642644</v>
      </c>
      <c r="CE13" s="17">
        <f t="shared" si="84"/>
        <v>144.3380642644</v>
      </c>
      <c r="CF13" s="17">
        <f t="shared" si="85"/>
        <v>143.11356589323699</v>
      </c>
      <c r="CG13" s="17">
        <f t="shared" si="86"/>
        <v>18.922225292934499</v>
      </c>
      <c r="CH13" s="17">
        <f t="shared" si="87"/>
        <v>18.922225292934499</v>
      </c>
      <c r="CI13" s="17">
        <f t="shared" si="88"/>
        <v>323.45684261426601</v>
      </c>
      <c r="CJ13" s="17">
        <f t="shared" si="89"/>
        <v>323.45684261426601</v>
      </c>
    </row>
    <row r="14" spans="1:88">
      <c r="B14" s="15">
        <v>3</v>
      </c>
      <c r="C14" s="15" t="s">
        <v>23</v>
      </c>
      <c r="D14" s="16">
        <v>0.444717002177061</v>
      </c>
      <c r="E14" s="16">
        <v>-1.5574346072697201</v>
      </c>
      <c r="F14" s="16">
        <v>154.87319405599601</v>
      </c>
      <c r="G14" s="16">
        <v>1.4278146823417499</v>
      </c>
      <c r="H14" s="16">
        <v>0.607240019264493</v>
      </c>
      <c r="I14" s="16" t="s">
        <v>13</v>
      </c>
      <c r="J14" s="16">
        <v>0.37369925508524698</v>
      </c>
      <c r="K14" s="16">
        <v>-1.3338242392161901</v>
      </c>
      <c r="L14" s="16">
        <v>132.84487671686301</v>
      </c>
      <c r="M14" s="16">
        <v>1.22185462560756</v>
      </c>
      <c r="N14" s="16">
        <v>0.51000945485858595</v>
      </c>
      <c r="O14" s="16">
        <v>1.2</v>
      </c>
      <c r="P14" s="16">
        <v>1.2</v>
      </c>
      <c r="Q14" s="16">
        <v>0.22</v>
      </c>
      <c r="R14" s="16">
        <v>0.22</v>
      </c>
      <c r="S14" s="16">
        <v>0</v>
      </c>
      <c r="T14" s="16">
        <v>0</v>
      </c>
      <c r="U14" s="16">
        <v>0.3</v>
      </c>
      <c r="V14" s="16">
        <v>0.05</v>
      </c>
      <c r="W14" s="16">
        <v>1</v>
      </c>
      <c r="X14" s="16">
        <v>19.100000000000001</v>
      </c>
      <c r="Y14" s="16">
        <v>0</v>
      </c>
      <c r="Z14" s="16">
        <v>1.5</v>
      </c>
      <c r="AA14" s="16">
        <v>139</v>
      </c>
      <c r="AB14" s="16">
        <v>12.1</v>
      </c>
      <c r="AC14" s="16">
        <v>19.5</v>
      </c>
      <c r="AD14" s="15" t="s">
        <v>42</v>
      </c>
      <c r="AE14" s="15" t="s">
        <v>61</v>
      </c>
      <c r="AF14" s="17">
        <f>HLOOKUP(AD14,Data!$B$4:$M$9,2,0)</f>
        <v>13</v>
      </c>
      <c r="AG14" s="17">
        <f>HLOOKUP(AD14,Data!$B$4:$M$9,3,0)</f>
        <v>1</v>
      </c>
      <c r="AH14" s="17">
        <f>HLOOKUP(AE14,Data!$B$13:$I$18,3,0)</f>
        <v>260</v>
      </c>
      <c r="AI14" s="18">
        <f t="shared" si="39"/>
        <v>1.44</v>
      </c>
      <c r="AJ14" s="17">
        <f t="shared" si="40"/>
        <v>0.28799999999999998</v>
      </c>
      <c r="AK14" s="17">
        <f t="shared" si="41"/>
        <v>0.28799999999999998</v>
      </c>
      <c r="AL14" s="17">
        <f t="shared" si="42"/>
        <v>0.25</v>
      </c>
      <c r="AM14" s="17">
        <f t="shared" si="43"/>
        <v>0.49</v>
      </c>
      <c r="AN14" s="17">
        <f t="shared" si="44"/>
        <v>0.49</v>
      </c>
      <c r="AO14" s="17">
        <f t="shared" si="45"/>
        <v>0.49</v>
      </c>
      <c r="AP14" s="17">
        <f t="shared" si="46"/>
        <v>0.49</v>
      </c>
      <c r="AQ14" s="17">
        <f t="shared" si="47"/>
        <v>1.88</v>
      </c>
      <c r="AR14" s="17">
        <f t="shared" si="48"/>
        <v>0.92159999999999997</v>
      </c>
      <c r="AS14" s="17">
        <f t="shared" si="49"/>
        <v>154.87319405599601</v>
      </c>
      <c r="AT14" s="17">
        <f t="shared" si="50"/>
        <v>1.89504506452267</v>
      </c>
      <c r="AU14" s="17">
        <f t="shared" si="51"/>
        <v>0.74065511991761102</v>
      </c>
      <c r="AV14" s="17">
        <f t="shared" si="52"/>
        <v>132.84487671686301</v>
      </c>
      <c r="AW14" s="17">
        <f t="shared" si="53"/>
        <v>1.62200189737242</v>
      </c>
      <c r="AX14" s="17">
        <f t="shared" si="54"/>
        <v>0.62211923138416003</v>
      </c>
      <c r="AY14" s="17">
        <f t="shared" si="55"/>
        <v>137.30256595708099</v>
      </c>
      <c r="AZ14" s="17">
        <f t="shared" si="56"/>
        <v>118.99909245402399</v>
      </c>
      <c r="BA14" s="17">
        <f t="shared" si="57"/>
        <v>128.15082920555199</v>
      </c>
      <c r="BB14" s="17">
        <f t="shared" si="58"/>
        <v>120.645473861559</v>
      </c>
      <c r="BC14" s="17">
        <f t="shared" si="59"/>
        <v>105.061299356305</v>
      </c>
      <c r="BD14" s="17">
        <f t="shared" si="60"/>
        <v>112.853386608932</v>
      </c>
      <c r="BE14" s="17" t="str">
        <f>IF(AND(BD14&lt;=AA14,BB14&lt;=AA14*MongDon!$J$44,BC14&gt;0),"Ok","FAIL")</f>
        <v>Ok</v>
      </c>
      <c r="BF14" s="17">
        <f t="shared" si="61"/>
        <v>126.538044786046</v>
      </c>
      <c r="BG14" s="17">
        <f t="shared" si="62"/>
        <v>352.5</v>
      </c>
      <c r="BH14" s="17" t="str">
        <f t="shared" si="63"/>
        <v>Ok</v>
      </c>
      <c r="BI14" s="17">
        <f t="shared" si="64"/>
        <v>35.012393746676402</v>
      </c>
      <c r="BJ14" s="17">
        <f t="shared" si="65"/>
        <v>37.648093931116698</v>
      </c>
      <c r="BK14" s="17">
        <f t="shared" si="66"/>
        <v>38.802483875721798</v>
      </c>
      <c r="BL14" s="17">
        <f t="shared" si="67"/>
        <v>36.166783691281502</v>
      </c>
      <c r="BM14" s="17">
        <f t="shared" si="68"/>
        <v>88.125</v>
      </c>
      <c r="BN14" s="17">
        <f t="shared" si="69"/>
        <v>88.125</v>
      </c>
      <c r="BO14" s="17">
        <f t="shared" si="70"/>
        <v>88.125</v>
      </c>
      <c r="BP14" s="17">
        <f t="shared" si="71"/>
        <v>88.125</v>
      </c>
      <c r="BQ14" s="17" t="str">
        <f t="shared" si="72"/>
        <v>Ok</v>
      </c>
      <c r="BR14" s="17">
        <f t="shared" si="73"/>
        <v>61.281935919829301</v>
      </c>
      <c r="BS14" s="17">
        <f t="shared" si="74"/>
        <v>39.347999353411304</v>
      </c>
      <c r="BT14" s="16">
        <f>MongDon!$H$80</f>
        <v>1.2</v>
      </c>
      <c r="BU14" s="17" t="str">
        <f t="shared" si="75"/>
        <v>Ok</v>
      </c>
      <c r="BV14" s="17">
        <f t="shared" si="76"/>
        <v>57.743384831410303</v>
      </c>
      <c r="BW14" s="16">
        <f>MongDon!$F$86</f>
        <v>1.5</v>
      </c>
      <c r="BX14" s="17" t="str">
        <f t="shared" si="77"/>
        <v>Ok</v>
      </c>
      <c r="BY14" s="17">
        <f t="shared" si="78"/>
        <v>118.99909245402399</v>
      </c>
      <c r="BZ14" s="17">
        <f t="shared" si="79"/>
        <v>124.142530786785</v>
      </c>
      <c r="CA14" s="17">
        <f t="shared" si="80"/>
        <v>137.30256595708099</v>
      </c>
      <c r="CB14" s="17">
        <f t="shared" si="81"/>
        <v>132.15912762432001</v>
      </c>
      <c r="CC14" s="17">
        <f t="shared" si="82"/>
        <v>129.828647609999</v>
      </c>
      <c r="CD14" s="17">
        <f t="shared" si="83"/>
        <v>128.88568391566</v>
      </c>
      <c r="CE14" s="17">
        <f t="shared" si="84"/>
        <v>127.415974495445</v>
      </c>
      <c r="CF14" s="17">
        <f t="shared" si="85"/>
        <v>129.828647609999</v>
      </c>
      <c r="CG14" s="17">
        <f t="shared" si="86"/>
        <v>16.184091743958501</v>
      </c>
      <c r="CH14" s="17">
        <f t="shared" si="87"/>
        <v>16.184091743958501</v>
      </c>
      <c r="CI14" s="17">
        <f t="shared" si="88"/>
        <v>276.65114092236797</v>
      </c>
      <c r="CJ14" s="17">
        <f t="shared" si="89"/>
        <v>276.65114092236797</v>
      </c>
    </row>
    <row r="15" spans="1:88">
      <c r="B15" s="15">
        <v>3</v>
      </c>
      <c r="C15" s="15" t="s">
        <v>24</v>
      </c>
      <c r="D15" s="16">
        <v>0.51201264534363899</v>
      </c>
      <c r="E15" s="16">
        <v>-1.7378904955335399</v>
      </c>
      <c r="F15" s="16">
        <v>172.36085339088899</v>
      </c>
      <c r="G15" s="16">
        <v>1.5953638706886299</v>
      </c>
      <c r="H15" s="16">
        <v>0.69969925710458902</v>
      </c>
      <c r="I15" s="16" t="s">
        <v>14</v>
      </c>
      <c r="J15" s="16">
        <v>0.42977895772406199</v>
      </c>
      <c r="K15" s="16">
        <v>-1.48420414610271</v>
      </c>
      <c r="L15" s="16">
        <v>147.41792616260699</v>
      </c>
      <c r="M15" s="16">
        <v>1.3614789492299599</v>
      </c>
      <c r="N15" s="16">
        <v>0.58705881972533303</v>
      </c>
      <c r="O15" s="16">
        <v>1.2</v>
      </c>
      <c r="P15" s="16">
        <v>1.2</v>
      </c>
      <c r="Q15" s="16">
        <v>0.22</v>
      </c>
      <c r="R15" s="16">
        <v>0.22</v>
      </c>
      <c r="S15" s="16">
        <v>0</v>
      </c>
      <c r="T15" s="16">
        <v>0</v>
      </c>
      <c r="U15" s="16">
        <v>0.3</v>
      </c>
      <c r="V15" s="16">
        <v>0.05</v>
      </c>
      <c r="W15" s="16">
        <v>1</v>
      </c>
      <c r="X15" s="16">
        <v>19.100000000000001</v>
      </c>
      <c r="Y15" s="16">
        <v>0</v>
      </c>
      <c r="Z15" s="16">
        <v>1.5</v>
      </c>
      <c r="AA15" s="16">
        <v>139</v>
      </c>
      <c r="AB15" s="16">
        <v>12.1</v>
      </c>
      <c r="AC15" s="16">
        <v>19.5</v>
      </c>
      <c r="AD15" s="15" t="s">
        <v>42</v>
      </c>
      <c r="AE15" s="15" t="s">
        <v>61</v>
      </c>
      <c r="AF15" s="17">
        <f>HLOOKUP(AD15,Data!$B$4:$M$9,2,0)</f>
        <v>13</v>
      </c>
      <c r="AG15" s="17">
        <f>HLOOKUP(AD15,Data!$B$4:$M$9,3,0)</f>
        <v>1</v>
      </c>
      <c r="AH15" s="17">
        <f>HLOOKUP(AE15,Data!$B$13:$I$18,3,0)</f>
        <v>260</v>
      </c>
      <c r="AI15" s="18">
        <f t="shared" si="39"/>
        <v>1.44</v>
      </c>
      <c r="AJ15" s="17">
        <f t="shared" si="40"/>
        <v>0.28799999999999998</v>
      </c>
      <c r="AK15" s="17">
        <f t="shared" si="41"/>
        <v>0.28799999999999998</v>
      </c>
      <c r="AL15" s="17">
        <f t="shared" si="42"/>
        <v>0.25</v>
      </c>
      <c r="AM15" s="17">
        <f t="shared" si="43"/>
        <v>0.49</v>
      </c>
      <c r="AN15" s="17">
        <f t="shared" si="44"/>
        <v>0.49</v>
      </c>
      <c r="AO15" s="17">
        <f t="shared" si="45"/>
        <v>0.49</v>
      </c>
      <c r="AP15" s="17">
        <f t="shared" si="46"/>
        <v>0.49</v>
      </c>
      <c r="AQ15" s="17">
        <f t="shared" si="47"/>
        <v>1.88</v>
      </c>
      <c r="AR15" s="17">
        <f t="shared" si="48"/>
        <v>0.92159999999999997</v>
      </c>
      <c r="AS15" s="17">
        <f t="shared" si="49"/>
        <v>172.36085339088899</v>
      </c>
      <c r="AT15" s="17">
        <f t="shared" si="50"/>
        <v>2.1167310193486899</v>
      </c>
      <c r="AU15" s="17">
        <f t="shared" si="51"/>
        <v>0.85330305070768098</v>
      </c>
      <c r="AV15" s="17">
        <f t="shared" si="52"/>
        <v>147.41792616260699</v>
      </c>
      <c r="AW15" s="17">
        <f t="shared" si="53"/>
        <v>1.80674019306077</v>
      </c>
      <c r="AX15" s="17">
        <f t="shared" si="54"/>
        <v>0.71599250704255202</v>
      </c>
      <c r="AY15" s="17">
        <f t="shared" si="55"/>
        <v>150.60765537581301</v>
      </c>
      <c r="AZ15" s="17">
        <f t="shared" si="56"/>
        <v>129.98241877819899</v>
      </c>
      <c r="BA15" s="17">
        <f t="shared" si="57"/>
        <v>140.29503707700599</v>
      </c>
      <c r="BB15" s="17">
        <f t="shared" si="58"/>
        <v>131.73304837716901</v>
      </c>
      <c r="BC15" s="17">
        <f t="shared" si="59"/>
        <v>114.214071293118</v>
      </c>
      <c r="BD15" s="17">
        <f t="shared" si="60"/>
        <v>122.973559835144</v>
      </c>
      <c r="BE15" s="17" t="str">
        <f>IF(AND(BD15&lt;=AA15,BB15&lt;=AA15*MongDon!$J$44,BC15&gt;0),"Ok","FAIL")</f>
        <v>Ok</v>
      </c>
      <c r="BF15" s="17">
        <f t="shared" si="61"/>
        <v>138.80001519434899</v>
      </c>
      <c r="BG15" s="17">
        <f t="shared" si="62"/>
        <v>352.5</v>
      </c>
      <c r="BH15" s="17" t="str">
        <f t="shared" si="63"/>
        <v>Ok</v>
      </c>
      <c r="BI15" s="17">
        <f t="shared" si="64"/>
        <v>38.288239658828999</v>
      </c>
      <c r="BJ15" s="17">
        <f t="shared" si="65"/>
        <v>41.258273728885399</v>
      </c>
      <c r="BK15" s="17">
        <f t="shared" si="66"/>
        <v>42.521701697526403</v>
      </c>
      <c r="BL15" s="17">
        <f t="shared" si="67"/>
        <v>39.551667627470003</v>
      </c>
      <c r="BM15" s="17">
        <f t="shared" si="68"/>
        <v>88.125</v>
      </c>
      <c r="BN15" s="17">
        <f t="shared" si="69"/>
        <v>88.125</v>
      </c>
      <c r="BO15" s="17">
        <f t="shared" si="70"/>
        <v>88.125</v>
      </c>
      <c r="BP15" s="17">
        <f t="shared" si="71"/>
        <v>88.125</v>
      </c>
      <c r="BQ15" s="17" t="str">
        <f t="shared" si="72"/>
        <v>Ok</v>
      </c>
      <c r="BR15" s="17">
        <f t="shared" si="73"/>
        <v>65.030965234837794</v>
      </c>
      <c r="BS15" s="17">
        <f t="shared" si="74"/>
        <v>37.419483794848098</v>
      </c>
      <c r="BT15" s="16">
        <f>MongDon!$H$80</f>
        <v>1.2</v>
      </c>
      <c r="BU15" s="17" t="str">
        <f t="shared" si="75"/>
        <v>Ok</v>
      </c>
      <c r="BV15" s="17">
        <f t="shared" si="76"/>
        <v>56.652881702197398</v>
      </c>
      <c r="BW15" s="16">
        <f>MongDon!$F$86</f>
        <v>1.5</v>
      </c>
      <c r="BX15" s="17" t="str">
        <f t="shared" si="77"/>
        <v>Ok</v>
      </c>
      <c r="BY15" s="17">
        <f t="shared" si="78"/>
        <v>129.98241877819899</v>
      </c>
      <c r="BZ15" s="17">
        <f t="shared" si="79"/>
        <v>135.90813440811399</v>
      </c>
      <c r="CA15" s="17">
        <f t="shared" si="80"/>
        <v>150.60765537581301</v>
      </c>
      <c r="CB15" s="17">
        <f t="shared" si="81"/>
        <v>144.68193974589801</v>
      </c>
      <c r="CC15" s="17">
        <f t="shared" si="82"/>
        <v>142.18568376512101</v>
      </c>
      <c r="CD15" s="17">
        <f t="shared" si="83"/>
        <v>141.09930256630301</v>
      </c>
      <c r="CE15" s="17">
        <f t="shared" si="84"/>
        <v>139.49077158770899</v>
      </c>
      <c r="CF15" s="17">
        <f t="shared" si="85"/>
        <v>142.18568376512101</v>
      </c>
      <c r="CG15" s="17">
        <f t="shared" si="86"/>
        <v>17.743429797245099</v>
      </c>
      <c r="CH15" s="17">
        <f t="shared" si="87"/>
        <v>17.743429797245099</v>
      </c>
      <c r="CI15" s="17">
        <f t="shared" si="88"/>
        <v>303.30649226060001</v>
      </c>
      <c r="CJ15" s="17">
        <f t="shared" si="89"/>
        <v>303.30649226060001</v>
      </c>
    </row>
    <row r="16" spans="1:88">
      <c r="B16" s="15">
        <v>3</v>
      </c>
      <c r="C16" s="15" t="s">
        <v>25</v>
      </c>
      <c r="D16" s="16">
        <v>-2.977838029146</v>
      </c>
      <c r="E16" s="16">
        <v>-1.4125913614860599</v>
      </c>
      <c r="F16" s="16">
        <v>169.26318314795401</v>
      </c>
      <c r="G16" s="16">
        <v>1.0319577856477</v>
      </c>
      <c r="H16" s="16">
        <v>-4.7246917149521197</v>
      </c>
      <c r="I16" s="16" t="s">
        <v>15</v>
      </c>
      <c r="J16" s="16">
        <v>-2.4784299376839698</v>
      </c>
      <c r="K16" s="16">
        <v>-1.2131215343964701</v>
      </c>
      <c r="L16" s="16">
        <v>144.83653429349499</v>
      </c>
      <c r="M16" s="16">
        <v>0.89197387836251996</v>
      </c>
      <c r="N16" s="16">
        <v>-3.9332669903219202</v>
      </c>
      <c r="O16" s="16">
        <v>1.2</v>
      </c>
      <c r="P16" s="16">
        <v>1.2</v>
      </c>
      <c r="Q16" s="16">
        <v>0.22</v>
      </c>
      <c r="R16" s="16">
        <v>0.22</v>
      </c>
      <c r="S16" s="16">
        <v>0</v>
      </c>
      <c r="T16" s="16">
        <v>0</v>
      </c>
      <c r="U16" s="16">
        <v>0.3</v>
      </c>
      <c r="V16" s="16">
        <v>0.05</v>
      </c>
      <c r="W16" s="16">
        <v>1</v>
      </c>
      <c r="X16" s="16">
        <v>19.100000000000001</v>
      </c>
      <c r="Y16" s="16">
        <v>0</v>
      </c>
      <c r="Z16" s="16">
        <v>1.5</v>
      </c>
      <c r="AA16" s="16">
        <v>139</v>
      </c>
      <c r="AB16" s="16">
        <v>12.1</v>
      </c>
      <c r="AC16" s="16">
        <v>19.5</v>
      </c>
      <c r="AD16" s="15" t="s">
        <v>42</v>
      </c>
      <c r="AE16" s="15" t="s">
        <v>61</v>
      </c>
      <c r="AF16" s="17">
        <f>HLOOKUP(AD16,Data!$B$4:$M$9,2,0)</f>
        <v>13</v>
      </c>
      <c r="AG16" s="17">
        <f>HLOOKUP(AD16,Data!$B$4:$M$9,3,0)</f>
        <v>1</v>
      </c>
      <c r="AH16" s="17">
        <f>HLOOKUP(AE16,Data!$B$13:$I$18,3,0)</f>
        <v>260</v>
      </c>
      <c r="AI16" s="18">
        <f t="shared" si="39"/>
        <v>1.44</v>
      </c>
      <c r="AJ16" s="17">
        <f t="shared" si="40"/>
        <v>0.28799999999999998</v>
      </c>
      <c r="AK16" s="17">
        <f t="shared" si="41"/>
        <v>0.28799999999999998</v>
      </c>
      <c r="AL16" s="17">
        <f t="shared" si="42"/>
        <v>0.25</v>
      </c>
      <c r="AM16" s="17">
        <f t="shared" si="43"/>
        <v>0.49</v>
      </c>
      <c r="AN16" s="17">
        <f t="shared" si="44"/>
        <v>0.49</v>
      </c>
      <c r="AO16" s="17">
        <f t="shared" si="45"/>
        <v>0.49</v>
      </c>
      <c r="AP16" s="17">
        <f t="shared" si="46"/>
        <v>0.49</v>
      </c>
      <c r="AQ16" s="17">
        <f t="shared" si="47"/>
        <v>1.88</v>
      </c>
      <c r="AR16" s="17">
        <f t="shared" si="48"/>
        <v>0.92159999999999997</v>
      </c>
      <c r="AS16" s="17">
        <f t="shared" si="49"/>
        <v>169.26318314795401</v>
      </c>
      <c r="AT16" s="17">
        <f t="shared" si="50"/>
        <v>1.4557351940935199</v>
      </c>
      <c r="AU16" s="17">
        <f t="shared" si="51"/>
        <v>-5.6180431236959203</v>
      </c>
      <c r="AV16" s="17">
        <f t="shared" si="52"/>
        <v>144.83653429349499</v>
      </c>
      <c r="AW16" s="17">
        <f t="shared" si="53"/>
        <v>1.2559103386814601</v>
      </c>
      <c r="AX16" s="17">
        <f t="shared" si="54"/>
        <v>-4.6767959716271097</v>
      </c>
      <c r="AY16" s="17">
        <f t="shared" si="55"/>
        <v>162.70560745618101</v>
      </c>
      <c r="AZ16" s="17">
        <f t="shared" si="56"/>
        <v>113.58214691597701</v>
      </c>
      <c r="BA16" s="17">
        <f t="shared" si="57"/>
        <v>138.14387718607901</v>
      </c>
      <c r="BB16" s="17">
        <f t="shared" si="58"/>
        <v>141.78060128127601</v>
      </c>
      <c r="BC16" s="17">
        <f t="shared" si="59"/>
        <v>100.581251904133</v>
      </c>
      <c r="BD16" s="17">
        <f t="shared" si="60"/>
        <v>121.18092659270501</v>
      </c>
      <c r="BE16" s="17" t="str">
        <f>IF(AND(BD16&lt;=AA16,BB16&lt;=AA16*MongDon!$J$44,BC16&gt;0),"Ok","FAIL")</f>
        <v>Ok</v>
      </c>
      <c r="BF16" s="17">
        <f t="shared" si="61"/>
        <v>149.94948783161701</v>
      </c>
      <c r="BG16" s="17">
        <f t="shared" si="62"/>
        <v>352.5</v>
      </c>
      <c r="BH16" s="17" t="str">
        <f t="shared" si="63"/>
        <v>Ok</v>
      </c>
      <c r="BI16" s="17">
        <f t="shared" si="64"/>
        <v>38.329701435497299</v>
      </c>
      <c r="BJ16" s="17">
        <f t="shared" si="65"/>
        <v>34.1673935058949</v>
      </c>
      <c r="BK16" s="17">
        <f t="shared" si="66"/>
        <v>41.241171823684297</v>
      </c>
      <c r="BL16" s="17">
        <f t="shared" si="67"/>
        <v>45.403479753286703</v>
      </c>
      <c r="BM16" s="17">
        <f t="shared" si="68"/>
        <v>88.125</v>
      </c>
      <c r="BN16" s="17">
        <f t="shared" si="69"/>
        <v>88.125</v>
      </c>
      <c r="BO16" s="17">
        <f t="shared" si="70"/>
        <v>88.125</v>
      </c>
      <c r="BP16" s="17">
        <f t="shared" si="71"/>
        <v>88.125</v>
      </c>
      <c r="BQ16" s="17" t="str">
        <f t="shared" si="72"/>
        <v>Ok</v>
      </c>
      <c r="BR16" s="17">
        <f t="shared" si="73"/>
        <v>64.366882276301396</v>
      </c>
      <c r="BS16" s="17">
        <f t="shared" si="74"/>
        <v>21.615306691063001</v>
      </c>
      <c r="BT16" s="16">
        <f>MongDon!$H$80</f>
        <v>1.2</v>
      </c>
      <c r="BU16" s="17" t="str">
        <f t="shared" si="75"/>
        <v>Ok</v>
      </c>
      <c r="BV16" s="17">
        <f t="shared" si="76"/>
        <v>21.014489794643001</v>
      </c>
      <c r="BW16" s="16">
        <f>MongDon!$F$86</f>
        <v>1.5</v>
      </c>
      <c r="BX16" s="17" t="str">
        <f t="shared" si="77"/>
        <v>Ok</v>
      </c>
      <c r="BY16" s="17">
        <f t="shared" si="78"/>
        <v>152.59633527497601</v>
      </c>
      <c r="BZ16" s="17">
        <f t="shared" si="79"/>
        <v>113.58214691597701</v>
      </c>
      <c r="CA16" s="17">
        <f t="shared" si="80"/>
        <v>123.69141909718201</v>
      </c>
      <c r="CB16" s="17">
        <f t="shared" si="81"/>
        <v>162.70560745618101</v>
      </c>
      <c r="CC16" s="17">
        <f t="shared" si="82"/>
        <v>135.49425986978099</v>
      </c>
      <c r="CD16" s="17">
        <f t="shared" si="83"/>
        <v>142.646861068931</v>
      </c>
      <c r="CE16" s="17">
        <f t="shared" si="84"/>
        <v>140.793494502377</v>
      </c>
      <c r="CF16" s="17">
        <f t="shared" si="85"/>
        <v>142.646861068931</v>
      </c>
      <c r="CG16" s="17">
        <f t="shared" si="86"/>
        <v>18.730124007184799</v>
      </c>
      <c r="CH16" s="17">
        <f t="shared" si="87"/>
        <v>18.730124007184799</v>
      </c>
      <c r="CI16" s="17">
        <f t="shared" si="88"/>
        <v>320.17305995187598</v>
      </c>
      <c r="CJ16" s="17">
        <f t="shared" si="89"/>
        <v>320.17305995187598</v>
      </c>
    </row>
    <row r="17" spans="2:88">
      <c r="B17" s="15">
        <v>3</v>
      </c>
      <c r="C17" s="15" t="s">
        <v>26</v>
      </c>
      <c r="D17" s="16">
        <v>3.9884041911999599</v>
      </c>
      <c r="E17" s="16">
        <v>-2.0270984519282602</v>
      </c>
      <c r="F17" s="16">
        <v>171.96099176684501</v>
      </c>
      <c r="G17" s="16">
        <v>2.1252601180601798</v>
      </c>
      <c r="H17" s="16">
        <v>6.1055983815932704</v>
      </c>
      <c r="I17" s="16" t="s">
        <v>16</v>
      </c>
      <c r="J17" s="16">
        <v>3.3267719126043298</v>
      </c>
      <c r="K17" s="16">
        <v>-1.72521077643164</v>
      </c>
      <c r="L17" s="16">
        <v>147.08470814257001</v>
      </c>
      <c r="M17" s="16">
        <v>1.8030591553729201</v>
      </c>
      <c r="N17" s="16">
        <v>5.0919747567992397</v>
      </c>
      <c r="O17" s="16">
        <v>1.2</v>
      </c>
      <c r="P17" s="16">
        <v>1.2</v>
      </c>
      <c r="Q17" s="16">
        <v>0.22</v>
      </c>
      <c r="R17" s="16">
        <v>0.22</v>
      </c>
      <c r="S17" s="16">
        <v>0</v>
      </c>
      <c r="T17" s="16">
        <v>0</v>
      </c>
      <c r="U17" s="16">
        <v>0.3</v>
      </c>
      <c r="V17" s="16">
        <v>0.05</v>
      </c>
      <c r="W17" s="16">
        <v>1</v>
      </c>
      <c r="X17" s="16">
        <v>19.100000000000001</v>
      </c>
      <c r="Y17" s="16">
        <v>0</v>
      </c>
      <c r="Z17" s="16">
        <v>1.5</v>
      </c>
      <c r="AA17" s="16">
        <v>139</v>
      </c>
      <c r="AB17" s="16">
        <v>12.1</v>
      </c>
      <c r="AC17" s="16">
        <v>19.5</v>
      </c>
      <c r="AD17" s="15" t="s">
        <v>42</v>
      </c>
      <c r="AE17" s="15" t="s">
        <v>61</v>
      </c>
      <c r="AF17" s="17">
        <f>HLOOKUP(AD17,Data!$B$4:$M$9,2,0)</f>
        <v>13</v>
      </c>
      <c r="AG17" s="17">
        <f>HLOOKUP(AD17,Data!$B$4:$M$9,3,0)</f>
        <v>1</v>
      </c>
      <c r="AH17" s="17">
        <f>HLOOKUP(AE17,Data!$B$13:$I$18,3,0)</f>
        <v>260</v>
      </c>
      <c r="AI17" s="18">
        <f t="shared" si="39"/>
        <v>1.44</v>
      </c>
      <c r="AJ17" s="17">
        <f t="shared" si="40"/>
        <v>0.28799999999999998</v>
      </c>
      <c r="AK17" s="17">
        <f t="shared" si="41"/>
        <v>0.28799999999999998</v>
      </c>
      <c r="AL17" s="17">
        <f t="shared" si="42"/>
        <v>0.25</v>
      </c>
      <c r="AM17" s="17">
        <f t="shared" si="43"/>
        <v>0.49</v>
      </c>
      <c r="AN17" s="17">
        <f t="shared" si="44"/>
        <v>0.49</v>
      </c>
      <c r="AO17" s="17">
        <f t="shared" si="45"/>
        <v>0.49</v>
      </c>
      <c r="AP17" s="17">
        <f t="shared" si="46"/>
        <v>0.49</v>
      </c>
      <c r="AQ17" s="17">
        <f t="shared" si="47"/>
        <v>1.88</v>
      </c>
      <c r="AR17" s="17">
        <f t="shared" si="48"/>
        <v>0.92159999999999997</v>
      </c>
      <c r="AS17" s="17">
        <f t="shared" si="49"/>
        <v>171.96099176684501</v>
      </c>
      <c r="AT17" s="17">
        <f t="shared" si="50"/>
        <v>2.7333896536386599</v>
      </c>
      <c r="AU17" s="17">
        <f t="shared" si="51"/>
        <v>7.3021196389532603</v>
      </c>
      <c r="AV17" s="17">
        <f t="shared" si="52"/>
        <v>147.08470814257001</v>
      </c>
      <c r="AW17" s="17">
        <f t="shared" si="53"/>
        <v>2.32062238830241</v>
      </c>
      <c r="AX17" s="17">
        <f t="shared" si="54"/>
        <v>6.0900063305805396</v>
      </c>
      <c r="AY17" s="17">
        <f t="shared" si="55"/>
        <v>174.86287377069701</v>
      </c>
      <c r="AZ17" s="17">
        <f t="shared" si="56"/>
        <v>105.17183701658701</v>
      </c>
      <c r="BA17" s="17">
        <f t="shared" si="57"/>
        <v>140.01735539364199</v>
      </c>
      <c r="BB17" s="17">
        <f t="shared" si="58"/>
        <v>151.94573037290601</v>
      </c>
      <c r="BC17" s="17">
        <f t="shared" si="59"/>
        <v>93.538586491774794</v>
      </c>
      <c r="BD17" s="17">
        <f t="shared" si="60"/>
        <v>122.742158432341</v>
      </c>
      <c r="BE17" s="17" t="str">
        <f>IF(AND(BD17&lt;=AA17,BB17&lt;=AA17*MongDon!$J$44,BC17&gt;0),"Ok","FAIL")</f>
        <v>Ok</v>
      </c>
      <c r="BF17" s="17">
        <f t="shared" si="61"/>
        <v>161.15362446707499</v>
      </c>
      <c r="BG17" s="17">
        <f t="shared" si="62"/>
        <v>352.5</v>
      </c>
      <c r="BH17" s="17" t="str">
        <f t="shared" si="63"/>
        <v>Ok</v>
      </c>
      <c r="BI17" s="17">
        <f t="shared" si="64"/>
        <v>37.591608699730301</v>
      </c>
      <c r="BJ17" s="17">
        <f t="shared" si="65"/>
        <v>47.627117992322198</v>
      </c>
      <c r="BK17" s="17">
        <f t="shared" si="66"/>
        <v>43.058388007007601</v>
      </c>
      <c r="BL17" s="17">
        <f t="shared" si="67"/>
        <v>33.022878714415697</v>
      </c>
      <c r="BM17" s="17">
        <f t="shared" si="68"/>
        <v>88.125</v>
      </c>
      <c r="BN17" s="17">
        <f t="shared" si="69"/>
        <v>88.125</v>
      </c>
      <c r="BO17" s="17">
        <f t="shared" si="70"/>
        <v>88.125</v>
      </c>
      <c r="BP17" s="17">
        <f t="shared" si="71"/>
        <v>88.125</v>
      </c>
      <c r="BQ17" s="17" t="str">
        <f t="shared" si="72"/>
        <v>Ok</v>
      </c>
      <c r="BR17" s="17">
        <f t="shared" si="73"/>
        <v>64.945242330372395</v>
      </c>
      <c r="BS17" s="17">
        <f t="shared" si="74"/>
        <v>16.283515716302801</v>
      </c>
      <c r="BT17" s="16">
        <f>MongDon!$H$80</f>
        <v>1.2</v>
      </c>
      <c r="BU17" s="17" t="str">
        <f t="shared" si="75"/>
        <v>Ok</v>
      </c>
      <c r="BV17" s="17">
        <f t="shared" si="76"/>
        <v>16.3896239691387</v>
      </c>
      <c r="BW17" s="16">
        <f>MongDon!$F$86</f>
        <v>1.5</v>
      </c>
      <c r="BX17" s="17" t="str">
        <f t="shared" si="77"/>
        <v>Ok</v>
      </c>
      <c r="BY17" s="17">
        <f t="shared" si="78"/>
        <v>105.17183701658701</v>
      </c>
      <c r="BZ17" s="17">
        <f t="shared" si="79"/>
        <v>155.88100117598501</v>
      </c>
      <c r="CA17" s="17">
        <f t="shared" si="80"/>
        <v>174.86287377069701</v>
      </c>
      <c r="CB17" s="17">
        <f t="shared" si="81"/>
        <v>124.1537096113</v>
      </c>
      <c r="CC17" s="17">
        <f t="shared" si="82"/>
        <v>146.405700429436</v>
      </c>
      <c r="CD17" s="17">
        <f t="shared" si="83"/>
        <v>137.109020333546</v>
      </c>
      <c r="CE17" s="17">
        <f t="shared" si="84"/>
        <v>142.92569045373801</v>
      </c>
      <c r="CF17" s="17">
        <f t="shared" si="85"/>
        <v>146.405700429436</v>
      </c>
      <c r="CG17" s="17">
        <f t="shared" si="86"/>
        <v>19.8535267762994</v>
      </c>
      <c r="CH17" s="17">
        <f t="shared" si="87"/>
        <v>19.8535267762994</v>
      </c>
      <c r="CI17" s="17">
        <f t="shared" si="88"/>
        <v>339.37652609058802</v>
      </c>
      <c r="CJ17" s="17">
        <f t="shared" si="89"/>
        <v>339.37652609058802</v>
      </c>
    </row>
    <row r="18" spans="2:88">
      <c r="B18" s="15">
        <v>3</v>
      </c>
      <c r="C18" s="15" t="s">
        <v>27</v>
      </c>
      <c r="D18" s="16">
        <v>4.0030873629911596</v>
      </c>
      <c r="E18" s="16">
        <v>-4.1485607993033202</v>
      </c>
      <c r="F18" s="16">
        <v>172.51394297344501</v>
      </c>
      <c r="G18" s="16">
        <v>5.9280104113634202</v>
      </c>
      <c r="H18" s="16">
        <v>6.1188402866053702</v>
      </c>
      <c r="I18" s="16" t="s">
        <v>17</v>
      </c>
      <c r="J18" s="16">
        <v>3.3390078890970001</v>
      </c>
      <c r="K18" s="16">
        <v>-3.4930960659108599</v>
      </c>
      <c r="L18" s="16">
        <v>147.54550081473701</v>
      </c>
      <c r="M18" s="16">
        <v>4.9720177331256199</v>
      </c>
      <c r="N18" s="16">
        <v>5.1030096776426497</v>
      </c>
      <c r="O18" s="16">
        <v>1.2</v>
      </c>
      <c r="P18" s="16">
        <v>1.2</v>
      </c>
      <c r="Q18" s="16">
        <v>0.22</v>
      </c>
      <c r="R18" s="16">
        <v>0.22</v>
      </c>
      <c r="S18" s="16">
        <v>0</v>
      </c>
      <c r="T18" s="16">
        <v>0</v>
      </c>
      <c r="U18" s="16">
        <v>0.3</v>
      </c>
      <c r="V18" s="16">
        <v>0.05</v>
      </c>
      <c r="W18" s="16">
        <v>1</v>
      </c>
      <c r="X18" s="16">
        <v>19.100000000000001</v>
      </c>
      <c r="Y18" s="16">
        <v>0</v>
      </c>
      <c r="Z18" s="16">
        <v>1.5</v>
      </c>
      <c r="AA18" s="16">
        <v>139</v>
      </c>
      <c r="AB18" s="16">
        <v>12.1</v>
      </c>
      <c r="AC18" s="16">
        <v>19.5</v>
      </c>
      <c r="AD18" s="15" t="s">
        <v>42</v>
      </c>
      <c r="AE18" s="15" t="s">
        <v>61</v>
      </c>
      <c r="AF18" s="17">
        <f>HLOOKUP(AD18,Data!$B$4:$M$9,2,0)</f>
        <v>13</v>
      </c>
      <c r="AG18" s="17">
        <f>HLOOKUP(AD18,Data!$B$4:$M$9,3,0)</f>
        <v>1</v>
      </c>
      <c r="AH18" s="17">
        <f>HLOOKUP(AE18,Data!$B$13:$I$18,3,0)</f>
        <v>260</v>
      </c>
      <c r="AI18" s="18">
        <f t="shared" si="39"/>
        <v>1.44</v>
      </c>
      <c r="AJ18" s="17">
        <f t="shared" si="40"/>
        <v>0.28799999999999998</v>
      </c>
      <c r="AK18" s="17">
        <f t="shared" si="41"/>
        <v>0.28799999999999998</v>
      </c>
      <c r="AL18" s="17">
        <f t="shared" si="42"/>
        <v>0.25</v>
      </c>
      <c r="AM18" s="17">
        <f t="shared" si="43"/>
        <v>0.49</v>
      </c>
      <c r="AN18" s="17">
        <f t="shared" si="44"/>
        <v>0.49</v>
      </c>
      <c r="AO18" s="17">
        <f t="shared" si="45"/>
        <v>0.49</v>
      </c>
      <c r="AP18" s="17">
        <f t="shared" si="46"/>
        <v>0.49</v>
      </c>
      <c r="AQ18" s="17">
        <f t="shared" si="47"/>
        <v>1.88</v>
      </c>
      <c r="AR18" s="17">
        <f t="shared" si="48"/>
        <v>0.92159999999999997</v>
      </c>
      <c r="AS18" s="17">
        <f t="shared" si="49"/>
        <v>172.51394297344501</v>
      </c>
      <c r="AT18" s="17">
        <f t="shared" si="50"/>
        <v>7.1725786511544198</v>
      </c>
      <c r="AU18" s="17">
        <f t="shared" si="51"/>
        <v>7.3197664955027202</v>
      </c>
      <c r="AV18" s="17">
        <f t="shared" si="52"/>
        <v>147.54550081473701</v>
      </c>
      <c r="AW18" s="17">
        <f t="shared" si="53"/>
        <v>6.0199465528988796</v>
      </c>
      <c r="AX18" s="17">
        <f t="shared" si="54"/>
        <v>6.10471204437175</v>
      </c>
      <c r="AY18" s="17">
        <f t="shared" si="55"/>
        <v>190.72199215745201</v>
      </c>
      <c r="AZ18" s="17">
        <f t="shared" si="56"/>
        <v>90.080706416777502</v>
      </c>
      <c r="BA18" s="17">
        <f t="shared" si="57"/>
        <v>140.40134928711501</v>
      </c>
      <c r="BB18" s="17">
        <f t="shared" si="58"/>
        <v>165.161662361868</v>
      </c>
      <c r="BC18" s="17">
        <f t="shared" si="59"/>
        <v>80.962644325266893</v>
      </c>
      <c r="BD18" s="17">
        <f t="shared" si="60"/>
        <v>123.062153343568</v>
      </c>
      <c r="BE18" s="17" t="str">
        <f>IF(AND(BD18&lt;=AA18,BB18&lt;=AA18*MongDon!$J$44,BC18&gt;0),"Ok","FAIL")</f>
        <v>Ok</v>
      </c>
      <c r="BF18" s="17">
        <f t="shared" si="61"/>
        <v>175.76938797230801</v>
      </c>
      <c r="BG18" s="17">
        <f t="shared" si="62"/>
        <v>352.5</v>
      </c>
      <c r="BH18" s="17" t="str">
        <f t="shared" si="63"/>
        <v>Ok</v>
      </c>
      <c r="BI18" s="17">
        <f t="shared" si="64"/>
        <v>33.263009943534598</v>
      </c>
      <c r="BJ18" s="17">
        <f t="shared" si="65"/>
        <v>47.755355090191799</v>
      </c>
      <c r="BK18" s="17">
        <f t="shared" si="66"/>
        <v>47.608167245843497</v>
      </c>
      <c r="BL18" s="17">
        <f t="shared" si="67"/>
        <v>33.115822099186303</v>
      </c>
      <c r="BM18" s="17">
        <f t="shared" si="68"/>
        <v>88.125</v>
      </c>
      <c r="BN18" s="17">
        <f t="shared" si="69"/>
        <v>88.125</v>
      </c>
      <c r="BO18" s="17">
        <f t="shared" si="70"/>
        <v>88.125</v>
      </c>
      <c r="BP18" s="17">
        <f t="shared" si="71"/>
        <v>88.125</v>
      </c>
      <c r="BQ18" s="17" t="str">
        <f t="shared" si="72"/>
        <v>Ok</v>
      </c>
      <c r="BR18" s="17">
        <f t="shared" si="73"/>
        <v>65.063784797584006</v>
      </c>
      <c r="BS18" s="17">
        <f t="shared" si="74"/>
        <v>15.683459383917</v>
      </c>
      <c r="BT18" s="16">
        <f>MongDon!$H$80</f>
        <v>1.2</v>
      </c>
      <c r="BU18" s="17" t="str">
        <f t="shared" si="75"/>
        <v>Ok</v>
      </c>
      <c r="BV18" s="17">
        <f t="shared" si="76"/>
        <v>16.395436365053701</v>
      </c>
      <c r="BW18" s="16">
        <f>MongDon!$F$86</f>
        <v>1.5</v>
      </c>
      <c r="BX18" s="17" t="str">
        <f t="shared" si="77"/>
        <v>Ok</v>
      </c>
      <c r="BY18" s="17">
        <f t="shared" si="78"/>
        <v>90.080706416777403</v>
      </c>
      <c r="BZ18" s="17">
        <f t="shared" si="79"/>
        <v>140.91241819110201</v>
      </c>
      <c r="CA18" s="17">
        <f t="shared" si="80"/>
        <v>190.72199215745201</v>
      </c>
      <c r="CB18" s="17">
        <f t="shared" si="81"/>
        <v>139.89028038312799</v>
      </c>
      <c r="CC18" s="17">
        <f t="shared" si="82"/>
        <v>149.62680048000999</v>
      </c>
      <c r="CD18" s="17">
        <f t="shared" si="83"/>
        <v>140.30765332138401</v>
      </c>
      <c r="CE18" s="17">
        <f t="shared" si="84"/>
        <v>140.49504525284601</v>
      </c>
      <c r="CF18" s="17">
        <f t="shared" si="85"/>
        <v>149.62680048000999</v>
      </c>
      <c r="CG18" s="17">
        <f t="shared" si="86"/>
        <v>21.2516825715431</v>
      </c>
      <c r="CH18" s="17">
        <f t="shared" si="87"/>
        <v>21.2516825715431</v>
      </c>
      <c r="CI18" s="17">
        <f t="shared" si="88"/>
        <v>363.276625154584</v>
      </c>
      <c r="CJ18" s="17">
        <f t="shared" si="89"/>
        <v>363.276625154584</v>
      </c>
    </row>
    <row r="19" spans="2:88">
      <c r="B19" s="15">
        <v>3</v>
      </c>
      <c r="C19" s="15" t="s">
        <v>28</v>
      </c>
      <c r="D19" s="16">
        <v>-2.9925212009372002</v>
      </c>
      <c r="E19" s="16">
        <v>0.70887098588900799</v>
      </c>
      <c r="F19" s="16">
        <v>168.71023194135299</v>
      </c>
      <c r="G19" s="16">
        <v>-2.77079250765554</v>
      </c>
      <c r="H19" s="16">
        <v>-4.7379336199642097</v>
      </c>
      <c r="I19" s="16" t="s">
        <v>18</v>
      </c>
      <c r="J19" s="16">
        <v>-2.4906659141766401</v>
      </c>
      <c r="K19" s="16">
        <v>0.554763755082749</v>
      </c>
      <c r="L19" s="16">
        <v>144.37574162132799</v>
      </c>
      <c r="M19" s="16">
        <v>-2.2769846993901801</v>
      </c>
      <c r="N19" s="16">
        <v>-3.9443019111653399</v>
      </c>
      <c r="O19" s="16">
        <v>1.2</v>
      </c>
      <c r="P19" s="16">
        <v>1.2</v>
      </c>
      <c r="Q19" s="16">
        <v>0.22</v>
      </c>
      <c r="R19" s="16">
        <v>0.22</v>
      </c>
      <c r="S19" s="16">
        <v>0</v>
      </c>
      <c r="T19" s="16">
        <v>0</v>
      </c>
      <c r="U19" s="16">
        <v>0.3</v>
      </c>
      <c r="V19" s="16">
        <v>0.05</v>
      </c>
      <c r="W19" s="16">
        <v>1</v>
      </c>
      <c r="X19" s="16">
        <v>19.100000000000001</v>
      </c>
      <c r="Y19" s="16">
        <v>0</v>
      </c>
      <c r="Z19" s="16">
        <v>1.5</v>
      </c>
      <c r="AA19" s="16">
        <v>139</v>
      </c>
      <c r="AB19" s="16">
        <v>12.1</v>
      </c>
      <c r="AC19" s="16">
        <v>19.5</v>
      </c>
      <c r="AD19" s="15" t="s">
        <v>42</v>
      </c>
      <c r="AE19" s="15" t="s">
        <v>61</v>
      </c>
      <c r="AF19" s="17">
        <f>HLOOKUP(AD19,Data!$B$4:$M$9,2,0)</f>
        <v>13</v>
      </c>
      <c r="AG19" s="17">
        <f>HLOOKUP(AD19,Data!$B$4:$M$9,3,0)</f>
        <v>1</v>
      </c>
      <c r="AH19" s="17">
        <f>HLOOKUP(AE19,Data!$B$13:$I$18,3,0)</f>
        <v>260</v>
      </c>
      <c r="AI19" s="18">
        <f t="shared" si="39"/>
        <v>1.44</v>
      </c>
      <c r="AJ19" s="17">
        <f t="shared" si="40"/>
        <v>0.28799999999999998</v>
      </c>
      <c r="AK19" s="17">
        <f t="shared" si="41"/>
        <v>0.28799999999999998</v>
      </c>
      <c r="AL19" s="17">
        <f t="shared" si="42"/>
        <v>0.25</v>
      </c>
      <c r="AM19" s="17">
        <f t="shared" si="43"/>
        <v>0.49</v>
      </c>
      <c r="AN19" s="17">
        <f t="shared" si="44"/>
        <v>0.49</v>
      </c>
      <c r="AO19" s="17">
        <f t="shared" si="45"/>
        <v>0.49</v>
      </c>
      <c r="AP19" s="17">
        <f t="shared" si="46"/>
        <v>0.49</v>
      </c>
      <c r="AQ19" s="17">
        <f t="shared" si="47"/>
        <v>1.88</v>
      </c>
      <c r="AR19" s="17">
        <f t="shared" si="48"/>
        <v>0.92159999999999997</v>
      </c>
      <c r="AS19" s="17">
        <f t="shared" si="49"/>
        <v>168.71023194135299</v>
      </c>
      <c r="AT19" s="17">
        <f t="shared" si="50"/>
        <v>-2.9834538034222402</v>
      </c>
      <c r="AU19" s="17">
        <f t="shared" si="51"/>
        <v>-5.6356899802453704</v>
      </c>
      <c r="AV19" s="17">
        <f t="shared" si="52"/>
        <v>144.37574162132799</v>
      </c>
      <c r="AW19" s="17">
        <f t="shared" si="53"/>
        <v>-2.4434138259150102</v>
      </c>
      <c r="AX19" s="17">
        <f t="shared" si="54"/>
        <v>-4.6915016854183298</v>
      </c>
      <c r="AY19" s="17">
        <f t="shared" si="55"/>
        <v>167.687465874786</v>
      </c>
      <c r="AZ19" s="17">
        <f t="shared" si="56"/>
        <v>107.83230071042701</v>
      </c>
      <c r="BA19" s="17">
        <f t="shared" si="57"/>
        <v>137.75988329260699</v>
      </c>
      <c r="BB19" s="17">
        <f t="shared" si="58"/>
        <v>145.634943873607</v>
      </c>
      <c r="BC19" s="17">
        <f t="shared" si="59"/>
        <v>96.086919489347906</v>
      </c>
      <c r="BD19" s="17">
        <f t="shared" si="60"/>
        <v>120.86093168147799</v>
      </c>
      <c r="BE19" s="17" t="str">
        <f>IF(AND(BD19&lt;=AA19,BB19&lt;=AA19*MongDon!$J$44,BC19&gt;0),"Ok","FAIL")</f>
        <v>Ok</v>
      </c>
      <c r="BF19" s="17">
        <f t="shared" si="61"/>
        <v>154.54076855020301</v>
      </c>
      <c r="BG19" s="17">
        <f t="shared" si="62"/>
        <v>352.5</v>
      </c>
      <c r="BH19" s="17" t="str">
        <f t="shared" si="63"/>
        <v>Ok</v>
      </c>
      <c r="BI19" s="17">
        <f t="shared" si="64"/>
        <v>42.658300191692902</v>
      </c>
      <c r="BJ19" s="17">
        <f t="shared" si="65"/>
        <v>34.039156408025299</v>
      </c>
      <c r="BK19" s="17">
        <f t="shared" si="66"/>
        <v>36.691392584848401</v>
      </c>
      <c r="BL19" s="17">
        <f t="shared" si="67"/>
        <v>45.310536368516097</v>
      </c>
      <c r="BM19" s="17">
        <f t="shared" si="68"/>
        <v>88.125</v>
      </c>
      <c r="BN19" s="17">
        <f t="shared" si="69"/>
        <v>88.125</v>
      </c>
      <c r="BO19" s="17">
        <f t="shared" si="70"/>
        <v>88.125</v>
      </c>
      <c r="BP19" s="17">
        <f t="shared" si="71"/>
        <v>88.125</v>
      </c>
      <c r="BQ19" s="17" t="str">
        <f t="shared" si="72"/>
        <v>Ok</v>
      </c>
      <c r="BR19" s="17">
        <f t="shared" si="73"/>
        <v>64.248339809089799</v>
      </c>
      <c r="BS19" s="17">
        <f t="shared" si="74"/>
        <v>21.469635633314301</v>
      </c>
      <c r="BT19" s="16">
        <f>MongDon!$H$80</f>
        <v>1.2</v>
      </c>
      <c r="BU19" s="17" t="str">
        <f t="shared" si="75"/>
        <v>Ok</v>
      </c>
      <c r="BV19" s="17">
        <f t="shared" si="76"/>
        <v>20.889818208148899</v>
      </c>
      <c r="BW19" s="16">
        <f>MongDon!$F$86</f>
        <v>1.5</v>
      </c>
      <c r="BX19" s="17" t="str">
        <f t="shared" si="77"/>
        <v>Ok</v>
      </c>
      <c r="BY19" s="17">
        <f t="shared" si="78"/>
        <v>167.687465874786</v>
      </c>
      <c r="BZ19" s="17">
        <f t="shared" si="79"/>
        <v>128.55072990086001</v>
      </c>
      <c r="CA19" s="17">
        <f t="shared" si="80"/>
        <v>107.83230071042701</v>
      </c>
      <c r="CB19" s="17">
        <f t="shared" si="81"/>
        <v>146.96903668435399</v>
      </c>
      <c r="CC19" s="17">
        <f t="shared" si="82"/>
        <v>136.07153850412001</v>
      </c>
      <c r="CD19" s="17">
        <f t="shared" si="83"/>
        <v>143.24660676600601</v>
      </c>
      <c r="CE19" s="17">
        <f t="shared" si="84"/>
        <v>143.24660676600601</v>
      </c>
      <c r="CF19" s="17">
        <f t="shared" si="85"/>
        <v>139.44822808109399</v>
      </c>
      <c r="CG19" s="17">
        <f t="shared" si="86"/>
        <v>19.152838566265</v>
      </c>
      <c r="CH19" s="17">
        <f t="shared" si="87"/>
        <v>19.152838566265</v>
      </c>
      <c r="CI19" s="17">
        <f t="shared" si="88"/>
        <v>327.39894985068401</v>
      </c>
      <c r="CJ19" s="17">
        <f t="shared" si="89"/>
        <v>327.39894985068401</v>
      </c>
    </row>
    <row r="20" spans="2:88">
      <c r="B20" s="15">
        <v>3</v>
      </c>
      <c r="C20" s="15" t="s">
        <v>29</v>
      </c>
      <c r="D20" s="16">
        <v>-3.4254175646818101</v>
      </c>
      <c r="E20" s="16">
        <v>-1.2160417792462701</v>
      </c>
      <c r="F20" s="16">
        <v>153.374411489945</v>
      </c>
      <c r="G20" s="16">
        <v>0.82042449766815795</v>
      </c>
      <c r="H20" s="16">
        <v>-5.4095878121496099</v>
      </c>
      <c r="I20" s="16" t="s">
        <v>19</v>
      </c>
      <c r="J20" s="16">
        <v>-2.85141288396381</v>
      </c>
      <c r="K20" s="16">
        <v>-1.04933021586332</v>
      </c>
      <c r="L20" s="16">
        <v>131.59589124515401</v>
      </c>
      <c r="M20" s="16">
        <v>0.71569613837956403</v>
      </c>
      <c r="N20" s="16">
        <v>-4.5040137379865</v>
      </c>
      <c r="O20" s="16">
        <v>1.2</v>
      </c>
      <c r="P20" s="16">
        <v>1.2</v>
      </c>
      <c r="Q20" s="16">
        <v>0.22</v>
      </c>
      <c r="R20" s="16">
        <v>0.22</v>
      </c>
      <c r="S20" s="16">
        <v>0</v>
      </c>
      <c r="T20" s="16">
        <v>0</v>
      </c>
      <c r="U20" s="16">
        <v>0.3</v>
      </c>
      <c r="V20" s="16">
        <v>0.05</v>
      </c>
      <c r="W20" s="16">
        <v>1</v>
      </c>
      <c r="X20" s="16">
        <v>19.100000000000001</v>
      </c>
      <c r="Y20" s="16">
        <v>0</v>
      </c>
      <c r="Z20" s="16">
        <v>1.5</v>
      </c>
      <c r="AA20" s="16">
        <v>139</v>
      </c>
      <c r="AB20" s="16">
        <v>12.1</v>
      </c>
      <c r="AC20" s="16">
        <v>19.5</v>
      </c>
      <c r="AD20" s="15" t="s">
        <v>42</v>
      </c>
      <c r="AE20" s="15" t="s">
        <v>61</v>
      </c>
      <c r="AF20" s="17">
        <f>HLOOKUP(AD20,Data!$B$4:$M$9,2,0)</f>
        <v>13</v>
      </c>
      <c r="AG20" s="17">
        <f>HLOOKUP(AD20,Data!$B$4:$M$9,3,0)</f>
        <v>1</v>
      </c>
      <c r="AH20" s="17">
        <f>HLOOKUP(AE20,Data!$B$13:$I$18,3,0)</f>
        <v>260</v>
      </c>
      <c r="AI20" s="18">
        <f t="shared" si="39"/>
        <v>1.44</v>
      </c>
      <c r="AJ20" s="17">
        <f t="shared" si="40"/>
        <v>0.28799999999999998</v>
      </c>
      <c r="AK20" s="17">
        <f t="shared" si="41"/>
        <v>0.28799999999999998</v>
      </c>
      <c r="AL20" s="17">
        <f t="shared" si="42"/>
        <v>0.25</v>
      </c>
      <c r="AM20" s="17">
        <f t="shared" si="43"/>
        <v>0.49</v>
      </c>
      <c r="AN20" s="17">
        <f t="shared" si="44"/>
        <v>0.49</v>
      </c>
      <c r="AO20" s="17">
        <f t="shared" si="45"/>
        <v>0.49</v>
      </c>
      <c r="AP20" s="17">
        <f t="shared" si="46"/>
        <v>0.49</v>
      </c>
      <c r="AQ20" s="17">
        <f t="shared" si="47"/>
        <v>1.88</v>
      </c>
      <c r="AR20" s="17">
        <f t="shared" si="48"/>
        <v>0.92159999999999997</v>
      </c>
      <c r="AS20" s="17">
        <f t="shared" si="49"/>
        <v>153.374411489945</v>
      </c>
      <c r="AT20" s="17">
        <f t="shared" si="50"/>
        <v>1.18523703144204</v>
      </c>
      <c r="AU20" s="17">
        <f t="shared" si="51"/>
        <v>-6.43721308155415</v>
      </c>
      <c r="AV20" s="17">
        <f t="shared" si="52"/>
        <v>131.59589124515401</v>
      </c>
      <c r="AW20" s="17">
        <f t="shared" si="53"/>
        <v>1.0304952031385599</v>
      </c>
      <c r="AX20" s="17">
        <f t="shared" si="54"/>
        <v>-5.3594376031756399</v>
      </c>
      <c r="AY20" s="17">
        <f t="shared" si="55"/>
        <v>153.576848649254</v>
      </c>
      <c r="AZ20" s="17">
        <f t="shared" si="56"/>
        <v>100.643167309003</v>
      </c>
      <c r="BA20" s="17">
        <f t="shared" si="57"/>
        <v>127.11000797912899</v>
      </c>
      <c r="BB20" s="17">
        <f t="shared" si="58"/>
        <v>134.173302275504</v>
      </c>
      <c r="BC20" s="17">
        <f t="shared" si="59"/>
        <v>89.798768898321498</v>
      </c>
      <c r="BD20" s="17">
        <f t="shared" si="60"/>
        <v>111.986035586913</v>
      </c>
      <c r="BE20" s="17" t="str">
        <f>IF(AND(BD20&lt;=AA20,BB20&lt;=AA20*MongDon!$J$44,BC20&gt;0),"Ok","FAIL")</f>
        <v>Ok</v>
      </c>
      <c r="BF20" s="17">
        <f t="shared" si="61"/>
        <v>141.53642371515301</v>
      </c>
      <c r="BG20" s="17">
        <f t="shared" si="62"/>
        <v>352.5</v>
      </c>
      <c r="BH20" s="17" t="str">
        <f t="shared" si="63"/>
        <v>Ok</v>
      </c>
      <c r="BI20" s="17">
        <f t="shared" si="64"/>
        <v>35.422445266547001</v>
      </c>
      <c r="BJ20" s="17">
        <f t="shared" si="65"/>
        <v>30.170469216434899</v>
      </c>
      <c r="BK20" s="17">
        <f t="shared" si="66"/>
        <v>37.792919329431101</v>
      </c>
      <c r="BL20" s="17">
        <f t="shared" si="67"/>
        <v>43.044895379543199</v>
      </c>
      <c r="BM20" s="17">
        <f t="shared" si="68"/>
        <v>88.125</v>
      </c>
      <c r="BN20" s="17">
        <f t="shared" si="69"/>
        <v>88.125</v>
      </c>
      <c r="BO20" s="17">
        <f t="shared" si="70"/>
        <v>88.125</v>
      </c>
      <c r="BP20" s="17">
        <f t="shared" si="71"/>
        <v>88.125</v>
      </c>
      <c r="BQ20" s="17" t="str">
        <f t="shared" si="72"/>
        <v>Ok</v>
      </c>
      <c r="BR20" s="17">
        <f t="shared" si="73"/>
        <v>60.960624778678699</v>
      </c>
      <c r="BS20" s="17">
        <f t="shared" si="74"/>
        <v>17.7965528662026</v>
      </c>
      <c r="BT20" s="16">
        <f>MongDon!$H$80</f>
        <v>1.2</v>
      </c>
      <c r="BU20" s="17" t="str">
        <f t="shared" si="75"/>
        <v>Ok</v>
      </c>
      <c r="BV20" s="17">
        <f t="shared" si="76"/>
        <v>16.859321808835499</v>
      </c>
      <c r="BW20" s="16">
        <f>MongDon!$F$86</f>
        <v>1.5</v>
      </c>
      <c r="BX20" s="17" t="str">
        <f t="shared" si="77"/>
        <v>Ok</v>
      </c>
      <c r="BY20" s="17">
        <f t="shared" si="78"/>
        <v>145.34603593090699</v>
      </c>
      <c r="BZ20" s="17">
        <f t="shared" si="79"/>
        <v>100.643167309003</v>
      </c>
      <c r="CA20" s="17">
        <f t="shared" si="80"/>
        <v>108.87398002735</v>
      </c>
      <c r="CB20" s="17">
        <f t="shared" si="81"/>
        <v>153.576848649254</v>
      </c>
      <c r="CC20" s="17">
        <f t="shared" si="82"/>
        <v>123.766736187969</v>
      </c>
      <c r="CD20" s="17">
        <f t="shared" si="83"/>
        <v>131.962262101985</v>
      </c>
      <c r="CE20" s="17">
        <f t="shared" si="84"/>
        <v>130.45327977028799</v>
      </c>
      <c r="CF20" s="17">
        <f t="shared" si="85"/>
        <v>131.962262101985</v>
      </c>
      <c r="CG20" s="17">
        <f t="shared" si="86"/>
        <v>17.571956975343099</v>
      </c>
      <c r="CH20" s="17">
        <f t="shared" si="87"/>
        <v>17.571956975343099</v>
      </c>
      <c r="CI20" s="17">
        <f t="shared" si="88"/>
        <v>300.37533291184701</v>
      </c>
      <c r="CJ20" s="17">
        <f t="shared" si="89"/>
        <v>300.37533291184701</v>
      </c>
    </row>
    <row r="21" spans="2:88">
      <c r="B21" s="15">
        <v>3</v>
      </c>
      <c r="C21" s="15" t="s">
        <v>30</v>
      </c>
      <c r="D21" s="16">
        <v>4.3148515690359304</v>
      </c>
      <c r="E21" s="16">
        <v>-1.89882743529316</v>
      </c>
      <c r="F21" s="16">
        <v>156.37197662204599</v>
      </c>
      <c r="G21" s="16">
        <v>2.03520486701535</v>
      </c>
      <c r="H21" s="16">
        <v>6.6240678506785997</v>
      </c>
      <c r="I21" s="16" t="s">
        <v>20</v>
      </c>
      <c r="J21" s="16">
        <v>3.5988113941342998</v>
      </c>
      <c r="K21" s="16">
        <v>-1.61831826256906</v>
      </c>
      <c r="L21" s="16">
        <v>134.09386218857099</v>
      </c>
      <c r="M21" s="16">
        <v>1.72801311283556</v>
      </c>
      <c r="N21" s="16">
        <v>5.5240326477036703</v>
      </c>
      <c r="O21" s="16">
        <v>1.2</v>
      </c>
      <c r="P21" s="16">
        <v>1.2</v>
      </c>
      <c r="Q21" s="16">
        <v>0.22</v>
      </c>
      <c r="R21" s="16">
        <v>0.22</v>
      </c>
      <c r="S21" s="16">
        <v>0</v>
      </c>
      <c r="T21" s="16">
        <v>0</v>
      </c>
      <c r="U21" s="16">
        <v>0.3</v>
      </c>
      <c r="V21" s="16">
        <v>0.05</v>
      </c>
      <c r="W21" s="16">
        <v>1</v>
      </c>
      <c r="X21" s="16">
        <v>19.100000000000001</v>
      </c>
      <c r="Y21" s="16">
        <v>0</v>
      </c>
      <c r="Z21" s="16">
        <v>1.5</v>
      </c>
      <c r="AA21" s="16">
        <v>139</v>
      </c>
      <c r="AB21" s="16">
        <v>12.1</v>
      </c>
      <c r="AC21" s="16">
        <v>19.5</v>
      </c>
      <c r="AD21" s="15" t="s">
        <v>42</v>
      </c>
      <c r="AE21" s="15" t="s">
        <v>61</v>
      </c>
      <c r="AF21" s="17">
        <f>HLOOKUP(AD21,Data!$B$4:$M$9,2,0)</f>
        <v>13</v>
      </c>
      <c r="AG21" s="17">
        <f>HLOOKUP(AD21,Data!$B$4:$M$9,3,0)</f>
        <v>1</v>
      </c>
      <c r="AH21" s="17">
        <f>HLOOKUP(AE21,Data!$B$13:$I$18,3,0)</f>
        <v>260</v>
      </c>
      <c r="AI21" s="18">
        <f t="shared" si="39"/>
        <v>1.44</v>
      </c>
      <c r="AJ21" s="17">
        <f t="shared" si="40"/>
        <v>0.28799999999999998</v>
      </c>
      <c r="AK21" s="17">
        <f t="shared" si="41"/>
        <v>0.28799999999999998</v>
      </c>
      <c r="AL21" s="17">
        <f t="shared" si="42"/>
        <v>0.25</v>
      </c>
      <c r="AM21" s="17">
        <f t="shared" si="43"/>
        <v>0.49</v>
      </c>
      <c r="AN21" s="17">
        <f t="shared" si="44"/>
        <v>0.49</v>
      </c>
      <c r="AO21" s="17">
        <f t="shared" si="45"/>
        <v>0.49</v>
      </c>
      <c r="AP21" s="17">
        <f t="shared" si="46"/>
        <v>0.49</v>
      </c>
      <c r="AQ21" s="17">
        <f t="shared" si="47"/>
        <v>1.88</v>
      </c>
      <c r="AR21" s="17">
        <f t="shared" si="48"/>
        <v>0.92159999999999997</v>
      </c>
      <c r="AS21" s="17">
        <f t="shared" si="49"/>
        <v>156.37197662204599</v>
      </c>
      <c r="AT21" s="17">
        <f t="shared" si="50"/>
        <v>2.6048530976033</v>
      </c>
      <c r="AU21" s="17">
        <f t="shared" si="51"/>
        <v>7.9185233213893804</v>
      </c>
      <c r="AV21" s="17">
        <f t="shared" si="52"/>
        <v>134.09386218857099</v>
      </c>
      <c r="AW21" s="17">
        <f t="shared" si="53"/>
        <v>2.21350859160628</v>
      </c>
      <c r="AX21" s="17">
        <f t="shared" si="54"/>
        <v>6.6036760659439704</v>
      </c>
      <c r="AY21" s="17">
        <f t="shared" si="55"/>
        <v>165.731151886812</v>
      </c>
      <c r="AZ21" s="17">
        <f t="shared" si="56"/>
        <v>92.652148977140698</v>
      </c>
      <c r="BA21" s="17">
        <f t="shared" si="57"/>
        <v>129.191650431976</v>
      </c>
      <c r="BB21" s="17">
        <f t="shared" si="58"/>
        <v>144.33596213633501</v>
      </c>
      <c r="BC21" s="17">
        <f t="shared" si="59"/>
        <v>83.105513125569601</v>
      </c>
      <c r="BD21" s="17">
        <f t="shared" si="60"/>
        <v>113.720737630952</v>
      </c>
      <c r="BE21" s="17" t="str">
        <f>IF(AND(BD21&lt;=AA21,BB21&lt;=AA21*MongDon!$J$44,BC21&gt;0),"Ok","FAIL")</f>
        <v>Ok</v>
      </c>
      <c r="BF21" s="17">
        <f t="shared" si="61"/>
        <v>152.73782957888599</v>
      </c>
      <c r="BG21" s="17">
        <f t="shared" si="62"/>
        <v>352.5</v>
      </c>
      <c r="BH21" s="17" t="str">
        <f t="shared" si="63"/>
        <v>Ok</v>
      </c>
      <c r="BI21" s="17">
        <f t="shared" si="64"/>
        <v>34.602342226805902</v>
      </c>
      <c r="BJ21" s="17">
        <f t="shared" si="65"/>
        <v>45.125718645798599</v>
      </c>
      <c r="BK21" s="17">
        <f t="shared" si="66"/>
        <v>39.812048422012502</v>
      </c>
      <c r="BL21" s="17">
        <f t="shared" si="67"/>
        <v>29.288672003019801</v>
      </c>
      <c r="BM21" s="17">
        <f t="shared" si="68"/>
        <v>88.125</v>
      </c>
      <c r="BN21" s="17">
        <f t="shared" si="69"/>
        <v>88.125</v>
      </c>
      <c r="BO21" s="17">
        <f t="shared" si="70"/>
        <v>88.125</v>
      </c>
      <c r="BP21" s="17">
        <f t="shared" si="71"/>
        <v>88.125</v>
      </c>
      <c r="BQ21" s="17" t="str">
        <f t="shared" si="72"/>
        <v>Ok</v>
      </c>
      <c r="BR21" s="17">
        <f t="shared" si="73"/>
        <v>61.603247060979797</v>
      </c>
      <c r="BS21" s="17">
        <f t="shared" si="74"/>
        <v>14.277025773738</v>
      </c>
      <c r="BT21" s="16">
        <f>MongDon!$H$80</f>
        <v>1.2</v>
      </c>
      <c r="BU21" s="17" t="str">
        <f t="shared" si="75"/>
        <v>Ok</v>
      </c>
      <c r="BV21" s="17">
        <f t="shared" si="76"/>
        <v>13.9325959519773</v>
      </c>
      <c r="BW21" s="16">
        <f>MongDon!$F$86</f>
        <v>1.5</v>
      </c>
      <c r="BX21" s="17" t="str">
        <f t="shared" si="77"/>
        <v>Ok</v>
      </c>
      <c r="BY21" s="17">
        <f t="shared" si="78"/>
        <v>92.652148977140698</v>
      </c>
      <c r="BZ21" s="17">
        <f t="shared" si="79"/>
        <v>147.64189426456699</v>
      </c>
      <c r="CA21" s="17">
        <f t="shared" si="80"/>
        <v>165.731151886812</v>
      </c>
      <c r="CB21" s="17">
        <f t="shared" si="81"/>
        <v>110.741406599386</v>
      </c>
      <c r="CC21" s="17">
        <f t="shared" si="82"/>
        <v>135.89055903203001</v>
      </c>
      <c r="CD21" s="17">
        <f t="shared" si="83"/>
        <v>125.809105729335</v>
      </c>
      <c r="CE21" s="17">
        <f t="shared" si="84"/>
        <v>132.57419513461801</v>
      </c>
      <c r="CF21" s="17">
        <f t="shared" si="85"/>
        <v>135.89055903203001</v>
      </c>
      <c r="CG21" s="17">
        <f t="shared" si="86"/>
        <v>18.701903726606201</v>
      </c>
      <c r="CH21" s="17">
        <f t="shared" si="87"/>
        <v>18.701903726606201</v>
      </c>
      <c r="CI21" s="17">
        <f t="shared" si="88"/>
        <v>319.69066199326898</v>
      </c>
      <c r="CJ21" s="17">
        <f t="shared" si="89"/>
        <v>319.69066199326898</v>
      </c>
    </row>
    <row r="22" spans="2:88">
      <c r="B22" s="15">
        <v>3</v>
      </c>
      <c r="C22" s="15" t="s">
        <v>31</v>
      </c>
      <c r="D22" s="16">
        <v>4.3311662043594801</v>
      </c>
      <c r="E22" s="16">
        <v>-4.2560078212654604</v>
      </c>
      <c r="F22" s="16">
        <v>156.98636685160201</v>
      </c>
      <c r="G22" s="16">
        <v>6.2604829706856204</v>
      </c>
      <c r="H22" s="16">
        <v>6.6387810784698198</v>
      </c>
      <c r="I22" s="16" t="s">
        <v>21</v>
      </c>
      <c r="J22" s="16">
        <v>3.6124069235706</v>
      </c>
      <c r="K22" s="16">
        <v>-3.5826352508792998</v>
      </c>
      <c r="L22" s="16">
        <v>134.605854046535</v>
      </c>
      <c r="M22" s="16">
        <v>5.2490781992274496</v>
      </c>
      <c r="N22" s="16">
        <v>5.5362936708630199</v>
      </c>
      <c r="O22" s="16">
        <v>1.2</v>
      </c>
      <c r="P22" s="16">
        <v>1.2</v>
      </c>
      <c r="Q22" s="16">
        <v>0.22</v>
      </c>
      <c r="R22" s="16">
        <v>0.22</v>
      </c>
      <c r="S22" s="16">
        <v>0</v>
      </c>
      <c r="T22" s="16">
        <v>0</v>
      </c>
      <c r="U22" s="16">
        <v>0.3</v>
      </c>
      <c r="V22" s="16">
        <v>0.05</v>
      </c>
      <c r="W22" s="16">
        <v>1</v>
      </c>
      <c r="X22" s="16">
        <v>19.100000000000001</v>
      </c>
      <c r="Y22" s="16">
        <v>0</v>
      </c>
      <c r="Z22" s="16">
        <v>1.5</v>
      </c>
      <c r="AA22" s="16">
        <v>139</v>
      </c>
      <c r="AB22" s="16">
        <v>12.1</v>
      </c>
      <c r="AC22" s="16">
        <v>19.5</v>
      </c>
      <c r="AD22" s="15" t="s">
        <v>42</v>
      </c>
      <c r="AE22" s="15" t="s">
        <v>61</v>
      </c>
      <c r="AF22" s="17">
        <f>HLOOKUP(AD22,Data!$B$4:$M$9,2,0)</f>
        <v>13</v>
      </c>
      <c r="AG22" s="17">
        <f>HLOOKUP(AD22,Data!$B$4:$M$9,3,0)</f>
        <v>1</v>
      </c>
      <c r="AH22" s="17">
        <f>HLOOKUP(AE22,Data!$B$13:$I$18,3,0)</f>
        <v>260</v>
      </c>
      <c r="AI22" s="18">
        <f t="shared" si="39"/>
        <v>1.44</v>
      </c>
      <c r="AJ22" s="17">
        <f t="shared" si="40"/>
        <v>0.28799999999999998</v>
      </c>
      <c r="AK22" s="17">
        <f t="shared" si="41"/>
        <v>0.28799999999999998</v>
      </c>
      <c r="AL22" s="17">
        <f t="shared" si="42"/>
        <v>0.25</v>
      </c>
      <c r="AM22" s="17">
        <f t="shared" si="43"/>
        <v>0.49</v>
      </c>
      <c r="AN22" s="17">
        <f t="shared" si="44"/>
        <v>0.49</v>
      </c>
      <c r="AO22" s="17">
        <f t="shared" si="45"/>
        <v>0.49</v>
      </c>
      <c r="AP22" s="17">
        <f t="shared" si="46"/>
        <v>0.49</v>
      </c>
      <c r="AQ22" s="17">
        <f t="shared" si="47"/>
        <v>1.88</v>
      </c>
      <c r="AR22" s="17">
        <f t="shared" si="48"/>
        <v>0.92159999999999997</v>
      </c>
      <c r="AS22" s="17">
        <f t="shared" si="49"/>
        <v>156.98636685160201</v>
      </c>
      <c r="AT22" s="17">
        <f t="shared" si="50"/>
        <v>7.5372853170652601</v>
      </c>
      <c r="AU22" s="17">
        <f t="shared" si="51"/>
        <v>7.9381309397776603</v>
      </c>
      <c r="AV22" s="17">
        <f t="shared" si="52"/>
        <v>134.605854046535</v>
      </c>
      <c r="AW22" s="17">
        <f t="shared" si="53"/>
        <v>6.3238687744912401</v>
      </c>
      <c r="AX22" s="17">
        <f t="shared" si="54"/>
        <v>6.6200157479342003</v>
      </c>
      <c r="AY22" s="17">
        <f t="shared" si="55"/>
        <v>183.35239453876201</v>
      </c>
      <c r="AZ22" s="17">
        <f t="shared" si="56"/>
        <v>75.884226088463507</v>
      </c>
      <c r="BA22" s="17">
        <f t="shared" si="57"/>
        <v>129.61831031361299</v>
      </c>
      <c r="BB22" s="17">
        <f t="shared" si="58"/>
        <v>159.02033101296001</v>
      </c>
      <c r="BC22" s="17">
        <f t="shared" si="59"/>
        <v>69.132244051672004</v>
      </c>
      <c r="BD22" s="17">
        <f t="shared" si="60"/>
        <v>114.076287532316</v>
      </c>
      <c r="BE22" s="17" t="str">
        <f>IF(AND(BD22&lt;=AA22,BB22&lt;=AA22*MongDon!$J$44,BC22&gt;0),"Ok","FAIL")</f>
        <v>Ok</v>
      </c>
      <c r="BF22" s="17">
        <f t="shared" si="61"/>
        <v>168.97756680692299</v>
      </c>
      <c r="BG22" s="17">
        <f t="shared" si="62"/>
        <v>352.5</v>
      </c>
      <c r="BH22" s="17" t="str">
        <f t="shared" si="63"/>
        <v>Ok</v>
      </c>
      <c r="BI22" s="17">
        <f t="shared" si="64"/>
        <v>29.792788053255201</v>
      </c>
      <c r="BJ22" s="17">
        <f t="shared" si="65"/>
        <v>45.268204310098099</v>
      </c>
      <c r="BK22" s="17">
        <f t="shared" si="66"/>
        <v>44.867358687385703</v>
      </c>
      <c r="BL22" s="17">
        <f t="shared" si="67"/>
        <v>29.391942430542802</v>
      </c>
      <c r="BM22" s="17">
        <f t="shared" si="68"/>
        <v>88.125</v>
      </c>
      <c r="BN22" s="17">
        <f t="shared" si="69"/>
        <v>88.125</v>
      </c>
      <c r="BO22" s="17">
        <f t="shared" si="70"/>
        <v>88.125</v>
      </c>
      <c r="BP22" s="17">
        <f t="shared" si="71"/>
        <v>88.125</v>
      </c>
      <c r="BQ22" s="17" t="str">
        <f t="shared" si="72"/>
        <v>Ok</v>
      </c>
      <c r="BR22" s="17">
        <f t="shared" si="73"/>
        <v>61.734960913437199</v>
      </c>
      <c r="BS22" s="17">
        <f t="shared" si="74"/>
        <v>14.253657791127599</v>
      </c>
      <c r="BT22" s="16">
        <f>MongDon!$H$80</f>
        <v>1.2</v>
      </c>
      <c r="BU22" s="17" t="str">
        <f t="shared" si="75"/>
        <v>Ok</v>
      </c>
      <c r="BV22" s="17">
        <f t="shared" si="76"/>
        <v>13.9446200813187</v>
      </c>
      <c r="BW22" s="16">
        <f>MongDon!$F$86</f>
        <v>1.5</v>
      </c>
      <c r="BX22" s="17" t="str">
        <f t="shared" si="77"/>
        <v>Ok</v>
      </c>
      <c r="BY22" s="17">
        <f t="shared" si="78"/>
        <v>75.884226088463507</v>
      </c>
      <c r="BZ22" s="17">
        <f t="shared" si="79"/>
        <v>131.01013539247501</v>
      </c>
      <c r="CA22" s="17">
        <f t="shared" si="80"/>
        <v>183.35239453876201</v>
      </c>
      <c r="CB22" s="17">
        <f t="shared" si="81"/>
        <v>128.22648523474999</v>
      </c>
      <c r="CC22" s="17">
        <f t="shared" si="82"/>
        <v>139.46955908822301</v>
      </c>
      <c r="CD22" s="17">
        <f t="shared" si="83"/>
        <v>129.36314238248801</v>
      </c>
      <c r="CE22" s="17">
        <f t="shared" si="84"/>
        <v>129.87347824473699</v>
      </c>
      <c r="CF22" s="17">
        <f t="shared" si="85"/>
        <v>139.46955908822301</v>
      </c>
      <c r="CG22" s="17">
        <f t="shared" si="86"/>
        <v>20.255410165766001</v>
      </c>
      <c r="CH22" s="17">
        <f t="shared" si="87"/>
        <v>20.255410165766001</v>
      </c>
      <c r="CI22" s="17">
        <f t="shared" si="88"/>
        <v>346.24632761993098</v>
      </c>
      <c r="CJ22" s="17">
        <f t="shared" si="89"/>
        <v>346.24632761993098</v>
      </c>
    </row>
    <row r="23" spans="2:88">
      <c r="B23" s="15">
        <v>3</v>
      </c>
      <c r="C23" s="15" t="s">
        <v>32</v>
      </c>
      <c r="D23" s="16">
        <v>-3.4417322000053598</v>
      </c>
      <c r="E23" s="16">
        <v>1.1411386067260201</v>
      </c>
      <c r="F23" s="16">
        <v>152.76002126038901</v>
      </c>
      <c r="G23" s="16">
        <v>-3.40485360600211</v>
      </c>
      <c r="H23" s="16">
        <v>-5.42430103994083</v>
      </c>
      <c r="I23" s="16" t="s">
        <v>22</v>
      </c>
      <c r="J23" s="16">
        <v>-2.8650084134001101</v>
      </c>
      <c r="K23" s="16">
        <v>0.91498677244692495</v>
      </c>
      <c r="L23" s="16">
        <v>131.083899387191</v>
      </c>
      <c r="M23" s="16">
        <v>-2.8053689480123301</v>
      </c>
      <c r="N23" s="16">
        <v>-4.5162747611458496</v>
      </c>
      <c r="O23" s="16">
        <v>1.2</v>
      </c>
      <c r="P23" s="16">
        <v>1.2</v>
      </c>
      <c r="Q23" s="16">
        <v>0.22</v>
      </c>
      <c r="R23" s="16">
        <v>0.22</v>
      </c>
      <c r="S23" s="16">
        <v>0</v>
      </c>
      <c r="T23" s="16">
        <v>0</v>
      </c>
      <c r="U23" s="16">
        <v>0.3</v>
      </c>
      <c r="V23" s="16">
        <v>0.05</v>
      </c>
      <c r="W23" s="16">
        <v>1</v>
      </c>
      <c r="X23" s="16">
        <v>19.100000000000001</v>
      </c>
      <c r="Y23" s="16">
        <v>0</v>
      </c>
      <c r="Z23" s="16">
        <v>1.5</v>
      </c>
      <c r="AA23" s="16">
        <v>139</v>
      </c>
      <c r="AB23" s="16">
        <v>12.1</v>
      </c>
      <c r="AC23" s="16">
        <v>19.5</v>
      </c>
      <c r="AD23" s="15" t="s">
        <v>42</v>
      </c>
      <c r="AE23" s="15" t="s">
        <v>61</v>
      </c>
      <c r="AF23" s="17">
        <f>HLOOKUP(AD23,Data!$B$4:$M$9,2,0)</f>
        <v>13</v>
      </c>
      <c r="AG23" s="17">
        <f>HLOOKUP(AD23,Data!$B$4:$M$9,3,0)</f>
        <v>1</v>
      </c>
      <c r="AH23" s="17">
        <f>HLOOKUP(AE23,Data!$B$13:$I$18,3,0)</f>
        <v>260</v>
      </c>
      <c r="AI23" s="18">
        <f t="shared" si="39"/>
        <v>1.44</v>
      </c>
      <c r="AJ23" s="17">
        <f t="shared" si="40"/>
        <v>0.28799999999999998</v>
      </c>
      <c r="AK23" s="17">
        <f t="shared" si="41"/>
        <v>0.28799999999999998</v>
      </c>
      <c r="AL23" s="17">
        <f t="shared" si="42"/>
        <v>0.25</v>
      </c>
      <c r="AM23" s="17">
        <f t="shared" si="43"/>
        <v>0.49</v>
      </c>
      <c r="AN23" s="17">
        <f t="shared" si="44"/>
        <v>0.49</v>
      </c>
      <c r="AO23" s="17">
        <f t="shared" si="45"/>
        <v>0.49</v>
      </c>
      <c r="AP23" s="17">
        <f t="shared" si="46"/>
        <v>0.49</v>
      </c>
      <c r="AQ23" s="17">
        <f t="shared" si="47"/>
        <v>1.88</v>
      </c>
      <c r="AR23" s="17">
        <f t="shared" si="48"/>
        <v>0.92159999999999997</v>
      </c>
      <c r="AS23" s="17">
        <f t="shared" si="49"/>
        <v>152.76002126038901</v>
      </c>
      <c r="AT23" s="17">
        <f t="shared" si="50"/>
        <v>-3.7471951880199201</v>
      </c>
      <c r="AU23" s="17">
        <f t="shared" si="51"/>
        <v>-6.4568206999424396</v>
      </c>
      <c r="AV23" s="17">
        <f t="shared" si="52"/>
        <v>131.083899387191</v>
      </c>
      <c r="AW23" s="17">
        <f t="shared" si="53"/>
        <v>-3.0798649797464099</v>
      </c>
      <c r="AX23" s="17">
        <f t="shared" si="54"/>
        <v>-5.3757772851658796</v>
      </c>
      <c r="AY23" s="17">
        <f t="shared" si="55"/>
        <v>162.11395881958401</v>
      </c>
      <c r="AZ23" s="17">
        <f t="shared" si="56"/>
        <v>91.252737375400898</v>
      </c>
      <c r="BA23" s="17">
        <f t="shared" si="57"/>
        <v>126.683348097492</v>
      </c>
      <c r="BB23" s="17">
        <f t="shared" si="58"/>
        <v>140.990354660939</v>
      </c>
      <c r="BC23" s="17">
        <f t="shared" si="59"/>
        <v>82.270616710159203</v>
      </c>
      <c r="BD23" s="17">
        <f t="shared" si="60"/>
        <v>111.630485685549</v>
      </c>
      <c r="BE23" s="17" t="str">
        <f>IF(AND(BD23&lt;=AA23,BB23&lt;=AA23*MongDon!$J$44,BC23&gt;0),"Ok","FAIL")</f>
        <v>Ok</v>
      </c>
      <c r="BF23" s="17">
        <f t="shared" si="61"/>
        <v>149.40422444812901</v>
      </c>
      <c r="BG23" s="17">
        <f t="shared" si="62"/>
        <v>352.5</v>
      </c>
      <c r="BH23" s="17" t="str">
        <f t="shared" si="63"/>
        <v>Ok</v>
      </c>
      <c r="BI23" s="17">
        <f t="shared" si="64"/>
        <v>40.231999440097702</v>
      </c>
      <c r="BJ23" s="17">
        <f t="shared" si="65"/>
        <v>30.027983552135399</v>
      </c>
      <c r="BK23" s="17">
        <f t="shared" si="66"/>
        <v>32.737609064057899</v>
      </c>
      <c r="BL23" s="17">
        <f t="shared" si="67"/>
        <v>42.941624952020199</v>
      </c>
      <c r="BM23" s="17">
        <f t="shared" si="68"/>
        <v>88.125</v>
      </c>
      <c r="BN23" s="17">
        <f t="shared" si="69"/>
        <v>88.125</v>
      </c>
      <c r="BO23" s="17">
        <f t="shared" si="70"/>
        <v>88.125</v>
      </c>
      <c r="BP23" s="17">
        <f t="shared" si="71"/>
        <v>88.125</v>
      </c>
      <c r="BQ23" s="17" t="str">
        <f t="shared" si="72"/>
        <v>Ok</v>
      </c>
      <c r="BR23" s="17">
        <f t="shared" si="73"/>
        <v>60.828910926221397</v>
      </c>
      <c r="BS23" s="17">
        <f t="shared" si="74"/>
        <v>17.673923301216298</v>
      </c>
      <c r="BT23" s="16">
        <f>MongDon!$H$80</f>
        <v>1.2</v>
      </c>
      <c r="BU23" s="17" t="str">
        <f t="shared" si="75"/>
        <v>Ok</v>
      </c>
      <c r="BV23" s="17">
        <f t="shared" si="76"/>
        <v>16.751032401627299</v>
      </c>
      <c r="BW23" s="16">
        <f>MongDon!$F$86</f>
        <v>1.5</v>
      </c>
      <c r="BX23" s="17" t="str">
        <f t="shared" si="77"/>
        <v>Ok</v>
      </c>
      <c r="BY23" s="17">
        <f t="shared" si="78"/>
        <v>162.11395881958401</v>
      </c>
      <c r="BZ23" s="17">
        <f t="shared" si="79"/>
        <v>117.274926181095</v>
      </c>
      <c r="CA23" s="17">
        <f t="shared" si="80"/>
        <v>91.252737375400898</v>
      </c>
      <c r="CB23" s="17">
        <f t="shared" si="81"/>
        <v>136.09177001389</v>
      </c>
      <c r="CC23" s="17">
        <f t="shared" si="82"/>
        <v>124.958470746153</v>
      </c>
      <c r="CD23" s="17">
        <f t="shared" si="83"/>
        <v>133.17896006320899</v>
      </c>
      <c r="CE23" s="17">
        <f t="shared" si="84"/>
        <v>133.17896006320899</v>
      </c>
      <c r="CF23" s="17">
        <f t="shared" si="85"/>
        <v>128.40822544883201</v>
      </c>
      <c r="CG23" s="17">
        <f t="shared" si="86"/>
        <v>18.303898556056801</v>
      </c>
      <c r="CH23" s="17">
        <f t="shared" si="87"/>
        <v>18.303898556056801</v>
      </c>
      <c r="CI23" s="17">
        <f t="shared" si="88"/>
        <v>312.88715480438901</v>
      </c>
      <c r="CJ23" s="17">
        <f t="shared" si="89"/>
        <v>312.88715480438901</v>
      </c>
    </row>
    <row r="24" spans="2:88">
      <c r="B24" s="15">
        <v>5</v>
      </c>
      <c r="C24" s="15" t="s">
        <v>23</v>
      </c>
      <c r="D24" s="16">
        <v>0.34482268405861299</v>
      </c>
      <c r="E24" s="16">
        <v>2.37637507307495</v>
      </c>
      <c r="F24" s="16">
        <v>132.211632712495</v>
      </c>
      <c r="G24" s="16">
        <v>-3.5573643966259301</v>
      </c>
      <c r="H24" s="16">
        <v>0.50277944710016598</v>
      </c>
      <c r="I24" s="16" t="s">
        <v>13</v>
      </c>
      <c r="J24" s="16">
        <v>0.28993931591302502</v>
      </c>
      <c r="K24" s="16">
        <v>2.0289164169150702</v>
      </c>
      <c r="L24" s="16">
        <v>113.467667725097</v>
      </c>
      <c r="M24" s="16">
        <v>-3.0400994474646099</v>
      </c>
      <c r="N24" s="16">
        <v>0.42235033166876401</v>
      </c>
      <c r="O24" s="16">
        <v>1.2</v>
      </c>
      <c r="P24" s="16">
        <v>1.2</v>
      </c>
      <c r="Q24" s="16">
        <v>0.22</v>
      </c>
      <c r="R24" s="16">
        <v>0.22</v>
      </c>
      <c r="S24" s="16">
        <v>0</v>
      </c>
      <c r="T24" s="16">
        <v>0</v>
      </c>
      <c r="U24" s="16">
        <v>0.3</v>
      </c>
      <c r="V24" s="16">
        <v>0.05</v>
      </c>
      <c r="W24" s="16">
        <v>1</v>
      </c>
      <c r="X24" s="16">
        <v>19.100000000000001</v>
      </c>
      <c r="Y24" s="16">
        <v>0</v>
      </c>
      <c r="Z24" s="16">
        <v>1.5</v>
      </c>
      <c r="AA24" s="16">
        <v>139</v>
      </c>
      <c r="AB24" s="16">
        <v>12.1</v>
      </c>
      <c r="AC24" s="16">
        <v>19.5</v>
      </c>
      <c r="AD24" s="15" t="s">
        <v>42</v>
      </c>
      <c r="AE24" s="15" t="s">
        <v>61</v>
      </c>
      <c r="AF24" s="17">
        <f>HLOOKUP(AD24,Data!$B$4:$M$9,2,0)</f>
        <v>13</v>
      </c>
      <c r="AG24" s="17">
        <f>HLOOKUP(AD24,Data!$B$4:$M$9,3,0)</f>
        <v>1</v>
      </c>
      <c r="AH24" s="17">
        <f>HLOOKUP(AE24,Data!$B$13:$I$18,3,0)</f>
        <v>260</v>
      </c>
      <c r="AI24" s="18">
        <f t="shared" si="39"/>
        <v>1.44</v>
      </c>
      <c r="AJ24" s="17">
        <f t="shared" si="40"/>
        <v>0.28799999999999998</v>
      </c>
      <c r="AK24" s="17">
        <f t="shared" si="41"/>
        <v>0.28799999999999998</v>
      </c>
      <c r="AL24" s="17">
        <f t="shared" si="42"/>
        <v>0.25</v>
      </c>
      <c r="AM24" s="17">
        <f t="shared" si="43"/>
        <v>0.49</v>
      </c>
      <c r="AN24" s="17">
        <f t="shared" si="44"/>
        <v>0.49</v>
      </c>
      <c r="AO24" s="17">
        <f t="shared" si="45"/>
        <v>0.49</v>
      </c>
      <c r="AP24" s="17">
        <f t="shared" si="46"/>
        <v>0.49</v>
      </c>
      <c r="AQ24" s="17">
        <f t="shared" si="47"/>
        <v>1.88</v>
      </c>
      <c r="AR24" s="17">
        <f t="shared" si="48"/>
        <v>0.92159999999999997</v>
      </c>
      <c r="AS24" s="17">
        <f t="shared" si="49"/>
        <v>132.211632712495</v>
      </c>
      <c r="AT24" s="17">
        <f t="shared" si="50"/>
        <v>-4.2702769185484097</v>
      </c>
      <c r="AU24" s="17">
        <f t="shared" si="51"/>
        <v>0.60622625231774996</v>
      </c>
      <c r="AV24" s="17">
        <f t="shared" si="52"/>
        <v>113.467667725097</v>
      </c>
      <c r="AW24" s="17">
        <f t="shared" si="53"/>
        <v>-3.6487743725391302</v>
      </c>
      <c r="AX24" s="17">
        <f t="shared" si="54"/>
        <v>0.50933212644267101</v>
      </c>
      <c r="AY24" s="17">
        <f t="shared" si="55"/>
        <v>129.34593650474</v>
      </c>
      <c r="AZ24" s="17">
        <f t="shared" si="56"/>
        <v>95.481331151502602</v>
      </c>
      <c r="BA24" s="17">
        <f t="shared" si="57"/>
        <v>112.41363382812099</v>
      </c>
      <c r="BB24" s="17">
        <f t="shared" si="58"/>
        <v>113.834861263893</v>
      </c>
      <c r="BC24" s="17">
        <f t="shared" si="59"/>
        <v>84.959121687630699</v>
      </c>
      <c r="BD24" s="17">
        <f t="shared" si="60"/>
        <v>99.396991475761993</v>
      </c>
      <c r="BE24" s="17" t="str">
        <f>IF(AND(BD24&lt;=AA24,BB24&lt;=AA24*MongDon!$J$44,BC24&gt;0),"Ok","FAIL")</f>
        <v>Ok</v>
      </c>
      <c r="BF24" s="17">
        <f t="shared" si="61"/>
        <v>119.20521508276801</v>
      </c>
      <c r="BG24" s="17">
        <f t="shared" si="62"/>
        <v>352.5</v>
      </c>
      <c r="BH24" s="17" t="str">
        <f t="shared" si="63"/>
        <v>Ok</v>
      </c>
      <c r="BI24" s="17">
        <f t="shared" si="64"/>
        <v>36.645403461047302</v>
      </c>
      <c r="BJ24" s="17">
        <f t="shared" si="65"/>
        <v>32.981352794816701</v>
      </c>
      <c r="BK24" s="17">
        <f t="shared" si="66"/>
        <v>28.1048496239505</v>
      </c>
      <c r="BL24" s="17">
        <f t="shared" si="67"/>
        <v>31.7689002901812</v>
      </c>
      <c r="BM24" s="17">
        <f t="shared" si="68"/>
        <v>88.125</v>
      </c>
      <c r="BN24" s="17">
        <f t="shared" si="69"/>
        <v>88.125</v>
      </c>
      <c r="BO24" s="17">
        <f t="shared" si="70"/>
        <v>88.125</v>
      </c>
      <c r="BP24" s="17">
        <f t="shared" si="71"/>
        <v>88.125</v>
      </c>
      <c r="BQ24" s="17" t="str">
        <f t="shared" si="72"/>
        <v>Ok</v>
      </c>
      <c r="BR24" s="17">
        <f t="shared" si="73"/>
        <v>56.423718123286903</v>
      </c>
      <c r="BS24" s="17">
        <f t="shared" si="74"/>
        <v>23.743607969375201</v>
      </c>
      <c r="BT24" s="16">
        <f>MongDon!$H$80</f>
        <v>1.2</v>
      </c>
      <c r="BU24" s="17" t="str">
        <f t="shared" si="75"/>
        <v>Ok</v>
      </c>
      <c r="BV24" s="17">
        <f t="shared" si="76"/>
        <v>22.441022316667901</v>
      </c>
      <c r="BW24" s="16">
        <f>MongDon!$F$86</f>
        <v>1.5</v>
      </c>
      <c r="BX24" s="17" t="str">
        <f t="shared" si="77"/>
        <v>Ok</v>
      </c>
      <c r="BY24" s="17">
        <f t="shared" si="78"/>
        <v>125.136031974755</v>
      </c>
      <c r="BZ24" s="17">
        <f t="shared" si="79"/>
        <v>129.34593650474</v>
      </c>
      <c r="CA24" s="17">
        <f t="shared" si="80"/>
        <v>99.691235681487001</v>
      </c>
      <c r="CB24" s="17">
        <f t="shared" si="81"/>
        <v>95.481331151502602</v>
      </c>
      <c r="CC24" s="17">
        <f t="shared" si="82"/>
        <v>115.517889318835</v>
      </c>
      <c r="CD24" s="17">
        <f t="shared" si="83"/>
        <v>114.746073488338</v>
      </c>
      <c r="CE24" s="17">
        <f t="shared" si="84"/>
        <v>115.517889318835</v>
      </c>
      <c r="CF24" s="17">
        <f t="shared" si="85"/>
        <v>110.081194167905</v>
      </c>
      <c r="CG24" s="17">
        <f t="shared" si="86"/>
        <v>14.9746273225047</v>
      </c>
      <c r="CH24" s="17">
        <f t="shared" si="87"/>
        <v>14.9746273225047</v>
      </c>
      <c r="CI24" s="17">
        <f t="shared" si="88"/>
        <v>255.976535427431</v>
      </c>
      <c r="CJ24" s="17">
        <f t="shared" si="89"/>
        <v>255.976535427431</v>
      </c>
    </row>
    <row r="25" spans="2:88">
      <c r="B25" s="15">
        <v>5</v>
      </c>
      <c r="C25" s="15" t="s">
        <v>24</v>
      </c>
      <c r="D25" s="16">
        <v>0.39660155716718398</v>
      </c>
      <c r="E25" s="16">
        <v>2.6655091020116801</v>
      </c>
      <c r="F25" s="16">
        <v>147.00602914226999</v>
      </c>
      <c r="G25" s="16">
        <v>-3.9838744054556501</v>
      </c>
      <c r="H25" s="16">
        <v>0.57916761162921704</v>
      </c>
      <c r="I25" s="16" t="s">
        <v>14</v>
      </c>
      <c r="J25" s="16">
        <v>0.33308837683683401</v>
      </c>
      <c r="K25" s="16">
        <v>2.2698614410290201</v>
      </c>
      <c r="L25" s="16">
        <v>125.796331416577</v>
      </c>
      <c r="M25" s="16">
        <v>-3.3955244548227101</v>
      </c>
      <c r="N25" s="16">
        <v>0.48600713544297303</v>
      </c>
      <c r="O25" s="16">
        <v>1.2</v>
      </c>
      <c r="P25" s="16">
        <v>1.2</v>
      </c>
      <c r="Q25" s="16">
        <v>0.22</v>
      </c>
      <c r="R25" s="16">
        <v>0.22</v>
      </c>
      <c r="S25" s="16">
        <v>0</v>
      </c>
      <c r="T25" s="16">
        <v>0</v>
      </c>
      <c r="U25" s="16">
        <v>0.3</v>
      </c>
      <c r="V25" s="16">
        <v>0.05</v>
      </c>
      <c r="W25" s="16">
        <v>1</v>
      </c>
      <c r="X25" s="16">
        <v>19.100000000000001</v>
      </c>
      <c r="Y25" s="16">
        <v>0</v>
      </c>
      <c r="Z25" s="16">
        <v>1.5</v>
      </c>
      <c r="AA25" s="16">
        <v>139</v>
      </c>
      <c r="AB25" s="16">
        <v>12.1</v>
      </c>
      <c r="AC25" s="16">
        <v>19.5</v>
      </c>
      <c r="AD25" s="15" t="s">
        <v>42</v>
      </c>
      <c r="AE25" s="15" t="s">
        <v>61</v>
      </c>
      <c r="AF25" s="17">
        <f>HLOOKUP(AD25,Data!$B$4:$M$9,2,0)</f>
        <v>13</v>
      </c>
      <c r="AG25" s="17">
        <f>HLOOKUP(AD25,Data!$B$4:$M$9,3,0)</f>
        <v>1</v>
      </c>
      <c r="AH25" s="17">
        <f>HLOOKUP(AE25,Data!$B$13:$I$18,3,0)</f>
        <v>260</v>
      </c>
      <c r="AI25" s="18">
        <f t="shared" si="39"/>
        <v>1.44</v>
      </c>
      <c r="AJ25" s="17">
        <f t="shared" si="40"/>
        <v>0.28799999999999998</v>
      </c>
      <c r="AK25" s="17">
        <f t="shared" si="41"/>
        <v>0.28799999999999998</v>
      </c>
      <c r="AL25" s="17">
        <f t="shared" si="42"/>
        <v>0.25</v>
      </c>
      <c r="AM25" s="17">
        <f t="shared" si="43"/>
        <v>0.49</v>
      </c>
      <c r="AN25" s="17">
        <f t="shared" si="44"/>
        <v>0.49</v>
      </c>
      <c r="AO25" s="17">
        <f t="shared" si="45"/>
        <v>0.49</v>
      </c>
      <c r="AP25" s="17">
        <f t="shared" si="46"/>
        <v>0.49</v>
      </c>
      <c r="AQ25" s="17">
        <f t="shared" si="47"/>
        <v>1.88</v>
      </c>
      <c r="AR25" s="17">
        <f t="shared" si="48"/>
        <v>0.92159999999999997</v>
      </c>
      <c r="AS25" s="17">
        <f t="shared" si="49"/>
        <v>147.00602914226999</v>
      </c>
      <c r="AT25" s="17">
        <f t="shared" si="50"/>
        <v>-4.78352713605915</v>
      </c>
      <c r="AU25" s="17">
        <f t="shared" si="51"/>
        <v>0.69814807877937202</v>
      </c>
      <c r="AV25" s="17">
        <f t="shared" si="52"/>
        <v>125.796331416577</v>
      </c>
      <c r="AW25" s="17">
        <f t="shared" si="53"/>
        <v>-4.0764828871314096</v>
      </c>
      <c r="AX25" s="17">
        <f t="shared" si="54"/>
        <v>0.58593364849402296</v>
      </c>
      <c r="AY25" s="17">
        <f t="shared" si="55"/>
        <v>141.72111473365501</v>
      </c>
      <c r="AZ25" s="17">
        <f t="shared" si="56"/>
        <v>103.65392574172</v>
      </c>
      <c r="BA25" s="17">
        <f t="shared" si="57"/>
        <v>122.687520237687</v>
      </c>
      <c r="BB25" s="17">
        <f t="shared" si="58"/>
        <v>124.14750978798899</v>
      </c>
      <c r="BC25" s="17">
        <f t="shared" si="59"/>
        <v>91.7696171794788</v>
      </c>
      <c r="BD25" s="17">
        <f t="shared" si="60"/>
        <v>107.958563483734</v>
      </c>
      <c r="BE25" s="17" t="str">
        <f>IF(AND(BD25&lt;=AA25,BB25&lt;=AA25*MongDon!$J$44,BC25&gt;0),"Ok","FAIL")</f>
        <v>Ok</v>
      </c>
      <c r="BF25" s="17">
        <f t="shared" si="61"/>
        <v>130.610179338536</v>
      </c>
      <c r="BG25" s="17">
        <f t="shared" si="62"/>
        <v>352.5</v>
      </c>
      <c r="BH25" s="17" t="str">
        <f t="shared" si="63"/>
        <v>Ok</v>
      </c>
      <c r="BI25" s="17">
        <f t="shared" si="64"/>
        <v>40.117532964513103</v>
      </c>
      <c r="BJ25" s="17">
        <f t="shared" si="65"/>
        <v>36.032153907233401</v>
      </c>
      <c r="BK25" s="17">
        <f t="shared" si="66"/>
        <v>30.550478692394801</v>
      </c>
      <c r="BL25" s="17">
        <f t="shared" si="67"/>
        <v>34.635857749674599</v>
      </c>
      <c r="BM25" s="17">
        <f t="shared" si="68"/>
        <v>88.125</v>
      </c>
      <c r="BN25" s="17">
        <f t="shared" si="69"/>
        <v>88.125</v>
      </c>
      <c r="BO25" s="17">
        <f t="shared" si="70"/>
        <v>88.125</v>
      </c>
      <c r="BP25" s="17">
        <f t="shared" si="71"/>
        <v>88.125</v>
      </c>
      <c r="BQ25" s="17" t="str">
        <f t="shared" si="72"/>
        <v>Ok</v>
      </c>
      <c r="BR25" s="17">
        <f t="shared" si="73"/>
        <v>59.595361900817302</v>
      </c>
      <c r="BS25" s="17">
        <f t="shared" si="74"/>
        <v>22.3579660095102</v>
      </c>
      <c r="BT25" s="16">
        <f>MongDon!$H$80</f>
        <v>1.2</v>
      </c>
      <c r="BU25" s="17" t="str">
        <f t="shared" si="75"/>
        <v>Ok</v>
      </c>
      <c r="BV25" s="17">
        <f t="shared" si="76"/>
        <v>21.888872898006099</v>
      </c>
      <c r="BW25" s="16">
        <f>MongDon!$F$86</f>
        <v>1.5</v>
      </c>
      <c r="BX25" s="17" t="str">
        <f t="shared" si="77"/>
        <v>Ok</v>
      </c>
      <c r="BY25" s="17">
        <f t="shared" si="78"/>
        <v>136.87286418657601</v>
      </c>
      <c r="BZ25" s="17">
        <f t="shared" si="79"/>
        <v>141.72111473365501</v>
      </c>
      <c r="CA25" s="17">
        <f t="shared" si="80"/>
        <v>108.50217628879901</v>
      </c>
      <c r="CB25" s="17">
        <f t="shared" si="81"/>
        <v>103.65392574172</v>
      </c>
      <c r="CC25" s="17">
        <f t="shared" si="82"/>
        <v>126.177012561948</v>
      </c>
      <c r="CD25" s="17">
        <f t="shared" si="83"/>
        <v>125.288166628317</v>
      </c>
      <c r="CE25" s="17">
        <f t="shared" si="84"/>
        <v>126.177012561948</v>
      </c>
      <c r="CF25" s="17">
        <f t="shared" si="85"/>
        <v>120.086873847058</v>
      </c>
      <c r="CG25" s="17">
        <f t="shared" si="86"/>
        <v>16.391596668537399</v>
      </c>
      <c r="CH25" s="17">
        <f t="shared" si="87"/>
        <v>16.391596668537399</v>
      </c>
      <c r="CI25" s="17">
        <f t="shared" si="88"/>
        <v>280.19823365021301</v>
      </c>
      <c r="CJ25" s="17">
        <f t="shared" si="89"/>
        <v>280.19823365021301</v>
      </c>
    </row>
    <row r="26" spans="2:88">
      <c r="B26" s="15">
        <v>5</v>
      </c>
      <c r="C26" s="15" t="s">
        <v>25</v>
      </c>
      <c r="D26" s="16">
        <v>-3.05584182333113</v>
      </c>
      <c r="E26" s="16">
        <v>2.5807545109909</v>
      </c>
      <c r="F26" s="16">
        <v>145.71295205076501</v>
      </c>
      <c r="G26" s="16">
        <v>-3.8109879743791</v>
      </c>
      <c r="H26" s="16">
        <v>-4.8102791601297801</v>
      </c>
      <c r="I26" s="16" t="s">
        <v>15</v>
      </c>
      <c r="J26" s="16">
        <v>-2.5439477735784299</v>
      </c>
      <c r="K26" s="16">
        <v>2.1992326151783601</v>
      </c>
      <c r="L26" s="16">
        <v>124.718767173656</v>
      </c>
      <c r="M26" s="16">
        <v>-3.2514524289255902</v>
      </c>
      <c r="N26" s="16">
        <v>-4.0051985076895198</v>
      </c>
      <c r="O26" s="16">
        <v>1.2</v>
      </c>
      <c r="P26" s="16">
        <v>1.2</v>
      </c>
      <c r="Q26" s="16">
        <v>0.22</v>
      </c>
      <c r="R26" s="16">
        <v>0.22</v>
      </c>
      <c r="S26" s="16">
        <v>0</v>
      </c>
      <c r="T26" s="16">
        <v>0</v>
      </c>
      <c r="U26" s="16">
        <v>0.3</v>
      </c>
      <c r="V26" s="16">
        <v>0.05</v>
      </c>
      <c r="W26" s="16">
        <v>1</v>
      </c>
      <c r="X26" s="16">
        <v>19.100000000000001</v>
      </c>
      <c r="Y26" s="16">
        <v>0</v>
      </c>
      <c r="Z26" s="16">
        <v>1.5</v>
      </c>
      <c r="AA26" s="16">
        <v>139</v>
      </c>
      <c r="AB26" s="16">
        <v>12.1</v>
      </c>
      <c r="AC26" s="16">
        <v>19.5</v>
      </c>
      <c r="AD26" s="15" t="s">
        <v>42</v>
      </c>
      <c r="AE26" s="15" t="s">
        <v>61</v>
      </c>
      <c r="AF26" s="17">
        <f>HLOOKUP(AD26,Data!$B$4:$M$9,2,0)</f>
        <v>13</v>
      </c>
      <c r="AG26" s="17">
        <f>HLOOKUP(AD26,Data!$B$4:$M$9,3,0)</f>
        <v>1</v>
      </c>
      <c r="AH26" s="17">
        <f>HLOOKUP(AE26,Data!$B$13:$I$18,3,0)</f>
        <v>260</v>
      </c>
      <c r="AI26" s="18">
        <f t="shared" si="39"/>
        <v>1.44</v>
      </c>
      <c r="AJ26" s="17">
        <f t="shared" si="40"/>
        <v>0.28799999999999998</v>
      </c>
      <c r="AK26" s="17">
        <f t="shared" si="41"/>
        <v>0.28799999999999998</v>
      </c>
      <c r="AL26" s="17">
        <f t="shared" si="42"/>
        <v>0.25</v>
      </c>
      <c r="AM26" s="17">
        <f t="shared" si="43"/>
        <v>0.49</v>
      </c>
      <c r="AN26" s="17">
        <f t="shared" si="44"/>
        <v>0.49</v>
      </c>
      <c r="AO26" s="17">
        <f t="shared" si="45"/>
        <v>0.49</v>
      </c>
      <c r="AP26" s="17">
        <f t="shared" si="46"/>
        <v>0.49</v>
      </c>
      <c r="AQ26" s="17">
        <f t="shared" si="47"/>
        <v>1.88</v>
      </c>
      <c r="AR26" s="17">
        <f t="shared" si="48"/>
        <v>0.92159999999999997</v>
      </c>
      <c r="AS26" s="17">
        <f t="shared" si="49"/>
        <v>145.71295205076501</v>
      </c>
      <c r="AT26" s="17">
        <f t="shared" si="50"/>
        <v>-4.5852143276763702</v>
      </c>
      <c r="AU26" s="17">
        <f t="shared" si="51"/>
        <v>-5.7270317071291199</v>
      </c>
      <c r="AV26" s="17">
        <f t="shared" si="52"/>
        <v>124.718767173656</v>
      </c>
      <c r="AW26" s="17">
        <f t="shared" si="53"/>
        <v>-3.9112222134791002</v>
      </c>
      <c r="AX26" s="17">
        <f t="shared" si="54"/>
        <v>-4.7683828397630501</v>
      </c>
      <c r="AY26" s="17">
        <f t="shared" si="55"/>
        <v>157.59595987832799</v>
      </c>
      <c r="AZ26" s="17">
        <f t="shared" si="56"/>
        <v>85.983140192179107</v>
      </c>
      <c r="BA26" s="17">
        <f t="shared" si="57"/>
        <v>121.789550035254</v>
      </c>
      <c r="BB26" s="17">
        <f t="shared" si="58"/>
        <v>137.34777252768501</v>
      </c>
      <c r="BC26" s="17">
        <f t="shared" si="59"/>
        <v>77.072737435725998</v>
      </c>
      <c r="BD26" s="17">
        <f t="shared" si="60"/>
        <v>107.210254981706</v>
      </c>
      <c r="BE26" s="17" t="str">
        <f>IF(AND(BD26&lt;=AA26,BB26&lt;=AA26*MongDon!$J$44,BC26&gt;0),"Ok","FAIL")</f>
        <v>Ok</v>
      </c>
      <c r="BF26" s="17">
        <f t="shared" si="61"/>
        <v>145.240436623867</v>
      </c>
      <c r="BG26" s="17">
        <f t="shared" si="62"/>
        <v>352.5</v>
      </c>
      <c r="BH26" s="17" t="str">
        <f t="shared" si="63"/>
        <v>Ok</v>
      </c>
      <c r="BI26" s="17">
        <f t="shared" si="64"/>
        <v>39.660604737829402</v>
      </c>
      <c r="BJ26" s="17">
        <f t="shared" si="65"/>
        <v>29.348358703023901</v>
      </c>
      <c r="BK26" s="17">
        <f t="shared" si="66"/>
        <v>30.490176082476701</v>
      </c>
      <c r="BL26" s="17">
        <f t="shared" si="67"/>
        <v>40.802422117282198</v>
      </c>
      <c r="BM26" s="17">
        <f t="shared" si="68"/>
        <v>88.125</v>
      </c>
      <c r="BN26" s="17">
        <f t="shared" si="69"/>
        <v>88.125</v>
      </c>
      <c r="BO26" s="17">
        <f t="shared" si="70"/>
        <v>88.125</v>
      </c>
      <c r="BP26" s="17">
        <f t="shared" si="71"/>
        <v>88.125</v>
      </c>
      <c r="BQ26" s="17" t="str">
        <f t="shared" si="72"/>
        <v>Ok</v>
      </c>
      <c r="BR26" s="17">
        <f t="shared" si="73"/>
        <v>59.318150192275802</v>
      </c>
      <c r="BS26" s="17">
        <f t="shared" si="74"/>
        <v>19.4113941825739</v>
      </c>
      <c r="BT26" s="16">
        <f>MongDon!$H$80</f>
        <v>1.2</v>
      </c>
      <c r="BU26" s="17" t="str">
        <f t="shared" si="75"/>
        <v>Ok</v>
      </c>
      <c r="BV26" s="17">
        <f t="shared" si="76"/>
        <v>18.147301524642302</v>
      </c>
      <c r="BW26" s="16">
        <f>MongDon!$F$86</f>
        <v>1.5</v>
      </c>
      <c r="BX26" s="17" t="str">
        <f t="shared" si="77"/>
        <v>Ok</v>
      </c>
      <c r="BY26" s="17">
        <f t="shared" si="78"/>
        <v>157.59595987832799</v>
      </c>
      <c r="BZ26" s="17">
        <f t="shared" si="79"/>
        <v>117.82490635659801</v>
      </c>
      <c r="CA26" s="17">
        <f t="shared" si="80"/>
        <v>85.983140192179107</v>
      </c>
      <c r="CB26" s="17">
        <f t="shared" si="81"/>
        <v>125.754193713909</v>
      </c>
      <c r="CC26" s="17">
        <f t="shared" si="82"/>
        <v>121.062698694167</v>
      </c>
      <c r="CD26" s="17">
        <f t="shared" si="83"/>
        <v>128.35405850648399</v>
      </c>
      <c r="CE26" s="17">
        <f t="shared" si="84"/>
        <v>128.35405850648399</v>
      </c>
      <c r="CF26" s="17">
        <f t="shared" si="85"/>
        <v>122.51640137634099</v>
      </c>
      <c r="CG26" s="17">
        <f t="shared" si="86"/>
        <v>17.7492315634967</v>
      </c>
      <c r="CH26" s="17">
        <f t="shared" si="87"/>
        <v>17.7492315634967</v>
      </c>
      <c r="CI26" s="17">
        <f t="shared" si="88"/>
        <v>303.40566775207998</v>
      </c>
      <c r="CJ26" s="17">
        <f t="shared" si="89"/>
        <v>303.40566775207998</v>
      </c>
    </row>
    <row r="27" spans="2:88">
      <c r="B27" s="15">
        <v>5</v>
      </c>
      <c r="C27" s="15" t="s">
        <v>26</v>
      </c>
      <c r="D27" s="16">
        <v>3.8386891630437798</v>
      </c>
      <c r="E27" s="16">
        <v>2.6924368872451199</v>
      </c>
      <c r="F27" s="16">
        <v>145.34022694782001</v>
      </c>
      <c r="G27" s="16">
        <v>-4.0714588347662497</v>
      </c>
      <c r="H27" s="16">
        <v>5.9533367504824</v>
      </c>
      <c r="I27" s="16" t="s">
        <v>16</v>
      </c>
      <c r="J27" s="16">
        <v>3.2014947150673301</v>
      </c>
      <c r="K27" s="16">
        <v>2.2923012620568799</v>
      </c>
      <c r="L27" s="16">
        <v>124.408162921201</v>
      </c>
      <c r="M27" s="16">
        <v>-3.4685114792482099</v>
      </c>
      <c r="N27" s="16">
        <v>4.9644814178206298</v>
      </c>
      <c r="O27" s="16">
        <v>1.2</v>
      </c>
      <c r="P27" s="16">
        <v>1.2</v>
      </c>
      <c r="Q27" s="16">
        <v>0.22</v>
      </c>
      <c r="R27" s="16">
        <v>0.22</v>
      </c>
      <c r="S27" s="16">
        <v>0</v>
      </c>
      <c r="T27" s="16">
        <v>0</v>
      </c>
      <c r="U27" s="16">
        <v>0.3</v>
      </c>
      <c r="V27" s="16">
        <v>0.05</v>
      </c>
      <c r="W27" s="16">
        <v>1</v>
      </c>
      <c r="X27" s="16">
        <v>19.100000000000001</v>
      </c>
      <c r="Y27" s="16">
        <v>0</v>
      </c>
      <c r="Z27" s="16">
        <v>1.5</v>
      </c>
      <c r="AA27" s="16">
        <v>139</v>
      </c>
      <c r="AB27" s="16">
        <v>12.1</v>
      </c>
      <c r="AC27" s="16">
        <v>19.5</v>
      </c>
      <c r="AD27" s="15" t="s">
        <v>42</v>
      </c>
      <c r="AE27" s="15" t="s">
        <v>61</v>
      </c>
      <c r="AF27" s="17">
        <f>HLOOKUP(AD27,Data!$B$4:$M$9,2,0)</f>
        <v>13</v>
      </c>
      <c r="AG27" s="17">
        <f>HLOOKUP(AD27,Data!$B$4:$M$9,3,0)</f>
        <v>1</v>
      </c>
      <c r="AH27" s="17">
        <f>HLOOKUP(AE27,Data!$B$13:$I$18,3,0)</f>
        <v>260</v>
      </c>
      <c r="AI27" s="18">
        <f t="shared" si="39"/>
        <v>1.44</v>
      </c>
      <c r="AJ27" s="17">
        <f t="shared" si="40"/>
        <v>0.28799999999999998</v>
      </c>
      <c r="AK27" s="17">
        <f t="shared" si="41"/>
        <v>0.28799999999999998</v>
      </c>
      <c r="AL27" s="17">
        <f t="shared" si="42"/>
        <v>0.25</v>
      </c>
      <c r="AM27" s="17">
        <f t="shared" si="43"/>
        <v>0.49</v>
      </c>
      <c r="AN27" s="17">
        <f t="shared" si="44"/>
        <v>0.49</v>
      </c>
      <c r="AO27" s="17">
        <f t="shared" si="45"/>
        <v>0.49</v>
      </c>
      <c r="AP27" s="17">
        <f t="shared" si="46"/>
        <v>0.49</v>
      </c>
      <c r="AQ27" s="17">
        <f t="shared" si="47"/>
        <v>1.88</v>
      </c>
      <c r="AR27" s="17">
        <f t="shared" si="48"/>
        <v>0.92159999999999997</v>
      </c>
      <c r="AS27" s="17">
        <f t="shared" si="49"/>
        <v>145.34022694782001</v>
      </c>
      <c r="AT27" s="17">
        <f t="shared" si="50"/>
        <v>-4.8791899009397799</v>
      </c>
      <c r="AU27" s="17">
        <f t="shared" si="51"/>
        <v>7.1049434993955298</v>
      </c>
      <c r="AV27" s="17">
        <f t="shared" si="52"/>
        <v>124.408162921201</v>
      </c>
      <c r="AW27" s="17">
        <f t="shared" si="53"/>
        <v>-4.1562018578652697</v>
      </c>
      <c r="AX27" s="17">
        <f t="shared" si="54"/>
        <v>5.9249298323408297</v>
      </c>
      <c r="AY27" s="17">
        <f t="shared" si="55"/>
        <v>163.14228746492799</v>
      </c>
      <c r="AZ27" s="17">
        <f t="shared" si="56"/>
        <v>79.919138851488199</v>
      </c>
      <c r="BA27" s="17">
        <f t="shared" si="57"/>
        <v>121.530713158208</v>
      </c>
      <c r="BB27" s="17">
        <f t="shared" si="58"/>
        <v>141.99848706405001</v>
      </c>
      <c r="BC27" s="17">
        <f t="shared" si="59"/>
        <v>71.990628104285307</v>
      </c>
      <c r="BD27" s="17">
        <f t="shared" si="60"/>
        <v>106.99455758416801</v>
      </c>
      <c r="BE27" s="17" t="str">
        <f>IF(AND(BD27&lt;=AA27,BB27&lt;=AA27*MongDon!$J$44,BC27&gt;0),"Ok","FAIL")</f>
        <v>Ok</v>
      </c>
      <c r="BF27" s="17">
        <f t="shared" si="61"/>
        <v>150.351932127678</v>
      </c>
      <c r="BG27" s="17">
        <f t="shared" si="62"/>
        <v>352.5</v>
      </c>
      <c r="BH27" s="17" t="str">
        <f t="shared" si="63"/>
        <v>Ok</v>
      </c>
      <c r="BI27" s="17">
        <f t="shared" si="64"/>
        <v>39.880035290503699</v>
      </c>
      <c r="BJ27" s="17">
        <f t="shared" si="65"/>
        <v>42.105788888959403</v>
      </c>
      <c r="BK27" s="17">
        <f t="shared" si="66"/>
        <v>30.1216554886241</v>
      </c>
      <c r="BL27" s="17">
        <f t="shared" si="67"/>
        <v>27.8959018901684</v>
      </c>
      <c r="BM27" s="17">
        <f t="shared" si="68"/>
        <v>88.125</v>
      </c>
      <c r="BN27" s="17">
        <f t="shared" si="69"/>
        <v>88.125</v>
      </c>
      <c r="BO27" s="17">
        <f t="shared" si="70"/>
        <v>88.125</v>
      </c>
      <c r="BP27" s="17">
        <f t="shared" si="71"/>
        <v>88.125</v>
      </c>
      <c r="BQ27" s="17" t="str">
        <f t="shared" si="72"/>
        <v>Ok</v>
      </c>
      <c r="BR27" s="17">
        <f t="shared" si="73"/>
        <v>59.238244853852699</v>
      </c>
      <c r="BS27" s="17">
        <f t="shared" si="74"/>
        <v>15.4318941539099</v>
      </c>
      <c r="BT27" s="16">
        <f>MongDon!$H$80</f>
        <v>1.2</v>
      </c>
      <c r="BU27" s="17" t="str">
        <f t="shared" si="75"/>
        <v>Ok</v>
      </c>
      <c r="BV27" s="17">
        <f t="shared" si="76"/>
        <v>14.596391396710599</v>
      </c>
      <c r="BW27" s="16">
        <f>MongDon!$F$86</f>
        <v>1.5</v>
      </c>
      <c r="BX27" s="17" t="str">
        <f t="shared" si="77"/>
        <v>Ok</v>
      </c>
      <c r="BY27" s="17">
        <f t="shared" si="78"/>
        <v>113.802402052459</v>
      </c>
      <c r="BZ27" s="17">
        <f t="shared" si="79"/>
        <v>163.14228746492799</v>
      </c>
      <c r="CA27" s="17">
        <f t="shared" si="80"/>
        <v>129.259024263957</v>
      </c>
      <c r="CB27" s="17">
        <f t="shared" si="81"/>
        <v>79.919138851488199</v>
      </c>
      <c r="CC27" s="17">
        <f t="shared" si="82"/>
        <v>129.159501781107</v>
      </c>
      <c r="CD27" s="17">
        <f t="shared" si="83"/>
        <v>120.113856122154</v>
      </c>
      <c r="CE27" s="17">
        <f t="shared" si="84"/>
        <v>129.159501781107</v>
      </c>
      <c r="CF27" s="17">
        <f t="shared" si="85"/>
        <v>122.947570194262</v>
      </c>
      <c r="CG27" s="17">
        <f t="shared" si="86"/>
        <v>18.2253538030503</v>
      </c>
      <c r="CH27" s="17">
        <f t="shared" si="87"/>
        <v>18.2253538030503</v>
      </c>
      <c r="CI27" s="17">
        <f t="shared" si="88"/>
        <v>311.54450945385202</v>
      </c>
      <c r="CJ27" s="17">
        <f t="shared" si="89"/>
        <v>311.54450945385202</v>
      </c>
    </row>
    <row r="28" spans="2:88">
      <c r="B28" s="3">
        <v>5</v>
      </c>
      <c r="C28" s="3" t="s">
        <v>27</v>
      </c>
      <c r="D28" s="4">
        <v>3.81580682163229</v>
      </c>
      <c r="E28" s="4">
        <v>-0.68820481150825796</v>
      </c>
      <c r="F28" s="4">
        <v>142.787004170373</v>
      </c>
      <c r="G28" s="4">
        <v>2.91886292268113</v>
      </c>
      <c r="H28" s="4">
        <v>5.9309836522344401</v>
      </c>
      <c r="I28" s="4" t="s">
        <v>17</v>
      </c>
      <c r="J28" s="4">
        <v>3.18242609722442</v>
      </c>
      <c r="K28" s="4">
        <v>-0.524900153570932</v>
      </c>
      <c r="L28" s="4">
        <v>122.280477273329</v>
      </c>
      <c r="M28" s="4">
        <v>2.3567566519579399</v>
      </c>
      <c r="N28" s="4">
        <v>4.9458538359473296</v>
      </c>
      <c r="O28" s="4">
        <v>1.2</v>
      </c>
      <c r="P28" s="4">
        <v>1.2</v>
      </c>
      <c r="Q28" s="4">
        <v>0.22</v>
      </c>
      <c r="R28" s="4">
        <v>0.22</v>
      </c>
      <c r="S28" s="4">
        <v>0</v>
      </c>
      <c r="T28" s="4">
        <v>0</v>
      </c>
      <c r="U28" s="4">
        <v>0.3</v>
      </c>
      <c r="V28" s="4">
        <v>0.05</v>
      </c>
      <c r="W28" s="4">
        <v>1</v>
      </c>
      <c r="X28" s="4">
        <v>19.100000000000001</v>
      </c>
      <c r="Y28" s="4">
        <v>0</v>
      </c>
      <c r="Z28" s="4">
        <v>1.5</v>
      </c>
      <c r="AA28" s="4">
        <v>139</v>
      </c>
      <c r="AB28" s="4">
        <v>12.1</v>
      </c>
      <c r="AC28" s="4">
        <v>19.5</v>
      </c>
      <c r="AD28" s="3" t="s">
        <v>42</v>
      </c>
      <c r="AE28" s="3" t="s">
        <v>61</v>
      </c>
      <c r="AF28" s="17">
        <f>HLOOKUP(AD28,Data!$B$4:$M$9,2,0)</f>
        <v>13</v>
      </c>
      <c r="AG28" s="17">
        <f>HLOOKUP(AD28,Data!$B$4:$M$9,3,0)</f>
        <v>1</v>
      </c>
      <c r="AH28" s="17">
        <f>HLOOKUP(AE28,Data!$B$13:$I$18,3,0)</f>
        <v>260</v>
      </c>
      <c r="AI28" s="18">
        <f t="shared" si="39"/>
        <v>1.44</v>
      </c>
      <c r="AJ28" s="17">
        <f t="shared" si="40"/>
        <v>0.28799999999999998</v>
      </c>
      <c r="AK28" s="17">
        <f t="shared" si="41"/>
        <v>0.28799999999999998</v>
      </c>
      <c r="AL28" s="17">
        <f t="shared" si="42"/>
        <v>0.25</v>
      </c>
      <c r="AM28" s="17">
        <f t="shared" si="43"/>
        <v>0.49</v>
      </c>
      <c r="AN28" s="17">
        <f t="shared" si="44"/>
        <v>0.49</v>
      </c>
      <c r="AO28" s="17">
        <f t="shared" si="45"/>
        <v>0.49</v>
      </c>
      <c r="AP28" s="17">
        <f t="shared" si="46"/>
        <v>0.49</v>
      </c>
      <c r="AQ28" s="17">
        <f t="shared" si="47"/>
        <v>1.88</v>
      </c>
      <c r="AR28" s="17">
        <f t="shared" si="48"/>
        <v>0.92159999999999997</v>
      </c>
      <c r="AS28" s="17">
        <f t="shared" si="49"/>
        <v>142.787004170373</v>
      </c>
      <c r="AT28" s="17">
        <f t="shared" si="50"/>
        <v>3.1253243661336101</v>
      </c>
      <c r="AU28" s="17">
        <f t="shared" si="51"/>
        <v>7.0757256987241304</v>
      </c>
      <c r="AV28" s="17">
        <f t="shared" si="52"/>
        <v>122.280477273329</v>
      </c>
      <c r="AW28" s="17">
        <f t="shared" si="53"/>
        <v>2.5142266980292201</v>
      </c>
      <c r="AX28" s="17">
        <f t="shared" si="54"/>
        <v>5.9005816651146503</v>
      </c>
      <c r="AY28" s="17">
        <f t="shared" si="55"/>
        <v>155.17795451018199</v>
      </c>
      <c r="AZ28" s="17">
        <f t="shared" si="56"/>
        <v>84.337329059780799</v>
      </c>
      <c r="BA28" s="17">
        <f t="shared" si="57"/>
        <v>119.757641784981</v>
      </c>
      <c r="BB28" s="17">
        <f t="shared" si="58"/>
        <v>134.73508270072799</v>
      </c>
      <c r="BC28" s="17">
        <f t="shared" si="59"/>
        <v>76.298913512229106</v>
      </c>
      <c r="BD28" s="17">
        <f t="shared" si="60"/>
        <v>105.51699810647899</v>
      </c>
      <c r="BE28" s="17" t="str">
        <f>IF(AND(BD28&lt;=AA28,BB28&lt;=AA28*MongDon!$J$44,BC28&gt;0),"Ok","FAIL")</f>
        <v>Ok</v>
      </c>
      <c r="BF28" s="17">
        <f t="shared" si="61"/>
        <v>143.01200287658401</v>
      </c>
      <c r="BG28" s="17">
        <f t="shared" si="62"/>
        <v>352.5</v>
      </c>
      <c r="BH28" s="17" t="str">
        <f t="shared" si="63"/>
        <v>Ok</v>
      </c>
      <c r="BI28" s="17">
        <f t="shared" si="64"/>
        <v>31.364876467940999</v>
      </c>
      <c r="BJ28" s="17">
        <f t="shared" si="65"/>
        <v>41.565926532798798</v>
      </c>
      <c r="BK28" s="17">
        <f t="shared" si="66"/>
        <v>37.615525200208197</v>
      </c>
      <c r="BL28" s="17">
        <f t="shared" si="67"/>
        <v>27.4144751353505</v>
      </c>
      <c r="BM28" s="17">
        <f t="shared" si="68"/>
        <v>88.125</v>
      </c>
      <c r="BN28" s="17">
        <f t="shared" si="69"/>
        <v>88.125</v>
      </c>
      <c r="BO28" s="17">
        <f t="shared" si="70"/>
        <v>88.125</v>
      </c>
      <c r="BP28" s="17">
        <f t="shared" si="71"/>
        <v>88.125</v>
      </c>
      <c r="BQ28" s="17" t="str">
        <f t="shared" si="72"/>
        <v>Ok</v>
      </c>
      <c r="BR28" s="17">
        <f t="shared" si="73"/>
        <v>58.690881318396798</v>
      </c>
      <c r="BS28" s="17">
        <f t="shared" si="74"/>
        <v>15.3809886249143</v>
      </c>
      <c r="BT28" s="16">
        <f>MongDon!$H$80</f>
        <v>1.2</v>
      </c>
      <c r="BU28" s="17" t="str">
        <f t="shared" si="75"/>
        <v>Ok</v>
      </c>
      <c r="BV28" s="17">
        <f t="shared" si="76"/>
        <v>14.4401587699545</v>
      </c>
      <c r="BW28" s="16">
        <f>MongDon!$F$86</f>
        <v>1.5</v>
      </c>
      <c r="BX28" s="17" t="str">
        <f t="shared" si="77"/>
        <v>Ok</v>
      </c>
      <c r="BY28" s="17">
        <f t="shared" si="78"/>
        <v>84.337329059780799</v>
      </c>
      <c r="BZ28" s="17">
        <f t="shared" si="79"/>
        <v>133.474313078698</v>
      </c>
      <c r="CA28" s="17">
        <f t="shared" si="80"/>
        <v>155.17795451018199</v>
      </c>
      <c r="CB28" s="17">
        <f t="shared" si="81"/>
        <v>106.04097049126401</v>
      </c>
      <c r="CC28" s="17">
        <f t="shared" si="82"/>
        <v>126.25136578460101</v>
      </c>
      <c r="CD28" s="17">
        <f t="shared" si="83"/>
        <v>117.242918714467</v>
      </c>
      <c r="CE28" s="17">
        <f t="shared" si="84"/>
        <v>122.27236485549599</v>
      </c>
      <c r="CF28" s="17">
        <f t="shared" si="85"/>
        <v>126.25136578460101</v>
      </c>
      <c r="CG28" s="17">
        <f t="shared" si="86"/>
        <v>17.471567780112</v>
      </c>
      <c r="CH28" s="17">
        <f t="shared" si="87"/>
        <v>17.471567780112</v>
      </c>
      <c r="CI28" s="17">
        <f t="shared" si="88"/>
        <v>298.65927829251302</v>
      </c>
      <c r="CJ28" s="17">
        <f t="shared" si="89"/>
        <v>298.65927829251302</v>
      </c>
    </row>
    <row r="29" spans="2:88">
      <c r="B29" s="3">
        <v>5</v>
      </c>
      <c r="C29" s="3" t="s">
        <v>28</v>
      </c>
      <c r="D29" s="4">
        <v>-3.0329594819196402</v>
      </c>
      <c r="E29" s="4">
        <v>5.9613962097442696</v>
      </c>
      <c r="F29" s="4">
        <v>148.266174828212</v>
      </c>
      <c r="G29" s="4">
        <v>-10.8013097318265</v>
      </c>
      <c r="H29" s="4">
        <v>-4.7879260618818202</v>
      </c>
      <c r="I29" s="4" t="s">
        <v>18</v>
      </c>
      <c r="J29" s="4">
        <v>-2.5248791557355199</v>
      </c>
      <c r="K29" s="4">
        <v>5.0164340308061801</v>
      </c>
      <c r="L29" s="4">
        <v>126.846452821528</v>
      </c>
      <c r="M29" s="4">
        <v>-9.07672056013174</v>
      </c>
      <c r="N29" s="4">
        <v>-3.9865709258162201</v>
      </c>
      <c r="O29" s="4">
        <v>1.2</v>
      </c>
      <c r="P29" s="4">
        <v>1.2</v>
      </c>
      <c r="Q29" s="4">
        <v>0.22</v>
      </c>
      <c r="R29" s="4">
        <v>0.22</v>
      </c>
      <c r="S29" s="4">
        <v>0</v>
      </c>
      <c r="T29" s="4">
        <v>0</v>
      </c>
      <c r="U29" s="4">
        <v>0.3</v>
      </c>
      <c r="V29" s="4">
        <v>0.05</v>
      </c>
      <c r="W29" s="4">
        <v>1</v>
      </c>
      <c r="X29" s="4">
        <v>19.100000000000001</v>
      </c>
      <c r="Y29" s="4">
        <v>0</v>
      </c>
      <c r="Z29" s="4">
        <v>1.5</v>
      </c>
      <c r="AA29" s="4">
        <v>139</v>
      </c>
      <c r="AB29" s="4">
        <v>12.1</v>
      </c>
      <c r="AC29" s="4">
        <v>19.5</v>
      </c>
      <c r="AD29" s="3" t="s">
        <v>42</v>
      </c>
      <c r="AE29" s="3" t="s">
        <v>61</v>
      </c>
      <c r="AF29" s="17">
        <f>HLOOKUP(AD29,Data!$B$4:$M$9,2,0)</f>
        <v>13</v>
      </c>
      <c r="AG29" s="17">
        <f>HLOOKUP(AD29,Data!$B$4:$M$9,3,0)</f>
        <v>1</v>
      </c>
      <c r="AH29" s="17">
        <f>HLOOKUP(AE29,Data!$B$13:$I$18,3,0)</f>
        <v>260</v>
      </c>
      <c r="AI29" s="18">
        <f t="shared" si="39"/>
        <v>1.44</v>
      </c>
      <c r="AJ29" s="17">
        <f t="shared" si="40"/>
        <v>0.28799999999999998</v>
      </c>
      <c r="AK29" s="17">
        <f t="shared" si="41"/>
        <v>0.28799999999999998</v>
      </c>
      <c r="AL29" s="17">
        <f t="shared" si="42"/>
        <v>0.25</v>
      </c>
      <c r="AM29" s="17">
        <f t="shared" si="43"/>
        <v>0.49</v>
      </c>
      <c r="AN29" s="17">
        <f t="shared" si="44"/>
        <v>0.49</v>
      </c>
      <c r="AO29" s="17">
        <f t="shared" si="45"/>
        <v>0.49</v>
      </c>
      <c r="AP29" s="17">
        <f t="shared" si="46"/>
        <v>0.49</v>
      </c>
      <c r="AQ29" s="17">
        <f t="shared" si="47"/>
        <v>1.88</v>
      </c>
      <c r="AR29" s="17">
        <f t="shared" si="48"/>
        <v>0.92159999999999997</v>
      </c>
      <c r="AS29" s="17">
        <f t="shared" si="49"/>
        <v>148.266174828212</v>
      </c>
      <c r="AT29" s="17">
        <f t="shared" si="50"/>
        <v>-12.589728594749801</v>
      </c>
      <c r="AU29" s="17">
        <f t="shared" si="51"/>
        <v>-5.6978139064577098</v>
      </c>
      <c r="AV29" s="17">
        <f t="shared" si="52"/>
        <v>126.846452821528</v>
      </c>
      <c r="AW29" s="17">
        <f t="shared" si="53"/>
        <v>-10.581650769373599</v>
      </c>
      <c r="AX29" s="17">
        <f t="shared" si="54"/>
        <v>-4.7440346725368796</v>
      </c>
      <c r="AY29" s="17">
        <f t="shared" si="55"/>
        <v>187.06103287100601</v>
      </c>
      <c r="AZ29" s="17">
        <f t="shared" si="56"/>
        <v>60.064209945954403</v>
      </c>
      <c r="BA29" s="17">
        <f t="shared" si="57"/>
        <v>123.56262140848</v>
      </c>
      <c r="BB29" s="17">
        <f t="shared" si="58"/>
        <v>161.902000021584</v>
      </c>
      <c r="BC29" s="17">
        <f t="shared" si="59"/>
        <v>55.473628897205401</v>
      </c>
      <c r="BD29" s="17">
        <f t="shared" si="60"/>
        <v>108.687814459395</v>
      </c>
      <c r="BE29" s="17" t="str">
        <f>IF(AND(BD29&lt;=AA29,BB29&lt;=AA29*MongDon!$J$44,BC29&gt;0),"Ok","FAIL")</f>
        <v>Ok</v>
      </c>
      <c r="BF29" s="17">
        <f t="shared" si="61"/>
        <v>172.395447893919</v>
      </c>
      <c r="BG29" s="17">
        <f t="shared" si="62"/>
        <v>352.5</v>
      </c>
      <c r="BH29" s="17" t="str">
        <f t="shared" si="63"/>
        <v>Ok</v>
      </c>
      <c r="BI29" s="17">
        <f t="shared" si="64"/>
        <v>48.175763560392099</v>
      </c>
      <c r="BJ29" s="17">
        <f t="shared" si="65"/>
        <v>29.888221059184598</v>
      </c>
      <c r="BK29" s="17">
        <f t="shared" si="66"/>
        <v>22.996306370892601</v>
      </c>
      <c r="BL29" s="17">
        <f t="shared" si="67"/>
        <v>41.283848872100101</v>
      </c>
      <c r="BM29" s="17">
        <f t="shared" si="68"/>
        <v>88.125</v>
      </c>
      <c r="BN29" s="17">
        <f t="shared" si="69"/>
        <v>88.125</v>
      </c>
      <c r="BO29" s="17">
        <f t="shared" si="70"/>
        <v>88.125</v>
      </c>
      <c r="BP29" s="17">
        <f t="shared" si="71"/>
        <v>88.125</v>
      </c>
      <c r="BQ29" s="17" t="str">
        <f t="shared" si="72"/>
        <v>Ok</v>
      </c>
      <c r="BR29" s="17">
        <f t="shared" si="73"/>
        <v>59.865513727731603</v>
      </c>
      <c r="BS29" s="17">
        <f t="shared" si="74"/>
        <v>10.0421967642207</v>
      </c>
      <c r="BT29" s="16">
        <f>MongDon!$H$80</f>
        <v>1.2</v>
      </c>
      <c r="BU29" s="17" t="str">
        <f t="shared" si="75"/>
        <v>Ok</v>
      </c>
      <c r="BV29" s="17">
        <f t="shared" si="76"/>
        <v>8.3768370464242903</v>
      </c>
      <c r="BW29" s="16">
        <f>MongDon!$F$86</f>
        <v>1.5</v>
      </c>
      <c r="BX29" s="17" t="str">
        <f t="shared" si="77"/>
        <v>Ok</v>
      </c>
      <c r="BY29" s="17">
        <f t="shared" si="78"/>
        <v>187.06103287100601</v>
      </c>
      <c r="BZ29" s="17">
        <f t="shared" si="79"/>
        <v>147.49288074282799</v>
      </c>
      <c r="CA29" s="17">
        <f t="shared" si="80"/>
        <v>60.064209945954403</v>
      </c>
      <c r="CB29" s="17">
        <f t="shared" si="81"/>
        <v>99.632362074132999</v>
      </c>
      <c r="CC29" s="17">
        <f t="shared" si="82"/>
        <v>127.94983561977701</v>
      </c>
      <c r="CD29" s="17">
        <f t="shared" si="83"/>
        <v>135.203996843277</v>
      </c>
      <c r="CE29" s="17">
        <f t="shared" si="84"/>
        <v>135.203996843277</v>
      </c>
      <c r="CF29" s="17">
        <f t="shared" si="85"/>
        <v>119.17540719718301</v>
      </c>
      <c r="CG29" s="17">
        <f t="shared" si="86"/>
        <v>20.3815312711213</v>
      </c>
      <c r="CH29" s="17">
        <f t="shared" si="87"/>
        <v>20.3815312711213</v>
      </c>
      <c r="CI29" s="17">
        <f t="shared" si="88"/>
        <v>348.40224395079201</v>
      </c>
      <c r="CJ29" s="17">
        <f t="shared" si="89"/>
        <v>348.40224395079201</v>
      </c>
    </row>
    <row r="30" spans="2:88">
      <c r="B30" s="3">
        <v>5</v>
      </c>
      <c r="C30" s="3" t="s">
        <v>29</v>
      </c>
      <c r="D30" s="4">
        <v>-3.4854723083718899</v>
      </c>
      <c r="E30" s="4">
        <v>2.31432930848927</v>
      </c>
      <c r="F30" s="4">
        <v>132.418702214131</v>
      </c>
      <c r="G30" s="4">
        <v>-3.4126583630775098</v>
      </c>
      <c r="H30" s="4">
        <v>-5.4770071699066003</v>
      </c>
      <c r="I30" s="4" t="s">
        <v>19</v>
      </c>
      <c r="J30" s="4">
        <v>-2.9019731777790598</v>
      </c>
      <c r="K30" s="4">
        <v>1.9772116130936701</v>
      </c>
      <c r="L30" s="4">
        <v>113.64022564312801</v>
      </c>
      <c r="M30" s="4">
        <v>-2.9195110861742601</v>
      </c>
      <c r="N30" s="4">
        <v>-4.5608051825035396</v>
      </c>
      <c r="O30" s="4">
        <v>1.2</v>
      </c>
      <c r="P30" s="4">
        <v>1.2</v>
      </c>
      <c r="Q30" s="4">
        <v>0.22</v>
      </c>
      <c r="R30" s="4">
        <v>0.22</v>
      </c>
      <c r="S30" s="4">
        <v>0</v>
      </c>
      <c r="T30" s="4">
        <v>0</v>
      </c>
      <c r="U30" s="4">
        <v>0.3</v>
      </c>
      <c r="V30" s="4">
        <v>0.05</v>
      </c>
      <c r="W30" s="4">
        <v>1</v>
      </c>
      <c r="X30" s="4">
        <v>19.100000000000001</v>
      </c>
      <c r="Y30" s="4">
        <v>0</v>
      </c>
      <c r="Z30" s="4">
        <v>1.5</v>
      </c>
      <c r="AA30" s="4">
        <v>139</v>
      </c>
      <c r="AB30" s="4">
        <v>12.1</v>
      </c>
      <c r="AC30" s="4">
        <v>19.5</v>
      </c>
      <c r="AD30" s="3" t="s">
        <v>42</v>
      </c>
      <c r="AE30" s="3" t="s">
        <v>61</v>
      </c>
      <c r="AF30" s="17">
        <f>HLOOKUP(AD30,Data!$B$4:$M$9,2,0)</f>
        <v>13</v>
      </c>
      <c r="AG30" s="17">
        <f>HLOOKUP(AD30,Data!$B$4:$M$9,3,0)</f>
        <v>1</v>
      </c>
      <c r="AH30" s="17">
        <f>HLOOKUP(AE30,Data!$B$13:$I$18,3,0)</f>
        <v>260</v>
      </c>
      <c r="AI30" s="18">
        <f t="shared" si="39"/>
        <v>1.44</v>
      </c>
      <c r="AJ30" s="17">
        <f t="shared" si="40"/>
        <v>0.28799999999999998</v>
      </c>
      <c r="AK30" s="17">
        <f t="shared" si="41"/>
        <v>0.28799999999999998</v>
      </c>
      <c r="AL30" s="17">
        <f t="shared" si="42"/>
        <v>0.25</v>
      </c>
      <c r="AM30" s="17">
        <f t="shared" si="43"/>
        <v>0.49</v>
      </c>
      <c r="AN30" s="17">
        <f t="shared" si="44"/>
        <v>0.49</v>
      </c>
      <c r="AO30" s="17">
        <f t="shared" si="45"/>
        <v>0.49</v>
      </c>
      <c r="AP30" s="17">
        <f t="shared" si="46"/>
        <v>0.49</v>
      </c>
      <c r="AQ30" s="17">
        <f t="shared" si="47"/>
        <v>1.88</v>
      </c>
      <c r="AR30" s="17">
        <f t="shared" si="48"/>
        <v>0.92159999999999997</v>
      </c>
      <c r="AS30" s="17">
        <f t="shared" si="49"/>
        <v>132.418702214131</v>
      </c>
      <c r="AT30" s="17">
        <f t="shared" si="50"/>
        <v>-4.1069571556242899</v>
      </c>
      <c r="AU30" s="17">
        <f t="shared" si="51"/>
        <v>-6.52264886241817</v>
      </c>
      <c r="AV30" s="17">
        <f t="shared" si="52"/>
        <v>113.64022564312801</v>
      </c>
      <c r="AW30" s="17">
        <f t="shared" si="53"/>
        <v>-3.5126745701023601</v>
      </c>
      <c r="AX30" s="17">
        <f t="shared" si="54"/>
        <v>-5.4313971358372601</v>
      </c>
      <c r="AY30" s="17">
        <f t="shared" si="55"/>
        <v>149.46578632246101</v>
      </c>
      <c r="AZ30" s="17">
        <f t="shared" si="56"/>
        <v>75.649077863832503</v>
      </c>
      <c r="BA30" s="17">
        <f t="shared" si="57"/>
        <v>112.557432093147</v>
      </c>
      <c r="BB30" s="17">
        <f t="shared" si="58"/>
        <v>130.572627897796</v>
      </c>
      <c r="BC30" s="17">
        <f t="shared" si="59"/>
        <v>68.461018828770506</v>
      </c>
      <c r="BD30" s="17">
        <f t="shared" si="60"/>
        <v>99.516823363283095</v>
      </c>
      <c r="BE30" s="17" t="str">
        <f>IF(AND(BD30&lt;=AA30,BB30&lt;=AA30*MongDon!$J$44,BC30&gt;0),"Ok","FAIL")</f>
        <v>Ok</v>
      </c>
      <c r="BF30" s="17">
        <f t="shared" si="61"/>
        <v>137.74766867477999</v>
      </c>
      <c r="BG30" s="17">
        <f t="shared" si="62"/>
        <v>352.5</v>
      </c>
      <c r="BH30" s="17" t="str">
        <f t="shared" si="63"/>
        <v>Ok</v>
      </c>
      <c r="BI30" s="17">
        <f t="shared" si="64"/>
        <v>36.523497598450497</v>
      </c>
      <c r="BJ30" s="17">
        <f t="shared" si="65"/>
        <v>25.893891580408098</v>
      </c>
      <c r="BK30" s="17">
        <f t="shared" si="66"/>
        <v>28.3095832872019</v>
      </c>
      <c r="BL30" s="17">
        <f t="shared" si="67"/>
        <v>38.939189305244398</v>
      </c>
      <c r="BM30" s="17">
        <f t="shared" si="68"/>
        <v>88.125</v>
      </c>
      <c r="BN30" s="17">
        <f t="shared" si="69"/>
        <v>88.125</v>
      </c>
      <c r="BO30" s="17">
        <f t="shared" si="70"/>
        <v>88.125</v>
      </c>
      <c r="BP30" s="17">
        <f t="shared" si="71"/>
        <v>88.125</v>
      </c>
      <c r="BQ30" s="17" t="str">
        <f t="shared" si="72"/>
        <v>Ok</v>
      </c>
      <c r="BR30" s="17">
        <f t="shared" si="73"/>
        <v>56.4681099779664</v>
      </c>
      <c r="BS30" s="17">
        <f t="shared" si="74"/>
        <v>16.200992285129701</v>
      </c>
      <c r="BT30" s="16">
        <f>MongDon!$H$80</f>
        <v>1.2</v>
      </c>
      <c r="BU30" s="17" t="str">
        <f t="shared" si="75"/>
        <v>Ok</v>
      </c>
      <c r="BV30" s="17">
        <f t="shared" si="76"/>
        <v>14.710836556194</v>
      </c>
      <c r="BW30" s="16">
        <f>MongDon!$F$86</f>
        <v>1.5</v>
      </c>
      <c r="BX30" s="17" t="str">
        <f t="shared" si="77"/>
        <v>Ok</v>
      </c>
      <c r="BY30" s="17">
        <f t="shared" si="78"/>
        <v>149.46578632246101</v>
      </c>
      <c r="BZ30" s="17">
        <f t="shared" si="79"/>
        <v>104.169613666779</v>
      </c>
      <c r="CA30" s="17">
        <f t="shared" si="80"/>
        <v>75.649077863832503</v>
      </c>
      <c r="CB30" s="17">
        <f t="shared" si="81"/>
        <v>120.945250519514</v>
      </c>
      <c r="CC30" s="17">
        <f t="shared" si="82"/>
        <v>111.01966538164601</v>
      </c>
      <c r="CD30" s="17">
        <f t="shared" si="83"/>
        <v>119.323963701854</v>
      </c>
      <c r="CE30" s="17">
        <f t="shared" si="84"/>
        <v>119.323963701854</v>
      </c>
      <c r="CF30" s="17">
        <f t="shared" si="85"/>
        <v>114.095198804647</v>
      </c>
      <c r="CG30" s="17">
        <f t="shared" si="86"/>
        <v>16.737192379476799</v>
      </c>
      <c r="CH30" s="17">
        <f t="shared" si="87"/>
        <v>16.737192379476799</v>
      </c>
      <c r="CI30" s="17">
        <f t="shared" si="88"/>
        <v>286.105852640629</v>
      </c>
      <c r="CJ30" s="17">
        <f t="shared" si="89"/>
        <v>286.105852640629</v>
      </c>
    </row>
    <row r="31" spans="2:88">
      <c r="B31" s="3">
        <v>5</v>
      </c>
      <c r="C31" s="3" t="s">
        <v>30</v>
      </c>
      <c r="D31" s="4">
        <v>4.17511767648912</v>
      </c>
      <c r="E31" s="4">
        <v>2.4384208376606198</v>
      </c>
      <c r="F31" s="4">
        <v>132.00456321085801</v>
      </c>
      <c r="G31" s="4">
        <v>-3.7020704301743401</v>
      </c>
      <c r="H31" s="4">
        <v>6.4825660641069298</v>
      </c>
      <c r="I31" s="4" t="s">
        <v>20</v>
      </c>
      <c r="J31" s="4">
        <v>3.4818518096051099</v>
      </c>
      <c r="K31" s="4">
        <v>2.0806212207364698</v>
      </c>
      <c r="L31" s="4">
        <v>113.29510980706701</v>
      </c>
      <c r="M31" s="4">
        <v>-3.1606878087549499</v>
      </c>
      <c r="N31" s="4">
        <v>5.4055058458410699</v>
      </c>
      <c r="O31" s="4">
        <v>1.2</v>
      </c>
      <c r="P31" s="4">
        <v>1.2</v>
      </c>
      <c r="Q31" s="4">
        <v>0.22</v>
      </c>
      <c r="R31" s="4">
        <v>0.22</v>
      </c>
      <c r="S31" s="4">
        <v>0</v>
      </c>
      <c r="T31" s="4">
        <v>0</v>
      </c>
      <c r="U31" s="4">
        <v>0.3</v>
      </c>
      <c r="V31" s="4">
        <v>0.05</v>
      </c>
      <c r="W31" s="4">
        <v>1</v>
      </c>
      <c r="X31" s="4">
        <v>19.100000000000001</v>
      </c>
      <c r="Y31" s="4">
        <v>0</v>
      </c>
      <c r="Z31" s="4">
        <v>1.5</v>
      </c>
      <c r="AA31" s="4">
        <v>139</v>
      </c>
      <c r="AB31" s="4">
        <v>12.1</v>
      </c>
      <c r="AC31" s="4">
        <v>19.5</v>
      </c>
      <c r="AD31" s="3" t="s">
        <v>42</v>
      </c>
      <c r="AE31" s="3" t="s">
        <v>61</v>
      </c>
      <c r="AF31" s="17">
        <f>HLOOKUP(AD31,Data!$B$4:$M$9,2,0)</f>
        <v>13</v>
      </c>
      <c r="AG31" s="17">
        <f>HLOOKUP(AD31,Data!$B$4:$M$9,3,0)</f>
        <v>1</v>
      </c>
      <c r="AH31" s="17">
        <f>HLOOKUP(AE31,Data!$B$13:$I$18,3,0)</f>
        <v>260</v>
      </c>
      <c r="AI31" s="18">
        <f t="shared" si="39"/>
        <v>1.44</v>
      </c>
      <c r="AJ31" s="17">
        <f t="shared" si="40"/>
        <v>0.28799999999999998</v>
      </c>
      <c r="AK31" s="17">
        <f t="shared" si="41"/>
        <v>0.28799999999999998</v>
      </c>
      <c r="AL31" s="17">
        <f t="shared" si="42"/>
        <v>0.25</v>
      </c>
      <c r="AM31" s="17">
        <f t="shared" si="43"/>
        <v>0.49</v>
      </c>
      <c r="AN31" s="17">
        <f t="shared" si="44"/>
        <v>0.49</v>
      </c>
      <c r="AO31" s="17">
        <f t="shared" si="45"/>
        <v>0.49</v>
      </c>
      <c r="AP31" s="17">
        <f t="shared" si="46"/>
        <v>0.49</v>
      </c>
      <c r="AQ31" s="17">
        <f t="shared" si="47"/>
        <v>1.88</v>
      </c>
      <c r="AR31" s="17">
        <f t="shared" si="48"/>
        <v>0.92159999999999997</v>
      </c>
      <c r="AS31" s="17">
        <f t="shared" si="49"/>
        <v>132.00456321085801</v>
      </c>
      <c r="AT31" s="17">
        <f t="shared" si="50"/>
        <v>-4.4335966814725296</v>
      </c>
      <c r="AU31" s="17">
        <f t="shared" si="51"/>
        <v>7.7351013670536704</v>
      </c>
      <c r="AV31" s="17">
        <f t="shared" si="52"/>
        <v>113.29510980706701</v>
      </c>
      <c r="AW31" s="17">
        <f t="shared" si="53"/>
        <v>-3.7848741749758901</v>
      </c>
      <c r="AX31" s="17">
        <f t="shared" si="54"/>
        <v>6.4500613887225997</v>
      </c>
      <c r="AY31" s="17">
        <f t="shared" si="55"/>
        <v>154.52225934270101</v>
      </c>
      <c r="AZ31" s="17">
        <f t="shared" si="56"/>
        <v>70.017411783490999</v>
      </c>
      <c r="BA31" s="17">
        <f t="shared" si="57"/>
        <v>112.269835563096</v>
      </c>
      <c r="BB31" s="17">
        <f t="shared" si="58"/>
        <v>134.81513029552701</v>
      </c>
      <c r="BC31" s="17">
        <f t="shared" si="59"/>
        <v>63.739188880954302</v>
      </c>
      <c r="BD31" s="17">
        <f t="shared" si="60"/>
        <v>99.277159588240806</v>
      </c>
      <c r="BE31" s="17" t="str">
        <f>IF(AND(BD31&lt;=AA31,BB31&lt;=AA31*MongDon!$J$44,BC31&gt;0),"Ok","FAIL")</f>
        <v>Ok</v>
      </c>
      <c r="BF31" s="17">
        <f t="shared" si="61"/>
        <v>142.407714210233</v>
      </c>
      <c r="BG31" s="17">
        <f t="shared" si="62"/>
        <v>352.5</v>
      </c>
      <c r="BH31" s="17" t="str">
        <f t="shared" si="63"/>
        <v>Ok</v>
      </c>
      <c r="BI31" s="17">
        <f t="shared" si="64"/>
        <v>36.767309323644099</v>
      </c>
      <c r="BJ31" s="17">
        <f t="shared" si="65"/>
        <v>40.068814009225299</v>
      </c>
      <c r="BK31" s="17">
        <f t="shared" si="66"/>
        <v>27.9001159606991</v>
      </c>
      <c r="BL31" s="17">
        <f t="shared" si="67"/>
        <v>24.5986112751179</v>
      </c>
      <c r="BM31" s="17">
        <f t="shared" si="68"/>
        <v>88.125</v>
      </c>
      <c r="BN31" s="17">
        <f t="shared" si="69"/>
        <v>88.125</v>
      </c>
      <c r="BO31" s="17">
        <f t="shared" si="70"/>
        <v>88.125</v>
      </c>
      <c r="BP31" s="17">
        <f t="shared" si="71"/>
        <v>88.125</v>
      </c>
      <c r="BQ31" s="17" t="str">
        <f t="shared" si="72"/>
        <v>Ok</v>
      </c>
      <c r="BR31" s="17">
        <f t="shared" si="73"/>
        <v>56.3793262686074</v>
      </c>
      <c r="BS31" s="17">
        <f t="shared" si="74"/>
        <v>13.503649630306199</v>
      </c>
      <c r="BT31" s="16">
        <f>MongDon!$H$80</f>
        <v>1.2</v>
      </c>
      <c r="BU31" s="17" t="str">
        <f t="shared" si="75"/>
        <v>Ok</v>
      </c>
      <c r="BV31" s="17">
        <f t="shared" si="76"/>
        <v>12.3728356468804</v>
      </c>
      <c r="BW31" s="16">
        <f>MongDon!$F$86</f>
        <v>1.5</v>
      </c>
      <c r="BX31" s="17" t="str">
        <f t="shared" si="77"/>
        <v>Ok</v>
      </c>
      <c r="BY31" s="17">
        <f t="shared" si="78"/>
        <v>100.80627762704999</v>
      </c>
      <c r="BZ31" s="17">
        <f t="shared" si="79"/>
        <v>154.52225934270101</v>
      </c>
      <c r="CA31" s="17">
        <f t="shared" si="80"/>
        <v>123.733393499141</v>
      </c>
      <c r="CB31" s="17">
        <f t="shared" si="81"/>
        <v>70.017411783490999</v>
      </c>
      <c r="CC31" s="17">
        <f t="shared" si="82"/>
        <v>120.016113256023</v>
      </c>
      <c r="CD31" s="17">
        <f t="shared" si="83"/>
        <v>110.168183274821</v>
      </c>
      <c r="CE31" s="17">
        <f t="shared" si="84"/>
        <v>120.016113256023</v>
      </c>
      <c r="CF31" s="17">
        <f t="shared" si="85"/>
        <v>114.371487851371</v>
      </c>
      <c r="CG31" s="17">
        <f t="shared" si="86"/>
        <v>17.169576288189401</v>
      </c>
      <c r="CH31" s="17">
        <f t="shared" si="87"/>
        <v>17.169576288189401</v>
      </c>
      <c r="CI31" s="17">
        <f t="shared" si="88"/>
        <v>293.49703056733898</v>
      </c>
      <c r="CJ31" s="17">
        <f t="shared" si="89"/>
        <v>293.49703056733898</v>
      </c>
    </row>
    <row r="32" spans="2:88">
      <c r="B32" s="3">
        <v>5</v>
      </c>
      <c r="C32" s="3" t="s">
        <v>31</v>
      </c>
      <c r="D32" s="4">
        <v>4.1496928526985704</v>
      </c>
      <c r="E32" s="4">
        <v>-1.3178477165097899</v>
      </c>
      <c r="F32" s="4">
        <v>129.16764901369501</v>
      </c>
      <c r="G32" s="4">
        <v>4.0649537447671902</v>
      </c>
      <c r="H32" s="4">
        <v>6.4577292882758597</v>
      </c>
      <c r="I32" s="4" t="s">
        <v>21</v>
      </c>
      <c r="J32" s="4">
        <v>3.46066445644633</v>
      </c>
      <c r="K32" s="4">
        <v>-1.0496025744055399</v>
      </c>
      <c r="L32" s="4">
        <v>110.931014642764</v>
      </c>
      <c r="M32" s="4">
        <v>3.3118323370296601</v>
      </c>
      <c r="N32" s="4">
        <v>5.3848085326485098</v>
      </c>
      <c r="O32" s="4">
        <v>1.2</v>
      </c>
      <c r="P32" s="4">
        <v>1.2</v>
      </c>
      <c r="Q32" s="4">
        <v>0.22</v>
      </c>
      <c r="R32" s="4">
        <v>0.22</v>
      </c>
      <c r="S32" s="4">
        <v>0</v>
      </c>
      <c r="T32" s="4">
        <v>0</v>
      </c>
      <c r="U32" s="4">
        <v>0.3</v>
      </c>
      <c r="V32" s="4">
        <v>0.05</v>
      </c>
      <c r="W32" s="4">
        <v>1</v>
      </c>
      <c r="X32" s="4">
        <v>19.100000000000001</v>
      </c>
      <c r="Y32" s="4">
        <v>0</v>
      </c>
      <c r="Z32" s="4">
        <v>1.5</v>
      </c>
      <c r="AA32" s="4">
        <v>139</v>
      </c>
      <c r="AB32" s="4">
        <v>12.1</v>
      </c>
      <c r="AC32" s="4">
        <v>19.5</v>
      </c>
      <c r="AD32" s="3" t="s">
        <v>42</v>
      </c>
      <c r="AE32" s="3" t="s">
        <v>61</v>
      </c>
      <c r="AF32" s="17">
        <f>HLOOKUP(AD32,Data!$B$4:$M$9,2,0)</f>
        <v>13</v>
      </c>
      <c r="AG32" s="17">
        <f>HLOOKUP(AD32,Data!$B$4:$M$9,3,0)</f>
        <v>1</v>
      </c>
      <c r="AH32" s="17">
        <f>HLOOKUP(AE32,Data!$B$13:$I$18,3,0)</f>
        <v>260</v>
      </c>
      <c r="AI32" s="18">
        <f t="shared" si="39"/>
        <v>1.44</v>
      </c>
      <c r="AJ32" s="17">
        <f t="shared" si="40"/>
        <v>0.28799999999999998</v>
      </c>
      <c r="AK32" s="17">
        <f t="shared" si="41"/>
        <v>0.28799999999999998</v>
      </c>
      <c r="AL32" s="17">
        <f t="shared" si="42"/>
        <v>0.25</v>
      </c>
      <c r="AM32" s="17">
        <f t="shared" si="43"/>
        <v>0.49</v>
      </c>
      <c r="AN32" s="17">
        <f t="shared" si="44"/>
        <v>0.49</v>
      </c>
      <c r="AO32" s="17">
        <f t="shared" si="45"/>
        <v>0.49</v>
      </c>
      <c r="AP32" s="17">
        <f t="shared" si="46"/>
        <v>0.49</v>
      </c>
      <c r="AQ32" s="17">
        <f t="shared" si="47"/>
        <v>1.88</v>
      </c>
      <c r="AR32" s="17">
        <f t="shared" si="48"/>
        <v>0.92159999999999997</v>
      </c>
      <c r="AS32" s="17">
        <f t="shared" si="49"/>
        <v>129.16764901369501</v>
      </c>
      <c r="AT32" s="17">
        <f t="shared" si="50"/>
        <v>4.4603080597201297</v>
      </c>
      <c r="AU32" s="17">
        <f t="shared" si="51"/>
        <v>7.7026371440854398</v>
      </c>
      <c r="AV32" s="17">
        <f t="shared" si="52"/>
        <v>110.931014642764</v>
      </c>
      <c r="AW32" s="17">
        <f t="shared" si="53"/>
        <v>3.6267131093513201</v>
      </c>
      <c r="AX32" s="17">
        <f t="shared" si="54"/>
        <v>6.4230078695824098</v>
      </c>
      <c r="AY32" s="17">
        <f t="shared" si="55"/>
        <v>152.53220488383599</v>
      </c>
      <c r="AZ32" s="17">
        <f t="shared" si="56"/>
        <v>68.067307635185799</v>
      </c>
      <c r="BA32" s="17">
        <f t="shared" si="57"/>
        <v>110.299756259511</v>
      </c>
      <c r="BB32" s="17">
        <f t="shared" si="58"/>
        <v>132.53029134543999</v>
      </c>
      <c r="BC32" s="17">
        <f t="shared" si="59"/>
        <v>62.740562325066499</v>
      </c>
      <c r="BD32" s="17">
        <f t="shared" si="60"/>
        <v>97.635426835253099</v>
      </c>
      <c r="BE32" s="17" t="str">
        <f>IF(AND(BD32&lt;=AA32,BB32&lt;=AA32*MongDon!$J$44,BC32&gt;0),"Ok","FAIL")</f>
        <v>Ok</v>
      </c>
      <c r="BF32" s="17">
        <f t="shared" si="61"/>
        <v>140.57368002094299</v>
      </c>
      <c r="BG32" s="17">
        <f t="shared" si="62"/>
        <v>352.5</v>
      </c>
      <c r="BH32" s="17" t="str">
        <f t="shared" si="63"/>
        <v>Ok</v>
      </c>
      <c r="BI32" s="17">
        <f t="shared" si="64"/>
        <v>27.306021743018899</v>
      </c>
      <c r="BJ32" s="17">
        <f t="shared" si="65"/>
        <v>39.468966946824501</v>
      </c>
      <c r="BK32" s="17">
        <f t="shared" si="66"/>
        <v>36.226637862459199</v>
      </c>
      <c r="BL32" s="17">
        <f t="shared" si="67"/>
        <v>24.063692658653601</v>
      </c>
      <c r="BM32" s="17">
        <f t="shared" si="68"/>
        <v>88.125</v>
      </c>
      <c r="BN32" s="17">
        <f t="shared" si="69"/>
        <v>88.125</v>
      </c>
      <c r="BO32" s="17">
        <f t="shared" si="70"/>
        <v>88.125</v>
      </c>
      <c r="BP32" s="17">
        <f t="shared" si="71"/>
        <v>88.125</v>
      </c>
      <c r="BQ32" s="17" t="str">
        <f t="shared" si="72"/>
        <v>Ok</v>
      </c>
      <c r="BR32" s="17">
        <f t="shared" si="73"/>
        <v>55.771144562545402</v>
      </c>
      <c r="BS32" s="17">
        <f t="shared" si="74"/>
        <v>13.439824715286299</v>
      </c>
      <c r="BT32" s="16">
        <f>MongDon!$H$80</f>
        <v>1.2</v>
      </c>
      <c r="BU32" s="17" t="str">
        <f t="shared" si="75"/>
        <v>Ok</v>
      </c>
      <c r="BV32" s="17">
        <f t="shared" si="76"/>
        <v>12.204000740239801</v>
      </c>
      <c r="BW32" s="16">
        <f>MongDon!$F$86</f>
        <v>1.5</v>
      </c>
      <c r="BX32" s="17" t="str">
        <f t="shared" si="77"/>
        <v>Ok</v>
      </c>
      <c r="BY32" s="17">
        <f t="shared" si="78"/>
        <v>68.067307635185799</v>
      </c>
      <c r="BZ32" s="17">
        <f t="shared" si="79"/>
        <v>121.55784335800099</v>
      </c>
      <c r="CA32" s="17">
        <f t="shared" si="80"/>
        <v>152.53220488383599</v>
      </c>
      <c r="CB32" s="17">
        <f t="shared" si="81"/>
        <v>99.041669161019996</v>
      </c>
      <c r="CC32" s="17">
        <f t="shared" si="82"/>
        <v>118.042371840637</v>
      </c>
      <c r="CD32" s="17">
        <f t="shared" si="83"/>
        <v>108.235773624787</v>
      </c>
      <c r="CE32" s="17">
        <f t="shared" si="84"/>
        <v>112.363738894234</v>
      </c>
      <c r="CF32" s="17">
        <f t="shared" si="85"/>
        <v>118.042371840637</v>
      </c>
      <c r="CG32" s="17">
        <f t="shared" si="86"/>
        <v>16.931323044025799</v>
      </c>
      <c r="CH32" s="17">
        <f t="shared" si="87"/>
        <v>16.931323044025799</v>
      </c>
      <c r="CI32" s="17">
        <f t="shared" si="88"/>
        <v>289.424325538902</v>
      </c>
      <c r="CJ32" s="17">
        <f t="shared" si="89"/>
        <v>289.424325538902</v>
      </c>
    </row>
    <row r="33" spans="2:88">
      <c r="B33" s="3">
        <v>5</v>
      </c>
      <c r="C33" s="3" t="s">
        <v>32</v>
      </c>
      <c r="D33" s="4">
        <v>-3.46004748458135</v>
      </c>
      <c r="E33" s="4">
        <v>6.0705978626596897</v>
      </c>
      <c r="F33" s="4">
        <v>135.255616411294</v>
      </c>
      <c r="G33" s="4">
        <v>-11.179682538019</v>
      </c>
      <c r="H33" s="4">
        <v>-5.4521703940755302</v>
      </c>
      <c r="I33" s="4" t="s">
        <v>22</v>
      </c>
      <c r="J33" s="4">
        <v>-2.88078582462028</v>
      </c>
      <c r="K33" s="4">
        <v>5.1074354082356903</v>
      </c>
      <c r="L33" s="4">
        <v>116.00432080743001</v>
      </c>
      <c r="M33" s="4">
        <v>-9.3920312319588692</v>
      </c>
      <c r="N33" s="4">
        <v>-4.5401078693109804</v>
      </c>
      <c r="O33" s="4">
        <v>1.2</v>
      </c>
      <c r="P33" s="4">
        <v>1.2</v>
      </c>
      <c r="Q33" s="4">
        <v>0.22</v>
      </c>
      <c r="R33" s="4">
        <v>0.22</v>
      </c>
      <c r="S33" s="4">
        <v>0</v>
      </c>
      <c r="T33" s="4">
        <v>0</v>
      </c>
      <c r="U33" s="4">
        <v>0.3</v>
      </c>
      <c r="V33" s="4">
        <v>0.05</v>
      </c>
      <c r="W33" s="4">
        <v>1</v>
      </c>
      <c r="X33" s="4">
        <v>19.100000000000001</v>
      </c>
      <c r="Y33" s="4">
        <v>0</v>
      </c>
      <c r="Z33" s="4">
        <v>1.5</v>
      </c>
      <c r="AA33" s="4">
        <v>139</v>
      </c>
      <c r="AB33" s="4">
        <v>12.1</v>
      </c>
      <c r="AC33" s="4">
        <v>19.5</v>
      </c>
      <c r="AD33" s="3" t="s">
        <v>42</v>
      </c>
      <c r="AE33" s="3" t="s">
        <v>61</v>
      </c>
      <c r="AF33" s="17">
        <f>HLOOKUP(AD33,Data!$B$4:$M$9,2,0)</f>
        <v>13</v>
      </c>
      <c r="AG33" s="17">
        <f>HLOOKUP(AD33,Data!$B$4:$M$9,3,0)</f>
        <v>1</v>
      </c>
      <c r="AH33" s="17">
        <f>HLOOKUP(AE33,Data!$B$13:$I$18,3,0)</f>
        <v>260</v>
      </c>
      <c r="AI33" s="18">
        <f t="shared" si="39"/>
        <v>1.44</v>
      </c>
      <c r="AJ33" s="17">
        <f t="shared" si="40"/>
        <v>0.28799999999999998</v>
      </c>
      <c r="AK33" s="17">
        <f t="shared" si="41"/>
        <v>0.28799999999999998</v>
      </c>
      <c r="AL33" s="17">
        <f t="shared" si="42"/>
        <v>0.25</v>
      </c>
      <c r="AM33" s="17">
        <f t="shared" si="43"/>
        <v>0.49</v>
      </c>
      <c r="AN33" s="17">
        <f t="shared" si="44"/>
        <v>0.49</v>
      </c>
      <c r="AO33" s="17">
        <f t="shared" si="45"/>
        <v>0.49</v>
      </c>
      <c r="AP33" s="17">
        <f t="shared" si="46"/>
        <v>0.49</v>
      </c>
      <c r="AQ33" s="17">
        <f t="shared" si="47"/>
        <v>1.88</v>
      </c>
      <c r="AR33" s="17">
        <f t="shared" si="48"/>
        <v>0.92159999999999997</v>
      </c>
      <c r="AS33" s="17">
        <f t="shared" si="49"/>
        <v>135.255616411294</v>
      </c>
      <c r="AT33" s="17">
        <f t="shared" si="50"/>
        <v>-13.000861896817</v>
      </c>
      <c r="AU33" s="17">
        <f t="shared" si="51"/>
        <v>-6.4901846394499403</v>
      </c>
      <c r="AV33" s="17">
        <f t="shared" si="52"/>
        <v>116.00432080743001</v>
      </c>
      <c r="AW33" s="17">
        <f t="shared" si="53"/>
        <v>-10.9242618544296</v>
      </c>
      <c r="AX33" s="17">
        <f t="shared" si="54"/>
        <v>-5.4043436166970702</v>
      </c>
      <c r="AY33" s="17">
        <f t="shared" si="55"/>
        <v>182.20475631432501</v>
      </c>
      <c r="AZ33" s="17">
        <f t="shared" si="56"/>
        <v>46.850266479138497</v>
      </c>
      <c r="BA33" s="17">
        <f t="shared" si="57"/>
        <v>114.527511396732</v>
      </c>
      <c r="BB33" s="17">
        <f t="shared" si="58"/>
        <v>157.855102891016</v>
      </c>
      <c r="BC33" s="17">
        <f t="shared" si="59"/>
        <v>44.462009341525501</v>
      </c>
      <c r="BD33" s="17">
        <f t="shared" si="60"/>
        <v>101.158556116271</v>
      </c>
      <c r="BE33" s="17" t="str">
        <f>IF(AND(BD33&lt;=AA33,BB33&lt;=AA33*MongDon!$J$44,BC33&gt;0),"Ok","FAIL")</f>
        <v>Ok</v>
      </c>
      <c r="BF33" s="17">
        <f t="shared" si="61"/>
        <v>167.91990341928201</v>
      </c>
      <c r="BG33" s="17">
        <f t="shared" si="62"/>
        <v>352.5</v>
      </c>
      <c r="BH33" s="17" t="str">
        <f t="shared" si="63"/>
        <v>Ok</v>
      </c>
      <c r="BI33" s="17">
        <f t="shared" si="64"/>
        <v>45.984785179075701</v>
      </c>
      <c r="BJ33" s="17">
        <f t="shared" si="65"/>
        <v>26.4937386428088</v>
      </c>
      <c r="BK33" s="17">
        <f t="shared" si="66"/>
        <v>19.9830613854418</v>
      </c>
      <c r="BL33" s="17">
        <f t="shared" si="67"/>
        <v>39.474107921708701</v>
      </c>
      <c r="BM33" s="17">
        <f t="shared" si="68"/>
        <v>88.125</v>
      </c>
      <c r="BN33" s="17">
        <f t="shared" si="69"/>
        <v>88.125</v>
      </c>
      <c r="BO33" s="17">
        <f t="shared" si="70"/>
        <v>88.125</v>
      </c>
      <c r="BP33" s="17">
        <f t="shared" si="71"/>
        <v>88.125</v>
      </c>
      <c r="BQ33" s="17" t="str">
        <f t="shared" si="72"/>
        <v>Ok</v>
      </c>
      <c r="BR33" s="17">
        <f t="shared" si="73"/>
        <v>57.076291684028398</v>
      </c>
      <c r="BS33" s="17">
        <f t="shared" si="74"/>
        <v>9.4020874014906095</v>
      </c>
      <c r="BT33" s="16">
        <f>MongDon!$H$80</f>
        <v>1.2</v>
      </c>
      <c r="BU33" s="17" t="str">
        <f t="shared" si="75"/>
        <v>Ok</v>
      </c>
      <c r="BV33" s="17">
        <f t="shared" si="76"/>
        <v>7.51148428633687</v>
      </c>
      <c r="BW33" s="16">
        <f>MongDon!$F$86</f>
        <v>1.5</v>
      </c>
      <c r="BX33" s="17" t="str">
        <f t="shared" si="77"/>
        <v>Ok</v>
      </c>
      <c r="BY33" s="17">
        <f t="shared" si="78"/>
        <v>182.20475631432501</v>
      </c>
      <c r="BZ33" s="17">
        <f t="shared" si="79"/>
        <v>137.13402965147799</v>
      </c>
      <c r="CA33" s="17">
        <f t="shared" si="80"/>
        <v>46.850266479138497</v>
      </c>
      <c r="CB33" s="17">
        <f t="shared" si="81"/>
        <v>91.920993141985306</v>
      </c>
      <c r="CC33" s="17">
        <f t="shared" si="82"/>
        <v>118.67203974343499</v>
      </c>
      <c r="CD33" s="17">
        <f t="shared" si="83"/>
        <v>126.935006298291</v>
      </c>
      <c r="CE33" s="17">
        <f t="shared" si="84"/>
        <v>126.935006298291</v>
      </c>
      <c r="CF33" s="17">
        <f t="shared" si="85"/>
        <v>110.382983050028</v>
      </c>
      <c r="CG33" s="17">
        <f t="shared" si="86"/>
        <v>19.661969832393101</v>
      </c>
      <c r="CH33" s="17">
        <f t="shared" si="87"/>
        <v>19.661969832393101</v>
      </c>
      <c r="CI33" s="17">
        <f t="shared" si="88"/>
        <v>336.102048416976</v>
      </c>
      <c r="CJ33" s="17">
        <f t="shared" si="89"/>
        <v>336.102048416976</v>
      </c>
    </row>
    <row r="34" spans="2:88">
      <c r="B34" s="3">
        <v>7</v>
      </c>
      <c r="C34" s="3" t="s">
        <v>23</v>
      </c>
      <c r="D34" s="4">
        <v>0.28874843796942801</v>
      </c>
      <c r="E34" s="4">
        <v>2.29604188487383</v>
      </c>
      <c r="F34" s="4">
        <v>126.981815575738</v>
      </c>
      <c r="G34" s="4">
        <v>-3.4544497480611498</v>
      </c>
      <c r="H34" s="4">
        <v>0.44643168854867099</v>
      </c>
      <c r="I34" s="4" t="s">
        <v>13</v>
      </c>
      <c r="J34" s="4">
        <v>0.24611324930443801</v>
      </c>
      <c r="K34" s="4">
        <v>1.9576343004125301</v>
      </c>
      <c r="L34" s="4">
        <v>108.936669953278</v>
      </c>
      <c r="M34" s="4">
        <v>-2.9502153255249302</v>
      </c>
      <c r="N34" s="4">
        <v>0.37833176572197402</v>
      </c>
      <c r="O34" s="4">
        <v>1.3</v>
      </c>
      <c r="P34" s="4">
        <v>1.3</v>
      </c>
      <c r="Q34" s="4">
        <v>0.22</v>
      </c>
      <c r="R34" s="4">
        <v>0.22</v>
      </c>
      <c r="S34" s="4">
        <v>0</v>
      </c>
      <c r="T34" s="4">
        <v>0</v>
      </c>
      <c r="U34" s="4">
        <v>0.3</v>
      </c>
      <c r="V34" s="4">
        <v>0.05</v>
      </c>
      <c r="W34" s="4">
        <v>1</v>
      </c>
      <c r="X34" s="4">
        <v>19.100000000000001</v>
      </c>
      <c r="Y34" s="4">
        <v>0</v>
      </c>
      <c r="Z34" s="4">
        <v>1.5</v>
      </c>
      <c r="AA34" s="4">
        <v>139</v>
      </c>
      <c r="AB34" s="4">
        <v>12.1</v>
      </c>
      <c r="AC34" s="4">
        <v>19.5</v>
      </c>
      <c r="AD34" s="3" t="s">
        <v>42</v>
      </c>
      <c r="AE34" s="3" t="s">
        <v>61</v>
      </c>
      <c r="AF34" s="17">
        <f>HLOOKUP(AD34,Data!$B$4:$M$9,2,0)</f>
        <v>13</v>
      </c>
      <c r="AG34" s="17">
        <f>HLOOKUP(AD34,Data!$B$4:$M$9,3,0)</f>
        <v>1</v>
      </c>
      <c r="AH34" s="17">
        <f>HLOOKUP(AE34,Data!$B$13:$I$18,3,0)</f>
        <v>260</v>
      </c>
      <c r="AI34" s="18">
        <f t="shared" si="39"/>
        <v>1.69</v>
      </c>
      <c r="AJ34" s="17">
        <f t="shared" si="40"/>
        <v>0.36616666666666697</v>
      </c>
      <c r="AK34" s="17">
        <f t="shared" si="41"/>
        <v>0.36616666666666697</v>
      </c>
      <c r="AL34" s="17">
        <f t="shared" si="42"/>
        <v>0.25</v>
      </c>
      <c r="AM34" s="17">
        <f t="shared" si="43"/>
        <v>0.54</v>
      </c>
      <c r="AN34" s="17">
        <f t="shared" si="44"/>
        <v>0.54</v>
      </c>
      <c r="AO34" s="17">
        <f t="shared" si="45"/>
        <v>0.54</v>
      </c>
      <c r="AP34" s="17">
        <f t="shared" si="46"/>
        <v>0.54</v>
      </c>
      <c r="AQ34" s="17">
        <f t="shared" si="47"/>
        <v>1.88</v>
      </c>
      <c r="AR34" s="17">
        <f t="shared" si="48"/>
        <v>1.1716</v>
      </c>
      <c r="AS34" s="17">
        <f t="shared" si="49"/>
        <v>126.981815575738</v>
      </c>
      <c r="AT34" s="17">
        <f t="shared" si="50"/>
        <v>-4.1432623135232998</v>
      </c>
      <c r="AU34" s="17">
        <f t="shared" si="51"/>
        <v>0.53305621993949903</v>
      </c>
      <c r="AV34" s="17">
        <f t="shared" si="52"/>
        <v>108.936669953278</v>
      </c>
      <c r="AW34" s="17">
        <f t="shared" si="53"/>
        <v>-3.5375056156486799</v>
      </c>
      <c r="AX34" s="17">
        <f t="shared" si="54"/>
        <v>0.45216574051330499</v>
      </c>
      <c r="AY34" s="17">
        <f t="shared" si="55"/>
        <v>108.508179995101</v>
      </c>
      <c r="AZ34" s="17">
        <f t="shared" si="56"/>
        <v>82.966157964352703</v>
      </c>
      <c r="BA34" s="17">
        <f t="shared" si="57"/>
        <v>95.737168979726704</v>
      </c>
      <c r="BB34" s="17">
        <f t="shared" si="58"/>
        <v>95.955347781626401</v>
      </c>
      <c r="BC34" s="17">
        <f t="shared" si="59"/>
        <v>74.163788257755698</v>
      </c>
      <c r="BD34" s="17">
        <f t="shared" si="60"/>
        <v>85.059568019691099</v>
      </c>
      <c r="BE34" s="17" t="str">
        <f>IF(AND(BD34&lt;=AA34,BB34&lt;=AA34*MongDon!$J$44,BC34&gt;0),"Ok","FAIL")</f>
        <v>Ok</v>
      </c>
      <c r="BF34" s="17">
        <f t="shared" si="61"/>
        <v>127.12818368226</v>
      </c>
      <c r="BG34" s="17">
        <f t="shared" si="62"/>
        <v>352.5</v>
      </c>
      <c r="BH34" s="17" t="str">
        <f t="shared" si="63"/>
        <v>Ok</v>
      </c>
      <c r="BI34" s="17">
        <f t="shared" si="64"/>
        <v>40.3587567441324</v>
      </c>
      <c r="BJ34" s="17">
        <f t="shared" si="65"/>
        <v>36.641739819377499</v>
      </c>
      <c r="BK34" s="17">
        <f t="shared" si="66"/>
        <v>31.8270686665815</v>
      </c>
      <c r="BL34" s="17">
        <f t="shared" si="67"/>
        <v>35.544085591336398</v>
      </c>
      <c r="BM34" s="17">
        <f t="shared" si="68"/>
        <v>88.125</v>
      </c>
      <c r="BN34" s="17">
        <f t="shared" si="69"/>
        <v>88.125</v>
      </c>
      <c r="BO34" s="17">
        <f t="shared" si="70"/>
        <v>88.125</v>
      </c>
      <c r="BP34" s="17">
        <f t="shared" si="71"/>
        <v>88.125</v>
      </c>
      <c r="BQ34" s="17" t="str">
        <f t="shared" si="72"/>
        <v>Ok</v>
      </c>
      <c r="BR34" s="17">
        <f t="shared" si="73"/>
        <v>60.177542476943401</v>
      </c>
      <c r="BS34" s="17">
        <f t="shared" si="74"/>
        <v>26.2092529205974</v>
      </c>
      <c r="BT34" s="16">
        <f>MongDon!$H$80</f>
        <v>1.2</v>
      </c>
      <c r="BU34" s="17" t="str">
        <f t="shared" si="75"/>
        <v>Ok</v>
      </c>
      <c r="BV34" s="17">
        <f t="shared" si="76"/>
        <v>24.9850292573439</v>
      </c>
      <c r="BW34" s="16">
        <f>MongDon!$F$86</f>
        <v>1.5</v>
      </c>
      <c r="BX34" s="17" t="str">
        <f t="shared" si="77"/>
        <v>Ok</v>
      </c>
      <c r="BY34" s="17">
        <f t="shared" si="78"/>
        <v>105.596630318599</v>
      </c>
      <c r="BZ34" s="17">
        <f t="shared" si="79"/>
        <v>108.508179995101</v>
      </c>
      <c r="CA34" s="17">
        <f t="shared" si="80"/>
        <v>85.877707640854297</v>
      </c>
      <c r="CB34" s="17">
        <f t="shared" si="81"/>
        <v>82.966157964352703</v>
      </c>
      <c r="CC34" s="17">
        <f t="shared" si="82"/>
        <v>97.898416997713099</v>
      </c>
      <c r="CD34" s="17">
        <f t="shared" si="83"/>
        <v>97.405693206305102</v>
      </c>
      <c r="CE34" s="17">
        <f t="shared" si="84"/>
        <v>97.898416997713099</v>
      </c>
      <c r="CF34" s="17">
        <f t="shared" si="85"/>
        <v>94.068644753148305</v>
      </c>
      <c r="CG34" s="17">
        <f t="shared" si="86"/>
        <v>15.3048581616126</v>
      </c>
      <c r="CH34" s="17">
        <f t="shared" si="87"/>
        <v>15.3048581616126</v>
      </c>
      <c r="CI34" s="17">
        <f t="shared" si="88"/>
        <v>261.621507036114</v>
      </c>
      <c r="CJ34" s="17">
        <f t="shared" si="89"/>
        <v>261.621507036114</v>
      </c>
    </row>
    <row r="35" spans="2:88">
      <c r="B35" s="3">
        <v>7</v>
      </c>
      <c r="C35" s="3" t="s">
        <v>24</v>
      </c>
      <c r="D35" s="4">
        <v>0.32479616543852002</v>
      </c>
      <c r="E35" s="4">
        <v>2.5813301937139199</v>
      </c>
      <c r="F35" s="4">
        <v>141.28477283000299</v>
      </c>
      <c r="G35" s="4">
        <v>-3.8728755280286098</v>
      </c>
      <c r="H35" s="4">
        <v>0.50696518105767097</v>
      </c>
      <c r="I35" s="4" t="s">
        <v>14</v>
      </c>
      <c r="J35" s="4">
        <v>0.27615302219534799</v>
      </c>
      <c r="K35" s="4">
        <v>2.19537455777927</v>
      </c>
      <c r="L35" s="4">
        <v>120.85580099849901</v>
      </c>
      <c r="M35" s="4">
        <v>-3.2989034754978102</v>
      </c>
      <c r="N35" s="4">
        <v>0.42877634281280702</v>
      </c>
      <c r="O35" s="4">
        <v>1.3</v>
      </c>
      <c r="P35" s="4">
        <v>1.3</v>
      </c>
      <c r="Q35" s="4">
        <v>0.22</v>
      </c>
      <c r="R35" s="4">
        <v>0.22</v>
      </c>
      <c r="S35" s="4">
        <v>0</v>
      </c>
      <c r="T35" s="4">
        <v>0</v>
      </c>
      <c r="U35" s="4">
        <v>0.3</v>
      </c>
      <c r="V35" s="4">
        <v>0.05</v>
      </c>
      <c r="W35" s="4">
        <v>1</v>
      </c>
      <c r="X35" s="4">
        <v>19.100000000000001</v>
      </c>
      <c r="Y35" s="4">
        <v>0</v>
      </c>
      <c r="Z35" s="4">
        <v>1.5</v>
      </c>
      <c r="AA35" s="4">
        <v>139</v>
      </c>
      <c r="AB35" s="4">
        <v>12.1</v>
      </c>
      <c r="AC35" s="4">
        <v>19.5</v>
      </c>
      <c r="AD35" s="3" t="s">
        <v>42</v>
      </c>
      <c r="AE35" s="3" t="s">
        <v>61</v>
      </c>
      <c r="AF35" s="17">
        <f>HLOOKUP(AD35,Data!$B$4:$M$9,2,0)</f>
        <v>13</v>
      </c>
      <c r="AG35" s="17">
        <f>HLOOKUP(AD35,Data!$B$4:$M$9,3,0)</f>
        <v>1</v>
      </c>
      <c r="AH35" s="17">
        <f>HLOOKUP(AE35,Data!$B$13:$I$18,3,0)</f>
        <v>260</v>
      </c>
      <c r="AI35" s="18">
        <f t="shared" si="39"/>
        <v>1.69</v>
      </c>
      <c r="AJ35" s="17">
        <f t="shared" si="40"/>
        <v>0.36616666666666697</v>
      </c>
      <c r="AK35" s="17">
        <f t="shared" si="41"/>
        <v>0.36616666666666697</v>
      </c>
      <c r="AL35" s="17">
        <f t="shared" si="42"/>
        <v>0.25</v>
      </c>
      <c r="AM35" s="17">
        <f t="shared" si="43"/>
        <v>0.54</v>
      </c>
      <c r="AN35" s="17">
        <f t="shared" si="44"/>
        <v>0.54</v>
      </c>
      <c r="AO35" s="17">
        <f t="shared" si="45"/>
        <v>0.54</v>
      </c>
      <c r="AP35" s="17">
        <f t="shared" si="46"/>
        <v>0.54</v>
      </c>
      <c r="AQ35" s="17">
        <f t="shared" si="47"/>
        <v>1.88</v>
      </c>
      <c r="AR35" s="17">
        <f t="shared" si="48"/>
        <v>1.1716</v>
      </c>
      <c r="AS35" s="17">
        <f t="shared" si="49"/>
        <v>141.28477283000299</v>
      </c>
      <c r="AT35" s="17">
        <f t="shared" si="50"/>
        <v>-4.6472745861427898</v>
      </c>
      <c r="AU35" s="17">
        <f t="shared" si="51"/>
        <v>0.60440403068922699</v>
      </c>
      <c r="AV35" s="17">
        <f t="shared" si="52"/>
        <v>120.85580099849901</v>
      </c>
      <c r="AW35" s="17">
        <f t="shared" si="53"/>
        <v>-3.9575158428315902</v>
      </c>
      <c r="AX35" s="17">
        <f t="shared" si="54"/>
        <v>0.51162224947141099</v>
      </c>
      <c r="AY35" s="17">
        <f t="shared" si="55"/>
        <v>118.542774865724</v>
      </c>
      <c r="AZ35" s="17">
        <f t="shared" si="56"/>
        <v>89.8581397259954</v>
      </c>
      <c r="BA35" s="17">
        <f t="shared" si="57"/>
        <v>104.20045729586001</v>
      </c>
      <c r="BB35" s="17">
        <f t="shared" si="58"/>
        <v>104.31751017381301</v>
      </c>
      <c r="BC35" s="17">
        <f t="shared" si="59"/>
        <v>79.907106392458005</v>
      </c>
      <c r="BD35" s="17">
        <f t="shared" si="60"/>
        <v>92.112308283135306</v>
      </c>
      <c r="BE35" s="17" t="str">
        <f>IF(AND(BD35&lt;=AA35,BB35&lt;=AA35*MongDon!$J$44,BC35&gt;0),"Ok","FAIL")</f>
        <v>Ok</v>
      </c>
      <c r="BF35" s="17">
        <f t="shared" si="61"/>
        <v>138.88471503268201</v>
      </c>
      <c r="BG35" s="17">
        <f t="shared" si="62"/>
        <v>352.5</v>
      </c>
      <c r="BH35" s="17" t="str">
        <f t="shared" si="63"/>
        <v>Ok</v>
      </c>
      <c r="BI35" s="17">
        <f t="shared" si="64"/>
        <v>44.068340317632902</v>
      </c>
      <c r="BJ35" s="17">
        <f t="shared" si="65"/>
        <v>39.905858207284297</v>
      </c>
      <c r="BK35" s="17">
        <f t="shared" si="66"/>
        <v>34.498804483445397</v>
      </c>
      <c r="BL35" s="17">
        <f t="shared" si="67"/>
        <v>38.661286593794003</v>
      </c>
      <c r="BM35" s="17">
        <f t="shared" si="68"/>
        <v>88.125</v>
      </c>
      <c r="BN35" s="17">
        <f t="shared" si="69"/>
        <v>88.125</v>
      </c>
      <c r="BO35" s="17">
        <f t="shared" si="70"/>
        <v>88.125</v>
      </c>
      <c r="BP35" s="17">
        <f t="shared" si="71"/>
        <v>88.125</v>
      </c>
      <c r="BQ35" s="17" t="str">
        <f t="shared" si="72"/>
        <v>Ok</v>
      </c>
      <c r="BR35" s="17">
        <f t="shared" si="73"/>
        <v>63.243830824095802</v>
      </c>
      <c r="BS35" s="17">
        <f t="shared" si="74"/>
        <v>24.5004807901398</v>
      </c>
      <c r="BT35" s="16">
        <f>MongDon!$H$80</f>
        <v>1.2</v>
      </c>
      <c r="BU35" s="17" t="str">
        <f t="shared" si="75"/>
        <v>Ok</v>
      </c>
      <c r="BV35" s="17">
        <f t="shared" si="76"/>
        <v>24.275830973254202</v>
      </c>
      <c r="BW35" s="16">
        <f>MongDon!$F$86</f>
        <v>1.5</v>
      </c>
      <c r="BX35" s="17" t="str">
        <f t="shared" si="77"/>
        <v>Ok</v>
      </c>
      <c r="BY35" s="17">
        <f t="shared" si="78"/>
        <v>115.24152390155901</v>
      </c>
      <c r="BZ35" s="17">
        <f t="shared" si="79"/>
        <v>118.542774865724</v>
      </c>
      <c r="CA35" s="17">
        <f t="shared" si="80"/>
        <v>93.159390690160507</v>
      </c>
      <c r="CB35" s="17">
        <f t="shared" si="81"/>
        <v>89.8581397259954</v>
      </c>
      <c r="CC35" s="17">
        <f t="shared" si="82"/>
        <v>106.62761873076001</v>
      </c>
      <c r="CD35" s="17">
        <f t="shared" si="83"/>
        <v>106.06894549067</v>
      </c>
      <c r="CE35" s="17">
        <f t="shared" si="84"/>
        <v>106.62761873076001</v>
      </c>
      <c r="CF35" s="17">
        <f t="shared" si="85"/>
        <v>102.331969101049</v>
      </c>
      <c r="CG35" s="17">
        <f t="shared" si="86"/>
        <v>16.704459987263299</v>
      </c>
      <c r="CH35" s="17">
        <f t="shared" si="87"/>
        <v>16.704459987263299</v>
      </c>
      <c r="CI35" s="17">
        <f t="shared" si="88"/>
        <v>285.54632456860401</v>
      </c>
      <c r="CJ35" s="17">
        <f t="shared" si="89"/>
        <v>285.54632456860401</v>
      </c>
    </row>
    <row r="36" spans="2:88">
      <c r="B36" s="3">
        <v>7</v>
      </c>
      <c r="C36" s="3" t="s">
        <v>25</v>
      </c>
      <c r="D36" s="4">
        <v>-3.1247240933962801</v>
      </c>
      <c r="E36" s="4">
        <v>2.1474110075905801</v>
      </c>
      <c r="F36" s="4">
        <v>139.35607698350299</v>
      </c>
      <c r="G36" s="4">
        <v>-2.99953827497936</v>
      </c>
      <c r="H36" s="4">
        <v>-4.8795551355282498</v>
      </c>
      <c r="I36" s="4" t="s">
        <v>15</v>
      </c>
      <c r="J36" s="4">
        <v>-2.5984471935003199</v>
      </c>
      <c r="K36" s="4">
        <v>1.8337752360098201</v>
      </c>
      <c r="L36" s="4">
        <v>119.24855445974799</v>
      </c>
      <c r="M36" s="4">
        <v>-2.5711224312901</v>
      </c>
      <c r="N36" s="4">
        <v>-4.0599905876754603</v>
      </c>
      <c r="O36" s="4">
        <v>1.3</v>
      </c>
      <c r="P36" s="4">
        <v>1.3</v>
      </c>
      <c r="Q36" s="4">
        <v>0.22</v>
      </c>
      <c r="R36" s="4">
        <v>0.22</v>
      </c>
      <c r="S36" s="4">
        <v>0</v>
      </c>
      <c r="T36" s="4">
        <v>0</v>
      </c>
      <c r="U36" s="4">
        <v>0.3</v>
      </c>
      <c r="V36" s="4">
        <v>0.05</v>
      </c>
      <c r="W36" s="4">
        <v>1</v>
      </c>
      <c r="X36" s="4">
        <v>19.100000000000001</v>
      </c>
      <c r="Y36" s="4">
        <v>0</v>
      </c>
      <c r="Z36" s="4">
        <v>1.5</v>
      </c>
      <c r="AA36" s="4">
        <v>139</v>
      </c>
      <c r="AB36" s="4">
        <v>12.1</v>
      </c>
      <c r="AC36" s="4">
        <v>19.5</v>
      </c>
      <c r="AD36" s="3" t="s">
        <v>42</v>
      </c>
      <c r="AE36" s="3" t="s">
        <v>61</v>
      </c>
      <c r="AF36" s="17">
        <f>HLOOKUP(AD36,Data!$B$4:$M$9,2,0)</f>
        <v>13</v>
      </c>
      <c r="AG36" s="17">
        <f>HLOOKUP(AD36,Data!$B$4:$M$9,3,0)</f>
        <v>1</v>
      </c>
      <c r="AH36" s="17">
        <f>HLOOKUP(AE36,Data!$B$13:$I$18,3,0)</f>
        <v>260</v>
      </c>
      <c r="AI36" s="18">
        <f t="shared" si="39"/>
        <v>1.69</v>
      </c>
      <c r="AJ36" s="17">
        <f t="shared" si="40"/>
        <v>0.36616666666666697</v>
      </c>
      <c r="AK36" s="17">
        <f t="shared" si="41"/>
        <v>0.36616666666666697</v>
      </c>
      <c r="AL36" s="17">
        <f t="shared" si="42"/>
        <v>0.25</v>
      </c>
      <c r="AM36" s="17">
        <f t="shared" si="43"/>
        <v>0.54</v>
      </c>
      <c r="AN36" s="17">
        <f t="shared" si="44"/>
        <v>0.54</v>
      </c>
      <c r="AO36" s="17">
        <f t="shared" si="45"/>
        <v>0.54</v>
      </c>
      <c r="AP36" s="17">
        <f t="shared" si="46"/>
        <v>0.54</v>
      </c>
      <c r="AQ36" s="17">
        <f t="shared" si="47"/>
        <v>1.88</v>
      </c>
      <c r="AR36" s="17">
        <f t="shared" si="48"/>
        <v>1.1716</v>
      </c>
      <c r="AS36" s="17">
        <f t="shared" si="49"/>
        <v>139.35607698350299</v>
      </c>
      <c r="AT36" s="17">
        <f t="shared" si="50"/>
        <v>-3.6437615772565302</v>
      </c>
      <c r="AU36" s="17">
        <f t="shared" si="51"/>
        <v>-5.8169723635471398</v>
      </c>
      <c r="AV36" s="17">
        <f t="shared" si="52"/>
        <v>119.24855445974799</v>
      </c>
      <c r="AW36" s="17">
        <f t="shared" si="53"/>
        <v>-3.1212550020930401</v>
      </c>
      <c r="AX36" s="17">
        <f t="shared" si="54"/>
        <v>-4.8395247457255604</v>
      </c>
      <c r="AY36" s="17">
        <f t="shared" si="55"/>
        <v>128.896451398897</v>
      </c>
      <c r="AZ36" s="17">
        <f t="shared" si="56"/>
        <v>77.221982901106898</v>
      </c>
      <c r="BA36" s="17">
        <f t="shared" si="57"/>
        <v>103.059217150002</v>
      </c>
      <c r="BB36" s="17">
        <f t="shared" si="58"/>
        <v>112.902138955205</v>
      </c>
      <c r="BC36" s="17">
        <f t="shared" si="59"/>
        <v>69.420410701302401</v>
      </c>
      <c r="BD36" s="17">
        <f t="shared" si="60"/>
        <v>91.161274828253497</v>
      </c>
      <c r="BE36" s="17" t="str">
        <f>IF(AND(BD36&lt;=AA36,BB36&lt;=AA36*MongDon!$J$44,BC36&gt;0),"Ok","FAIL")</f>
        <v>Ok</v>
      </c>
      <c r="BF36" s="17">
        <f t="shared" si="61"/>
        <v>151.01508245894701</v>
      </c>
      <c r="BG36" s="17">
        <f t="shared" si="62"/>
        <v>352.5</v>
      </c>
      <c r="BH36" s="17" t="str">
        <f t="shared" si="63"/>
        <v>Ok</v>
      </c>
      <c r="BI36" s="17">
        <f t="shared" si="64"/>
        <v>42.604890039767398</v>
      </c>
      <c r="BJ36" s="17">
        <f t="shared" si="65"/>
        <v>32.864252727934101</v>
      </c>
      <c r="BK36" s="17">
        <f t="shared" si="66"/>
        <v>35.101759691333903</v>
      </c>
      <c r="BL36" s="17">
        <f t="shared" si="67"/>
        <v>44.8423970031672</v>
      </c>
      <c r="BM36" s="17">
        <f t="shared" si="68"/>
        <v>88.125</v>
      </c>
      <c r="BN36" s="17">
        <f t="shared" si="69"/>
        <v>88.125</v>
      </c>
      <c r="BO36" s="17">
        <f t="shared" si="70"/>
        <v>88.125</v>
      </c>
      <c r="BP36" s="17">
        <f t="shared" si="71"/>
        <v>88.125</v>
      </c>
      <c r="BQ36" s="17" t="str">
        <f t="shared" si="72"/>
        <v>Ok</v>
      </c>
      <c r="BR36" s="17">
        <f t="shared" si="73"/>
        <v>62.830354261578499</v>
      </c>
      <c r="BS36" s="17">
        <f t="shared" si="74"/>
        <v>20.107488656154501</v>
      </c>
      <c r="BT36" s="16">
        <f>MongDon!$H$80</f>
        <v>1.2</v>
      </c>
      <c r="BU36" s="17" t="str">
        <f t="shared" si="75"/>
        <v>Ok</v>
      </c>
      <c r="BV36" s="17">
        <f t="shared" si="76"/>
        <v>19.1788430590457</v>
      </c>
      <c r="BW36" s="16">
        <f>MongDon!$F$86</f>
        <v>1.5</v>
      </c>
      <c r="BX36" s="17" t="str">
        <f t="shared" si="77"/>
        <v>Ok</v>
      </c>
      <c r="BY36" s="17">
        <f t="shared" si="78"/>
        <v>128.896451398897</v>
      </c>
      <c r="BZ36" s="17">
        <f t="shared" si="79"/>
        <v>97.124185416845705</v>
      </c>
      <c r="CA36" s="17">
        <f t="shared" si="80"/>
        <v>77.221982901106799</v>
      </c>
      <c r="CB36" s="17">
        <f t="shared" si="81"/>
        <v>108.99424888315799</v>
      </c>
      <c r="CC36" s="17">
        <f t="shared" si="82"/>
        <v>102.054827164391</v>
      </c>
      <c r="CD36" s="17">
        <f t="shared" si="83"/>
        <v>107.431672176738</v>
      </c>
      <c r="CE36" s="17">
        <f t="shared" si="84"/>
        <v>107.431672176738</v>
      </c>
      <c r="CF36" s="17">
        <f t="shared" si="85"/>
        <v>104.063607135613</v>
      </c>
      <c r="CG36" s="17">
        <f t="shared" si="86"/>
        <v>17.7499143437622</v>
      </c>
      <c r="CH36" s="17">
        <f t="shared" si="87"/>
        <v>17.7499143437622</v>
      </c>
      <c r="CI36" s="17">
        <f t="shared" si="88"/>
        <v>303.41733920961002</v>
      </c>
      <c r="CJ36" s="17">
        <f t="shared" si="89"/>
        <v>303.41733920961002</v>
      </c>
    </row>
    <row r="37" spans="2:88">
      <c r="B37" s="3">
        <v>7</v>
      </c>
      <c r="C37" s="3" t="s">
        <v>26</v>
      </c>
      <c r="D37" s="4">
        <v>3.7671068787794999</v>
      </c>
      <c r="E37" s="4">
        <v>2.9581917180692501</v>
      </c>
      <c r="F37" s="4">
        <v>140.35287722564999</v>
      </c>
      <c r="G37" s="4">
        <v>-4.6625276250843699</v>
      </c>
      <c r="H37" s="4">
        <v>5.8813787991417898</v>
      </c>
      <c r="I37" s="4" t="s">
        <v>16</v>
      </c>
      <c r="J37" s="4">
        <v>3.14474528331283</v>
      </c>
      <c r="K37" s="4">
        <v>2.5094258280753801</v>
      </c>
      <c r="L37" s="4">
        <v>120.07922132820499</v>
      </c>
      <c r="M37" s="4">
        <v>-3.9569468897109501</v>
      </c>
      <c r="N37" s="4">
        <v>4.9074543578829104</v>
      </c>
      <c r="O37" s="4">
        <v>1.3</v>
      </c>
      <c r="P37" s="4">
        <v>1.3</v>
      </c>
      <c r="Q37" s="4">
        <v>0.22</v>
      </c>
      <c r="R37" s="4">
        <v>0.22</v>
      </c>
      <c r="S37" s="4">
        <v>0</v>
      </c>
      <c r="T37" s="4">
        <v>0</v>
      </c>
      <c r="U37" s="4">
        <v>0.3</v>
      </c>
      <c r="V37" s="4">
        <v>0.05</v>
      </c>
      <c r="W37" s="4">
        <v>1</v>
      </c>
      <c r="X37" s="4">
        <v>19.100000000000001</v>
      </c>
      <c r="Y37" s="4">
        <v>0</v>
      </c>
      <c r="Z37" s="4">
        <v>1.5</v>
      </c>
      <c r="AA37" s="4">
        <v>139</v>
      </c>
      <c r="AB37" s="4">
        <v>12.1</v>
      </c>
      <c r="AC37" s="4">
        <v>19.5</v>
      </c>
      <c r="AD37" s="3" t="s">
        <v>42</v>
      </c>
      <c r="AE37" s="3" t="s">
        <v>61</v>
      </c>
      <c r="AF37" s="17">
        <f>HLOOKUP(AD37,Data!$B$4:$M$9,2,0)</f>
        <v>13</v>
      </c>
      <c r="AG37" s="17">
        <f>HLOOKUP(AD37,Data!$B$4:$M$9,3,0)</f>
        <v>1</v>
      </c>
      <c r="AH37" s="17">
        <f>HLOOKUP(AE37,Data!$B$13:$I$18,3,0)</f>
        <v>260</v>
      </c>
      <c r="AI37" s="18">
        <f t="shared" si="39"/>
        <v>1.69</v>
      </c>
      <c r="AJ37" s="17">
        <f t="shared" si="40"/>
        <v>0.36616666666666697</v>
      </c>
      <c r="AK37" s="17">
        <f t="shared" si="41"/>
        <v>0.36616666666666697</v>
      </c>
      <c r="AL37" s="17">
        <f t="shared" si="42"/>
        <v>0.25</v>
      </c>
      <c r="AM37" s="17">
        <f t="shared" si="43"/>
        <v>0.54</v>
      </c>
      <c r="AN37" s="17">
        <f t="shared" si="44"/>
        <v>0.54</v>
      </c>
      <c r="AO37" s="17">
        <f t="shared" si="45"/>
        <v>0.54</v>
      </c>
      <c r="AP37" s="17">
        <f t="shared" si="46"/>
        <v>0.54</v>
      </c>
      <c r="AQ37" s="17">
        <f t="shared" si="47"/>
        <v>1.88</v>
      </c>
      <c r="AR37" s="17">
        <f t="shared" si="48"/>
        <v>1.1716</v>
      </c>
      <c r="AS37" s="17">
        <f t="shared" si="49"/>
        <v>140.35287722564999</v>
      </c>
      <c r="AT37" s="17">
        <f t="shared" si="50"/>
        <v>-5.5499851405051501</v>
      </c>
      <c r="AU37" s="17">
        <f t="shared" si="51"/>
        <v>7.0115108627756504</v>
      </c>
      <c r="AV37" s="17">
        <f t="shared" si="52"/>
        <v>120.07922132820499</v>
      </c>
      <c r="AW37" s="17">
        <f t="shared" si="53"/>
        <v>-4.7097746381335597</v>
      </c>
      <c r="AX37" s="17">
        <f t="shared" si="54"/>
        <v>5.8508779428767603</v>
      </c>
      <c r="AY37" s="17">
        <f t="shared" si="55"/>
        <v>137.954445340478</v>
      </c>
      <c r="AZ37" s="17">
        <f t="shared" si="56"/>
        <v>69.343634216504597</v>
      </c>
      <c r="BA37" s="17">
        <f t="shared" si="57"/>
        <v>103.649039778491</v>
      </c>
      <c r="BB37" s="17">
        <f t="shared" si="58"/>
        <v>120.493902236107</v>
      </c>
      <c r="BC37" s="17">
        <f t="shared" si="59"/>
        <v>62.811685134549002</v>
      </c>
      <c r="BD37" s="17">
        <f t="shared" si="60"/>
        <v>91.652793685328206</v>
      </c>
      <c r="BE37" s="17" t="str">
        <f>IF(AND(BD37&lt;=AA37,BB37&lt;=AA37*MongDon!$J$44,BC37&gt;0),"Ok","FAIL")</f>
        <v>Ok</v>
      </c>
      <c r="BF37" s="17">
        <f t="shared" si="61"/>
        <v>161.627428160904</v>
      </c>
      <c r="BG37" s="17">
        <f t="shared" si="62"/>
        <v>352.5</v>
      </c>
      <c r="BH37" s="17" t="str">
        <f t="shared" si="63"/>
        <v>Ok</v>
      </c>
      <c r="BI37" s="17">
        <f t="shared" si="64"/>
        <v>44.789873880798297</v>
      </c>
      <c r="BJ37" s="17">
        <f t="shared" si="65"/>
        <v>46.294640009053097</v>
      </c>
      <c r="BK37" s="17">
        <f t="shared" si="66"/>
        <v>33.361502112184098</v>
      </c>
      <c r="BL37" s="17">
        <f t="shared" si="67"/>
        <v>31.856735983929301</v>
      </c>
      <c r="BM37" s="17">
        <f t="shared" si="68"/>
        <v>88.125</v>
      </c>
      <c r="BN37" s="17">
        <f t="shared" si="69"/>
        <v>88.125</v>
      </c>
      <c r="BO37" s="17">
        <f t="shared" si="70"/>
        <v>88.125</v>
      </c>
      <c r="BP37" s="17">
        <f t="shared" si="71"/>
        <v>88.125</v>
      </c>
      <c r="BQ37" s="17" t="str">
        <f t="shared" si="72"/>
        <v>Ok</v>
      </c>
      <c r="BR37" s="17">
        <f t="shared" si="73"/>
        <v>63.044049717182503</v>
      </c>
      <c r="BS37" s="17">
        <f t="shared" si="74"/>
        <v>16.735402457603801</v>
      </c>
      <c r="BT37" s="16">
        <f>MongDon!$H$80</f>
        <v>1.2</v>
      </c>
      <c r="BU37" s="17" t="str">
        <f t="shared" si="75"/>
        <v>Ok</v>
      </c>
      <c r="BV37" s="17">
        <f t="shared" si="76"/>
        <v>16.003786115828898</v>
      </c>
      <c r="BW37" s="16">
        <f>MongDon!$F$86</f>
        <v>1.5</v>
      </c>
      <c r="BX37" s="17" t="str">
        <f t="shared" si="77"/>
        <v>Ok</v>
      </c>
      <c r="BY37" s="17">
        <f t="shared" si="78"/>
        <v>99.657617687629696</v>
      </c>
      <c r="BZ37" s="17">
        <f t="shared" si="79"/>
        <v>137.954445340478</v>
      </c>
      <c r="CA37" s="17">
        <f t="shared" si="80"/>
        <v>107.640461869353</v>
      </c>
      <c r="CB37" s="17">
        <f t="shared" si="81"/>
        <v>69.343634216504597</v>
      </c>
      <c r="CC37" s="17">
        <f t="shared" si="82"/>
        <v>109.45456995052</v>
      </c>
      <c r="CD37" s="17">
        <f t="shared" si="83"/>
        <v>102.97356834772999</v>
      </c>
      <c r="CE37" s="17">
        <f t="shared" si="84"/>
        <v>109.45456995052</v>
      </c>
      <c r="CF37" s="17">
        <f t="shared" si="85"/>
        <v>104.32451120925199</v>
      </c>
      <c r="CG37" s="17">
        <f t="shared" si="86"/>
        <v>18.728664186689699</v>
      </c>
      <c r="CH37" s="17">
        <f t="shared" si="87"/>
        <v>18.728664186689699</v>
      </c>
      <c r="CI37" s="17">
        <f t="shared" si="88"/>
        <v>320.14810575538002</v>
      </c>
      <c r="CJ37" s="17">
        <f t="shared" si="89"/>
        <v>320.14810575538002</v>
      </c>
    </row>
    <row r="38" spans="2:88">
      <c r="B38" s="3">
        <v>7</v>
      </c>
      <c r="C38" s="3" t="s">
        <v>27</v>
      </c>
      <c r="D38" s="4">
        <v>3.7501855686471299</v>
      </c>
      <c r="E38" s="4">
        <v>-2.4637857507074101</v>
      </c>
      <c r="F38" s="4">
        <v>136.40209567266899</v>
      </c>
      <c r="G38" s="4">
        <v>6.4419419556384598</v>
      </c>
      <c r="H38" s="4">
        <v>5.8650573626408198</v>
      </c>
      <c r="I38" s="4" t="s">
        <v>17</v>
      </c>
      <c r="J38" s="4">
        <v>3.1306441915358598</v>
      </c>
      <c r="K38" s="4">
        <v>-2.0088887292385098</v>
      </c>
      <c r="L38" s="4">
        <v>116.786903367387</v>
      </c>
      <c r="M38" s="4">
        <v>5.2967777608914099</v>
      </c>
      <c r="N38" s="4">
        <v>4.8938531607987601</v>
      </c>
      <c r="O38" s="4">
        <v>1.3</v>
      </c>
      <c r="P38" s="4">
        <v>1.3</v>
      </c>
      <c r="Q38" s="4">
        <v>0.22</v>
      </c>
      <c r="R38" s="4">
        <v>0.22</v>
      </c>
      <c r="S38" s="4">
        <v>0</v>
      </c>
      <c r="T38" s="4">
        <v>0</v>
      </c>
      <c r="U38" s="4">
        <v>0.3</v>
      </c>
      <c r="V38" s="4">
        <v>0.05</v>
      </c>
      <c r="W38" s="4">
        <v>1</v>
      </c>
      <c r="X38" s="4">
        <v>19.100000000000001</v>
      </c>
      <c r="Y38" s="4">
        <v>0</v>
      </c>
      <c r="Z38" s="4">
        <v>1.5</v>
      </c>
      <c r="AA38" s="4">
        <v>139</v>
      </c>
      <c r="AB38" s="4">
        <v>12.1</v>
      </c>
      <c r="AC38" s="4">
        <v>19.5</v>
      </c>
      <c r="AD38" s="3" t="s">
        <v>42</v>
      </c>
      <c r="AE38" s="3" t="s">
        <v>61</v>
      </c>
      <c r="AF38" s="17">
        <f>HLOOKUP(AD38,Data!$B$4:$M$9,2,0)</f>
        <v>13</v>
      </c>
      <c r="AG38" s="17">
        <f>HLOOKUP(AD38,Data!$B$4:$M$9,3,0)</f>
        <v>1</v>
      </c>
      <c r="AH38" s="17">
        <f>HLOOKUP(AE38,Data!$B$13:$I$18,3,0)</f>
        <v>260</v>
      </c>
      <c r="AI38" s="18">
        <f t="shared" si="39"/>
        <v>1.69</v>
      </c>
      <c r="AJ38" s="17">
        <f t="shared" si="40"/>
        <v>0.36616666666666697</v>
      </c>
      <c r="AK38" s="17">
        <f t="shared" si="41"/>
        <v>0.36616666666666697</v>
      </c>
      <c r="AL38" s="17">
        <f t="shared" si="42"/>
        <v>0.25</v>
      </c>
      <c r="AM38" s="17">
        <f t="shared" si="43"/>
        <v>0.54</v>
      </c>
      <c r="AN38" s="17">
        <f t="shared" si="44"/>
        <v>0.54</v>
      </c>
      <c r="AO38" s="17">
        <f t="shared" si="45"/>
        <v>0.54</v>
      </c>
      <c r="AP38" s="17">
        <f t="shared" si="46"/>
        <v>0.54</v>
      </c>
      <c r="AQ38" s="17">
        <f t="shared" si="47"/>
        <v>1.88</v>
      </c>
      <c r="AR38" s="17">
        <f t="shared" si="48"/>
        <v>1.1716</v>
      </c>
      <c r="AS38" s="17">
        <f t="shared" si="49"/>
        <v>136.40209567266899</v>
      </c>
      <c r="AT38" s="17">
        <f t="shared" si="50"/>
        <v>7.18107768085068</v>
      </c>
      <c r="AU38" s="17">
        <f t="shared" si="51"/>
        <v>6.9901130332349597</v>
      </c>
      <c r="AV38" s="17">
        <f t="shared" si="52"/>
        <v>116.786903367387</v>
      </c>
      <c r="AW38" s="17">
        <f t="shared" si="53"/>
        <v>5.8994443796629596</v>
      </c>
      <c r="AX38" s="17">
        <f t="shared" si="54"/>
        <v>5.8330464182595199</v>
      </c>
      <c r="AY38" s="17">
        <f t="shared" si="55"/>
        <v>140.01277590304201</v>
      </c>
      <c r="AZ38" s="17">
        <f t="shared" si="56"/>
        <v>62.609822526151802</v>
      </c>
      <c r="BA38" s="17">
        <f t="shared" si="57"/>
        <v>101.311299214597</v>
      </c>
      <c r="BB38" s="17">
        <f t="shared" si="58"/>
        <v>121.746071536248</v>
      </c>
      <c r="BC38" s="17">
        <f t="shared" si="59"/>
        <v>57.663281561250699</v>
      </c>
      <c r="BD38" s="17">
        <f t="shared" si="60"/>
        <v>89.704676548749504</v>
      </c>
      <c r="BE38" s="17" t="str">
        <f>IF(AND(BD38&lt;=AA38,BB38&lt;=AA38*MongDon!$J$44,BC38&gt;0),"Ok","FAIL")</f>
        <v>Ok</v>
      </c>
      <c r="BF38" s="17">
        <f t="shared" si="61"/>
        <v>164.03896824800401</v>
      </c>
      <c r="BG38" s="17">
        <f t="shared" si="62"/>
        <v>352.5</v>
      </c>
      <c r="BH38" s="17" t="str">
        <f t="shared" si="63"/>
        <v>Ok</v>
      </c>
      <c r="BI38" s="17">
        <f t="shared" si="64"/>
        <v>30.8008242035006</v>
      </c>
      <c r="BJ38" s="17">
        <f t="shared" si="65"/>
        <v>45.391280915044398</v>
      </c>
      <c r="BK38" s="17">
        <f t="shared" si="66"/>
        <v>45.587895404305499</v>
      </c>
      <c r="BL38" s="17">
        <f t="shared" si="67"/>
        <v>30.997438692761701</v>
      </c>
      <c r="BM38" s="17">
        <f t="shared" si="68"/>
        <v>88.125</v>
      </c>
      <c r="BN38" s="17">
        <f t="shared" si="69"/>
        <v>88.125</v>
      </c>
      <c r="BO38" s="17">
        <f t="shared" si="70"/>
        <v>88.125</v>
      </c>
      <c r="BP38" s="17">
        <f t="shared" si="71"/>
        <v>88.125</v>
      </c>
      <c r="BQ38" s="17" t="str">
        <f t="shared" si="72"/>
        <v>Ok</v>
      </c>
      <c r="BR38" s="17">
        <f t="shared" si="73"/>
        <v>62.197075540954799</v>
      </c>
      <c r="BS38" s="17">
        <f t="shared" si="74"/>
        <v>16.585066099380299</v>
      </c>
      <c r="BT38" s="16">
        <f>MongDon!$H$80</f>
        <v>1.2</v>
      </c>
      <c r="BU38" s="17" t="str">
        <f t="shared" si="75"/>
        <v>Ok</v>
      </c>
      <c r="BV38" s="17">
        <f t="shared" si="76"/>
        <v>15.268281038041399</v>
      </c>
      <c r="BW38" s="16">
        <f>MongDon!$F$86</f>
        <v>1.5</v>
      </c>
      <c r="BX38" s="17" t="str">
        <f t="shared" si="77"/>
        <v>Ok</v>
      </c>
      <c r="BY38" s="17">
        <f t="shared" si="78"/>
        <v>62.609822526151802</v>
      </c>
      <c r="BZ38" s="17">
        <f t="shared" si="79"/>
        <v>100.78977537040301</v>
      </c>
      <c r="CA38" s="17">
        <f t="shared" si="80"/>
        <v>140.01277590304201</v>
      </c>
      <c r="CB38" s="17">
        <f t="shared" si="81"/>
        <v>101.83282305879101</v>
      </c>
      <c r="CC38" s="17">
        <f t="shared" si="82"/>
        <v>107.860779884949</v>
      </c>
      <c r="CD38" s="17">
        <f t="shared" si="83"/>
        <v>101.39955709592201</v>
      </c>
      <c r="CE38" s="17">
        <f t="shared" si="84"/>
        <v>101.22304133327199</v>
      </c>
      <c r="CF38" s="17">
        <f t="shared" si="85"/>
        <v>107.860779884949</v>
      </c>
      <c r="CG38" s="17">
        <f t="shared" si="86"/>
        <v>18.851275720184201</v>
      </c>
      <c r="CH38" s="17">
        <f t="shared" si="87"/>
        <v>18.851275720184201</v>
      </c>
      <c r="CI38" s="17">
        <f t="shared" si="88"/>
        <v>322.244029404858</v>
      </c>
      <c r="CJ38" s="17">
        <f t="shared" si="89"/>
        <v>322.244029404858</v>
      </c>
    </row>
    <row r="39" spans="2:88">
      <c r="B39" s="3">
        <v>7</v>
      </c>
      <c r="C39" s="3" t="s">
        <v>28</v>
      </c>
      <c r="D39" s="4">
        <v>-3.1078027832639101</v>
      </c>
      <c r="E39" s="4">
        <v>7.5693884763672399</v>
      </c>
      <c r="F39" s="4">
        <v>143.30685853648399</v>
      </c>
      <c r="G39" s="4">
        <v>-14.1040078557022</v>
      </c>
      <c r="H39" s="4">
        <v>-4.8632336990272798</v>
      </c>
      <c r="I39" s="4" t="s">
        <v>18</v>
      </c>
      <c r="J39" s="4">
        <v>-2.58434610172334</v>
      </c>
      <c r="K39" s="4">
        <v>6.3520897933237102</v>
      </c>
      <c r="L39" s="4">
        <v>122.540872420566</v>
      </c>
      <c r="M39" s="4">
        <v>-11.8248470818925</v>
      </c>
      <c r="N39" s="4">
        <v>-4.0463893905913197</v>
      </c>
      <c r="O39" s="4">
        <v>1.3</v>
      </c>
      <c r="P39" s="4">
        <v>1.3</v>
      </c>
      <c r="Q39" s="4">
        <v>0.22</v>
      </c>
      <c r="R39" s="4">
        <v>0.22</v>
      </c>
      <c r="S39" s="4">
        <v>0</v>
      </c>
      <c r="T39" s="4">
        <v>0</v>
      </c>
      <c r="U39" s="4">
        <v>0.3</v>
      </c>
      <c r="V39" s="4">
        <v>0.05</v>
      </c>
      <c r="W39" s="4">
        <v>1</v>
      </c>
      <c r="X39" s="4">
        <v>19.100000000000001</v>
      </c>
      <c r="Y39" s="4">
        <v>0</v>
      </c>
      <c r="Z39" s="4">
        <v>1.5</v>
      </c>
      <c r="AA39" s="4">
        <v>139</v>
      </c>
      <c r="AB39" s="4">
        <v>12.1</v>
      </c>
      <c r="AC39" s="4">
        <v>19.5</v>
      </c>
      <c r="AD39" s="3" t="s">
        <v>42</v>
      </c>
      <c r="AE39" s="3" t="s">
        <v>61</v>
      </c>
      <c r="AF39" s="17">
        <f>HLOOKUP(AD39,Data!$B$4:$M$9,2,0)</f>
        <v>13</v>
      </c>
      <c r="AG39" s="17">
        <f>HLOOKUP(AD39,Data!$B$4:$M$9,3,0)</f>
        <v>1</v>
      </c>
      <c r="AH39" s="17">
        <f>HLOOKUP(AE39,Data!$B$13:$I$18,3,0)</f>
        <v>260</v>
      </c>
      <c r="AI39" s="18">
        <f t="shared" si="39"/>
        <v>1.69</v>
      </c>
      <c r="AJ39" s="17">
        <f t="shared" si="40"/>
        <v>0.36616666666666697</v>
      </c>
      <c r="AK39" s="17">
        <f t="shared" si="41"/>
        <v>0.36616666666666697</v>
      </c>
      <c r="AL39" s="17">
        <f t="shared" si="42"/>
        <v>0.25</v>
      </c>
      <c r="AM39" s="17">
        <f t="shared" si="43"/>
        <v>0.54</v>
      </c>
      <c r="AN39" s="17">
        <f t="shared" si="44"/>
        <v>0.54</v>
      </c>
      <c r="AO39" s="17">
        <f t="shared" si="45"/>
        <v>0.54</v>
      </c>
      <c r="AP39" s="17">
        <f t="shared" si="46"/>
        <v>0.54</v>
      </c>
      <c r="AQ39" s="17">
        <f t="shared" si="47"/>
        <v>1.88</v>
      </c>
      <c r="AR39" s="17">
        <f t="shared" si="48"/>
        <v>1.1716</v>
      </c>
      <c r="AS39" s="17">
        <f t="shared" si="49"/>
        <v>143.30685853648399</v>
      </c>
      <c r="AT39" s="17">
        <f t="shared" si="50"/>
        <v>-16.3748243986124</v>
      </c>
      <c r="AU39" s="17">
        <f t="shared" si="51"/>
        <v>-5.79557453400645</v>
      </c>
      <c r="AV39" s="17">
        <f t="shared" si="52"/>
        <v>122.540872420566</v>
      </c>
      <c r="AW39" s="17">
        <f t="shared" si="53"/>
        <v>-13.7304740198896</v>
      </c>
      <c r="AX39" s="17">
        <f t="shared" si="54"/>
        <v>-4.8216932211083199</v>
      </c>
      <c r="AY39" s="17">
        <f t="shared" si="55"/>
        <v>165.94424656037401</v>
      </c>
      <c r="AZ39" s="17">
        <f t="shared" si="56"/>
        <v>44.849668867417797</v>
      </c>
      <c r="BA39" s="17">
        <f t="shared" si="57"/>
        <v>105.396957713896</v>
      </c>
      <c r="BB39" s="17">
        <f t="shared" si="58"/>
        <v>143.77530158977001</v>
      </c>
      <c r="BC39" s="17">
        <f t="shared" si="59"/>
        <v>42.443482339894899</v>
      </c>
      <c r="BD39" s="17">
        <f t="shared" si="60"/>
        <v>93.109391964832199</v>
      </c>
      <c r="BE39" s="17" t="str">
        <f>IF(AND(BD39&lt;=AA39,BB39&lt;=AA39*MongDon!$J$44,BC39&gt;0),"Ok","FAIL")</f>
        <v>Ok</v>
      </c>
      <c r="BF39" s="17">
        <f t="shared" si="61"/>
        <v>194.42027927013501</v>
      </c>
      <c r="BG39" s="17">
        <f t="shared" si="62"/>
        <v>352.5</v>
      </c>
      <c r="BH39" s="17" t="str">
        <f t="shared" si="63"/>
        <v>Ok</v>
      </c>
      <c r="BI39" s="17">
        <f t="shared" si="64"/>
        <v>56.593939717065197</v>
      </c>
      <c r="BJ39" s="17">
        <f t="shared" si="65"/>
        <v>33.767611821942801</v>
      </c>
      <c r="BK39" s="17">
        <f t="shared" si="66"/>
        <v>22.875366399212499</v>
      </c>
      <c r="BL39" s="17">
        <f t="shared" si="67"/>
        <v>45.7016942943348</v>
      </c>
      <c r="BM39" s="17">
        <f t="shared" si="68"/>
        <v>88.125</v>
      </c>
      <c r="BN39" s="17">
        <f t="shared" si="69"/>
        <v>88.125</v>
      </c>
      <c r="BO39" s="17">
        <f t="shared" si="70"/>
        <v>88.125</v>
      </c>
      <c r="BP39" s="17">
        <f t="shared" si="71"/>
        <v>88.125</v>
      </c>
      <c r="BQ39" s="17" t="str">
        <f t="shared" si="72"/>
        <v>Ok</v>
      </c>
      <c r="BR39" s="17">
        <f t="shared" si="73"/>
        <v>63.677328437806203</v>
      </c>
      <c r="BS39" s="17">
        <f t="shared" si="74"/>
        <v>8.4124799033127093</v>
      </c>
      <c r="BT39" s="16">
        <f>MongDon!$H$80</f>
        <v>1.2</v>
      </c>
      <c r="BU39" s="17" t="str">
        <f t="shared" si="75"/>
        <v>Ok</v>
      </c>
      <c r="BV39" s="17">
        <f t="shared" si="76"/>
        <v>6.9698950822572803</v>
      </c>
      <c r="BW39" s="16">
        <f>MongDon!$F$86</f>
        <v>1.5</v>
      </c>
      <c r="BX39" s="17" t="str">
        <f t="shared" si="77"/>
        <v>Ok</v>
      </c>
      <c r="BY39" s="17">
        <f t="shared" si="78"/>
        <v>165.94424656037401</v>
      </c>
      <c r="BZ39" s="17">
        <f t="shared" si="79"/>
        <v>134.288855386921</v>
      </c>
      <c r="CA39" s="17">
        <f t="shared" si="80"/>
        <v>44.849668867417797</v>
      </c>
      <c r="CB39" s="17">
        <f t="shared" si="81"/>
        <v>76.5050600408713</v>
      </c>
      <c r="CC39" s="17">
        <f t="shared" si="82"/>
        <v>110.286355781639</v>
      </c>
      <c r="CD39" s="17">
        <f t="shared" si="83"/>
        <v>115.643421980223</v>
      </c>
      <c r="CE39" s="17">
        <f t="shared" si="84"/>
        <v>115.643421980223</v>
      </c>
      <c r="CF39" s="17">
        <f t="shared" si="85"/>
        <v>100.507559646153</v>
      </c>
      <c r="CG39" s="17">
        <f t="shared" si="86"/>
        <v>21.750051073907201</v>
      </c>
      <c r="CH39" s="17">
        <f t="shared" si="87"/>
        <v>21.750051073907201</v>
      </c>
      <c r="CI39" s="17">
        <f t="shared" si="88"/>
        <v>371.79574485311502</v>
      </c>
      <c r="CJ39" s="17">
        <f t="shared" si="89"/>
        <v>371.79574485311502</v>
      </c>
    </row>
    <row r="40" spans="2:88">
      <c r="B40" s="3">
        <v>7</v>
      </c>
      <c r="C40" s="3" t="s">
        <v>29</v>
      </c>
      <c r="D40" s="4">
        <v>-3.54004654657267</v>
      </c>
      <c r="E40" s="4">
        <v>1.8456081568301199</v>
      </c>
      <c r="F40" s="4">
        <v>126.428037663434</v>
      </c>
      <c r="G40" s="4">
        <v>-2.5305667757805801</v>
      </c>
      <c r="H40" s="4">
        <v>-5.5318649418235797</v>
      </c>
      <c r="I40" s="4" t="s">
        <v>19</v>
      </c>
      <c r="J40" s="4">
        <v>-2.9445492378139799</v>
      </c>
      <c r="K40" s="4">
        <v>1.5822728603761</v>
      </c>
      <c r="L40" s="4">
        <v>108.475188359691</v>
      </c>
      <c r="M40" s="4">
        <v>-2.1803128486244501</v>
      </c>
      <c r="N40" s="4">
        <v>-4.6035820929215703</v>
      </c>
      <c r="O40" s="4">
        <v>1.3</v>
      </c>
      <c r="P40" s="4">
        <v>1.3</v>
      </c>
      <c r="Q40" s="4">
        <v>0.22</v>
      </c>
      <c r="R40" s="4">
        <v>0.22</v>
      </c>
      <c r="S40" s="4">
        <v>0</v>
      </c>
      <c r="T40" s="4">
        <v>0</v>
      </c>
      <c r="U40" s="4">
        <v>0.3</v>
      </c>
      <c r="V40" s="4">
        <v>0.05</v>
      </c>
      <c r="W40" s="4">
        <v>1</v>
      </c>
      <c r="X40" s="4">
        <v>19.100000000000001</v>
      </c>
      <c r="Y40" s="4">
        <v>0</v>
      </c>
      <c r="Z40" s="4">
        <v>1.5</v>
      </c>
      <c r="AA40" s="4">
        <v>139</v>
      </c>
      <c r="AB40" s="4">
        <v>12.1</v>
      </c>
      <c r="AC40" s="4">
        <v>19.5</v>
      </c>
      <c r="AD40" s="3" t="s">
        <v>42</v>
      </c>
      <c r="AE40" s="3" t="s">
        <v>61</v>
      </c>
      <c r="AF40" s="17">
        <f>HLOOKUP(AD40,Data!$B$4:$M$9,2,0)</f>
        <v>13</v>
      </c>
      <c r="AG40" s="17">
        <f>HLOOKUP(AD40,Data!$B$4:$M$9,3,0)</f>
        <v>1</v>
      </c>
      <c r="AH40" s="17">
        <f>HLOOKUP(AE40,Data!$B$13:$I$18,3,0)</f>
        <v>260</v>
      </c>
      <c r="AI40" s="18">
        <f t="shared" si="39"/>
        <v>1.69</v>
      </c>
      <c r="AJ40" s="17">
        <f t="shared" si="40"/>
        <v>0.36616666666666697</v>
      </c>
      <c r="AK40" s="17">
        <f t="shared" si="41"/>
        <v>0.36616666666666697</v>
      </c>
      <c r="AL40" s="17">
        <f t="shared" si="42"/>
        <v>0.25</v>
      </c>
      <c r="AM40" s="17">
        <f t="shared" si="43"/>
        <v>0.54</v>
      </c>
      <c r="AN40" s="17">
        <f t="shared" si="44"/>
        <v>0.54</v>
      </c>
      <c r="AO40" s="17">
        <f t="shared" si="45"/>
        <v>0.54</v>
      </c>
      <c r="AP40" s="17">
        <f t="shared" si="46"/>
        <v>0.54</v>
      </c>
      <c r="AQ40" s="17">
        <f t="shared" si="47"/>
        <v>1.88</v>
      </c>
      <c r="AR40" s="17">
        <f t="shared" si="48"/>
        <v>1.1716</v>
      </c>
      <c r="AS40" s="17">
        <f t="shared" si="49"/>
        <v>126.428037663434</v>
      </c>
      <c r="AT40" s="17">
        <f t="shared" si="50"/>
        <v>-3.0842492228296199</v>
      </c>
      <c r="AU40" s="17">
        <f t="shared" si="51"/>
        <v>-6.5938789057953802</v>
      </c>
      <c r="AV40" s="17">
        <f t="shared" si="52"/>
        <v>108.475188359691</v>
      </c>
      <c r="AW40" s="17">
        <f t="shared" si="53"/>
        <v>-2.6549947067372899</v>
      </c>
      <c r="AX40" s="17">
        <f t="shared" si="54"/>
        <v>-5.4869468642657599</v>
      </c>
      <c r="AY40" s="17">
        <f t="shared" si="55"/>
        <v>121.84042682485899</v>
      </c>
      <c r="AZ40" s="17">
        <f t="shared" si="56"/>
        <v>68.978552658495303</v>
      </c>
      <c r="BA40" s="17">
        <f t="shared" si="57"/>
        <v>95.409489741676893</v>
      </c>
      <c r="BB40" s="17">
        <f t="shared" si="58"/>
        <v>107.02211847684001</v>
      </c>
      <c r="BC40" s="17">
        <f t="shared" si="59"/>
        <v>62.550885499126103</v>
      </c>
      <c r="BD40" s="17">
        <f t="shared" si="60"/>
        <v>84.786501987982902</v>
      </c>
      <c r="BE40" s="17" t="str">
        <f>IF(AND(BD40&lt;=AA40,BB40&lt;=AA40*MongDon!$J$44,BC40&gt;0),"Ok","FAIL")</f>
        <v>Ok</v>
      </c>
      <c r="BF40" s="17">
        <f t="shared" si="61"/>
        <v>142.748244068004</v>
      </c>
      <c r="BG40" s="17">
        <f t="shared" si="62"/>
        <v>352.5</v>
      </c>
      <c r="BH40" s="17" t="str">
        <f t="shared" si="63"/>
        <v>Ok</v>
      </c>
      <c r="BI40" s="17">
        <f t="shared" si="64"/>
        <v>39.144876832448602</v>
      </c>
      <c r="BJ40" s="17">
        <f t="shared" si="65"/>
        <v>29.180413552089199</v>
      </c>
      <c r="BK40" s="17">
        <f t="shared" si="66"/>
        <v>32.793878432775799</v>
      </c>
      <c r="BL40" s="17">
        <f t="shared" si="67"/>
        <v>42.758341713135302</v>
      </c>
      <c r="BM40" s="17">
        <f t="shared" si="68"/>
        <v>88.125</v>
      </c>
      <c r="BN40" s="17">
        <f t="shared" si="69"/>
        <v>88.125</v>
      </c>
      <c r="BO40" s="17">
        <f t="shared" si="70"/>
        <v>88.125</v>
      </c>
      <c r="BP40" s="17">
        <f t="shared" si="71"/>
        <v>88.125</v>
      </c>
      <c r="BQ40" s="17" t="str">
        <f t="shared" si="72"/>
        <v>Ok</v>
      </c>
      <c r="BR40" s="17">
        <f t="shared" si="73"/>
        <v>60.058822779385601</v>
      </c>
      <c r="BS40" s="17">
        <f t="shared" si="74"/>
        <v>16.965546071006301</v>
      </c>
      <c r="BT40" s="16">
        <f>MongDon!$H$80</f>
        <v>1.2</v>
      </c>
      <c r="BU40" s="17" t="str">
        <f t="shared" si="75"/>
        <v>Ok</v>
      </c>
      <c r="BV40" s="17">
        <f t="shared" si="76"/>
        <v>15.6447480997209</v>
      </c>
      <c r="BW40" s="16">
        <f>MongDon!$F$86</f>
        <v>1.5</v>
      </c>
      <c r="BX40" s="17" t="str">
        <f t="shared" si="77"/>
        <v>Ok</v>
      </c>
      <c r="BY40" s="17">
        <f t="shared" si="78"/>
        <v>121.84042682485899</v>
      </c>
      <c r="BZ40" s="17">
        <f t="shared" si="79"/>
        <v>85.8247022597495</v>
      </c>
      <c r="CA40" s="17">
        <f t="shared" si="80"/>
        <v>68.978552658495303</v>
      </c>
      <c r="CB40" s="17">
        <f t="shared" si="81"/>
        <v>104.994277223604</v>
      </c>
      <c r="CC40" s="17">
        <f t="shared" si="82"/>
        <v>93.787448783196893</v>
      </c>
      <c r="CD40" s="17">
        <f t="shared" si="83"/>
        <v>99.882417555753804</v>
      </c>
      <c r="CE40" s="17">
        <f t="shared" si="84"/>
        <v>99.882417555753804</v>
      </c>
      <c r="CF40" s="17">
        <f t="shared" si="85"/>
        <v>97.031530700156907</v>
      </c>
      <c r="CG40" s="17">
        <f t="shared" si="86"/>
        <v>16.697174980585899</v>
      </c>
      <c r="CH40" s="17">
        <f t="shared" si="87"/>
        <v>16.697174980585899</v>
      </c>
      <c r="CI40" s="17">
        <f t="shared" si="88"/>
        <v>285.42179453992998</v>
      </c>
      <c r="CJ40" s="17">
        <f t="shared" si="89"/>
        <v>285.42179453992998</v>
      </c>
    </row>
    <row r="41" spans="2:88">
      <c r="B41" s="3">
        <v>7</v>
      </c>
      <c r="C41" s="3" t="s">
        <v>30</v>
      </c>
      <c r="D41" s="4">
        <v>4.1175434225115302</v>
      </c>
      <c r="E41" s="4">
        <v>2.7464756129175401</v>
      </c>
      <c r="F41" s="4">
        <v>127.535593488042</v>
      </c>
      <c r="G41" s="4">
        <v>-4.3783327203417102</v>
      </c>
      <c r="H41" s="4">
        <v>6.4247283189209199</v>
      </c>
      <c r="I41" s="4" t="s">
        <v>20</v>
      </c>
      <c r="J41" s="4">
        <v>3.4367757364228599</v>
      </c>
      <c r="K41" s="4">
        <v>2.3329957404489501</v>
      </c>
      <c r="L41" s="4">
        <v>109.39815154686499</v>
      </c>
      <c r="M41" s="4">
        <v>-3.7201178024254</v>
      </c>
      <c r="N41" s="4">
        <v>5.3602456243655103</v>
      </c>
      <c r="O41" s="4">
        <v>1.3</v>
      </c>
      <c r="P41" s="4">
        <v>1.3</v>
      </c>
      <c r="Q41" s="4">
        <v>0.22</v>
      </c>
      <c r="R41" s="4">
        <v>0.22</v>
      </c>
      <c r="S41" s="4">
        <v>0</v>
      </c>
      <c r="T41" s="4">
        <v>0</v>
      </c>
      <c r="U41" s="4">
        <v>0.3</v>
      </c>
      <c r="V41" s="4">
        <v>0.05</v>
      </c>
      <c r="W41" s="4">
        <v>1</v>
      </c>
      <c r="X41" s="4">
        <v>19.100000000000001</v>
      </c>
      <c r="Y41" s="4">
        <v>0</v>
      </c>
      <c r="Z41" s="4">
        <v>1.5</v>
      </c>
      <c r="AA41" s="4">
        <v>139</v>
      </c>
      <c r="AB41" s="4">
        <v>12.1</v>
      </c>
      <c r="AC41" s="4">
        <v>19.5</v>
      </c>
      <c r="AD41" s="3" t="s">
        <v>42</v>
      </c>
      <c r="AE41" s="3" t="s">
        <v>61</v>
      </c>
      <c r="AF41" s="17">
        <f>HLOOKUP(AD41,Data!$B$4:$M$9,2,0)</f>
        <v>13</v>
      </c>
      <c r="AG41" s="17">
        <f>HLOOKUP(AD41,Data!$B$4:$M$9,3,0)</f>
        <v>1</v>
      </c>
      <c r="AH41" s="17">
        <f>HLOOKUP(AE41,Data!$B$13:$I$18,3,0)</f>
        <v>260</v>
      </c>
      <c r="AI41" s="18">
        <f t="shared" si="39"/>
        <v>1.69</v>
      </c>
      <c r="AJ41" s="17">
        <f t="shared" si="40"/>
        <v>0.36616666666666697</v>
      </c>
      <c r="AK41" s="17">
        <f t="shared" si="41"/>
        <v>0.36616666666666697</v>
      </c>
      <c r="AL41" s="17">
        <f t="shared" si="42"/>
        <v>0.25</v>
      </c>
      <c r="AM41" s="17">
        <f t="shared" si="43"/>
        <v>0.54</v>
      </c>
      <c r="AN41" s="17">
        <f t="shared" si="44"/>
        <v>0.54</v>
      </c>
      <c r="AO41" s="17">
        <f t="shared" si="45"/>
        <v>0.54</v>
      </c>
      <c r="AP41" s="17">
        <f t="shared" si="46"/>
        <v>0.54</v>
      </c>
      <c r="AQ41" s="17">
        <f t="shared" si="47"/>
        <v>1.88</v>
      </c>
      <c r="AR41" s="17">
        <f t="shared" si="48"/>
        <v>1.1716</v>
      </c>
      <c r="AS41" s="17">
        <f t="shared" si="49"/>
        <v>127.535593488042</v>
      </c>
      <c r="AT41" s="17">
        <f t="shared" si="50"/>
        <v>-5.2022754042169703</v>
      </c>
      <c r="AU41" s="17">
        <f t="shared" si="51"/>
        <v>7.6599913456743796</v>
      </c>
      <c r="AV41" s="17">
        <f t="shared" si="52"/>
        <v>109.39815154686499</v>
      </c>
      <c r="AW41" s="17">
        <f t="shared" si="53"/>
        <v>-4.4200165245600802</v>
      </c>
      <c r="AX41" s="17">
        <f t="shared" si="54"/>
        <v>6.3912783452923696</v>
      </c>
      <c r="AY41" s="17">
        <f t="shared" si="55"/>
        <v>131.19165773045199</v>
      </c>
      <c r="AZ41" s="17">
        <f t="shared" si="56"/>
        <v>60.938038705101</v>
      </c>
      <c r="BA41" s="17">
        <f t="shared" si="57"/>
        <v>96.0648482177765</v>
      </c>
      <c r="BB41" s="17">
        <f t="shared" si="58"/>
        <v>114.858245894419</v>
      </c>
      <c r="BC41" s="17">
        <f t="shared" si="59"/>
        <v>55.807022208379301</v>
      </c>
      <c r="BD41" s="17">
        <f t="shared" si="60"/>
        <v>85.332634051399197</v>
      </c>
      <c r="BE41" s="17" t="str">
        <f>IF(AND(BD41&lt;=AA41,BB41&lt;=AA41*MongDon!$J$44,BC41&gt;0),"Ok","FAIL")</f>
        <v>Ok</v>
      </c>
      <c r="BF41" s="17">
        <f t="shared" si="61"/>
        <v>153.70414619699801</v>
      </c>
      <c r="BG41" s="17">
        <f t="shared" si="62"/>
        <v>352.5</v>
      </c>
      <c r="BH41" s="17" t="str">
        <f t="shared" si="63"/>
        <v>Ok</v>
      </c>
      <c r="BI41" s="17">
        <f t="shared" si="64"/>
        <v>41.572636655816297</v>
      </c>
      <c r="BJ41" s="17">
        <f t="shared" si="65"/>
        <v>44.103066086665898</v>
      </c>
      <c r="BK41" s="17">
        <f t="shared" si="66"/>
        <v>30.860258900387201</v>
      </c>
      <c r="BL41" s="17">
        <f t="shared" si="67"/>
        <v>28.3298294695376</v>
      </c>
      <c r="BM41" s="17">
        <f t="shared" si="68"/>
        <v>88.125</v>
      </c>
      <c r="BN41" s="17">
        <f t="shared" si="69"/>
        <v>88.125</v>
      </c>
      <c r="BO41" s="17">
        <f t="shared" si="70"/>
        <v>88.125</v>
      </c>
      <c r="BP41" s="17">
        <f t="shared" si="71"/>
        <v>88.125</v>
      </c>
      <c r="BQ41" s="17" t="str">
        <f t="shared" si="72"/>
        <v>Ok</v>
      </c>
      <c r="BR41" s="17">
        <f t="shared" si="73"/>
        <v>60.296262174501202</v>
      </c>
      <c r="BS41" s="17">
        <f t="shared" si="74"/>
        <v>14.6437465224648</v>
      </c>
      <c r="BT41" s="16">
        <f>MongDon!$H$80</f>
        <v>1.2</v>
      </c>
      <c r="BU41" s="17" t="str">
        <f t="shared" si="75"/>
        <v>Ok</v>
      </c>
      <c r="BV41" s="17">
        <f t="shared" si="76"/>
        <v>13.5613058917996</v>
      </c>
      <c r="BW41" s="16">
        <f>MongDon!$F$86</f>
        <v>1.5</v>
      </c>
      <c r="BX41" s="17" t="str">
        <f t="shared" si="77"/>
        <v>Ok</v>
      </c>
      <c r="BY41" s="17">
        <f t="shared" si="78"/>
        <v>89.352833812339796</v>
      </c>
      <c r="BZ41" s="17">
        <f t="shared" si="79"/>
        <v>131.19165773045199</v>
      </c>
      <c r="CA41" s="17">
        <f t="shared" si="80"/>
        <v>102.77686262321301</v>
      </c>
      <c r="CB41" s="17">
        <f t="shared" si="81"/>
        <v>60.938038705101</v>
      </c>
      <c r="CC41" s="17">
        <f t="shared" si="82"/>
        <v>102.00938521222901</v>
      </c>
      <c r="CD41" s="17">
        <f t="shared" si="83"/>
        <v>94.9289688568564</v>
      </c>
      <c r="CE41" s="17">
        <f t="shared" si="84"/>
        <v>102.00938521222901</v>
      </c>
      <c r="CF41" s="17">
        <f t="shared" si="85"/>
        <v>97.200727578696601</v>
      </c>
      <c r="CG41" s="17">
        <f t="shared" si="86"/>
        <v>17.709485252714298</v>
      </c>
      <c r="CH41" s="17">
        <f t="shared" si="87"/>
        <v>17.709485252714298</v>
      </c>
      <c r="CI41" s="17">
        <f t="shared" si="88"/>
        <v>302.72624363614199</v>
      </c>
      <c r="CJ41" s="17">
        <f t="shared" si="89"/>
        <v>302.72624363614199</v>
      </c>
    </row>
    <row r="42" spans="2:88">
      <c r="B42" s="3">
        <v>7</v>
      </c>
      <c r="C42" s="3" t="s">
        <v>31</v>
      </c>
      <c r="D42" s="4">
        <v>4.0987419668088902</v>
      </c>
      <c r="E42" s="4">
        <v>-3.2779437968343101</v>
      </c>
      <c r="F42" s="4">
        <v>123.145836206952</v>
      </c>
      <c r="G42" s="4">
        <v>7.9599668137947601</v>
      </c>
      <c r="H42" s="4">
        <v>6.4065933894753897</v>
      </c>
      <c r="I42" s="4" t="s">
        <v>21</v>
      </c>
      <c r="J42" s="4">
        <v>3.4211078566706599</v>
      </c>
      <c r="K42" s="4">
        <v>-2.6873537676775898</v>
      </c>
      <c r="L42" s="4">
        <v>105.740020479289</v>
      </c>
      <c r="M42" s="4">
        <v>6.5617984760216697</v>
      </c>
      <c r="N42" s="4">
        <v>5.3451331831609101</v>
      </c>
      <c r="O42" s="4">
        <v>1.3</v>
      </c>
      <c r="P42" s="4">
        <v>1.3</v>
      </c>
      <c r="Q42" s="4">
        <v>0.22</v>
      </c>
      <c r="R42" s="4">
        <v>0.22</v>
      </c>
      <c r="S42" s="4">
        <v>0</v>
      </c>
      <c r="T42" s="4">
        <v>0</v>
      </c>
      <c r="U42" s="4">
        <v>0.3</v>
      </c>
      <c r="V42" s="4">
        <v>0.05</v>
      </c>
      <c r="W42" s="4">
        <v>1</v>
      </c>
      <c r="X42" s="4">
        <v>19.100000000000001</v>
      </c>
      <c r="Y42" s="4">
        <v>0</v>
      </c>
      <c r="Z42" s="4">
        <v>1.5</v>
      </c>
      <c r="AA42" s="4">
        <v>139</v>
      </c>
      <c r="AB42" s="4">
        <v>12.1</v>
      </c>
      <c r="AC42" s="4">
        <v>19.5</v>
      </c>
      <c r="AD42" s="3" t="s">
        <v>42</v>
      </c>
      <c r="AE42" s="3" t="s">
        <v>61</v>
      </c>
      <c r="AF42" s="17">
        <f>HLOOKUP(AD42,Data!$B$4:$M$9,2,0)</f>
        <v>13</v>
      </c>
      <c r="AG42" s="17">
        <f>HLOOKUP(AD42,Data!$B$4:$M$9,3,0)</f>
        <v>1</v>
      </c>
      <c r="AH42" s="17">
        <f>HLOOKUP(AE42,Data!$B$13:$I$18,3,0)</f>
        <v>260</v>
      </c>
      <c r="AI42" s="18">
        <f t="shared" si="39"/>
        <v>1.69</v>
      </c>
      <c r="AJ42" s="17">
        <f t="shared" si="40"/>
        <v>0.36616666666666697</v>
      </c>
      <c r="AK42" s="17">
        <f t="shared" si="41"/>
        <v>0.36616666666666697</v>
      </c>
      <c r="AL42" s="17">
        <f t="shared" si="42"/>
        <v>0.25</v>
      </c>
      <c r="AM42" s="17">
        <f t="shared" si="43"/>
        <v>0.54</v>
      </c>
      <c r="AN42" s="17">
        <f t="shared" si="44"/>
        <v>0.54</v>
      </c>
      <c r="AO42" s="17">
        <f t="shared" si="45"/>
        <v>0.54</v>
      </c>
      <c r="AP42" s="17">
        <f t="shared" si="46"/>
        <v>0.54</v>
      </c>
      <c r="AQ42" s="17">
        <f t="shared" si="47"/>
        <v>1.88</v>
      </c>
      <c r="AR42" s="17">
        <f t="shared" si="48"/>
        <v>1.1716</v>
      </c>
      <c r="AS42" s="17">
        <f t="shared" si="49"/>
        <v>123.145836206952</v>
      </c>
      <c r="AT42" s="17">
        <f t="shared" si="50"/>
        <v>8.9433499528450593</v>
      </c>
      <c r="AU42" s="17">
        <f t="shared" si="51"/>
        <v>7.6362159795180604</v>
      </c>
      <c r="AV42" s="17">
        <f t="shared" si="52"/>
        <v>105.740020479289</v>
      </c>
      <c r="AW42" s="17">
        <f t="shared" si="53"/>
        <v>7.3680046063249502</v>
      </c>
      <c r="AX42" s="17">
        <f t="shared" si="54"/>
        <v>6.3714655401620996</v>
      </c>
      <c r="AY42" s="17">
        <f t="shared" si="55"/>
        <v>138.74610043842301</v>
      </c>
      <c r="AZ42" s="17">
        <f t="shared" si="56"/>
        <v>48.188616966253299</v>
      </c>
      <c r="BA42" s="17">
        <f t="shared" si="57"/>
        <v>93.467358702338302</v>
      </c>
      <c r="BB42" s="17">
        <f t="shared" si="58"/>
        <v>120.690508649066</v>
      </c>
      <c r="BC42" s="17">
        <f t="shared" si="59"/>
        <v>45.6456102613353</v>
      </c>
      <c r="BD42" s="17">
        <f t="shared" si="60"/>
        <v>83.168059455200705</v>
      </c>
      <c r="BE42" s="17" t="str">
        <f>IF(AND(BD42&lt;=AA42,BB42&lt;=AA42*MongDon!$J$44,BC42&gt;0),"Ok","FAIL")</f>
        <v>Ok</v>
      </c>
      <c r="BF42" s="17">
        <f t="shared" si="61"/>
        <v>162.55493127365699</v>
      </c>
      <c r="BG42" s="17">
        <f t="shared" si="62"/>
        <v>352.5</v>
      </c>
      <c r="BH42" s="17" t="str">
        <f t="shared" si="63"/>
        <v>Ok</v>
      </c>
      <c r="BI42" s="17">
        <f t="shared" si="64"/>
        <v>26.029248125485399</v>
      </c>
      <c r="BJ42" s="17">
        <f t="shared" si="65"/>
        <v>43.099333759989499</v>
      </c>
      <c r="BK42" s="17">
        <f t="shared" si="66"/>
        <v>44.4451403360776</v>
      </c>
      <c r="BL42" s="17">
        <f t="shared" si="67"/>
        <v>27.3750547015736</v>
      </c>
      <c r="BM42" s="17">
        <f t="shared" si="68"/>
        <v>88.125</v>
      </c>
      <c r="BN42" s="17">
        <f t="shared" si="69"/>
        <v>88.125</v>
      </c>
      <c r="BO42" s="17">
        <f t="shared" si="70"/>
        <v>88.125</v>
      </c>
      <c r="BP42" s="17">
        <f t="shared" si="71"/>
        <v>88.125</v>
      </c>
      <c r="BQ42" s="17" t="str">
        <f t="shared" si="72"/>
        <v>Ok</v>
      </c>
      <c r="BR42" s="17">
        <f t="shared" si="73"/>
        <v>59.355179756470399</v>
      </c>
      <c r="BS42" s="17">
        <f t="shared" si="74"/>
        <v>14.481316520318</v>
      </c>
      <c r="BT42" s="16">
        <f>MongDon!$H$80</f>
        <v>1.2</v>
      </c>
      <c r="BU42" s="17" t="str">
        <f t="shared" si="75"/>
        <v>Ok</v>
      </c>
      <c r="BV42" s="17">
        <f t="shared" si="76"/>
        <v>11.296230614612201</v>
      </c>
      <c r="BW42" s="16">
        <f>MongDon!$F$86</f>
        <v>1.5</v>
      </c>
      <c r="BX42" s="17" t="str">
        <f t="shared" si="77"/>
        <v>Ok</v>
      </c>
      <c r="BY42" s="17">
        <f t="shared" si="78"/>
        <v>48.188616966253299</v>
      </c>
      <c r="BZ42" s="17">
        <f t="shared" si="79"/>
        <v>89.897579985924096</v>
      </c>
      <c r="CA42" s="17">
        <f t="shared" si="80"/>
        <v>138.74610043842301</v>
      </c>
      <c r="CB42" s="17">
        <f t="shared" si="81"/>
        <v>97.037137418752494</v>
      </c>
      <c r="CC42" s="17">
        <f t="shared" si="82"/>
        <v>101.129914996137</v>
      </c>
      <c r="CD42" s="17">
        <f t="shared" si="83"/>
        <v>94.071475100500706</v>
      </c>
      <c r="CE42" s="17">
        <f t="shared" si="84"/>
        <v>92.863242304175898</v>
      </c>
      <c r="CF42" s="17">
        <f t="shared" si="85"/>
        <v>101.129914996137</v>
      </c>
      <c r="CG42" s="17">
        <f t="shared" si="86"/>
        <v>18.401034831427001</v>
      </c>
      <c r="CH42" s="17">
        <f t="shared" si="87"/>
        <v>18.401034831427001</v>
      </c>
      <c r="CI42" s="17">
        <f t="shared" si="88"/>
        <v>314.54760395601699</v>
      </c>
      <c r="CJ42" s="17">
        <f t="shared" si="89"/>
        <v>314.54760395601699</v>
      </c>
    </row>
    <row r="43" spans="2:88">
      <c r="B43" s="3">
        <v>7</v>
      </c>
      <c r="C43" s="3" t="s">
        <v>32</v>
      </c>
      <c r="D43" s="4">
        <v>-3.5212450908700399</v>
      </c>
      <c r="E43" s="4">
        <v>7.8700275665819701</v>
      </c>
      <c r="F43" s="4">
        <v>130.81779494452499</v>
      </c>
      <c r="G43" s="4">
        <v>-14.868866309917101</v>
      </c>
      <c r="H43" s="4">
        <v>-5.5137300123780504</v>
      </c>
      <c r="I43" s="4" t="s">
        <v>22</v>
      </c>
      <c r="J43" s="4">
        <v>-2.9288813580617798</v>
      </c>
      <c r="K43" s="4">
        <v>6.6026223685026499</v>
      </c>
      <c r="L43" s="4">
        <v>112.133319427267</v>
      </c>
      <c r="M43" s="4">
        <v>-12.462229127071501</v>
      </c>
      <c r="N43" s="4">
        <v>-4.5884696517169603</v>
      </c>
      <c r="O43" s="4">
        <v>1.3</v>
      </c>
      <c r="P43" s="4">
        <v>1.3</v>
      </c>
      <c r="Q43" s="4">
        <v>0.22</v>
      </c>
      <c r="R43" s="4">
        <v>0.22</v>
      </c>
      <c r="S43" s="4">
        <v>0</v>
      </c>
      <c r="T43" s="4">
        <v>0</v>
      </c>
      <c r="U43" s="4">
        <v>0.3</v>
      </c>
      <c r="V43" s="4">
        <v>0.05</v>
      </c>
      <c r="W43" s="4">
        <v>1</v>
      </c>
      <c r="X43" s="4">
        <v>19.100000000000001</v>
      </c>
      <c r="Y43" s="4">
        <v>0</v>
      </c>
      <c r="Z43" s="4">
        <v>1.5</v>
      </c>
      <c r="AA43" s="4">
        <v>139</v>
      </c>
      <c r="AB43" s="4">
        <v>12.1</v>
      </c>
      <c r="AC43" s="4">
        <v>19.5</v>
      </c>
      <c r="AD43" s="3" t="s">
        <v>42</v>
      </c>
      <c r="AE43" s="3" t="s">
        <v>61</v>
      </c>
      <c r="AF43" s="17">
        <f>HLOOKUP(AD43,Data!$B$4:$M$9,2,0)</f>
        <v>13</v>
      </c>
      <c r="AG43" s="17">
        <f>HLOOKUP(AD43,Data!$B$4:$M$9,3,0)</f>
        <v>1</v>
      </c>
      <c r="AH43" s="17">
        <f>HLOOKUP(AE43,Data!$B$13:$I$18,3,0)</f>
        <v>260</v>
      </c>
      <c r="AI43" s="18">
        <f t="shared" si="39"/>
        <v>1.69</v>
      </c>
      <c r="AJ43" s="17">
        <f t="shared" si="40"/>
        <v>0.36616666666666697</v>
      </c>
      <c r="AK43" s="17">
        <f t="shared" si="41"/>
        <v>0.36616666666666697</v>
      </c>
      <c r="AL43" s="17">
        <f t="shared" si="42"/>
        <v>0.25</v>
      </c>
      <c r="AM43" s="17">
        <f t="shared" si="43"/>
        <v>0.54</v>
      </c>
      <c r="AN43" s="17">
        <f t="shared" si="44"/>
        <v>0.54</v>
      </c>
      <c r="AO43" s="17">
        <f t="shared" si="45"/>
        <v>0.54</v>
      </c>
      <c r="AP43" s="17">
        <f t="shared" si="46"/>
        <v>0.54</v>
      </c>
      <c r="AQ43" s="17">
        <f t="shared" si="47"/>
        <v>1.88</v>
      </c>
      <c r="AR43" s="17">
        <f t="shared" si="48"/>
        <v>1.1716</v>
      </c>
      <c r="AS43" s="17">
        <f t="shared" si="49"/>
        <v>130.81779494452499</v>
      </c>
      <c r="AT43" s="17">
        <f t="shared" si="50"/>
        <v>-17.2298745798917</v>
      </c>
      <c r="AU43" s="17">
        <f t="shared" si="51"/>
        <v>-6.5701035396390601</v>
      </c>
      <c r="AV43" s="17">
        <f t="shared" si="52"/>
        <v>112.133319427267</v>
      </c>
      <c r="AW43" s="17">
        <f t="shared" si="53"/>
        <v>-14.443015837622299</v>
      </c>
      <c r="AX43" s="17">
        <f t="shared" si="54"/>
        <v>-5.4671340591354998</v>
      </c>
      <c r="AY43" s="17">
        <f t="shared" si="55"/>
        <v>163.004643670945</v>
      </c>
      <c r="AZ43" s="17">
        <f t="shared" si="56"/>
        <v>33.009314843285303</v>
      </c>
      <c r="BA43" s="17">
        <f t="shared" si="57"/>
        <v>98.006979257115105</v>
      </c>
      <c r="BB43" s="17">
        <f t="shared" si="58"/>
        <v>141.32563251524499</v>
      </c>
      <c r="BC43" s="17">
        <f t="shared" si="59"/>
        <v>32.576520653117797</v>
      </c>
      <c r="BD43" s="17">
        <f t="shared" si="60"/>
        <v>86.951076584181394</v>
      </c>
      <c r="BE43" s="17" t="str">
        <f>IF(AND(BD43&lt;=AA43,BB43&lt;=AA43*MongDon!$J$44,BC43&gt;0),"Ok","FAIL")</f>
        <v>Ok</v>
      </c>
      <c r="BF43" s="17">
        <f t="shared" si="61"/>
        <v>190.97624052487899</v>
      </c>
      <c r="BG43" s="17">
        <f t="shared" si="62"/>
        <v>352.5</v>
      </c>
      <c r="BH43" s="17" t="str">
        <f t="shared" si="63"/>
        <v>Ok</v>
      </c>
      <c r="BI43" s="17">
        <f t="shared" si="64"/>
        <v>54.688265362779497</v>
      </c>
      <c r="BJ43" s="17">
        <f t="shared" si="65"/>
        <v>30.184145878765602</v>
      </c>
      <c r="BK43" s="17">
        <f t="shared" si="66"/>
        <v>19.2089969970854</v>
      </c>
      <c r="BL43" s="17">
        <f t="shared" si="67"/>
        <v>43.713116481099298</v>
      </c>
      <c r="BM43" s="17">
        <f t="shared" si="68"/>
        <v>88.125</v>
      </c>
      <c r="BN43" s="17">
        <f t="shared" si="69"/>
        <v>88.125</v>
      </c>
      <c r="BO43" s="17">
        <f t="shared" si="70"/>
        <v>88.125</v>
      </c>
      <c r="BP43" s="17">
        <f t="shared" si="71"/>
        <v>88.125</v>
      </c>
      <c r="BQ43" s="17" t="str">
        <f t="shared" si="72"/>
        <v>Ok</v>
      </c>
      <c r="BR43" s="17">
        <f t="shared" si="73"/>
        <v>60.999905197416403</v>
      </c>
      <c r="BS43" s="17">
        <f t="shared" si="74"/>
        <v>7.7509137904976004</v>
      </c>
      <c r="BT43" s="16">
        <f>MongDon!$H$80</f>
        <v>1.2</v>
      </c>
      <c r="BU43" s="17" t="str">
        <f t="shared" si="75"/>
        <v>Ok</v>
      </c>
      <c r="BV43" s="17">
        <f t="shared" si="76"/>
        <v>6.1528548117039001</v>
      </c>
      <c r="BW43" s="16">
        <f>MongDon!$F$86</f>
        <v>1.5</v>
      </c>
      <c r="BX43" s="17" t="str">
        <f t="shared" si="77"/>
        <v>Ok</v>
      </c>
      <c r="BY43" s="17">
        <f t="shared" si="78"/>
        <v>163.004643670945</v>
      </c>
      <c r="BZ43" s="17">
        <f t="shared" si="79"/>
        <v>127.118780004277</v>
      </c>
      <c r="CA43" s="17">
        <f t="shared" si="80"/>
        <v>33.009314843285303</v>
      </c>
      <c r="CB43" s="17">
        <f t="shared" si="81"/>
        <v>68.895178509952899</v>
      </c>
      <c r="CC43" s="17">
        <f t="shared" si="82"/>
        <v>102.93359169125</v>
      </c>
      <c r="CD43" s="17">
        <f t="shared" si="83"/>
        <v>109.006584004071</v>
      </c>
      <c r="CE43" s="17">
        <f t="shared" si="84"/>
        <v>109.006584004071</v>
      </c>
      <c r="CF43" s="17">
        <f t="shared" si="85"/>
        <v>93.080366822979997</v>
      </c>
      <c r="CG43" s="17">
        <f t="shared" si="86"/>
        <v>21.141771347413702</v>
      </c>
      <c r="CH43" s="17">
        <f t="shared" si="87"/>
        <v>21.141771347413702</v>
      </c>
      <c r="CI43" s="17">
        <f t="shared" si="88"/>
        <v>361.39780081049099</v>
      </c>
      <c r="CJ43" s="17">
        <f t="shared" si="89"/>
        <v>361.39780081049099</v>
      </c>
    </row>
    <row r="44" spans="2:88">
      <c r="B44" s="3">
        <v>9</v>
      </c>
      <c r="C44" s="3" t="s">
        <v>23</v>
      </c>
      <c r="D44" s="4">
        <v>4.1017920764893898E-2</v>
      </c>
      <c r="E44" s="4">
        <v>-2.4345526768901502</v>
      </c>
      <c r="F44" s="4">
        <v>185.58744416020201</v>
      </c>
      <c r="G44" s="4">
        <v>2.4812565154256099</v>
      </c>
      <c r="H44" s="4">
        <v>0.19988761601645899</v>
      </c>
      <c r="I44" s="4" t="s">
        <v>13</v>
      </c>
      <c r="J44" s="4">
        <v>4.6253545913701698E-3</v>
      </c>
      <c r="K44" s="4">
        <v>-2.10497381494763</v>
      </c>
      <c r="L44" s="4">
        <v>159.64604731892399</v>
      </c>
      <c r="M44" s="4">
        <v>2.1406419677903301</v>
      </c>
      <c r="N44" s="4">
        <v>0.137595577134625</v>
      </c>
      <c r="O44" s="4">
        <v>1.4</v>
      </c>
      <c r="P44" s="4">
        <v>1.4</v>
      </c>
      <c r="Q44" s="4">
        <v>0.22</v>
      </c>
      <c r="R44" s="4">
        <v>0.22</v>
      </c>
      <c r="S44" s="4">
        <v>0</v>
      </c>
      <c r="T44" s="4">
        <v>0</v>
      </c>
      <c r="U44" s="4">
        <v>0.3</v>
      </c>
      <c r="V44" s="4">
        <v>0.05</v>
      </c>
      <c r="W44" s="4">
        <v>1</v>
      </c>
      <c r="X44" s="4">
        <v>19.100000000000001</v>
      </c>
      <c r="Y44" s="4">
        <v>0</v>
      </c>
      <c r="Z44" s="4">
        <v>1.5</v>
      </c>
      <c r="AA44" s="4">
        <v>139</v>
      </c>
      <c r="AB44" s="4">
        <v>12.1</v>
      </c>
      <c r="AC44" s="4">
        <v>19.5</v>
      </c>
      <c r="AD44" s="3" t="s">
        <v>42</v>
      </c>
      <c r="AE44" s="3" t="s">
        <v>61</v>
      </c>
      <c r="AF44" s="17">
        <f>HLOOKUP(AD44,Data!$B$4:$M$9,2,0)</f>
        <v>13</v>
      </c>
      <c r="AG44" s="17">
        <f>HLOOKUP(AD44,Data!$B$4:$M$9,3,0)</f>
        <v>1</v>
      </c>
      <c r="AH44" s="17">
        <f>HLOOKUP(AE44,Data!$B$13:$I$18,3,0)</f>
        <v>260</v>
      </c>
      <c r="AI44" s="18">
        <f t="shared" si="39"/>
        <v>1.96</v>
      </c>
      <c r="AJ44" s="17">
        <f t="shared" si="40"/>
        <v>0.45733333333333298</v>
      </c>
      <c r="AK44" s="17">
        <f t="shared" si="41"/>
        <v>0.45733333333333298</v>
      </c>
      <c r="AL44" s="17">
        <f t="shared" si="42"/>
        <v>0.25</v>
      </c>
      <c r="AM44" s="17">
        <f t="shared" si="43"/>
        <v>0.59</v>
      </c>
      <c r="AN44" s="17">
        <f t="shared" si="44"/>
        <v>0.59</v>
      </c>
      <c r="AO44" s="17">
        <f t="shared" si="45"/>
        <v>0.59</v>
      </c>
      <c r="AP44" s="17">
        <f t="shared" si="46"/>
        <v>0.59</v>
      </c>
      <c r="AQ44" s="17">
        <f t="shared" si="47"/>
        <v>1.88</v>
      </c>
      <c r="AR44" s="17">
        <f t="shared" si="48"/>
        <v>1.4416</v>
      </c>
      <c r="AS44" s="17">
        <f t="shared" si="49"/>
        <v>185.58744416020201</v>
      </c>
      <c r="AT44" s="17">
        <f t="shared" si="50"/>
        <v>3.2116223184926498</v>
      </c>
      <c r="AU44" s="17">
        <f t="shared" si="51"/>
        <v>0.212192992245927</v>
      </c>
      <c r="AV44" s="17">
        <f t="shared" si="52"/>
        <v>159.64604731892399</v>
      </c>
      <c r="AW44" s="17">
        <f t="shared" si="53"/>
        <v>2.7721341122746201</v>
      </c>
      <c r="AX44" s="17">
        <f t="shared" si="54"/>
        <v>0.13898318351203601</v>
      </c>
      <c r="AY44" s="17">
        <f t="shared" si="55"/>
        <v>122.77394813728699</v>
      </c>
      <c r="AZ44" s="17">
        <f t="shared" si="56"/>
        <v>107.800994883328</v>
      </c>
      <c r="BA44" s="17">
        <f t="shared" si="57"/>
        <v>115.287471510307</v>
      </c>
      <c r="BB44" s="17">
        <f t="shared" si="58"/>
        <v>108.417481786157</v>
      </c>
      <c r="BC44" s="17">
        <f t="shared" si="59"/>
        <v>95.686648131112904</v>
      </c>
      <c r="BD44" s="17">
        <f t="shared" si="60"/>
        <v>102.052064958635</v>
      </c>
      <c r="BE44" s="17" t="str">
        <f>IF(AND(BD44&lt;=AA44,BB44&lt;=AA44*MongDon!$J$44,BC44&gt;0),"Ok","FAIL")</f>
        <v>Ok</v>
      </c>
      <c r="BF44" s="17">
        <f t="shared" si="61"/>
        <v>176.990923634712</v>
      </c>
      <c r="BG44" s="17">
        <f t="shared" si="62"/>
        <v>352.5</v>
      </c>
      <c r="BH44" s="17" t="str">
        <f t="shared" si="63"/>
        <v>Ok</v>
      </c>
      <c r="BI44" s="17">
        <f t="shared" si="64"/>
        <v>51.534127495169002</v>
      </c>
      <c r="BJ44" s="17">
        <f t="shared" si="65"/>
        <v>55.0976903696112</v>
      </c>
      <c r="BK44" s="17">
        <f t="shared" si="66"/>
        <v>58.219545382643503</v>
      </c>
      <c r="BL44" s="17">
        <f t="shared" si="67"/>
        <v>54.655982508201298</v>
      </c>
      <c r="BM44" s="17">
        <f t="shared" si="68"/>
        <v>88.125</v>
      </c>
      <c r="BN44" s="17">
        <f t="shared" si="69"/>
        <v>88.125</v>
      </c>
      <c r="BO44" s="17">
        <f t="shared" si="70"/>
        <v>88.125</v>
      </c>
      <c r="BP44" s="17">
        <f t="shared" si="71"/>
        <v>88.125</v>
      </c>
      <c r="BQ44" s="17" t="str">
        <f t="shared" si="72"/>
        <v>Ok</v>
      </c>
      <c r="BR44" s="17">
        <f t="shared" si="73"/>
        <v>78.006500601931506</v>
      </c>
      <c r="BS44" s="17">
        <f t="shared" si="74"/>
        <v>32.041410047276301</v>
      </c>
      <c r="BT44" s="16">
        <f>MongDon!$H$80</f>
        <v>1.2</v>
      </c>
      <c r="BU44" s="17" t="str">
        <f t="shared" si="75"/>
        <v>Ok</v>
      </c>
      <c r="BV44" s="17">
        <f t="shared" si="76"/>
        <v>48.609828750166699</v>
      </c>
      <c r="BW44" s="16">
        <f>MongDon!$F$86</f>
        <v>1.5</v>
      </c>
      <c r="BX44" s="17" t="str">
        <f t="shared" si="77"/>
        <v>Ok</v>
      </c>
      <c r="BY44" s="17">
        <f t="shared" si="78"/>
        <v>107.800994883328</v>
      </c>
      <c r="BZ44" s="17">
        <f t="shared" si="79"/>
        <v>108.728952575365</v>
      </c>
      <c r="CA44" s="17">
        <f t="shared" si="80"/>
        <v>122.77394813728699</v>
      </c>
      <c r="CB44" s="17">
        <f t="shared" si="81"/>
        <v>121.845990445249</v>
      </c>
      <c r="CC44" s="17">
        <f t="shared" si="82"/>
        <v>116.463917837404</v>
      </c>
      <c r="CD44" s="17">
        <f t="shared" si="83"/>
        <v>116.318095914369</v>
      </c>
      <c r="CE44" s="17">
        <f t="shared" si="84"/>
        <v>114.256847106245</v>
      </c>
      <c r="CF44" s="17">
        <f t="shared" si="85"/>
        <v>116.463917837404</v>
      </c>
      <c r="CG44" s="17">
        <f t="shared" si="86"/>
        <v>21.002718748729901</v>
      </c>
      <c r="CH44" s="17">
        <f t="shared" si="87"/>
        <v>21.002718748729901</v>
      </c>
      <c r="CI44" s="17">
        <f t="shared" si="88"/>
        <v>359.02083331162203</v>
      </c>
      <c r="CJ44" s="17">
        <f t="shared" si="89"/>
        <v>359.02083331162203</v>
      </c>
    </row>
    <row r="45" spans="2:88">
      <c r="B45" s="3">
        <v>9</v>
      </c>
      <c r="C45" s="3" t="s">
        <v>24</v>
      </c>
      <c r="D45" s="4">
        <v>0.112877982193667</v>
      </c>
      <c r="E45" s="4">
        <v>-2.6727156377856698</v>
      </c>
      <c r="F45" s="4">
        <v>205.54102837897301</v>
      </c>
      <c r="G45" s="4">
        <v>2.7343572171380899</v>
      </c>
      <c r="H45" s="4">
        <v>0.29695257835320299</v>
      </c>
      <c r="I45" s="4" t="s">
        <v>14</v>
      </c>
      <c r="J45" s="4">
        <v>6.4508739115348004E-2</v>
      </c>
      <c r="K45" s="4">
        <v>-2.3034429490272301</v>
      </c>
      <c r="L45" s="4">
        <v>176.2740341679</v>
      </c>
      <c r="M45" s="4">
        <v>2.3515592192174002</v>
      </c>
      <c r="N45" s="4">
        <v>0.21848304574857799</v>
      </c>
      <c r="O45" s="4">
        <v>1.4</v>
      </c>
      <c r="P45" s="4">
        <v>1.4</v>
      </c>
      <c r="Q45" s="4">
        <v>0.22</v>
      </c>
      <c r="R45" s="4">
        <v>0.22</v>
      </c>
      <c r="S45" s="4">
        <v>0</v>
      </c>
      <c r="T45" s="4">
        <v>0</v>
      </c>
      <c r="U45" s="4">
        <v>0.3</v>
      </c>
      <c r="V45" s="4">
        <v>0.05</v>
      </c>
      <c r="W45" s="4">
        <v>1</v>
      </c>
      <c r="X45" s="4">
        <v>19.100000000000001</v>
      </c>
      <c r="Y45" s="4">
        <v>0</v>
      </c>
      <c r="Z45" s="4">
        <v>1.5</v>
      </c>
      <c r="AA45" s="4">
        <v>139</v>
      </c>
      <c r="AB45" s="4">
        <v>12.1</v>
      </c>
      <c r="AC45" s="4">
        <v>19.5</v>
      </c>
      <c r="AD45" s="3" t="s">
        <v>42</v>
      </c>
      <c r="AE45" s="3" t="s">
        <v>61</v>
      </c>
      <c r="AF45" s="17">
        <f>HLOOKUP(AD45,Data!$B$4:$M$9,2,0)</f>
        <v>13</v>
      </c>
      <c r="AG45" s="17">
        <f>HLOOKUP(AD45,Data!$B$4:$M$9,3,0)</f>
        <v>1</v>
      </c>
      <c r="AH45" s="17">
        <f>HLOOKUP(AE45,Data!$B$13:$I$18,3,0)</f>
        <v>260</v>
      </c>
      <c r="AI45" s="18">
        <f t="shared" si="39"/>
        <v>1.96</v>
      </c>
      <c r="AJ45" s="17">
        <f t="shared" si="40"/>
        <v>0.45733333333333298</v>
      </c>
      <c r="AK45" s="17">
        <f t="shared" si="41"/>
        <v>0.45733333333333298</v>
      </c>
      <c r="AL45" s="17">
        <f t="shared" si="42"/>
        <v>0.25</v>
      </c>
      <c r="AM45" s="17">
        <f t="shared" si="43"/>
        <v>0.59</v>
      </c>
      <c r="AN45" s="17">
        <f t="shared" si="44"/>
        <v>0.59</v>
      </c>
      <c r="AO45" s="17">
        <f t="shared" si="45"/>
        <v>0.59</v>
      </c>
      <c r="AP45" s="17">
        <f t="shared" si="46"/>
        <v>0.59</v>
      </c>
      <c r="AQ45" s="17">
        <f t="shared" si="47"/>
        <v>1.88</v>
      </c>
      <c r="AR45" s="17">
        <f t="shared" si="48"/>
        <v>1.4416</v>
      </c>
      <c r="AS45" s="17">
        <f t="shared" si="49"/>
        <v>205.54102837897301</v>
      </c>
      <c r="AT45" s="17">
        <f t="shared" si="50"/>
        <v>3.5361719084737899</v>
      </c>
      <c r="AU45" s="17">
        <f t="shared" si="51"/>
        <v>0.330815973011303</v>
      </c>
      <c r="AV45" s="17">
        <f t="shared" si="52"/>
        <v>176.2740341679</v>
      </c>
      <c r="AW45" s="17">
        <f t="shared" si="53"/>
        <v>3.0425921039255699</v>
      </c>
      <c r="AX45" s="17">
        <f t="shared" si="54"/>
        <v>0.237835667483182</v>
      </c>
      <c r="AY45" s="17">
        <f t="shared" si="55"/>
        <v>133.92338448231499</v>
      </c>
      <c r="AZ45" s="17">
        <f t="shared" si="56"/>
        <v>117.012358761535</v>
      </c>
      <c r="BA45" s="17">
        <f t="shared" si="57"/>
        <v>125.467871621925</v>
      </c>
      <c r="BB45" s="17">
        <f t="shared" si="58"/>
        <v>117.708678740347</v>
      </c>
      <c r="BC45" s="17">
        <f t="shared" si="59"/>
        <v>103.362784696285</v>
      </c>
      <c r="BD45" s="17">
        <f t="shared" si="60"/>
        <v>110.535731718316</v>
      </c>
      <c r="BE45" s="17" t="str">
        <f>IF(AND(BD45&lt;=AA45,BB45&lt;=AA45*MongDon!$J$44,BC45&gt;0),"Ok","FAIL")</f>
        <v>Ok</v>
      </c>
      <c r="BF45" s="17">
        <f t="shared" si="61"/>
        <v>193.06395106970601</v>
      </c>
      <c r="BG45" s="17">
        <f t="shared" si="62"/>
        <v>352.5</v>
      </c>
      <c r="BH45" s="17" t="str">
        <f t="shared" si="63"/>
        <v>Ok</v>
      </c>
      <c r="BI45" s="17">
        <f t="shared" si="64"/>
        <v>56.0422014362779</v>
      </c>
      <c r="BJ45" s="17">
        <f t="shared" si="65"/>
        <v>60.067025557823598</v>
      </c>
      <c r="BK45" s="17">
        <f t="shared" si="66"/>
        <v>63.403212347794799</v>
      </c>
      <c r="BL45" s="17">
        <f t="shared" si="67"/>
        <v>59.378388226249001</v>
      </c>
      <c r="BM45" s="17">
        <f t="shared" si="68"/>
        <v>88.125</v>
      </c>
      <c r="BN45" s="17">
        <f t="shared" si="69"/>
        <v>88.125</v>
      </c>
      <c r="BO45" s="17">
        <f t="shared" si="70"/>
        <v>88.125</v>
      </c>
      <c r="BP45" s="17">
        <f t="shared" si="71"/>
        <v>88.125</v>
      </c>
      <c r="BQ45" s="17" t="str">
        <f t="shared" si="72"/>
        <v>Ok</v>
      </c>
      <c r="BR45" s="17">
        <f t="shared" si="73"/>
        <v>82.284178405638599</v>
      </c>
      <c r="BS45" s="17">
        <f t="shared" si="74"/>
        <v>30.7867313837437</v>
      </c>
      <c r="BT45" s="16">
        <f>MongDon!$H$80</f>
        <v>1.2</v>
      </c>
      <c r="BU45" s="17" t="str">
        <f t="shared" si="75"/>
        <v>Ok</v>
      </c>
      <c r="BV45" s="17">
        <f t="shared" si="76"/>
        <v>48.0983176914295</v>
      </c>
      <c r="BW45" s="16">
        <f>MongDon!$F$86</f>
        <v>1.5</v>
      </c>
      <c r="BX45" s="17" t="str">
        <f t="shared" si="77"/>
        <v>Ok</v>
      </c>
      <c r="BY45" s="17">
        <f t="shared" si="78"/>
        <v>117.012358761535</v>
      </c>
      <c r="BZ45" s="17">
        <f t="shared" si="79"/>
        <v>118.459075844675</v>
      </c>
      <c r="CA45" s="17">
        <f t="shared" si="80"/>
        <v>133.92338448231499</v>
      </c>
      <c r="CB45" s="17">
        <f t="shared" si="81"/>
        <v>132.476667399175</v>
      </c>
      <c r="CC45" s="17">
        <f t="shared" si="82"/>
        <v>126.796595071415</v>
      </c>
      <c r="CD45" s="17">
        <f t="shared" si="83"/>
        <v>126.569253815493</v>
      </c>
      <c r="CE45" s="17">
        <f t="shared" si="84"/>
        <v>124.366489428357</v>
      </c>
      <c r="CF45" s="17">
        <f t="shared" si="85"/>
        <v>126.796595071415</v>
      </c>
      <c r="CG45" s="17">
        <f t="shared" si="86"/>
        <v>22.895892503491201</v>
      </c>
      <c r="CH45" s="17">
        <f t="shared" si="87"/>
        <v>22.895892503491201</v>
      </c>
      <c r="CI45" s="17">
        <f t="shared" si="88"/>
        <v>391.38277783745701</v>
      </c>
      <c r="CJ45" s="17">
        <f t="shared" si="89"/>
        <v>391.38277783745701</v>
      </c>
    </row>
    <row r="46" spans="2:88">
      <c r="B46" s="3">
        <v>9</v>
      </c>
      <c r="C46" s="3" t="s">
        <v>25</v>
      </c>
      <c r="D46" s="4">
        <v>-3.34404319987412</v>
      </c>
      <c r="E46" s="4">
        <v>-3.5564390537568999</v>
      </c>
      <c r="F46" s="4">
        <v>202.666183515721</v>
      </c>
      <c r="G46" s="4">
        <v>4.4373960038049702</v>
      </c>
      <c r="H46" s="4">
        <v>-5.0942109020063304</v>
      </c>
      <c r="I46" s="4" t="s">
        <v>15</v>
      </c>
      <c r="J46" s="4">
        <v>-2.8162589126078101</v>
      </c>
      <c r="K46" s="4">
        <v>-3.0398791290032601</v>
      </c>
      <c r="L46" s="4">
        <v>173.87833011519001</v>
      </c>
      <c r="M46" s="4">
        <v>3.7707582081064701</v>
      </c>
      <c r="N46" s="4">
        <v>-4.2741531878843704</v>
      </c>
      <c r="O46" s="4">
        <v>1.4</v>
      </c>
      <c r="P46" s="4">
        <v>1.4</v>
      </c>
      <c r="Q46" s="4">
        <v>0.22</v>
      </c>
      <c r="R46" s="4">
        <v>0.22</v>
      </c>
      <c r="S46" s="4">
        <v>0</v>
      </c>
      <c r="T46" s="4">
        <v>0</v>
      </c>
      <c r="U46" s="4">
        <v>0.3</v>
      </c>
      <c r="V46" s="4">
        <v>0.05</v>
      </c>
      <c r="W46" s="4">
        <v>1</v>
      </c>
      <c r="X46" s="4">
        <v>19.100000000000001</v>
      </c>
      <c r="Y46" s="4">
        <v>0</v>
      </c>
      <c r="Z46" s="4">
        <v>1.5</v>
      </c>
      <c r="AA46" s="4">
        <v>139</v>
      </c>
      <c r="AB46" s="4">
        <v>12.1</v>
      </c>
      <c r="AC46" s="4">
        <v>19.5</v>
      </c>
      <c r="AD46" s="3" t="s">
        <v>42</v>
      </c>
      <c r="AE46" s="3" t="s">
        <v>61</v>
      </c>
      <c r="AF46" s="17">
        <f>HLOOKUP(AD46,Data!$B$4:$M$9,2,0)</f>
        <v>13</v>
      </c>
      <c r="AG46" s="17">
        <f>HLOOKUP(AD46,Data!$B$4:$M$9,3,0)</f>
        <v>1</v>
      </c>
      <c r="AH46" s="17">
        <f>HLOOKUP(AE46,Data!$B$13:$I$18,3,0)</f>
        <v>260</v>
      </c>
      <c r="AI46" s="18">
        <f t="shared" si="39"/>
        <v>1.96</v>
      </c>
      <c r="AJ46" s="17">
        <f t="shared" si="40"/>
        <v>0.45733333333333298</v>
      </c>
      <c r="AK46" s="17">
        <f t="shared" si="41"/>
        <v>0.45733333333333298</v>
      </c>
      <c r="AL46" s="17">
        <f t="shared" si="42"/>
        <v>0.25</v>
      </c>
      <c r="AM46" s="17">
        <f t="shared" si="43"/>
        <v>0.59</v>
      </c>
      <c r="AN46" s="17">
        <f t="shared" si="44"/>
        <v>0.59</v>
      </c>
      <c r="AO46" s="17">
        <f t="shared" si="45"/>
        <v>0.59</v>
      </c>
      <c r="AP46" s="17">
        <f t="shared" si="46"/>
        <v>0.59</v>
      </c>
      <c r="AQ46" s="17">
        <f t="shared" si="47"/>
        <v>1.88</v>
      </c>
      <c r="AR46" s="17">
        <f t="shared" si="48"/>
        <v>1.4416</v>
      </c>
      <c r="AS46" s="17">
        <f t="shared" si="49"/>
        <v>202.666183515721</v>
      </c>
      <c r="AT46" s="17">
        <f t="shared" si="50"/>
        <v>5.5043277199320402</v>
      </c>
      <c r="AU46" s="17">
        <f t="shared" si="51"/>
        <v>-6.0974238619685703</v>
      </c>
      <c r="AV46" s="17">
        <f t="shared" si="52"/>
        <v>173.87833011519001</v>
      </c>
      <c r="AW46" s="17">
        <f t="shared" si="53"/>
        <v>4.6827219468074404</v>
      </c>
      <c r="AX46" s="17">
        <f t="shared" si="54"/>
        <v>-5.11903086166671</v>
      </c>
      <c r="AY46" s="17">
        <f t="shared" si="55"/>
        <v>149.369375515092</v>
      </c>
      <c r="AZ46" s="17">
        <f t="shared" si="56"/>
        <v>98.632852562174094</v>
      </c>
      <c r="BA46" s="17">
        <f t="shared" si="57"/>
        <v>124.00111403863301</v>
      </c>
      <c r="BB46" s="17">
        <f t="shared" si="58"/>
        <v>130.745837832402</v>
      </c>
      <c r="BC46" s="17">
        <f t="shared" si="59"/>
        <v>87.881029632077599</v>
      </c>
      <c r="BD46" s="17">
        <f t="shared" si="60"/>
        <v>109.31343373224</v>
      </c>
      <c r="BE46" s="17" t="str">
        <f>IF(AND(BD46&lt;=AA46,BB46&lt;=AA46*MongDon!$J$44,BC46&gt;0),"Ok","FAIL")</f>
        <v>Ok</v>
      </c>
      <c r="BF46" s="17">
        <f t="shared" si="61"/>
        <v>215.33089174255699</v>
      </c>
      <c r="BG46" s="17">
        <f t="shared" si="62"/>
        <v>352.5</v>
      </c>
      <c r="BH46" s="17" t="str">
        <f t="shared" si="63"/>
        <v>Ok</v>
      </c>
      <c r="BI46" s="17">
        <f t="shared" si="64"/>
        <v>53.295536124909098</v>
      </c>
      <c r="BJ46" s="17">
        <f t="shared" si="65"/>
        <v>52.6782319770752</v>
      </c>
      <c r="BK46" s="17">
        <f t="shared" si="66"/>
        <v>64.753524439869693</v>
      </c>
      <c r="BL46" s="17">
        <f t="shared" si="67"/>
        <v>65.370828587703599</v>
      </c>
      <c r="BM46" s="17">
        <f t="shared" si="68"/>
        <v>88.125</v>
      </c>
      <c r="BN46" s="17">
        <f t="shared" si="69"/>
        <v>88.125</v>
      </c>
      <c r="BO46" s="17">
        <f t="shared" si="70"/>
        <v>88.125</v>
      </c>
      <c r="BP46" s="17">
        <f t="shared" si="71"/>
        <v>88.125</v>
      </c>
      <c r="BQ46" s="17" t="str">
        <f t="shared" si="72"/>
        <v>Ok</v>
      </c>
      <c r="BR46" s="17">
        <f t="shared" si="73"/>
        <v>81.667865069357603</v>
      </c>
      <c r="BS46" s="17">
        <f t="shared" si="74"/>
        <v>22.9633810209925</v>
      </c>
      <c r="BT46" s="16">
        <f>MongDon!$H$80</f>
        <v>1.2</v>
      </c>
      <c r="BU46" s="17" t="str">
        <f t="shared" si="75"/>
        <v>Ok</v>
      </c>
      <c r="BV46" s="17">
        <f t="shared" si="76"/>
        <v>27.564350497152802</v>
      </c>
      <c r="BW46" s="16">
        <f>MongDon!$F$86</f>
        <v>1.5</v>
      </c>
      <c r="BX46" s="17" t="str">
        <f t="shared" si="77"/>
        <v>Ok</v>
      </c>
      <c r="BY46" s="17">
        <f t="shared" si="78"/>
        <v>125.297971492066</v>
      </c>
      <c r="BZ46" s="17">
        <f t="shared" si="79"/>
        <v>98.632852562174094</v>
      </c>
      <c r="CA46" s="17">
        <f t="shared" si="80"/>
        <v>122.70425658520099</v>
      </c>
      <c r="CB46" s="17">
        <f t="shared" si="81"/>
        <v>149.369375515092</v>
      </c>
      <c r="CC46" s="17">
        <f t="shared" si="82"/>
        <v>123.797322153094</v>
      </c>
      <c r="CD46" s="17">
        <f t="shared" si="83"/>
        <v>127.987555127791</v>
      </c>
      <c r="CE46" s="17">
        <f t="shared" si="84"/>
        <v>124.204905924173</v>
      </c>
      <c r="CF46" s="17">
        <f t="shared" si="85"/>
        <v>127.987555127791</v>
      </c>
      <c r="CG46" s="17">
        <f t="shared" si="86"/>
        <v>24.7572378622652</v>
      </c>
      <c r="CH46" s="17">
        <f t="shared" si="87"/>
        <v>24.7572378622652</v>
      </c>
      <c r="CI46" s="17">
        <f t="shared" si="88"/>
        <v>423.20064721820899</v>
      </c>
      <c r="CJ46" s="17">
        <f t="shared" si="89"/>
        <v>423.20064721820899</v>
      </c>
    </row>
    <row r="47" spans="2:88">
      <c r="B47" s="3">
        <v>9</v>
      </c>
      <c r="C47" s="3" t="s">
        <v>26</v>
      </c>
      <c r="D47" s="4">
        <v>3.5554271519756999</v>
      </c>
      <c r="E47" s="4">
        <v>-1.74135962963533</v>
      </c>
      <c r="F47" s="4">
        <v>204.42515639847099</v>
      </c>
      <c r="G47" s="4">
        <v>0.98069829012872201</v>
      </c>
      <c r="H47" s="4">
        <v>5.6687030662453903</v>
      </c>
      <c r="I47" s="4" t="s">
        <v>16</v>
      </c>
      <c r="J47" s="4">
        <v>2.9332997139337098</v>
      </c>
      <c r="K47" s="4">
        <v>-1.52731294223528</v>
      </c>
      <c r="L47" s="4">
        <v>175.34414085081499</v>
      </c>
      <c r="M47" s="4">
        <v>0.890176780042928</v>
      </c>
      <c r="N47" s="4">
        <v>4.6949417856587301</v>
      </c>
      <c r="O47" s="4">
        <v>1.4</v>
      </c>
      <c r="P47" s="4">
        <v>1.4</v>
      </c>
      <c r="Q47" s="4">
        <v>0.22</v>
      </c>
      <c r="R47" s="4">
        <v>0.22</v>
      </c>
      <c r="S47" s="4">
        <v>0</v>
      </c>
      <c r="T47" s="4">
        <v>0</v>
      </c>
      <c r="U47" s="4">
        <v>0.3</v>
      </c>
      <c r="V47" s="4">
        <v>0.05</v>
      </c>
      <c r="W47" s="4">
        <v>1</v>
      </c>
      <c r="X47" s="4">
        <v>19.100000000000001</v>
      </c>
      <c r="Y47" s="4">
        <v>0</v>
      </c>
      <c r="Z47" s="4">
        <v>1.5</v>
      </c>
      <c r="AA47" s="4">
        <v>139</v>
      </c>
      <c r="AB47" s="4">
        <v>12.1</v>
      </c>
      <c r="AC47" s="4">
        <v>19.5</v>
      </c>
      <c r="AD47" s="3" t="s">
        <v>42</v>
      </c>
      <c r="AE47" s="3" t="s">
        <v>61</v>
      </c>
      <c r="AF47" s="17">
        <f>HLOOKUP(AD47,Data!$B$4:$M$9,2,0)</f>
        <v>13</v>
      </c>
      <c r="AG47" s="17">
        <f>HLOOKUP(AD47,Data!$B$4:$M$9,3,0)</f>
        <v>1</v>
      </c>
      <c r="AH47" s="17">
        <f>HLOOKUP(AE47,Data!$B$13:$I$18,3,0)</f>
        <v>260</v>
      </c>
      <c r="AI47" s="18">
        <f t="shared" si="39"/>
        <v>1.96</v>
      </c>
      <c r="AJ47" s="17">
        <f t="shared" si="40"/>
        <v>0.45733333333333298</v>
      </c>
      <c r="AK47" s="17">
        <f t="shared" si="41"/>
        <v>0.45733333333333298</v>
      </c>
      <c r="AL47" s="17">
        <f t="shared" si="42"/>
        <v>0.25</v>
      </c>
      <c r="AM47" s="17">
        <f t="shared" si="43"/>
        <v>0.59</v>
      </c>
      <c r="AN47" s="17">
        <f t="shared" si="44"/>
        <v>0.59</v>
      </c>
      <c r="AO47" s="17">
        <f t="shared" si="45"/>
        <v>0.59</v>
      </c>
      <c r="AP47" s="17">
        <f t="shared" si="46"/>
        <v>0.59</v>
      </c>
      <c r="AQ47" s="17">
        <f t="shared" si="47"/>
        <v>1.88</v>
      </c>
      <c r="AR47" s="17">
        <f t="shared" si="48"/>
        <v>1.4416</v>
      </c>
      <c r="AS47" s="17">
        <f t="shared" si="49"/>
        <v>204.42515639847099</v>
      </c>
      <c r="AT47" s="17">
        <f t="shared" si="50"/>
        <v>1.5031061790193201</v>
      </c>
      <c r="AU47" s="17">
        <f t="shared" si="51"/>
        <v>6.7353312118381004</v>
      </c>
      <c r="AV47" s="17">
        <f t="shared" si="52"/>
        <v>175.34414085081499</v>
      </c>
      <c r="AW47" s="17">
        <f t="shared" si="53"/>
        <v>1.3483706627135099</v>
      </c>
      <c r="AX47" s="17">
        <f t="shared" si="54"/>
        <v>5.5749316998388396</v>
      </c>
      <c r="AY47" s="17">
        <f t="shared" si="55"/>
        <v>142.91262511042399</v>
      </c>
      <c r="AZ47" s="17">
        <f t="shared" si="56"/>
        <v>106.884473255362</v>
      </c>
      <c r="BA47" s="17">
        <f t="shared" si="57"/>
        <v>124.89854918289301</v>
      </c>
      <c r="BB47" s="17">
        <f t="shared" si="58"/>
        <v>125.19971259710501</v>
      </c>
      <c r="BC47" s="17">
        <f t="shared" si="59"/>
        <v>94.922880107808496</v>
      </c>
      <c r="BD47" s="17">
        <f t="shared" si="60"/>
        <v>110.06129635245701</v>
      </c>
      <c r="BE47" s="17" t="str">
        <f>IF(AND(BD47&lt;=AA47,BB47&lt;=AA47*MongDon!$J$44,BC47&gt;0),"Ok","FAIL")</f>
        <v>Ok</v>
      </c>
      <c r="BF47" s="17">
        <f t="shared" si="61"/>
        <v>206.022840359187</v>
      </c>
      <c r="BG47" s="17">
        <f t="shared" si="62"/>
        <v>352.5</v>
      </c>
      <c r="BH47" s="17" t="str">
        <f t="shared" si="63"/>
        <v>Ok</v>
      </c>
      <c r="BI47" s="17">
        <f t="shared" si="64"/>
        <v>57.887251959424901</v>
      </c>
      <c r="BJ47" s="17">
        <f t="shared" si="65"/>
        <v>66.461952100929494</v>
      </c>
      <c r="BK47" s="17">
        <f t="shared" si="66"/>
        <v>61.016166862689602</v>
      </c>
      <c r="BL47" s="17">
        <f t="shared" si="67"/>
        <v>52.441466721184902</v>
      </c>
      <c r="BM47" s="17">
        <f t="shared" si="68"/>
        <v>88.125</v>
      </c>
      <c r="BN47" s="17">
        <f t="shared" si="69"/>
        <v>88.125</v>
      </c>
      <c r="BO47" s="17">
        <f t="shared" si="70"/>
        <v>88.125</v>
      </c>
      <c r="BP47" s="17">
        <f t="shared" si="71"/>
        <v>88.125</v>
      </c>
      <c r="BQ47" s="17" t="str">
        <f t="shared" si="72"/>
        <v>Ok</v>
      </c>
      <c r="BR47" s="17">
        <f t="shared" si="73"/>
        <v>82.044956181178193</v>
      </c>
      <c r="BS47" s="17">
        <f t="shared" si="74"/>
        <v>23.0759772804196</v>
      </c>
      <c r="BT47" s="16">
        <f>MongDon!$H$80</f>
        <v>1.2</v>
      </c>
      <c r="BU47" s="17" t="str">
        <f t="shared" si="75"/>
        <v>Ok</v>
      </c>
      <c r="BV47" s="17">
        <f t="shared" si="76"/>
        <v>25.136523231605999</v>
      </c>
      <c r="BW47" s="16">
        <f>MongDon!$F$86</f>
        <v>1.5</v>
      </c>
      <c r="BX47" s="17" t="str">
        <f t="shared" si="77"/>
        <v>Ok</v>
      </c>
      <c r="BY47" s="17">
        <f t="shared" si="78"/>
        <v>106.884473255362</v>
      </c>
      <c r="BZ47" s="17">
        <f t="shared" si="79"/>
        <v>136.339274473313</v>
      </c>
      <c r="CA47" s="17">
        <f t="shared" si="80"/>
        <v>142.91262511042399</v>
      </c>
      <c r="CB47" s="17">
        <f t="shared" si="81"/>
        <v>113.457823892473</v>
      </c>
      <c r="CC47" s="17">
        <f t="shared" si="82"/>
        <v>127.729332542934</v>
      </c>
      <c r="CD47" s="17">
        <f t="shared" si="83"/>
        <v>123.10072092297</v>
      </c>
      <c r="CE47" s="17">
        <f t="shared" si="84"/>
        <v>126.696377442816</v>
      </c>
      <c r="CF47" s="17">
        <f t="shared" si="85"/>
        <v>127.729332542934</v>
      </c>
      <c r="CG47" s="17">
        <f t="shared" si="86"/>
        <v>23.9930583766788</v>
      </c>
      <c r="CH47" s="17">
        <f t="shared" si="87"/>
        <v>23.9930583766788</v>
      </c>
      <c r="CI47" s="17">
        <f t="shared" si="88"/>
        <v>410.13775002869698</v>
      </c>
      <c r="CJ47" s="17">
        <f t="shared" si="89"/>
        <v>410.13775002869698</v>
      </c>
    </row>
    <row r="48" spans="2:88">
      <c r="B48" s="3">
        <v>9</v>
      </c>
      <c r="C48" s="3" t="s">
        <v>27</v>
      </c>
      <c r="D48" s="4">
        <v>3.5281859820155099</v>
      </c>
      <c r="E48" s="4">
        <v>-11.0350519503626</v>
      </c>
      <c r="F48" s="4">
        <v>199.66652982306701</v>
      </c>
      <c r="G48" s="4">
        <v>18.488169814427199</v>
      </c>
      <c r="H48" s="4">
        <v>5.63964123029458</v>
      </c>
      <c r="I48" s="4" t="s">
        <v>17</v>
      </c>
      <c r="J48" s="4">
        <v>2.9105987389668799</v>
      </c>
      <c r="K48" s="4">
        <v>-9.2720565428413195</v>
      </c>
      <c r="L48" s="4">
        <v>171.37861870464499</v>
      </c>
      <c r="M48" s="4">
        <v>15.479736383624999</v>
      </c>
      <c r="N48" s="4">
        <v>4.6707235890330603</v>
      </c>
      <c r="O48" s="4">
        <v>1.4</v>
      </c>
      <c r="P48" s="4">
        <v>1.4</v>
      </c>
      <c r="Q48" s="4">
        <v>0.22</v>
      </c>
      <c r="R48" s="4">
        <v>0.22</v>
      </c>
      <c r="S48" s="4">
        <v>0</v>
      </c>
      <c r="T48" s="4">
        <v>0</v>
      </c>
      <c r="U48" s="4">
        <v>0.3</v>
      </c>
      <c r="V48" s="4">
        <v>0.05</v>
      </c>
      <c r="W48" s="4">
        <v>1</v>
      </c>
      <c r="X48" s="4">
        <v>19.100000000000001</v>
      </c>
      <c r="Y48" s="4">
        <v>0</v>
      </c>
      <c r="Z48" s="4">
        <v>1.5</v>
      </c>
      <c r="AA48" s="4">
        <v>139</v>
      </c>
      <c r="AB48" s="4">
        <v>12.1</v>
      </c>
      <c r="AC48" s="4">
        <v>19.5</v>
      </c>
      <c r="AD48" s="3" t="s">
        <v>42</v>
      </c>
      <c r="AE48" s="3" t="s">
        <v>61</v>
      </c>
      <c r="AF48" s="17">
        <f>HLOOKUP(AD48,Data!$B$4:$M$9,2,0)</f>
        <v>13</v>
      </c>
      <c r="AG48" s="17">
        <f>HLOOKUP(AD48,Data!$B$4:$M$9,3,0)</f>
        <v>1</v>
      </c>
      <c r="AH48" s="17">
        <f>HLOOKUP(AE48,Data!$B$13:$I$18,3,0)</f>
        <v>260</v>
      </c>
      <c r="AI48" s="18">
        <f t="shared" si="39"/>
        <v>1.96</v>
      </c>
      <c r="AJ48" s="17">
        <f t="shared" si="40"/>
        <v>0.45733333333333298</v>
      </c>
      <c r="AK48" s="17">
        <f t="shared" si="41"/>
        <v>0.45733333333333298</v>
      </c>
      <c r="AL48" s="17">
        <f t="shared" si="42"/>
        <v>0.25</v>
      </c>
      <c r="AM48" s="17">
        <f t="shared" si="43"/>
        <v>0.59</v>
      </c>
      <c r="AN48" s="17">
        <f t="shared" si="44"/>
        <v>0.59</v>
      </c>
      <c r="AO48" s="17">
        <f t="shared" si="45"/>
        <v>0.59</v>
      </c>
      <c r="AP48" s="17">
        <f t="shared" si="46"/>
        <v>0.59</v>
      </c>
      <c r="AQ48" s="17">
        <f t="shared" si="47"/>
        <v>1.88</v>
      </c>
      <c r="AR48" s="17">
        <f t="shared" si="48"/>
        <v>1.4416</v>
      </c>
      <c r="AS48" s="17">
        <f t="shared" si="49"/>
        <v>199.66652982306701</v>
      </c>
      <c r="AT48" s="17">
        <f t="shared" si="50"/>
        <v>21.798685399536001</v>
      </c>
      <c r="AU48" s="17">
        <f t="shared" si="51"/>
        <v>6.6980970248992397</v>
      </c>
      <c r="AV48" s="17">
        <f t="shared" si="52"/>
        <v>171.37861870464499</v>
      </c>
      <c r="AW48" s="17">
        <f t="shared" si="53"/>
        <v>18.261353346477399</v>
      </c>
      <c r="AX48" s="17">
        <f t="shared" si="54"/>
        <v>5.5439032107231201</v>
      </c>
      <c r="AY48" s="17">
        <f t="shared" si="55"/>
        <v>184.781427222633</v>
      </c>
      <c r="AZ48" s="17">
        <f t="shared" si="56"/>
        <v>60.159929739680003</v>
      </c>
      <c r="BA48" s="17">
        <f t="shared" si="57"/>
        <v>122.470678481156</v>
      </c>
      <c r="BB48" s="17">
        <f t="shared" si="58"/>
        <v>160.09038102394501</v>
      </c>
      <c r="BC48" s="17">
        <f t="shared" si="59"/>
        <v>55.985760511406397</v>
      </c>
      <c r="BD48" s="17">
        <f t="shared" si="60"/>
        <v>108.038070767676</v>
      </c>
      <c r="BE48" s="17" t="str">
        <f>IF(AND(BD48&lt;=AA48,BB48&lt;=AA48*MongDon!$J$44,BC48&gt;0),"Ok","FAIL")</f>
        <v>Ok</v>
      </c>
      <c r="BF48" s="17">
        <f t="shared" si="61"/>
        <v>266.380905484148</v>
      </c>
      <c r="BG48" s="17">
        <f t="shared" si="62"/>
        <v>352.5</v>
      </c>
      <c r="BH48" s="17" t="str">
        <f t="shared" si="63"/>
        <v>Ok</v>
      </c>
      <c r="BI48" s="17">
        <f t="shared" si="64"/>
        <v>35.607615296288898</v>
      </c>
      <c r="BJ48" s="17">
        <f t="shared" si="65"/>
        <v>65.267531697231703</v>
      </c>
      <c r="BK48" s="17">
        <f t="shared" si="66"/>
        <v>80.984470617772004</v>
      </c>
      <c r="BL48" s="17">
        <f t="shared" si="67"/>
        <v>51.324554216829199</v>
      </c>
      <c r="BM48" s="17">
        <f t="shared" si="68"/>
        <v>88.125</v>
      </c>
      <c r="BN48" s="17">
        <f t="shared" si="69"/>
        <v>88.125</v>
      </c>
      <c r="BO48" s="17">
        <f t="shared" si="70"/>
        <v>88.125</v>
      </c>
      <c r="BP48" s="17">
        <f t="shared" si="71"/>
        <v>88.125</v>
      </c>
      <c r="BQ48" s="17" t="str">
        <f t="shared" si="72"/>
        <v>Ok</v>
      </c>
      <c r="BR48" s="17">
        <f t="shared" si="73"/>
        <v>81.024795038470401</v>
      </c>
      <c r="BS48" s="17">
        <f t="shared" si="74"/>
        <v>7.3424933025175401</v>
      </c>
      <c r="BT48" s="16">
        <f>MongDon!$H$80</f>
        <v>1.2</v>
      </c>
      <c r="BU48" s="17" t="str">
        <f t="shared" si="75"/>
        <v>Ok</v>
      </c>
      <c r="BV48" s="17">
        <f t="shared" si="76"/>
        <v>7.6138431210021302</v>
      </c>
      <c r="BW48" s="16">
        <f>MongDon!$F$86</f>
        <v>1.5</v>
      </c>
      <c r="BX48" s="17" t="str">
        <f t="shared" si="77"/>
        <v>Ok</v>
      </c>
      <c r="BY48" s="17">
        <f t="shared" si="78"/>
        <v>60.159929739680003</v>
      </c>
      <c r="BZ48" s="17">
        <f t="shared" si="79"/>
        <v>89.451899236323897</v>
      </c>
      <c r="CA48" s="17">
        <f t="shared" si="80"/>
        <v>184.781427222633</v>
      </c>
      <c r="CB48" s="17">
        <f t="shared" si="81"/>
        <v>155.48945772598901</v>
      </c>
      <c r="CC48" s="17">
        <f t="shared" si="82"/>
        <v>132.26236756910299</v>
      </c>
      <c r="CD48" s="17">
        <f t="shared" si="83"/>
        <v>127.659343791059</v>
      </c>
      <c r="CE48" s="17">
        <f t="shared" si="84"/>
        <v>117.28201317125399</v>
      </c>
      <c r="CF48" s="17">
        <f t="shared" si="85"/>
        <v>132.26236756910299</v>
      </c>
      <c r="CG48" s="17">
        <f t="shared" si="86"/>
        <v>29.114226630533601</v>
      </c>
      <c r="CH48" s="17">
        <f t="shared" si="87"/>
        <v>29.114226630533601</v>
      </c>
      <c r="CI48" s="17">
        <f t="shared" si="88"/>
        <v>497.67908770142901</v>
      </c>
      <c r="CJ48" s="17">
        <f t="shared" si="89"/>
        <v>497.67908770142901</v>
      </c>
    </row>
    <row r="49" spans="2:88">
      <c r="B49" s="3">
        <v>9</v>
      </c>
      <c r="C49" s="3" t="s">
        <v>28</v>
      </c>
      <c r="D49" s="4">
        <v>-3.31680202991393</v>
      </c>
      <c r="E49" s="4">
        <v>5.7372532669703604</v>
      </c>
      <c r="F49" s="4">
        <v>207.42481009112501</v>
      </c>
      <c r="G49" s="4">
        <v>-13.0700755204935</v>
      </c>
      <c r="H49" s="4">
        <v>-5.0651490660555298</v>
      </c>
      <c r="I49" s="4" t="s">
        <v>18</v>
      </c>
      <c r="J49" s="4">
        <v>-2.7935579376409798</v>
      </c>
      <c r="K49" s="4">
        <v>4.7048644716027903</v>
      </c>
      <c r="L49" s="4">
        <v>177.84385226136001</v>
      </c>
      <c r="M49" s="4">
        <v>-10.818801395475599</v>
      </c>
      <c r="N49" s="4">
        <v>-4.2499349912586997</v>
      </c>
      <c r="O49" s="4">
        <v>1.4</v>
      </c>
      <c r="P49" s="4">
        <v>1.4</v>
      </c>
      <c r="Q49" s="4">
        <v>0.22</v>
      </c>
      <c r="R49" s="4">
        <v>0.22</v>
      </c>
      <c r="S49" s="4">
        <v>0</v>
      </c>
      <c r="T49" s="4">
        <v>0</v>
      </c>
      <c r="U49" s="4">
        <v>0.3</v>
      </c>
      <c r="V49" s="4">
        <v>0.05</v>
      </c>
      <c r="W49" s="4">
        <v>1</v>
      </c>
      <c r="X49" s="4">
        <v>19.100000000000001</v>
      </c>
      <c r="Y49" s="4">
        <v>0</v>
      </c>
      <c r="Z49" s="4">
        <v>1.5</v>
      </c>
      <c r="AA49" s="4">
        <v>139</v>
      </c>
      <c r="AB49" s="4">
        <v>12.1</v>
      </c>
      <c r="AC49" s="4">
        <v>19.5</v>
      </c>
      <c r="AD49" s="3" t="s">
        <v>42</v>
      </c>
      <c r="AE49" s="3" t="s">
        <v>61</v>
      </c>
      <c r="AF49" s="17">
        <f>HLOOKUP(AD49,Data!$B$4:$M$9,2,0)</f>
        <v>13</v>
      </c>
      <c r="AG49" s="17">
        <f>HLOOKUP(AD49,Data!$B$4:$M$9,3,0)</f>
        <v>1</v>
      </c>
      <c r="AH49" s="17">
        <f>HLOOKUP(AE49,Data!$B$13:$I$18,3,0)</f>
        <v>260</v>
      </c>
      <c r="AI49" s="18">
        <f t="shared" si="39"/>
        <v>1.96</v>
      </c>
      <c r="AJ49" s="17">
        <f t="shared" si="40"/>
        <v>0.45733333333333298</v>
      </c>
      <c r="AK49" s="17">
        <f t="shared" si="41"/>
        <v>0.45733333333333298</v>
      </c>
      <c r="AL49" s="17">
        <f t="shared" si="42"/>
        <v>0.25</v>
      </c>
      <c r="AM49" s="17">
        <f t="shared" si="43"/>
        <v>0.59</v>
      </c>
      <c r="AN49" s="17">
        <f t="shared" si="44"/>
        <v>0.59</v>
      </c>
      <c r="AO49" s="17">
        <f t="shared" si="45"/>
        <v>0.59</v>
      </c>
      <c r="AP49" s="17">
        <f t="shared" si="46"/>
        <v>0.59</v>
      </c>
      <c r="AQ49" s="17">
        <f t="shared" si="47"/>
        <v>1.88</v>
      </c>
      <c r="AR49" s="17">
        <f t="shared" si="48"/>
        <v>1.4416</v>
      </c>
      <c r="AS49" s="17">
        <f t="shared" si="49"/>
        <v>207.42481009112501</v>
      </c>
      <c r="AT49" s="17">
        <f t="shared" si="50"/>
        <v>-14.7912515005846</v>
      </c>
      <c r="AU49" s="17">
        <f t="shared" si="51"/>
        <v>-6.0601896750297</v>
      </c>
      <c r="AV49" s="17">
        <f t="shared" si="52"/>
        <v>177.84385226136001</v>
      </c>
      <c r="AW49" s="17">
        <f t="shared" si="53"/>
        <v>-12.230260736956399</v>
      </c>
      <c r="AX49" s="17">
        <f t="shared" si="54"/>
        <v>-5.0880023725509904</v>
      </c>
      <c r="AY49" s="17">
        <f t="shared" si="55"/>
        <v>172.02251500774801</v>
      </c>
      <c r="AZ49" s="17">
        <f t="shared" si="56"/>
        <v>80.835454472991799</v>
      </c>
      <c r="BA49" s="17">
        <f t="shared" si="57"/>
        <v>126.42898474037</v>
      </c>
      <c r="BB49" s="17">
        <f t="shared" si="58"/>
        <v>149.20458156813001</v>
      </c>
      <c r="BC49" s="17">
        <f t="shared" si="59"/>
        <v>73.468737065910901</v>
      </c>
      <c r="BD49" s="17">
        <f t="shared" si="60"/>
        <v>111.33665931701999</v>
      </c>
      <c r="BE49" s="17" t="str">
        <f>IF(AND(BD49&lt;=AA49,BB49&lt;=AA49*MongDon!$J$44,BC49&gt;0),"Ok","FAIL")</f>
        <v>Ok</v>
      </c>
      <c r="BF49" s="17">
        <f t="shared" si="61"/>
        <v>247.98765763517</v>
      </c>
      <c r="BG49" s="17">
        <f t="shared" si="62"/>
        <v>352.5</v>
      </c>
      <c r="BH49" s="17" t="str">
        <f t="shared" si="63"/>
        <v>Ok</v>
      </c>
      <c r="BI49" s="17">
        <f t="shared" si="64"/>
        <v>75.575172788045094</v>
      </c>
      <c r="BJ49" s="17">
        <f t="shared" si="65"/>
        <v>53.872652380772998</v>
      </c>
      <c r="BK49" s="17">
        <f t="shared" si="66"/>
        <v>44.785220684787298</v>
      </c>
      <c r="BL49" s="17">
        <f t="shared" si="67"/>
        <v>66.487741092059295</v>
      </c>
      <c r="BM49" s="17">
        <f t="shared" si="68"/>
        <v>88.125</v>
      </c>
      <c r="BN49" s="17">
        <f t="shared" si="69"/>
        <v>88.125</v>
      </c>
      <c r="BO49" s="17">
        <f t="shared" si="70"/>
        <v>88.125</v>
      </c>
      <c r="BP49" s="17">
        <f t="shared" si="71"/>
        <v>88.125</v>
      </c>
      <c r="BQ49" s="17" t="str">
        <f t="shared" si="72"/>
        <v>Ok</v>
      </c>
      <c r="BR49" s="17">
        <f t="shared" si="73"/>
        <v>82.688026212065395</v>
      </c>
      <c r="BS49" s="17">
        <f t="shared" si="74"/>
        <v>14.412476208450499</v>
      </c>
      <c r="BT49" s="16">
        <f>MongDon!$H$80</f>
        <v>1.2</v>
      </c>
      <c r="BU49" s="17" t="str">
        <f t="shared" si="75"/>
        <v>Ok</v>
      </c>
      <c r="BV49" s="17">
        <f t="shared" si="76"/>
        <v>11.5881044316644</v>
      </c>
      <c r="BW49" s="16">
        <f>MongDon!$F$86</f>
        <v>1.5</v>
      </c>
      <c r="BX49" s="17" t="str">
        <f t="shared" si="77"/>
        <v>Ok</v>
      </c>
      <c r="BY49" s="17">
        <f t="shared" si="78"/>
        <v>172.02251500774801</v>
      </c>
      <c r="BZ49" s="17">
        <f t="shared" si="79"/>
        <v>145.52022779916399</v>
      </c>
      <c r="CA49" s="17">
        <f t="shared" si="80"/>
        <v>80.835454472991799</v>
      </c>
      <c r="CB49" s="17">
        <f t="shared" si="81"/>
        <v>107.33774168157601</v>
      </c>
      <c r="CC49" s="17">
        <f t="shared" si="82"/>
        <v>129.42903722103799</v>
      </c>
      <c r="CD49" s="17">
        <f t="shared" si="83"/>
        <v>133.59368235381501</v>
      </c>
      <c r="CE49" s="17">
        <f t="shared" si="84"/>
        <v>133.59368235381501</v>
      </c>
      <c r="CF49" s="17">
        <f t="shared" si="85"/>
        <v>123.42893225970199</v>
      </c>
      <c r="CG49" s="17">
        <f t="shared" si="86"/>
        <v>27.711005962626199</v>
      </c>
      <c r="CH49" s="17">
        <f t="shared" si="87"/>
        <v>27.711005962626199</v>
      </c>
      <c r="CI49" s="17">
        <f t="shared" si="88"/>
        <v>473.69240961754298</v>
      </c>
      <c r="CJ49" s="17">
        <f t="shared" si="89"/>
        <v>473.69240961754298</v>
      </c>
    </row>
    <row r="50" spans="2:88">
      <c r="B50" s="3">
        <v>9</v>
      </c>
      <c r="C50" s="3" t="s">
        <v>29</v>
      </c>
      <c r="D50" s="4">
        <v>-3.7920211635961198</v>
      </c>
      <c r="E50" s="4">
        <v>-3.4429301347354699</v>
      </c>
      <c r="F50" s="4">
        <v>184.61023700311901</v>
      </c>
      <c r="G50" s="4">
        <v>4.4016441341346404</v>
      </c>
      <c r="H50" s="4">
        <v>-5.7795090330122703</v>
      </c>
      <c r="I50" s="4" t="s">
        <v>19</v>
      </c>
      <c r="J50" s="4">
        <v>-3.1895738823761399</v>
      </c>
      <c r="K50" s="4">
        <v>-2.9452883631520601</v>
      </c>
      <c r="L50" s="4">
        <v>158.83170802135501</v>
      </c>
      <c r="M50" s="4">
        <v>3.7409649833811902</v>
      </c>
      <c r="N50" s="4">
        <v>-4.8452349637226497</v>
      </c>
      <c r="O50" s="4">
        <v>1.4</v>
      </c>
      <c r="P50" s="4">
        <v>1.4</v>
      </c>
      <c r="Q50" s="4">
        <v>0.22</v>
      </c>
      <c r="R50" s="4">
        <v>0.22</v>
      </c>
      <c r="S50" s="4">
        <v>0</v>
      </c>
      <c r="T50" s="4">
        <v>0</v>
      </c>
      <c r="U50" s="4">
        <v>0.3</v>
      </c>
      <c r="V50" s="4">
        <v>0.05</v>
      </c>
      <c r="W50" s="4">
        <v>1</v>
      </c>
      <c r="X50" s="4">
        <v>19.100000000000001</v>
      </c>
      <c r="Y50" s="4">
        <v>0</v>
      </c>
      <c r="Z50" s="4">
        <v>1.5</v>
      </c>
      <c r="AA50" s="4">
        <v>139</v>
      </c>
      <c r="AB50" s="4">
        <v>12.1</v>
      </c>
      <c r="AC50" s="4">
        <v>19.5</v>
      </c>
      <c r="AD50" s="3" t="s">
        <v>42</v>
      </c>
      <c r="AE50" s="3" t="s">
        <v>61</v>
      </c>
      <c r="AF50" s="17">
        <f>HLOOKUP(AD50,Data!$B$4:$M$9,2,0)</f>
        <v>13</v>
      </c>
      <c r="AG50" s="17">
        <f>HLOOKUP(AD50,Data!$B$4:$M$9,3,0)</f>
        <v>1</v>
      </c>
      <c r="AH50" s="17">
        <f>HLOOKUP(AE50,Data!$B$13:$I$18,3,0)</f>
        <v>260</v>
      </c>
      <c r="AI50" s="18">
        <f t="shared" si="39"/>
        <v>1.96</v>
      </c>
      <c r="AJ50" s="17">
        <f t="shared" si="40"/>
        <v>0.45733333333333298</v>
      </c>
      <c r="AK50" s="17">
        <f t="shared" si="41"/>
        <v>0.45733333333333298</v>
      </c>
      <c r="AL50" s="17">
        <f t="shared" si="42"/>
        <v>0.25</v>
      </c>
      <c r="AM50" s="17">
        <f t="shared" si="43"/>
        <v>0.59</v>
      </c>
      <c r="AN50" s="17">
        <f t="shared" si="44"/>
        <v>0.59</v>
      </c>
      <c r="AO50" s="17">
        <f t="shared" si="45"/>
        <v>0.59</v>
      </c>
      <c r="AP50" s="17">
        <f t="shared" si="46"/>
        <v>0.59</v>
      </c>
      <c r="AQ50" s="17">
        <f t="shared" si="47"/>
        <v>1.88</v>
      </c>
      <c r="AR50" s="17">
        <f t="shared" si="48"/>
        <v>1.4416</v>
      </c>
      <c r="AS50" s="17">
        <f t="shared" si="49"/>
        <v>184.61023700311901</v>
      </c>
      <c r="AT50" s="17">
        <f t="shared" si="50"/>
        <v>5.43452317455528</v>
      </c>
      <c r="AU50" s="17">
        <f t="shared" si="51"/>
        <v>-6.9171153820911098</v>
      </c>
      <c r="AV50" s="17">
        <f t="shared" si="52"/>
        <v>158.83170802135501</v>
      </c>
      <c r="AW50" s="17">
        <f t="shared" si="53"/>
        <v>4.6245514923268098</v>
      </c>
      <c r="AX50" s="17">
        <f t="shared" si="54"/>
        <v>-5.8021071284354901</v>
      </c>
      <c r="AY50" s="17">
        <f t="shared" si="55"/>
        <v>141.79685245781499</v>
      </c>
      <c r="AZ50" s="17">
        <f t="shared" si="56"/>
        <v>87.780940402510197</v>
      </c>
      <c r="BA50" s="17">
        <f t="shared" si="57"/>
        <v>114.78889643016301</v>
      </c>
      <c r="BB50" s="17">
        <f t="shared" si="58"/>
        <v>124.43540195133799</v>
      </c>
      <c r="BC50" s="17">
        <f t="shared" si="59"/>
        <v>78.837769499024304</v>
      </c>
      <c r="BD50" s="17">
        <f t="shared" si="60"/>
        <v>101.63658572518101</v>
      </c>
      <c r="BE50" s="17" t="str">
        <f>IF(AND(BD50&lt;=AA50,BB50&lt;=AA50*MongDon!$J$44,BC50&gt;0),"Ok","FAIL")</f>
        <v>Ok</v>
      </c>
      <c r="BF50" s="17">
        <f t="shared" si="61"/>
        <v>204.41434250318599</v>
      </c>
      <c r="BG50" s="17">
        <f t="shared" si="62"/>
        <v>352.5</v>
      </c>
      <c r="BH50" s="17" t="str">
        <f t="shared" si="63"/>
        <v>Ok</v>
      </c>
      <c r="BI50" s="17">
        <f t="shared" si="64"/>
        <v>48.983174253771303</v>
      </c>
      <c r="BJ50" s="17">
        <f t="shared" si="65"/>
        <v>47.440068078581</v>
      </c>
      <c r="BK50" s="17">
        <f t="shared" si="66"/>
        <v>60.295855147743502</v>
      </c>
      <c r="BL50" s="17">
        <f t="shared" si="67"/>
        <v>61.838961322933898</v>
      </c>
      <c r="BM50" s="17">
        <f t="shared" si="68"/>
        <v>88.125</v>
      </c>
      <c r="BN50" s="17">
        <f t="shared" si="69"/>
        <v>88.125</v>
      </c>
      <c r="BO50" s="17">
        <f t="shared" si="70"/>
        <v>88.125</v>
      </c>
      <c r="BP50" s="17">
        <f t="shared" si="71"/>
        <v>88.125</v>
      </c>
      <c r="BQ50" s="17" t="str">
        <f t="shared" si="72"/>
        <v>Ok</v>
      </c>
      <c r="BR50" s="17">
        <f t="shared" si="73"/>
        <v>77.797005539809007</v>
      </c>
      <c r="BS50" s="17">
        <f t="shared" si="74"/>
        <v>20.515973456759699</v>
      </c>
      <c r="BT50" s="16">
        <f>MongDon!$H$80</f>
        <v>1.2</v>
      </c>
      <c r="BU50" s="17" t="str">
        <f t="shared" si="75"/>
        <v>Ok</v>
      </c>
      <c r="BV50" s="17">
        <f t="shared" si="76"/>
        <v>22.470691511754801</v>
      </c>
      <c r="BW50" s="16">
        <f>MongDon!$F$86</f>
        <v>1.5</v>
      </c>
      <c r="BX50" s="17" t="str">
        <f t="shared" si="77"/>
        <v>Ok</v>
      </c>
      <c r="BY50" s="17">
        <f t="shared" si="78"/>
        <v>118.030716125941</v>
      </c>
      <c r="BZ50" s="17">
        <f t="shared" si="79"/>
        <v>87.780940402510197</v>
      </c>
      <c r="CA50" s="17">
        <f t="shared" si="80"/>
        <v>111.547076734385</v>
      </c>
      <c r="CB50" s="17">
        <f t="shared" si="81"/>
        <v>141.79685245781499</v>
      </c>
      <c r="CC50" s="17">
        <f t="shared" si="82"/>
        <v>114.279467620826</v>
      </c>
      <c r="CD50" s="17">
        <f t="shared" si="83"/>
        <v>119.033003805937</v>
      </c>
      <c r="CE50" s="17">
        <f t="shared" si="84"/>
        <v>115.29832523949899</v>
      </c>
      <c r="CF50" s="17">
        <f t="shared" si="85"/>
        <v>119.033003805937</v>
      </c>
      <c r="CG50" s="17">
        <f t="shared" si="86"/>
        <v>23.3590595509962</v>
      </c>
      <c r="CH50" s="17">
        <f t="shared" si="87"/>
        <v>23.3590595509962</v>
      </c>
      <c r="CI50" s="17">
        <f t="shared" si="88"/>
        <v>399.300163264893</v>
      </c>
      <c r="CJ50" s="17">
        <f t="shared" si="89"/>
        <v>399.300163264893</v>
      </c>
    </row>
    <row r="51" spans="2:88">
      <c r="B51" s="3">
        <v>9</v>
      </c>
      <c r="C51" s="3" t="s">
        <v>30</v>
      </c>
      <c r="D51" s="4">
        <v>3.87405700512591</v>
      </c>
      <c r="E51" s="4">
        <v>-1.42617521904483</v>
      </c>
      <c r="F51" s="4">
        <v>186.56465131728501</v>
      </c>
      <c r="G51" s="4">
        <v>0.56086889671658402</v>
      </c>
      <c r="H51" s="4">
        <v>6.1792842650451902</v>
      </c>
      <c r="I51" s="4" t="s">
        <v>20</v>
      </c>
      <c r="J51" s="4">
        <v>3.1988245915588802</v>
      </c>
      <c r="K51" s="4">
        <v>-1.2646592667432</v>
      </c>
      <c r="L51" s="4">
        <v>160.460386616493</v>
      </c>
      <c r="M51" s="4">
        <v>0.54031895219947901</v>
      </c>
      <c r="N51" s="4">
        <v>5.1204261179919</v>
      </c>
      <c r="O51" s="4">
        <v>1.4</v>
      </c>
      <c r="P51" s="4">
        <v>1.4</v>
      </c>
      <c r="Q51" s="4">
        <v>0.22</v>
      </c>
      <c r="R51" s="4">
        <v>0.22</v>
      </c>
      <c r="S51" s="4">
        <v>0</v>
      </c>
      <c r="T51" s="4">
        <v>0</v>
      </c>
      <c r="U51" s="4">
        <v>0.3</v>
      </c>
      <c r="V51" s="4">
        <v>0.05</v>
      </c>
      <c r="W51" s="4">
        <v>1</v>
      </c>
      <c r="X51" s="4">
        <v>19.100000000000001</v>
      </c>
      <c r="Y51" s="4">
        <v>0</v>
      </c>
      <c r="Z51" s="4">
        <v>1.5</v>
      </c>
      <c r="AA51" s="4">
        <v>139</v>
      </c>
      <c r="AB51" s="4">
        <v>12.1</v>
      </c>
      <c r="AC51" s="4">
        <v>19.5</v>
      </c>
      <c r="AD51" s="3" t="s">
        <v>42</v>
      </c>
      <c r="AE51" s="3" t="s">
        <v>61</v>
      </c>
      <c r="AF51" s="17">
        <f>HLOOKUP(AD51,Data!$B$4:$M$9,2,0)</f>
        <v>13</v>
      </c>
      <c r="AG51" s="17">
        <f>HLOOKUP(AD51,Data!$B$4:$M$9,3,0)</f>
        <v>1</v>
      </c>
      <c r="AH51" s="17">
        <f>HLOOKUP(AE51,Data!$B$13:$I$18,3,0)</f>
        <v>260</v>
      </c>
      <c r="AI51" s="18">
        <f t="shared" si="39"/>
        <v>1.96</v>
      </c>
      <c r="AJ51" s="17">
        <f t="shared" si="40"/>
        <v>0.45733333333333298</v>
      </c>
      <c r="AK51" s="17">
        <f t="shared" si="41"/>
        <v>0.45733333333333298</v>
      </c>
      <c r="AL51" s="17">
        <f t="shared" si="42"/>
        <v>0.25</v>
      </c>
      <c r="AM51" s="17">
        <f t="shared" si="43"/>
        <v>0.59</v>
      </c>
      <c r="AN51" s="17">
        <f t="shared" si="44"/>
        <v>0.59</v>
      </c>
      <c r="AO51" s="17">
        <f t="shared" si="45"/>
        <v>0.59</v>
      </c>
      <c r="AP51" s="17">
        <f t="shared" si="46"/>
        <v>0.59</v>
      </c>
      <c r="AQ51" s="17">
        <f t="shared" si="47"/>
        <v>1.88</v>
      </c>
      <c r="AR51" s="17">
        <f t="shared" si="48"/>
        <v>1.4416</v>
      </c>
      <c r="AS51" s="17">
        <f t="shared" si="49"/>
        <v>186.56465131728501</v>
      </c>
      <c r="AT51" s="17">
        <f t="shared" si="50"/>
        <v>0.988721462430033</v>
      </c>
      <c r="AU51" s="17">
        <f t="shared" si="51"/>
        <v>7.3415013665829596</v>
      </c>
      <c r="AV51" s="17">
        <f t="shared" si="52"/>
        <v>160.460386616493</v>
      </c>
      <c r="AW51" s="17">
        <f t="shared" si="53"/>
        <v>0.91971673222243799</v>
      </c>
      <c r="AX51" s="17">
        <f t="shared" si="54"/>
        <v>6.0800734954595699</v>
      </c>
      <c r="AY51" s="17">
        <f t="shared" si="55"/>
        <v>134.00081954018901</v>
      </c>
      <c r="AZ51" s="17">
        <f t="shared" si="56"/>
        <v>97.571273640714793</v>
      </c>
      <c r="BA51" s="17">
        <f t="shared" si="57"/>
        <v>115.786046590452</v>
      </c>
      <c r="BB51" s="17">
        <f t="shared" si="58"/>
        <v>117.773207955242</v>
      </c>
      <c r="BC51" s="17">
        <f t="shared" si="59"/>
        <v>87.161880428935405</v>
      </c>
      <c r="BD51" s="17">
        <f t="shared" si="60"/>
        <v>102.467544192088</v>
      </c>
      <c r="BE51" s="17" t="str">
        <f>IF(AND(BD51&lt;=AA51,BB51&lt;=AA51*MongDon!$J$44,BC51&gt;0),"Ok","FAIL")</f>
        <v>Ok</v>
      </c>
      <c r="BF51" s="17">
        <f t="shared" si="61"/>
        <v>193.17558144913599</v>
      </c>
      <c r="BG51" s="17">
        <f t="shared" si="62"/>
        <v>352.5</v>
      </c>
      <c r="BH51" s="17" t="str">
        <f t="shared" si="63"/>
        <v>Ok</v>
      </c>
      <c r="BI51" s="17">
        <f t="shared" si="64"/>
        <v>54.085080736566603</v>
      </c>
      <c r="BJ51" s="17">
        <f t="shared" si="65"/>
        <v>62.755312660641401</v>
      </c>
      <c r="BK51" s="17">
        <f t="shared" si="66"/>
        <v>56.143235617543397</v>
      </c>
      <c r="BL51" s="17">
        <f t="shared" si="67"/>
        <v>47.473003693468698</v>
      </c>
      <c r="BM51" s="17">
        <f t="shared" si="68"/>
        <v>88.125</v>
      </c>
      <c r="BN51" s="17">
        <f t="shared" si="69"/>
        <v>88.125</v>
      </c>
      <c r="BO51" s="17">
        <f t="shared" si="70"/>
        <v>88.125</v>
      </c>
      <c r="BP51" s="17">
        <f t="shared" si="71"/>
        <v>88.125</v>
      </c>
      <c r="BQ51" s="17" t="str">
        <f t="shared" si="72"/>
        <v>Ok</v>
      </c>
      <c r="BR51" s="17">
        <f t="shared" si="73"/>
        <v>78.215995664054006</v>
      </c>
      <c r="BS51" s="17">
        <f t="shared" si="74"/>
        <v>20.189686305741901</v>
      </c>
      <c r="BT51" s="16">
        <f>MongDon!$H$80</f>
        <v>1.2</v>
      </c>
      <c r="BU51" s="17" t="str">
        <f t="shared" si="75"/>
        <v>Ok</v>
      </c>
      <c r="BV51" s="17">
        <f t="shared" si="76"/>
        <v>21.358091225838901</v>
      </c>
      <c r="BW51" s="16">
        <f>MongDon!$F$86</f>
        <v>1.5</v>
      </c>
      <c r="BX51" s="17" t="str">
        <f t="shared" si="77"/>
        <v>Ok</v>
      </c>
      <c r="BY51" s="17">
        <f t="shared" si="78"/>
        <v>97.571273640714793</v>
      </c>
      <c r="BZ51" s="17">
        <f t="shared" si="79"/>
        <v>129.67696474822</v>
      </c>
      <c r="CA51" s="17">
        <f t="shared" si="80"/>
        <v>134.00081954018901</v>
      </c>
      <c r="CB51" s="17">
        <f t="shared" si="81"/>
        <v>101.89512843268299</v>
      </c>
      <c r="CC51" s="17">
        <f t="shared" si="82"/>
        <v>118.648368053982</v>
      </c>
      <c r="CD51" s="17">
        <f t="shared" si="83"/>
        <v>113.603188022802</v>
      </c>
      <c r="CE51" s="17">
        <f t="shared" si="84"/>
        <v>117.96890515810099</v>
      </c>
      <c r="CF51" s="17">
        <f t="shared" si="85"/>
        <v>118.648368053982</v>
      </c>
      <c r="CG51" s="17">
        <f t="shared" si="86"/>
        <v>22.432144580578399</v>
      </c>
      <c r="CH51" s="17">
        <f t="shared" si="87"/>
        <v>22.432144580578399</v>
      </c>
      <c r="CI51" s="17">
        <f t="shared" si="88"/>
        <v>383.45546291586999</v>
      </c>
      <c r="CJ51" s="17">
        <f t="shared" si="89"/>
        <v>383.45546291586999</v>
      </c>
    </row>
    <row r="52" spans="2:88">
      <c r="B52" s="3">
        <v>9</v>
      </c>
      <c r="C52" s="3" t="s">
        <v>31</v>
      </c>
      <c r="D52" s="4">
        <v>3.8437890385034699</v>
      </c>
      <c r="E52" s="4">
        <v>-11.752500019852899</v>
      </c>
      <c r="F52" s="4">
        <v>181.277288455725</v>
      </c>
      <c r="G52" s="4">
        <v>20.013615034826</v>
      </c>
      <c r="H52" s="4">
        <v>6.1469933362109597</v>
      </c>
      <c r="I52" s="4" t="s">
        <v>21</v>
      </c>
      <c r="J52" s="4">
        <v>3.1736012860401801</v>
      </c>
      <c r="K52" s="4">
        <v>-9.8699299340832507</v>
      </c>
      <c r="L52" s="4">
        <v>156.05425089852699</v>
      </c>
      <c r="M52" s="4">
        <v>16.7509407339573</v>
      </c>
      <c r="N52" s="4">
        <v>5.0935170106300403</v>
      </c>
      <c r="O52" s="4">
        <v>1.4</v>
      </c>
      <c r="P52" s="4">
        <v>1.4</v>
      </c>
      <c r="Q52" s="4">
        <v>0.22</v>
      </c>
      <c r="R52" s="4">
        <v>0.22</v>
      </c>
      <c r="S52" s="4">
        <v>0</v>
      </c>
      <c r="T52" s="4">
        <v>0</v>
      </c>
      <c r="U52" s="4">
        <v>0.3</v>
      </c>
      <c r="V52" s="4">
        <v>0.05</v>
      </c>
      <c r="W52" s="4">
        <v>1</v>
      </c>
      <c r="X52" s="4">
        <v>19.100000000000001</v>
      </c>
      <c r="Y52" s="4">
        <v>0</v>
      </c>
      <c r="Z52" s="4">
        <v>1.5</v>
      </c>
      <c r="AA52" s="4">
        <v>139</v>
      </c>
      <c r="AB52" s="4">
        <v>12.1</v>
      </c>
      <c r="AC52" s="4">
        <v>19.5</v>
      </c>
      <c r="AD52" s="3" t="s">
        <v>42</v>
      </c>
      <c r="AE52" s="3" t="s">
        <v>61</v>
      </c>
      <c r="AF52" s="17">
        <f>HLOOKUP(AD52,Data!$B$4:$M$9,2,0)</f>
        <v>13</v>
      </c>
      <c r="AG52" s="17">
        <f>HLOOKUP(AD52,Data!$B$4:$M$9,3,0)</f>
        <v>1</v>
      </c>
      <c r="AH52" s="17">
        <f>HLOOKUP(AE52,Data!$B$13:$I$18,3,0)</f>
        <v>260</v>
      </c>
      <c r="AI52" s="18">
        <f t="shared" si="39"/>
        <v>1.96</v>
      </c>
      <c r="AJ52" s="17">
        <f t="shared" si="40"/>
        <v>0.45733333333333298</v>
      </c>
      <c r="AK52" s="17">
        <f t="shared" si="41"/>
        <v>0.45733333333333298</v>
      </c>
      <c r="AL52" s="17">
        <f t="shared" si="42"/>
        <v>0.25</v>
      </c>
      <c r="AM52" s="17">
        <f t="shared" si="43"/>
        <v>0.59</v>
      </c>
      <c r="AN52" s="17">
        <f t="shared" si="44"/>
        <v>0.59</v>
      </c>
      <c r="AO52" s="17">
        <f t="shared" si="45"/>
        <v>0.59</v>
      </c>
      <c r="AP52" s="17">
        <f t="shared" si="46"/>
        <v>0.59</v>
      </c>
      <c r="AQ52" s="17">
        <f t="shared" si="47"/>
        <v>1.88</v>
      </c>
      <c r="AR52" s="17">
        <f t="shared" si="48"/>
        <v>1.4416</v>
      </c>
      <c r="AS52" s="17">
        <f t="shared" si="49"/>
        <v>181.277288455725</v>
      </c>
      <c r="AT52" s="17">
        <f t="shared" si="50"/>
        <v>23.539365040781899</v>
      </c>
      <c r="AU52" s="17">
        <f t="shared" si="51"/>
        <v>7.3001300477619999</v>
      </c>
      <c r="AV52" s="17">
        <f t="shared" si="52"/>
        <v>156.05425089852699</v>
      </c>
      <c r="AW52" s="17">
        <f t="shared" si="53"/>
        <v>19.711919714182301</v>
      </c>
      <c r="AX52" s="17">
        <f t="shared" si="54"/>
        <v>6.0455973964421004</v>
      </c>
      <c r="AY52" s="17">
        <f t="shared" si="55"/>
        <v>180.521710775976</v>
      </c>
      <c r="AZ52" s="17">
        <f t="shared" si="56"/>
        <v>45.655114178845302</v>
      </c>
      <c r="BA52" s="17">
        <f t="shared" si="57"/>
        <v>113.088412477411</v>
      </c>
      <c r="BB52" s="17">
        <f t="shared" si="58"/>
        <v>156.54061731839801</v>
      </c>
      <c r="BC52" s="17">
        <f t="shared" si="59"/>
        <v>43.898414210710897</v>
      </c>
      <c r="BD52" s="17">
        <f t="shared" si="60"/>
        <v>100.219515764554</v>
      </c>
      <c r="BE52" s="17" t="str">
        <f>IF(AND(BD52&lt;=AA52,BB52&lt;=AA52*MongDon!$J$44,BC52&gt;0),"Ok","FAIL")</f>
        <v>Ok</v>
      </c>
      <c r="BF52" s="17">
        <f t="shared" si="61"/>
        <v>260.24009825464702</v>
      </c>
      <c r="BG52" s="17">
        <f t="shared" si="62"/>
        <v>352.5</v>
      </c>
      <c r="BH52" s="17" t="str">
        <f t="shared" si="63"/>
        <v>Ok</v>
      </c>
      <c r="BI52" s="17">
        <f t="shared" si="64"/>
        <v>29.329928888637799</v>
      </c>
      <c r="BJ52" s="17">
        <f t="shared" si="65"/>
        <v>61.428178878754899</v>
      </c>
      <c r="BK52" s="17">
        <f t="shared" si="66"/>
        <v>78.330239789857202</v>
      </c>
      <c r="BL52" s="17">
        <f t="shared" si="67"/>
        <v>46.231989799740099</v>
      </c>
      <c r="BM52" s="17">
        <f t="shared" si="68"/>
        <v>88.125</v>
      </c>
      <c r="BN52" s="17">
        <f t="shared" si="69"/>
        <v>88.125</v>
      </c>
      <c r="BO52" s="17">
        <f t="shared" si="70"/>
        <v>88.125</v>
      </c>
      <c r="BP52" s="17">
        <f t="shared" si="71"/>
        <v>88.125</v>
      </c>
      <c r="BQ52" s="17" t="str">
        <f t="shared" si="72"/>
        <v>Ok</v>
      </c>
      <c r="BR52" s="17">
        <f t="shared" si="73"/>
        <v>77.082483283267607</v>
      </c>
      <c r="BS52" s="17">
        <f t="shared" si="74"/>
        <v>6.5588158394431897</v>
      </c>
      <c r="BT52" s="16">
        <f>MongDon!$H$80</f>
        <v>1.2</v>
      </c>
      <c r="BU52" s="17" t="str">
        <f t="shared" si="75"/>
        <v>Ok</v>
      </c>
      <c r="BV52" s="17">
        <f t="shared" si="76"/>
        <v>6.5039690600729196</v>
      </c>
      <c r="BW52" s="16">
        <f>MongDon!$F$86</f>
        <v>1.5</v>
      </c>
      <c r="BX52" s="17" t="str">
        <f t="shared" si="77"/>
        <v>Ok</v>
      </c>
      <c r="BY52" s="17">
        <f t="shared" si="78"/>
        <v>45.655114178845302</v>
      </c>
      <c r="BZ52" s="17">
        <f t="shared" si="79"/>
        <v>77.579881151565402</v>
      </c>
      <c r="CA52" s="17">
        <f t="shared" si="80"/>
        <v>180.521710775976</v>
      </c>
      <c r="CB52" s="17">
        <f t="shared" si="81"/>
        <v>148.59694380325601</v>
      </c>
      <c r="CC52" s="17">
        <f t="shared" si="82"/>
        <v>123.685073638614</v>
      </c>
      <c r="CD52" s="17">
        <f t="shared" si="83"/>
        <v>118.668324542901</v>
      </c>
      <c r="CE52" s="17">
        <f t="shared" si="84"/>
        <v>107.50850041192101</v>
      </c>
      <c r="CF52" s="17">
        <f t="shared" si="85"/>
        <v>123.685073638614</v>
      </c>
      <c r="CG52" s="17">
        <f t="shared" si="86"/>
        <v>28.122331529305999</v>
      </c>
      <c r="CH52" s="17">
        <f t="shared" si="87"/>
        <v>28.122331529305999</v>
      </c>
      <c r="CI52" s="17">
        <f t="shared" si="88"/>
        <v>480.72361588557197</v>
      </c>
      <c r="CJ52" s="17">
        <f t="shared" si="89"/>
        <v>480.72361588557197</v>
      </c>
    </row>
    <row r="53" spans="2:88">
      <c r="B53" s="3">
        <v>9</v>
      </c>
      <c r="C53" s="3" t="s">
        <v>32</v>
      </c>
      <c r="D53" s="4">
        <v>-3.7617531969736802</v>
      </c>
      <c r="E53" s="4">
        <v>6.88339466607259</v>
      </c>
      <c r="F53" s="4">
        <v>189.89759986467899</v>
      </c>
      <c r="G53" s="4">
        <v>-15.051102003974799</v>
      </c>
      <c r="H53" s="4">
        <v>-5.7472181041780503</v>
      </c>
      <c r="I53" s="4" t="s">
        <v>22</v>
      </c>
      <c r="J53" s="4">
        <v>-3.1643505768574398</v>
      </c>
      <c r="K53" s="4">
        <v>5.6599823041879898</v>
      </c>
      <c r="L53" s="4">
        <v>163.23784373932199</v>
      </c>
      <c r="M53" s="4">
        <v>-12.4696567983767</v>
      </c>
      <c r="N53" s="4">
        <v>-4.8183258563607998</v>
      </c>
      <c r="O53" s="4">
        <v>1.4</v>
      </c>
      <c r="P53" s="4">
        <v>1.4</v>
      </c>
      <c r="Q53" s="4">
        <v>0.22</v>
      </c>
      <c r="R53" s="4">
        <v>0.22</v>
      </c>
      <c r="S53" s="4">
        <v>0</v>
      </c>
      <c r="T53" s="4">
        <v>0</v>
      </c>
      <c r="U53" s="4">
        <v>0.3</v>
      </c>
      <c r="V53" s="4">
        <v>0.05</v>
      </c>
      <c r="W53" s="4">
        <v>1</v>
      </c>
      <c r="X53" s="4">
        <v>19.100000000000001</v>
      </c>
      <c r="Y53" s="4">
        <v>0</v>
      </c>
      <c r="Z53" s="4">
        <v>1.5</v>
      </c>
      <c r="AA53" s="4">
        <v>139</v>
      </c>
      <c r="AB53" s="4">
        <v>12.1</v>
      </c>
      <c r="AC53" s="4">
        <v>19.5</v>
      </c>
      <c r="AD53" s="3" t="s">
        <v>42</v>
      </c>
      <c r="AE53" s="3" t="s">
        <v>61</v>
      </c>
      <c r="AF53" s="17">
        <f>HLOOKUP(AD53,Data!$B$4:$M$9,2,0)</f>
        <v>13</v>
      </c>
      <c r="AG53" s="17">
        <f>HLOOKUP(AD53,Data!$B$4:$M$9,3,0)</f>
        <v>1</v>
      </c>
      <c r="AH53" s="17">
        <f>HLOOKUP(AE53,Data!$B$13:$I$18,3,0)</f>
        <v>260</v>
      </c>
      <c r="AI53" s="18">
        <f t="shared" si="39"/>
        <v>1.96</v>
      </c>
      <c r="AJ53" s="17">
        <f t="shared" si="40"/>
        <v>0.45733333333333298</v>
      </c>
      <c r="AK53" s="17">
        <f t="shared" si="41"/>
        <v>0.45733333333333298</v>
      </c>
      <c r="AL53" s="17">
        <f t="shared" si="42"/>
        <v>0.25</v>
      </c>
      <c r="AM53" s="17">
        <f t="shared" si="43"/>
        <v>0.59</v>
      </c>
      <c r="AN53" s="17">
        <f t="shared" si="44"/>
        <v>0.59</v>
      </c>
      <c r="AO53" s="17">
        <f t="shared" si="45"/>
        <v>0.59</v>
      </c>
      <c r="AP53" s="17">
        <f t="shared" si="46"/>
        <v>0.59</v>
      </c>
      <c r="AQ53" s="17">
        <f t="shared" si="47"/>
        <v>1.88</v>
      </c>
      <c r="AR53" s="17">
        <f t="shared" si="48"/>
        <v>1.4416</v>
      </c>
      <c r="AS53" s="17">
        <f t="shared" si="49"/>
        <v>189.89759986467899</v>
      </c>
      <c r="AT53" s="17">
        <f t="shared" si="50"/>
        <v>-17.1161204037966</v>
      </c>
      <c r="AU53" s="17">
        <f t="shared" si="51"/>
        <v>-6.8757440632701501</v>
      </c>
      <c r="AV53" s="17">
        <f t="shared" si="52"/>
        <v>163.23784373932199</v>
      </c>
      <c r="AW53" s="17">
        <f t="shared" si="53"/>
        <v>-14.1676514896331</v>
      </c>
      <c r="AX53" s="17">
        <f t="shared" si="54"/>
        <v>-5.7676310294180304</v>
      </c>
      <c r="AY53" s="17">
        <f t="shared" si="55"/>
        <v>169.94687558781001</v>
      </c>
      <c r="AZ53" s="17">
        <f t="shared" si="56"/>
        <v>65.026185498597101</v>
      </c>
      <c r="BA53" s="17">
        <f t="shared" si="57"/>
        <v>117.486530543204</v>
      </c>
      <c r="BB53" s="17">
        <f t="shared" si="58"/>
        <v>147.47488205151501</v>
      </c>
      <c r="BC53" s="17">
        <f t="shared" si="59"/>
        <v>60.2943462539153</v>
      </c>
      <c r="BD53" s="17">
        <f t="shared" si="60"/>
        <v>103.884614152715</v>
      </c>
      <c r="BE53" s="17" t="str">
        <f>IF(AND(BD53&lt;=AA53,BB53&lt;=AA53*MongDon!$J$44,BC53&gt;0),"Ok","FAIL")</f>
        <v>Ok</v>
      </c>
      <c r="BF53" s="17">
        <f t="shared" si="61"/>
        <v>244.99541584738699</v>
      </c>
      <c r="BG53" s="17">
        <f t="shared" si="62"/>
        <v>352.5</v>
      </c>
      <c r="BH53" s="17" t="str">
        <f t="shared" si="63"/>
        <v>Ok</v>
      </c>
      <c r="BI53" s="17">
        <f t="shared" si="64"/>
        <v>73.738326101700096</v>
      </c>
      <c r="BJ53" s="17">
        <f t="shared" si="65"/>
        <v>48.767201860467402</v>
      </c>
      <c r="BK53" s="17">
        <f t="shared" si="66"/>
        <v>38.108850975429696</v>
      </c>
      <c r="BL53" s="17">
        <f t="shared" si="67"/>
        <v>63.079975216662397</v>
      </c>
      <c r="BM53" s="17">
        <f t="shared" si="68"/>
        <v>88.125</v>
      </c>
      <c r="BN53" s="17">
        <f t="shared" si="69"/>
        <v>88.125</v>
      </c>
      <c r="BO53" s="17">
        <f t="shared" si="70"/>
        <v>88.125</v>
      </c>
      <c r="BP53" s="17">
        <f t="shared" si="71"/>
        <v>88.125</v>
      </c>
      <c r="BQ53" s="17" t="str">
        <f t="shared" si="72"/>
        <v>Ok</v>
      </c>
      <c r="BR53" s="17">
        <f t="shared" si="73"/>
        <v>78.930517920595406</v>
      </c>
      <c r="BS53" s="17">
        <f t="shared" si="74"/>
        <v>11.4668011569399</v>
      </c>
      <c r="BT53" s="16">
        <f>MongDon!$H$80</f>
        <v>1.2</v>
      </c>
      <c r="BU53" s="17" t="str">
        <f t="shared" si="75"/>
        <v>Ok</v>
      </c>
      <c r="BV53" s="17">
        <f t="shared" si="76"/>
        <v>9.2972891140668494</v>
      </c>
      <c r="BW53" s="16">
        <f>MongDon!$F$86</f>
        <v>1.5</v>
      </c>
      <c r="BX53" s="17" t="str">
        <f t="shared" si="77"/>
        <v>Ok</v>
      </c>
      <c r="BY53" s="17">
        <f t="shared" si="78"/>
        <v>169.94687558781001</v>
      </c>
      <c r="BZ53" s="17">
        <f t="shared" si="79"/>
        <v>139.87802399916501</v>
      </c>
      <c r="CA53" s="17">
        <f t="shared" si="80"/>
        <v>65.026185498597101</v>
      </c>
      <c r="CB53" s="17">
        <f t="shared" si="81"/>
        <v>95.095037087242005</v>
      </c>
      <c r="CC53" s="17">
        <f t="shared" si="82"/>
        <v>121.005193800569</v>
      </c>
      <c r="CD53" s="17">
        <f t="shared" si="83"/>
        <v>125.73029905021301</v>
      </c>
      <c r="CE53" s="17">
        <f t="shared" si="84"/>
        <v>125.73029905021301</v>
      </c>
      <c r="CF53" s="17">
        <f t="shared" si="85"/>
        <v>113.967867285838</v>
      </c>
      <c r="CG53" s="17">
        <f t="shared" si="86"/>
        <v>27.013955313935401</v>
      </c>
      <c r="CH53" s="17">
        <f t="shared" si="87"/>
        <v>27.013955313935401</v>
      </c>
      <c r="CI53" s="17">
        <f t="shared" si="88"/>
        <v>461.777013913426</v>
      </c>
      <c r="CJ53" s="17">
        <f t="shared" si="89"/>
        <v>461.777013913426</v>
      </c>
    </row>
    <row r="54" spans="2:88">
      <c r="B54" s="3">
        <v>11</v>
      </c>
      <c r="C54" s="3" t="s">
        <v>23</v>
      </c>
      <c r="D54" s="4">
        <v>0.71460543870559301</v>
      </c>
      <c r="E54" s="4">
        <v>-1.41474728877294</v>
      </c>
      <c r="F54" s="4">
        <v>153.58887047469301</v>
      </c>
      <c r="G54" s="4">
        <v>1.5321513707843499</v>
      </c>
      <c r="H54" s="4">
        <v>0.87957084261978902</v>
      </c>
      <c r="I54" s="4" t="s">
        <v>13</v>
      </c>
      <c r="J54" s="4">
        <v>0.65118322527736106</v>
      </c>
      <c r="K54" s="4">
        <v>-1.1946622119569099</v>
      </c>
      <c r="L54" s="4">
        <v>132.283148737679</v>
      </c>
      <c r="M54" s="4">
        <v>1.2888600978481</v>
      </c>
      <c r="N54" s="4">
        <v>0.79000454854362501</v>
      </c>
      <c r="O54" s="4">
        <v>1.4</v>
      </c>
      <c r="P54" s="4">
        <v>1.4</v>
      </c>
      <c r="Q54" s="4">
        <v>0.22</v>
      </c>
      <c r="R54" s="4">
        <v>0.22</v>
      </c>
      <c r="S54" s="4">
        <v>0</v>
      </c>
      <c r="T54" s="4">
        <v>0</v>
      </c>
      <c r="U54" s="4">
        <v>0.3</v>
      </c>
      <c r="V54" s="4">
        <v>0.05</v>
      </c>
      <c r="W54" s="4">
        <v>1</v>
      </c>
      <c r="X54" s="4">
        <v>19.100000000000001</v>
      </c>
      <c r="Y54" s="4">
        <v>0</v>
      </c>
      <c r="Z54" s="4">
        <v>1.5</v>
      </c>
      <c r="AA54" s="4">
        <v>139</v>
      </c>
      <c r="AB54" s="4">
        <v>12.1</v>
      </c>
      <c r="AC54" s="4">
        <v>19.5</v>
      </c>
      <c r="AD54" s="3" t="s">
        <v>42</v>
      </c>
      <c r="AE54" s="3" t="s">
        <v>61</v>
      </c>
      <c r="AF54" s="17">
        <f>HLOOKUP(AD54,Data!$B$4:$M$9,2,0)</f>
        <v>13</v>
      </c>
      <c r="AG54" s="17">
        <f>HLOOKUP(AD54,Data!$B$4:$M$9,3,0)</f>
        <v>1</v>
      </c>
      <c r="AH54" s="17">
        <f>HLOOKUP(AE54,Data!$B$13:$I$18,3,0)</f>
        <v>260</v>
      </c>
      <c r="AI54" s="18">
        <f t="shared" si="39"/>
        <v>1.96</v>
      </c>
      <c r="AJ54" s="17">
        <f t="shared" si="40"/>
        <v>0.45733333333333298</v>
      </c>
      <c r="AK54" s="17">
        <f t="shared" si="41"/>
        <v>0.45733333333333298</v>
      </c>
      <c r="AL54" s="17">
        <f t="shared" si="42"/>
        <v>0.25</v>
      </c>
      <c r="AM54" s="17">
        <f t="shared" si="43"/>
        <v>0.59</v>
      </c>
      <c r="AN54" s="17">
        <f t="shared" si="44"/>
        <v>0.59</v>
      </c>
      <c r="AO54" s="17">
        <f t="shared" si="45"/>
        <v>0.59</v>
      </c>
      <c r="AP54" s="17">
        <f t="shared" si="46"/>
        <v>0.59</v>
      </c>
      <c r="AQ54" s="17">
        <f t="shared" si="47"/>
        <v>1.88</v>
      </c>
      <c r="AR54" s="17">
        <f t="shared" si="48"/>
        <v>1.4416</v>
      </c>
      <c r="AS54" s="17">
        <f t="shared" si="49"/>
        <v>153.58887047469301</v>
      </c>
      <c r="AT54" s="17">
        <f t="shared" si="50"/>
        <v>1.95657555741624</v>
      </c>
      <c r="AU54" s="17">
        <f t="shared" si="51"/>
        <v>1.0939524742314699</v>
      </c>
      <c r="AV54" s="17">
        <f t="shared" si="52"/>
        <v>132.283148737679</v>
      </c>
      <c r="AW54" s="17">
        <f t="shared" si="53"/>
        <v>1.6472587614351699</v>
      </c>
      <c r="AX54" s="17">
        <f t="shared" si="54"/>
        <v>0.98535951612683303</v>
      </c>
      <c r="AY54" s="17">
        <f t="shared" si="55"/>
        <v>105.63191940759999</v>
      </c>
      <c r="AZ54" s="17">
        <f t="shared" si="56"/>
        <v>92.291417811473494</v>
      </c>
      <c r="BA54" s="17">
        <f t="shared" si="57"/>
        <v>98.961668609537</v>
      </c>
      <c r="BB54" s="17">
        <f t="shared" si="58"/>
        <v>93.847856376866801</v>
      </c>
      <c r="BC54" s="17">
        <f t="shared" si="59"/>
        <v>82.334948457499493</v>
      </c>
      <c r="BD54" s="17">
        <f t="shared" si="60"/>
        <v>88.091402417183204</v>
      </c>
      <c r="BE54" s="17" t="str">
        <f>IF(AND(BD54&lt;=AA54,BB54&lt;=AA54*MongDon!$J$44,BC54&gt;0),"Ok","FAIL")</f>
        <v>Ok</v>
      </c>
      <c r="BF54" s="17">
        <f t="shared" si="61"/>
        <v>152.278975017997</v>
      </c>
      <c r="BG54" s="17">
        <f t="shared" si="62"/>
        <v>352.5</v>
      </c>
      <c r="BH54" s="17" t="str">
        <f t="shared" si="63"/>
        <v>Ok</v>
      </c>
      <c r="BI54" s="17">
        <f t="shared" si="64"/>
        <v>45.0693184738901</v>
      </c>
      <c r="BJ54" s="17">
        <f t="shared" si="65"/>
        <v>48.2443578537683</v>
      </c>
      <c r="BK54" s="17">
        <f t="shared" si="66"/>
        <v>49.142190042389203</v>
      </c>
      <c r="BL54" s="17">
        <f t="shared" si="67"/>
        <v>45.967150662511003</v>
      </c>
      <c r="BM54" s="17">
        <f t="shared" si="68"/>
        <v>88.125</v>
      </c>
      <c r="BN54" s="17">
        <f t="shared" si="69"/>
        <v>88.125</v>
      </c>
      <c r="BO54" s="17">
        <f t="shared" si="70"/>
        <v>88.125</v>
      </c>
      <c r="BP54" s="17">
        <f t="shared" si="71"/>
        <v>88.125</v>
      </c>
      <c r="BQ54" s="17" t="str">
        <f t="shared" si="72"/>
        <v>Ok</v>
      </c>
      <c r="BR54" s="17">
        <f t="shared" si="73"/>
        <v>71.146600801272001</v>
      </c>
      <c r="BS54" s="17">
        <f t="shared" si="74"/>
        <v>50.289264638195696</v>
      </c>
      <c r="BT54" s="16">
        <f>MongDon!$H$80</f>
        <v>1.2</v>
      </c>
      <c r="BU54" s="17" t="str">
        <f t="shared" si="75"/>
        <v>Ok</v>
      </c>
      <c r="BV54" s="17">
        <f t="shared" si="76"/>
        <v>68.342573751082696</v>
      </c>
      <c r="BW54" s="16">
        <f>MongDon!$F$86</f>
        <v>1.5</v>
      </c>
      <c r="BX54" s="17" t="str">
        <f t="shared" si="77"/>
        <v>Ok</v>
      </c>
      <c r="BY54" s="17">
        <f t="shared" si="78"/>
        <v>92.291417811473494</v>
      </c>
      <c r="BZ54" s="17">
        <f t="shared" si="79"/>
        <v>97.075466532602405</v>
      </c>
      <c r="CA54" s="17">
        <f t="shared" si="80"/>
        <v>105.63191940759999</v>
      </c>
      <c r="CB54" s="17">
        <f t="shared" si="81"/>
        <v>100.84787068647201</v>
      </c>
      <c r="CC54" s="17">
        <f t="shared" si="82"/>
        <v>100.009850877804</v>
      </c>
      <c r="CD54" s="17">
        <f t="shared" si="83"/>
        <v>99.258071793055294</v>
      </c>
      <c r="CE54" s="17">
        <f t="shared" si="84"/>
        <v>98.665265426018706</v>
      </c>
      <c r="CF54" s="17">
        <f t="shared" si="85"/>
        <v>100.009850877804</v>
      </c>
      <c r="CG54" s="17">
        <f t="shared" si="86"/>
        <v>18.059061897022499</v>
      </c>
      <c r="CH54" s="17">
        <f t="shared" si="87"/>
        <v>18.059061897022499</v>
      </c>
      <c r="CI54" s="17">
        <f t="shared" si="88"/>
        <v>308.701912769616</v>
      </c>
      <c r="CJ54" s="17">
        <f t="shared" si="89"/>
        <v>308.701912769616</v>
      </c>
    </row>
    <row r="55" spans="2:88">
      <c r="B55" s="3">
        <v>11</v>
      </c>
      <c r="C55" s="3" t="s">
        <v>24</v>
      </c>
      <c r="D55" s="4">
        <v>0.71121322050658498</v>
      </c>
      <c r="E55" s="4">
        <v>-1.61598500001361</v>
      </c>
      <c r="F55" s="4">
        <v>169.74368420118401</v>
      </c>
      <c r="G55" s="4">
        <v>1.76096189708725</v>
      </c>
      <c r="H55" s="4">
        <v>0.90070252106339299</v>
      </c>
      <c r="I55" s="4" t="s">
        <v>14</v>
      </c>
      <c r="J55" s="4">
        <v>0.64835637677818703</v>
      </c>
      <c r="K55" s="4">
        <v>-1.3623603046574699</v>
      </c>
      <c r="L55" s="4">
        <v>145.74549350975499</v>
      </c>
      <c r="M55" s="4">
        <v>1.4795355364338401</v>
      </c>
      <c r="N55" s="4">
        <v>0.80761428057996099</v>
      </c>
      <c r="O55" s="4">
        <v>1.4</v>
      </c>
      <c r="P55" s="4">
        <v>1.4</v>
      </c>
      <c r="Q55" s="4">
        <v>0.22</v>
      </c>
      <c r="R55" s="4">
        <v>0.22</v>
      </c>
      <c r="S55" s="4">
        <v>0</v>
      </c>
      <c r="T55" s="4">
        <v>0</v>
      </c>
      <c r="U55" s="4">
        <v>0.3</v>
      </c>
      <c r="V55" s="4">
        <v>0.05</v>
      </c>
      <c r="W55" s="4">
        <v>1</v>
      </c>
      <c r="X55" s="4">
        <v>19.100000000000001</v>
      </c>
      <c r="Y55" s="4">
        <v>0</v>
      </c>
      <c r="Z55" s="4">
        <v>1.5</v>
      </c>
      <c r="AA55" s="4">
        <v>139</v>
      </c>
      <c r="AB55" s="4">
        <v>12.1</v>
      </c>
      <c r="AC55" s="4">
        <v>19.5</v>
      </c>
      <c r="AD55" s="3" t="s">
        <v>42</v>
      </c>
      <c r="AE55" s="3" t="s">
        <v>61</v>
      </c>
      <c r="AF55" s="17">
        <f>HLOOKUP(AD55,Data!$B$4:$M$9,2,0)</f>
        <v>13</v>
      </c>
      <c r="AG55" s="17">
        <f>HLOOKUP(AD55,Data!$B$4:$M$9,3,0)</f>
        <v>1</v>
      </c>
      <c r="AH55" s="17">
        <f>HLOOKUP(AE55,Data!$B$13:$I$18,3,0)</f>
        <v>260</v>
      </c>
      <c r="AI55" s="18">
        <f t="shared" si="39"/>
        <v>1.96</v>
      </c>
      <c r="AJ55" s="17">
        <f t="shared" si="40"/>
        <v>0.45733333333333298</v>
      </c>
      <c r="AK55" s="17">
        <f t="shared" si="41"/>
        <v>0.45733333333333298</v>
      </c>
      <c r="AL55" s="17">
        <f t="shared" si="42"/>
        <v>0.25</v>
      </c>
      <c r="AM55" s="17">
        <f t="shared" si="43"/>
        <v>0.59</v>
      </c>
      <c r="AN55" s="17">
        <f t="shared" si="44"/>
        <v>0.59</v>
      </c>
      <c r="AO55" s="17">
        <f t="shared" si="45"/>
        <v>0.59</v>
      </c>
      <c r="AP55" s="17">
        <f t="shared" si="46"/>
        <v>0.59</v>
      </c>
      <c r="AQ55" s="17">
        <f t="shared" si="47"/>
        <v>1.88</v>
      </c>
      <c r="AR55" s="17">
        <f t="shared" si="48"/>
        <v>1.4416</v>
      </c>
      <c r="AS55" s="17">
        <f t="shared" si="49"/>
        <v>169.74368420118401</v>
      </c>
      <c r="AT55" s="17">
        <f t="shared" si="50"/>
        <v>2.2457573970913298</v>
      </c>
      <c r="AU55" s="17">
        <f t="shared" si="51"/>
        <v>1.11406648721537</v>
      </c>
      <c r="AV55" s="17">
        <f t="shared" si="52"/>
        <v>145.74549350975499</v>
      </c>
      <c r="AW55" s="17">
        <f t="shared" si="53"/>
        <v>1.8882436278310899</v>
      </c>
      <c r="AX55" s="17">
        <f t="shared" si="54"/>
        <v>1.00212119361342</v>
      </c>
      <c r="AY55" s="17">
        <f t="shared" si="55"/>
        <v>114.550474193694</v>
      </c>
      <c r="AZ55" s="17">
        <f t="shared" si="56"/>
        <v>99.857366827921695</v>
      </c>
      <c r="BA55" s="17">
        <f t="shared" si="57"/>
        <v>107.203920510808</v>
      </c>
      <c r="BB55" s="17">
        <f t="shared" si="58"/>
        <v>101.27998536527799</v>
      </c>
      <c r="BC55" s="17">
        <f t="shared" si="59"/>
        <v>88.639905971206304</v>
      </c>
      <c r="BD55" s="17">
        <f t="shared" si="60"/>
        <v>94.959945668242398</v>
      </c>
      <c r="BE55" s="17" t="str">
        <f>IF(AND(BD55&lt;=AA55,BB55&lt;=AA55*MongDon!$J$44,BC55&gt;0),"Ok","FAIL")</f>
        <v>Ok</v>
      </c>
      <c r="BF55" s="17">
        <f t="shared" si="61"/>
        <v>165.13596359763</v>
      </c>
      <c r="BG55" s="17">
        <f t="shared" si="62"/>
        <v>352.5</v>
      </c>
      <c r="BH55" s="17" t="str">
        <f t="shared" si="63"/>
        <v>Ok</v>
      </c>
      <c r="BI55" s="17">
        <f t="shared" si="64"/>
        <v>48.6916451988251</v>
      </c>
      <c r="BJ55" s="17">
        <f t="shared" si="65"/>
        <v>52.188604751878998</v>
      </c>
      <c r="BK55" s="17">
        <f t="shared" si="66"/>
        <v>53.366487127464197</v>
      </c>
      <c r="BL55" s="17">
        <f t="shared" si="67"/>
        <v>49.869527574410299</v>
      </c>
      <c r="BM55" s="17">
        <f t="shared" si="68"/>
        <v>88.125</v>
      </c>
      <c r="BN55" s="17">
        <f t="shared" si="69"/>
        <v>88.125</v>
      </c>
      <c r="BO55" s="17">
        <f t="shared" si="70"/>
        <v>88.125</v>
      </c>
      <c r="BP55" s="17">
        <f t="shared" si="71"/>
        <v>88.125</v>
      </c>
      <c r="BQ55" s="17" t="str">
        <f t="shared" si="72"/>
        <v>Ok</v>
      </c>
      <c r="BR55" s="17">
        <f t="shared" si="73"/>
        <v>74.609892776446301</v>
      </c>
      <c r="BS55" s="17">
        <f t="shared" si="74"/>
        <v>46.169916661242503</v>
      </c>
      <c r="BT55" s="16">
        <f>MongDon!$H$80</f>
        <v>1.2</v>
      </c>
      <c r="BU55" s="17" t="str">
        <f t="shared" si="75"/>
        <v>Ok</v>
      </c>
      <c r="BV55" s="17">
        <f t="shared" si="76"/>
        <v>64.577669488549205</v>
      </c>
      <c r="BW55" s="16">
        <f>MongDon!$F$86</f>
        <v>1.5</v>
      </c>
      <c r="BX55" s="17" t="str">
        <f t="shared" si="77"/>
        <v>Ok</v>
      </c>
      <c r="BY55" s="17">
        <f t="shared" si="78"/>
        <v>99.857366827921695</v>
      </c>
      <c r="BZ55" s="17">
        <f t="shared" si="79"/>
        <v>104.729377704957</v>
      </c>
      <c r="CA55" s="17">
        <f t="shared" si="80"/>
        <v>114.550474193694</v>
      </c>
      <c r="CB55" s="17">
        <f t="shared" si="81"/>
        <v>109.67846331665901</v>
      </c>
      <c r="CC55" s="17">
        <f t="shared" si="82"/>
        <v>108.35837894669</v>
      </c>
      <c r="CD55" s="17">
        <f t="shared" si="83"/>
        <v>107.59277723744199</v>
      </c>
      <c r="CE55" s="17">
        <f t="shared" si="84"/>
        <v>106.815063784174</v>
      </c>
      <c r="CF55" s="17">
        <f t="shared" si="85"/>
        <v>108.35837894669</v>
      </c>
      <c r="CG55" s="17">
        <f t="shared" si="86"/>
        <v>19.5782653074988</v>
      </c>
      <c r="CH55" s="17">
        <f t="shared" si="87"/>
        <v>19.5782653074988</v>
      </c>
      <c r="CI55" s="17">
        <f t="shared" si="88"/>
        <v>334.67120183758698</v>
      </c>
      <c r="CJ55" s="17">
        <f t="shared" si="89"/>
        <v>334.67120183758698</v>
      </c>
    </row>
    <row r="56" spans="2:88">
      <c r="B56" s="3">
        <v>11</v>
      </c>
      <c r="C56" s="3" t="s">
        <v>25</v>
      </c>
      <c r="D56" s="4">
        <v>-2.4200084296775701</v>
      </c>
      <c r="E56" s="4">
        <v>-3.62509954533065</v>
      </c>
      <c r="F56" s="4">
        <v>162.194108380979</v>
      </c>
      <c r="G56" s="4">
        <v>5.0963169663704004</v>
      </c>
      <c r="H56" s="4">
        <v>-4.16181397158081</v>
      </c>
      <c r="I56" s="4" t="s">
        <v>15</v>
      </c>
      <c r="J56" s="4">
        <v>-1.9609949983752799</v>
      </c>
      <c r="K56" s="4">
        <v>-3.0366224257550001</v>
      </c>
      <c r="L56" s="4">
        <v>139.45418032625099</v>
      </c>
      <c r="M56" s="4">
        <v>4.2589980941698</v>
      </c>
      <c r="N56" s="4">
        <v>-3.4111494632902</v>
      </c>
      <c r="O56" s="4">
        <v>1.4</v>
      </c>
      <c r="P56" s="4">
        <v>1.4</v>
      </c>
      <c r="Q56" s="4">
        <v>0.22</v>
      </c>
      <c r="R56" s="4">
        <v>0.22</v>
      </c>
      <c r="S56" s="4">
        <v>0</v>
      </c>
      <c r="T56" s="4">
        <v>0</v>
      </c>
      <c r="U56" s="4">
        <v>0.3</v>
      </c>
      <c r="V56" s="4">
        <v>0.05</v>
      </c>
      <c r="W56" s="4">
        <v>1</v>
      </c>
      <c r="X56" s="4">
        <v>19.100000000000001</v>
      </c>
      <c r="Y56" s="4">
        <v>0</v>
      </c>
      <c r="Z56" s="4">
        <v>1.5</v>
      </c>
      <c r="AA56" s="4">
        <v>139</v>
      </c>
      <c r="AB56" s="4">
        <v>12.1</v>
      </c>
      <c r="AC56" s="4">
        <v>19.5</v>
      </c>
      <c r="AD56" s="3" t="s">
        <v>42</v>
      </c>
      <c r="AE56" s="3" t="s">
        <v>61</v>
      </c>
      <c r="AF56" s="17">
        <f>HLOOKUP(AD56,Data!$B$4:$M$9,2,0)</f>
        <v>13</v>
      </c>
      <c r="AG56" s="17">
        <f>HLOOKUP(AD56,Data!$B$4:$M$9,3,0)</f>
        <v>1</v>
      </c>
      <c r="AH56" s="17">
        <f>HLOOKUP(AE56,Data!$B$13:$I$18,3,0)</f>
        <v>260</v>
      </c>
      <c r="AI56" s="18">
        <f t="shared" si="39"/>
        <v>1.96</v>
      </c>
      <c r="AJ56" s="17">
        <f t="shared" si="40"/>
        <v>0.45733333333333298</v>
      </c>
      <c r="AK56" s="17">
        <f t="shared" si="41"/>
        <v>0.45733333333333298</v>
      </c>
      <c r="AL56" s="17">
        <f t="shared" si="42"/>
        <v>0.25</v>
      </c>
      <c r="AM56" s="17">
        <f t="shared" si="43"/>
        <v>0.59</v>
      </c>
      <c r="AN56" s="17">
        <f t="shared" si="44"/>
        <v>0.59</v>
      </c>
      <c r="AO56" s="17">
        <f t="shared" si="45"/>
        <v>0.59</v>
      </c>
      <c r="AP56" s="17">
        <f t="shared" si="46"/>
        <v>0.59</v>
      </c>
      <c r="AQ56" s="17">
        <f t="shared" si="47"/>
        <v>1.88</v>
      </c>
      <c r="AR56" s="17">
        <f t="shared" si="48"/>
        <v>1.4416</v>
      </c>
      <c r="AS56" s="17">
        <f t="shared" si="49"/>
        <v>162.194108380979</v>
      </c>
      <c r="AT56" s="17">
        <f t="shared" si="50"/>
        <v>6.1838468299695997</v>
      </c>
      <c r="AU56" s="17">
        <f t="shared" si="51"/>
        <v>-4.8878165004840799</v>
      </c>
      <c r="AV56" s="17">
        <f t="shared" si="52"/>
        <v>139.45418032625099</v>
      </c>
      <c r="AW56" s="17">
        <f t="shared" si="53"/>
        <v>5.1699848218962998</v>
      </c>
      <c r="AX56" s="17">
        <f t="shared" si="54"/>
        <v>-3.9994479628027899</v>
      </c>
      <c r="AY56" s="17">
        <f t="shared" si="55"/>
        <v>127.56127249128799</v>
      </c>
      <c r="AZ56" s="17">
        <f t="shared" si="56"/>
        <v>79.142919734201499</v>
      </c>
      <c r="BA56" s="17">
        <f t="shared" si="57"/>
        <v>103.352096112745</v>
      </c>
      <c r="BB56" s="17">
        <f t="shared" si="58"/>
        <v>111.79987214466</v>
      </c>
      <c r="BC56" s="17">
        <f t="shared" si="59"/>
        <v>71.700311861719101</v>
      </c>
      <c r="BD56" s="17">
        <f t="shared" si="60"/>
        <v>91.750092003189394</v>
      </c>
      <c r="BE56" s="17" t="str">
        <f>IF(AND(BD56&lt;=AA56,BB56&lt;=AA56*MongDon!$J$44,BC56&gt;0),"Ok","FAIL")</f>
        <v>Ok</v>
      </c>
      <c r="BF56" s="17">
        <f t="shared" si="61"/>
        <v>183.89233042344</v>
      </c>
      <c r="BG56" s="17">
        <f t="shared" si="62"/>
        <v>352.5</v>
      </c>
      <c r="BH56" s="17" t="str">
        <f t="shared" si="63"/>
        <v>Ok</v>
      </c>
      <c r="BI56" s="17">
        <f t="shared" si="64"/>
        <v>42.759349008269503</v>
      </c>
      <c r="BJ56" s="17">
        <f t="shared" si="65"/>
        <v>44.108278534876902</v>
      </c>
      <c r="BK56" s="17">
        <f t="shared" si="66"/>
        <v>55.6318464910633</v>
      </c>
      <c r="BL56" s="17">
        <f t="shared" si="67"/>
        <v>54.282916964456</v>
      </c>
      <c r="BM56" s="17">
        <f t="shared" si="68"/>
        <v>88.125</v>
      </c>
      <c r="BN56" s="17">
        <f t="shared" si="69"/>
        <v>88.125</v>
      </c>
      <c r="BO56" s="17">
        <f t="shared" si="70"/>
        <v>88.125</v>
      </c>
      <c r="BP56" s="17">
        <f t="shared" si="71"/>
        <v>88.125</v>
      </c>
      <c r="BQ56" s="17" t="str">
        <f t="shared" si="72"/>
        <v>Ok</v>
      </c>
      <c r="BR56" s="17">
        <f t="shared" si="73"/>
        <v>72.991403959629594</v>
      </c>
      <c r="BS56" s="17">
        <f t="shared" si="74"/>
        <v>20.135006789992001</v>
      </c>
      <c r="BT56" s="16">
        <f>MongDon!$H$80</f>
        <v>1.2</v>
      </c>
      <c r="BU56" s="17" t="str">
        <f t="shared" si="75"/>
        <v>Ok</v>
      </c>
      <c r="BV56" s="17">
        <f t="shared" si="76"/>
        <v>22.597758273933898</v>
      </c>
      <c r="BW56" s="16">
        <f>MongDon!$F$86</f>
        <v>1.5</v>
      </c>
      <c r="BX56" s="17" t="str">
        <f t="shared" si="77"/>
        <v>Ok</v>
      </c>
      <c r="BY56" s="17">
        <f t="shared" si="78"/>
        <v>100.518210552645</v>
      </c>
      <c r="BZ56" s="17">
        <f t="shared" si="79"/>
        <v>79.142919734201499</v>
      </c>
      <c r="CA56" s="17">
        <f t="shared" si="80"/>
        <v>106.18598167284399</v>
      </c>
      <c r="CB56" s="17">
        <f t="shared" si="81"/>
        <v>127.56127249128799</v>
      </c>
      <c r="CC56" s="17">
        <f t="shared" si="82"/>
        <v>103.79742098647399</v>
      </c>
      <c r="CD56" s="17">
        <f t="shared" si="83"/>
        <v>107.156395257944</v>
      </c>
      <c r="CE56" s="17">
        <f t="shared" si="84"/>
        <v>102.906771239015</v>
      </c>
      <c r="CF56" s="17">
        <f t="shared" si="85"/>
        <v>107.156395257944</v>
      </c>
      <c r="CG56" s="17">
        <f t="shared" si="86"/>
        <v>21.018216516287499</v>
      </c>
      <c r="CH56" s="17">
        <f t="shared" si="87"/>
        <v>21.018216516287499</v>
      </c>
      <c r="CI56" s="17">
        <f t="shared" si="88"/>
        <v>359.28575241517001</v>
      </c>
      <c r="CJ56" s="17">
        <f t="shared" si="89"/>
        <v>359.28575241517001</v>
      </c>
    </row>
    <row r="57" spans="2:88">
      <c r="B57" s="3">
        <v>11</v>
      </c>
      <c r="C57" s="3" t="s">
        <v>26</v>
      </c>
      <c r="D57" s="4">
        <v>3.8431133143305498</v>
      </c>
      <c r="E57" s="4">
        <v>0.43337708755156501</v>
      </c>
      <c r="F57" s="4">
        <v>174.06229727608999</v>
      </c>
      <c r="G57" s="4">
        <v>-1.62015527745648</v>
      </c>
      <c r="H57" s="4">
        <v>5.9589926780188698</v>
      </c>
      <c r="I57" s="4" t="s">
        <v>16</v>
      </c>
      <c r="J57" s="4">
        <v>3.2582731216314902</v>
      </c>
      <c r="K57" s="4">
        <v>0.34544143498017499</v>
      </c>
      <c r="L57" s="4">
        <v>149.34433773884399</v>
      </c>
      <c r="M57" s="4">
        <v>-1.3380621090192599</v>
      </c>
      <c r="N57" s="4">
        <v>5.0228560780428602</v>
      </c>
      <c r="O57" s="4">
        <v>1.4</v>
      </c>
      <c r="P57" s="4">
        <v>1.4</v>
      </c>
      <c r="Q57" s="4">
        <v>0.22</v>
      </c>
      <c r="R57" s="4">
        <v>0.22</v>
      </c>
      <c r="S57" s="4">
        <v>0</v>
      </c>
      <c r="T57" s="4">
        <v>0</v>
      </c>
      <c r="U57" s="4">
        <v>0.3</v>
      </c>
      <c r="V57" s="4">
        <v>0.05</v>
      </c>
      <c r="W57" s="4">
        <v>1</v>
      </c>
      <c r="X57" s="4">
        <v>19.100000000000001</v>
      </c>
      <c r="Y57" s="4">
        <v>0</v>
      </c>
      <c r="Z57" s="4">
        <v>1.5</v>
      </c>
      <c r="AA57" s="4">
        <v>139</v>
      </c>
      <c r="AB57" s="4">
        <v>12.1</v>
      </c>
      <c r="AC57" s="4">
        <v>19.5</v>
      </c>
      <c r="AD57" s="3" t="s">
        <v>42</v>
      </c>
      <c r="AE57" s="3" t="s">
        <v>61</v>
      </c>
      <c r="AF57" s="17">
        <f>HLOOKUP(AD57,Data!$B$4:$M$9,2,0)</f>
        <v>13</v>
      </c>
      <c r="AG57" s="17">
        <f>HLOOKUP(AD57,Data!$B$4:$M$9,3,0)</f>
        <v>1</v>
      </c>
      <c r="AH57" s="17">
        <f>HLOOKUP(AE57,Data!$B$13:$I$18,3,0)</f>
        <v>260</v>
      </c>
      <c r="AI57" s="18">
        <f t="shared" si="39"/>
        <v>1.96</v>
      </c>
      <c r="AJ57" s="17">
        <f t="shared" si="40"/>
        <v>0.45733333333333298</v>
      </c>
      <c r="AK57" s="17">
        <f t="shared" si="41"/>
        <v>0.45733333333333298</v>
      </c>
      <c r="AL57" s="17">
        <f t="shared" si="42"/>
        <v>0.25</v>
      </c>
      <c r="AM57" s="17">
        <f t="shared" si="43"/>
        <v>0.59</v>
      </c>
      <c r="AN57" s="17">
        <f t="shared" si="44"/>
        <v>0.59</v>
      </c>
      <c r="AO57" s="17">
        <f t="shared" si="45"/>
        <v>0.59</v>
      </c>
      <c r="AP57" s="17">
        <f t="shared" si="46"/>
        <v>0.59</v>
      </c>
      <c r="AQ57" s="17">
        <f t="shared" si="47"/>
        <v>1.88</v>
      </c>
      <c r="AR57" s="17">
        <f t="shared" si="48"/>
        <v>1.4416</v>
      </c>
      <c r="AS57" s="17">
        <f t="shared" si="49"/>
        <v>174.06229727608999</v>
      </c>
      <c r="AT57" s="17">
        <f t="shared" si="50"/>
        <v>-1.75016840372194</v>
      </c>
      <c r="AU57" s="17">
        <f t="shared" si="51"/>
        <v>7.1119266723180301</v>
      </c>
      <c r="AV57" s="17">
        <f t="shared" si="52"/>
        <v>149.34433773884399</v>
      </c>
      <c r="AW57" s="17">
        <f t="shared" si="53"/>
        <v>-1.4416945395133101</v>
      </c>
      <c r="AX57" s="17">
        <f t="shared" si="54"/>
        <v>6.0003380145323097</v>
      </c>
      <c r="AY57" s="17">
        <f t="shared" si="55"/>
        <v>128.78505344124099</v>
      </c>
      <c r="AZ57" s="17">
        <f t="shared" si="56"/>
        <v>90.029535615993595</v>
      </c>
      <c r="BA57" s="17">
        <f t="shared" si="57"/>
        <v>109.407294528617</v>
      </c>
      <c r="BB57" s="17">
        <f t="shared" si="58"/>
        <v>113.068756617586</v>
      </c>
      <c r="BC57" s="17">
        <f t="shared" si="59"/>
        <v>80.523424748581405</v>
      </c>
      <c r="BD57" s="17">
        <f t="shared" si="60"/>
        <v>96.796090683083506</v>
      </c>
      <c r="BE57" s="17" t="str">
        <f>IF(AND(BD57&lt;=AA57,BB57&lt;=AA57*MongDon!$J$44,BC57&gt;0),"Ok","FAIL")</f>
        <v>Ok</v>
      </c>
      <c r="BF57" s="17">
        <f t="shared" si="61"/>
        <v>185.65653304089301</v>
      </c>
      <c r="BG57" s="17">
        <f t="shared" si="62"/>
        <v>352.5</v>
      </c>
      <c r="BH57" s="17" t="str">
        <f t="shared" si="63"/>
        <v>Ok</v>
      </c>
      <c r="BI57" s="17">
        <f t="shared" si="64"/>
        <v>53.899476044393701</v>
      </c>
      <c r="BJ57" s="17">
        <f t="shared" si="65"/>
        <v>59.480081589259001</v>
      </c>
      <c r="BK57" s="17">
        <f t="shared" si="66"/>
        <v>50.256268346850099</v>
      </c>
      <c r="BL57" s="17">
        <f t="shared" si="67"/>
        <v>44.675662801984799</v>
      </c>
      <c r="BM57" s="17">
        <f t="shared" si="68"/>
        <v>88.125</v>
      </c>
      <c r="BN57" s="17">
        <f t="shared" si="69"/>
        <v>88.125</v>
      </c>
      <c r="BO57" s="17">
        <f t="shared" si="70"/>
        <v>88.125</v>
      </c>
      <c r="BP57" s="17">
        <f t="shared" si="71"/>
        <v>88.125</v>
      </c>
      <c r="BQ57" s="17" t="str">
        <f t="shared" si="72"/>
        <v>Ok</v>
      </c>
      <c r="BR57" s="17">
        <f t="shared" si="73"/>
        <v>75.535723198228297</v>
      </c>
      <c r="BS57" s="17">
        <f t="shared" si="74"/>
        <v>19.654825923701999</v>
      </c>
      <c r="BT57" s="16">
        <f>MongDon!$H$80</f>
        <v>1.2</v>
      </c>
      <c r="BU57" s="17" t="str">
        <f t="shared" si="75"/>
        <v>Ok</v>
      </c>
      <c r="BV57" s="17">
        <f t="shared" si="76"/>
        <v>20.8169761746164</v>
      </c>
      <c r="BW57" s="16">
        <f>MongDon!$F$86</f>
        <v>1.5</v>
      </c>
      <c r="BX57" s="17" t="str">
        <f t="shared" si="77"/>
        <v>Ok</v>
      </c>
      <c r="BY57" s="17">
        <f t="shared" si="78"/>
        <v>97.683333299908796</v>
      </c>
      <c r="BZ57" s="17">
        <f t="shared" si="79"/>
        <v>128.78505344124099</v>
      </c>
      <c r="CA57" s="17">
        <f t="shared" si="80"/>
        <v>121.131255757326</v>
      </c>
      <c r="CB57" s="17">
        <f t="shared" si="81"/>
        <v>90.029535615993595</v>
      </c>
      <c r="CC57" s="17">
        <f t="shared" si="82"/>
        <v>112.452370929173</v>
      </c>
      <c r="CD57" s="17">
        <f t="shared" si="83"/>
        <v>107.564957764106</v>
      </c>
      <c r="CE57" s="17">
        <f t="shared" si="84"/>
        <v>112.452370929173</v>
      </c>
      <c r="CF57" s="17">
        <f t="shared" si="85"/>
        <v>111.249631293129</v>
      </c>
      <c r="CG57" s="17">
        <f t="shared" si="86"/>
        <v>21.467470754372901</v>
      </c>
      <c r="CH57" s="17">
        <f t="shared" si="87"/>
        <v>21.467470754372901</v>
      </c>
      <c r="CI57" s="17">
        <f t="shared" si="88"/>
        <v>366.96531204056203</v>
      </c>
      <c r="CJ57" s="17">
        <f t="shared" si="89"/>
        <v>366.96531204056203</v>
      </c>
    </row>
    <row r="58" spans="2:88">
      <c r="B58" s="3">
        <v>11</v>
      </c>
      <c r="C58" s="3" t="s">
        <v>27</v>
      </c>
      <c r="D58" s="4">
        <v>3.85336939422618</v>
      </c>
      <c r="E58" s="4">
        <v>-17.2849663675036</v>
      </c>
      <c r="F58" s="4">
        <v>150.81104899166999</v>
      </c>
      <c r="G58" s="4">
        <v>27.458222919218901</v>
      </c>
      <c r="H58" s="4">
        <v>5.9677674276518902</v>
      </c>
      <c r="I58" s="4" t="s">
        <v>17</v>
      </c>
      <c r="J58" s="4">
        <v>3.2668198548778502</v>
      </c>
      <c r="K58" s="4">
        <v>-14.4198447775658</v>
      </c>
      <c r="L58" s="4">
        <v>129.96829750182701</v>
      </c>
      <c r="M58" s="4">
        <v>22.8939197215436</v>
      </c>
      <c r="N58" s="4">
        <v>5.03016836940371</v>
      </c>
      <c r="O58" s="4">
        <v>1.4</v>
      </c>
      <c r="P58" s="4">
        <v>1.4</v>
      </c>
      <c r="Q58" s="4">
        <v>0.22</v>
      </c>
      <c r="R58" s="4">
        <v>0.22</v>
      </c>
      <c r="S58" s="4">
        <v>0</v>
      </c>
      <c r="T58" s="4">
        <v>0</v>
      </c>
      <c r="U58" s="4">
        <v>0.3</v>
      </c>
      <c r="V58" s="4">
        <v>0.05</v>
      </c>
      <c r="W58" s="4">
        <v>1</v>
      </c>
      <c r="X58" s="4">
        <v>19.100000000000001</v>
      </c>
      <c r="Y58" s="4">
        <v>0</v>
      </c>
      <c r="Z58" s="4">
        <v>1.5</v>
      </c>
      <c r="AA58" s="4">
        <v>139</v>
      </c>
      <c r="AB58" s="4">
        <v>12.1</v>
      </c>
      <c r="AC58" s="4">
        <v>19.5</v>
      </c>
      <c r="AD58" s="3" t="s">
        <v>42</v>
      </c>
      <c r="AE58" s="3" t="s">
        <v>61</v>
      </c>
      <c r="AF58" s="17">
        <f>HLOOKUP(AD58,Data!$B$4:$M$9,2,0)</f>
        <v>13</v>
      </c>
      <c r="AG58" s="17">
        <f>HLOOKUP(AD58,Data!$B$4:$M$9,3,0)</f>
        <v>1</v>
      </c>
      <c r="AH58" s="17">
        <f>HLOOKUP(AE58,Data!$B$13:$I$18,3,0)</f>
        <v>260</v>
      </c>
      <c r="AI58" s="18">
        <f t="shared" si="39"/>
        <v>1.96</v>
      </c>
      <c r="AJ58" s="17">
        <f t="shared" si="40"/>
        <v>0.45733333333333298</v>
      </c>
      <c r="AK58" s="17">
        <f t="shared" si="41"/>
        <v>0.45733333333333298</v>
      </c>
      <c r="AL58" s="17">
        <f t="shared" si="42"/>
        <v>0.25</v>
      </c>
      <c r="AM58" s="17">
        <f t="shared" si="43"/>
        <v>0.59</v>
      </c>
      <c r="AN58" s="17">
        <f t="shared" si="44"/>
        <v>0.59</v>
      </c>
      <c r="AO58" s="17">
        <f t="shared" si="45"/>
        <v>0.59</v>
      </c>
      <c r="AP58" s="17">
        <f t="shared" si="46"/>
        <v>0.59</v>
      </c>
      <c r="AQ58" s="17">
        <f t="shared" si="47"/>
        <v>1.88</v>
      </c>
      <c r="AR58" s="17">
        <f t="shared" si="48"/>
        <v>1.4416</v>
      </c>
      <c r="AS58" s="17">
        <f t="shared" si="49"/>
        <v>150.81104899166999</v>
      </c>
      <c r="AT58" s="17">
        <f t="shared" si="50"/>
        <v>32.643712829469997</v>
      </c>
      <c r="AU58" s="17">
        <f t="shared" si="51"/>
        <v>7.1237782459197403</v>
      </c>
      <c r="AV58" s="17">
        <f t="shared" si="52"/>
        <v>129.96829750182701</v>
      </c>
      <c r="AW58" s="17">
        <f t="shared" si="53"/>
        <v>27.2198731548133</v>
      </c>
      <c r="AX58" s="17">
        <f t="shared" si="54"/>
        <v>6.0102143258670599</v>
      </c>
      <c r="AY58" s="17">
        <f t="shared" si="55"/>
        <v>184.49956816351201</v>
      </c>
      <c r="AZ58" s="17">
        <f t="shared" si="56"/>
        <v>10.5892573381925</v>
      </c>
      <c r="BA58" s="17">
        <f t="shared" si="57"/>
        <v>97.544412750852203</v>
      </c>
      <c r="BB58" s="17">
        <f t="shared" si="58"/>
        <v>159.57089700679299</v>
      </c>
      <c r="BC58" s="17">
        <f t="shared" si="59"/>
        <v>14.2498147297653</v>
      </c>
      <c r="BD58" s="17">
        <f t="shared" si="60"/>
        <v>86.910355868279197</v>
      </c>
      <c r="BE58" s="17" t="str">
        <f>IF(AND(BD58&lt;=AA58,BB58&lt;=AA58*MongDon!$J$44,BC58&gt;0),"Ok","FAIL")</f>
        <v>Ok</v>
      </c>
      <c r="BF58" s="17">
        <f t="shared" si="61"/>
        <v>265.97457746451897</v>
      </c>
      <c r="BG58" s="17">
        <f t="shared" si="62"/>
        <v>352.5</v>
      </c>
      <c r="BH58" s="17" t="str">
        <f t="shared" si="63"/>
        <v>Ok</v>
      </c>
      <c r="BI58" s="17">
        <f t="shared" si="64"/>
        <v>12.455031197916499</v>
      </c>
      <c r="BJ58" s="17">
        <f t="shared" si="65"/>
        <v>53.845685174342499</v>
      </c>
      <c r="BK58" s="17">
        <f t="shared" si="66"/>
        <v>80.407249740894798</v>
      </c>
      <c r="BL58" s="17">
        <f t="shared" si="67"/>
        <v>39.016595764468804</v>
      </c>
      <c r="BM58" s="17">
        <f t="shared" si="68"/>
        <v>88.125</v>
      </c>
      <c r="BN58" s="17">
        <f t="shared" si="69"/>
        <v>88.125</v>
      </c>
      <c r="BO58" s="17">
        <f t="shared" si="70"/>
        <v>88.125</v>
      </c>
      <c r="BP58" s="17">
        <f t="shared" si="71"/>
        <v>88.125</v>
      </c>
      <c r="BQ58" s="17" t="str">
        <f t="shared" si="72"/>
        <v>Ok</v>
      </c>
      <c r="BR58" s="17">
        <f t="shared" si="73"/>
        <v>70.551087475430293</v>
      </c>
      <c r="BS58" s="17">
        <f t="shared" si="74"/>
        <v>4.0816444750548602</v>
      </c>
      <c r="BT58" s="16">
        <f>MongDon!$H$80</f>
        <v>1.2</v>
      </c>
      <c r="BU58" s="17" t="str">
        <f t="shared" si="75"/>
        <v>Ok</v>
      </c>
      <c r="BV58" s="17">
        <f t="shared" si="76"/>
        <v>4.0367017986755398</v>
      </c>
      <c r="BW58" s="16">
        <f>MongDon!$F$86</f>
        <v>1.5</v>
      </c>
      <c r="BX58" s="17" t="str">
        <f t="shared" si="77"/>
        <v>Ok</v>
      </c>
      <c r="BY58" s="17">
        <f t="shared" si="78"/>
        <v>10.5892573381925</v>
      </c>
      <c r="BZ58" s="17">
        <f t="shared" si="79"/>
        <v>41.742806518599501</v>
      </c>
      <c r="CA58" s="17">
        <f t="shared" si="80"/>
        <v>184.49956816351201</v>
      </c>
      <c r="CB58" s="17">
        <f t="shared" si="81"/>
        <v>153.34601898310501</v>
      </c>
      <c r="CC58" s="17">
        <f t="shared" si="82"/>
        <v>111.208794315699</v>
      </c>
      <c r="CD58" s="17">
        <f t="shared" si="83"/>
        <v>106.313236587349</v>
      </c>
      <c r="CE58" s="17">
        <f t="shared" si="84"/>
        <v>88.775588914355396</v>
      </c>
      <c r="CF58" s="17">
        <f t="shared" si="85"/>
        <v>111.208794315699</v>
      </c>
      <c r="CG58" s="17">
        <f t="shared" si="86"/>
        <v>27.860063442788601</v>
      </c>
      <c r="CH58" s="17">
        <f t="shared" si="87"/>
        <v>27.860063442788601</v>
      </c>
      <c r="CI58" s="17">
        <f t="shared" si="88"/>
        <v>476.24040073142999</v>
      </c>
      <c r="CJ58" s="17">
        <f t="shared" si="89"/>
        <v>476.24040073142999</v>
      </c>
    </row>
    <row r="59" spans="2:88">
      <c r="B59" s="3">
        <v>11</v>
      </c>
      <c r="C59" s="3" t="s">
        <v>28</v>
      </c>
      <c r="D59" s="4">
        <v>-2.4302645095732101</v>
      </c>
      <c r="E59" s="4">
        <v>14.093243909724499</v>
      </c>
      <c r="F59" s="4">
        <v>185.445356665399</v>
      </c>
      <c r="G59" s="4">
        <v>-23.982061230305</v>
      </c>
      <c r="H59" s="4">
        <v>-4.1705887212138304</v>
      </c>
      <c r="I59" s="4" t="s">
        <v>18</v>
      </c>
      <c r="J59" s="4">
        <v>-1.9695417316216399</v>
      </c>
      <c r="K59" s="4">
        <v>11.728663786791</v>
      </c>
      <c r="L59" s="4">
        <v>158.830220563268</v>
      </c>
      <c r="M59" s="4">
        <v>-19.972983736393001</v>
      </c>
      <c r="N59" s="4">
        <v>-3.4184617546510498</v>
      </c>
      <c r="O59" s="4">
        <v>1.4</v>
      </c>
      <c r="P59" s="4">
        <v>1.4</v>
      </c>
      <c r="Q59" s="4">
        <v>0.22</v>
      </c>
      <c r="R59" s="4">
        <v>0.22</v>
      </c>
      <c r="S59" s="4">
        <v>0</v>
      </c>
      <c r="T59" s="4">
        <v>0</v>
      </c>
      <c r="U59" s="4">
        <v>0.3</v>
      </c>
      <c r="V59" s="4">
        <v>0.05</v>
      </c>
      <c r="W59" s="4">
        <v>1</v>
      </c>
      <c r="X59" s="4">
        <v>19.100000000000001</v>
      </c>
      <c r="Y59" s="4">
        <v>0</v>
      </c>
      <c r="Z59" s="4">
        <v>1.5</v>
      </c>
      <c r="AA59" s="4">
        <v>139</v>
      </c>
      <c r="AB59" s="4">
        <v>12.1</v>
      </c>
      <c r="AC59" s="4">
        <v>19.5</v>
      </c>
      <c r="AD59" s="3" t="s">
        <v>42</v>
      </c>
      <c r="AE59" s="3" t="s">
        <v>61</v>
      </c>
      <c r="AF59" s="17">
        <f>HLOOKUP(AD59,Data!$B$4:$M$9,2,0)</f>
        <v>13</v>
      </c>
      <c r="AG59" s="17">
        <f>HLOOKUP(AD59,Data!$B$4:$M$9,3,0)</f>
        <v>1</v>
      </c>
      <c r="AH59" s="17">
        <f>HLOOKUP(AE59,Data!$B$13:$I$18,3,0)</f>
        <v>260</v>
      </c>
      <c r="AI59" s="18">
        <f t="shared" si="39"/>
        <v>1.96</v>
      </c>
      <c r="AJ59" s="17">
        <f t="shared" si="40"/>
        <v>0.45733333333333298</v>
      </c>
      <c r="AK59" s="17">
        <f t="shared" si="41"/>
        <v>0.45733333333333298</v>
      </c>
      <c r="AL59" s="17">
        <f t="shared" si="42"/>
        <v>0.25</v>
      </c>
      <c r="AM59" s="17">
        <f t="shared" si="43"/>
        <v>0.59</v>
      </c>
      <c r="AN59" s="17">
        <f t="shared" si="44"/>
        <v>0.59</v>
      </c>
      <c r="AO59" s="17">
        <f t="shared" si="45"/>
        <v>0.59</v>
      </c>
      <c r="AP59" s="17">
        <f t="shared" si="46"/>
        <v>0.59</v>
      </c>
      <c r="AQ59" s="17">
        <f t="shared" si="47"/>
        <v>1.88</v>
      </c>
      <c r="AR59" s="17">
        <f t="shared" si="48"/>
        <v>1.4416</v>
      </c>
      <c r="AS59" s="17">
        <f t="shared" si="49"/>
        <v>185.445356665399</v>
      </c>
      <c r="AT59" s="17">
        <f t="shared" si="50"/>
        <v>-28.210034403222298</v>
      </c>
      <c r="AU59" s="17">
        <f t="shared" si="51"/>
        <v>-4.8996680740857901</v>
      </c>
      <c r="AV59" s="17">
        <f t="shared" si="52"/>
        <v>158.830220563268</v>
      </c>
      <c r="AW59" s="17">
        <f t="shared" si="53"/>
        <v>-23.4915828724303</v>
      </c>
      <c r="AX59" s="17">
        <f t="shared" si="54"/>
        <v>-4.0093242741375503</v>
      </c>
      <c r="AY59" s="17">
        <f t="shared" si="55"/>
        <v>187.61228651436099</v>
      </c>
      <c r="AZ59" s="17">
        <f t="shared" si="56"/>
        <v>42.8176692666582</v>
      </c>
      <c r="BA59" s="17">
        <f t="shared" si="57"/>
        <v>115.21497789051</v>
      </c>
      <c r="BB59" s="17">
        <f t="shared" si="58"/>
        <v>161.769005709906</v>
      </c>
      <c r="BC59" s="17">
        <f t="shared" si="59"/>
        <v>41.5026479260816</v>
      </c>
      <c r="BD59" s="17">
        <f t="shared" si="60"/>
        <v>101.635826817994</v>
      </c>
      <c r="BE59" s="17" t="str">
        <f>IF(AND(BD59&lt;=AA59,BB59&lt;=AA59*MongDon!$J$44,BC59&gt;0),"Ok","FAIL")</f>
        <v>Ok</v>
      </c>
      <c r="BF59" s="17">
        <f t="shared" si="61"/>
        <v>270.461872239103</v>
      </c>
      <c r="BG59" s="17">
        <f t="shared" si="62"/>
        <v>352.5</v>
      </c>
      <c r="BH59" s="17" t="str">
        <f t="shared" si="63"/>
        <v>Ok</v>
      </c>
      <c r="BI59" s="17">
        <f t="shared" si="64"/>
        <v>84.203793854746706</v>
      </c>
      <c r="BJ59" s="17">
        <f t="shared" si="65"/>
        <v>49.742674949793397</v>
      </c>
      <c r="BK59" s="17">
        <f t="shared" si="66"/>
        <v>25.480865097018601</v>
      </c>
      <c r="BL59" s="17">
        <f t="shared" si="67"/>
        <v>59.941984001971903</v>
      </c>
      <c r="BM59" s="17">
        <f t="shared" si="68"/>
        <v>88.125</v>
      </c>
      <c r="BN59" s="17">
        <f t="shared" si="69"/>
        <v>88.125</v>
      </c>
      <c r="BO59" s="17">
        <f t="shared" si="70"/>
        <v>88.125</v>
      </c>
      <c r="BP59" s="17">
        <f t="shared" si="71"/>
        <v>88.125</v>
      </c>
      <c r="BQ59" s="17" t="str">
        <f t="shared" si="72"/>
        <v>Ok</v>
      </c>
      <c r="BR59" s="17">
        <f t="shared" si="73"/>
        <v>77.976039682427597</v>
      </c>
      <c r="BS59" s="17">
        <f t="shared" si="74"/>
        <v>5.5328666829233804</v>
      </c>
      <c r="BT59" s="16">
        <f>MongDon!$H$80</f>
        <v>1.2</v>
      </c>
      <c r="BU59" s="17" t="str">
        <f t="shared" si="75"/>
        <v>Ok</v>
      </c>
      <c r="BV59" s="17">
        <f t="shared" si="76"/>
        <v>5.5305480112409304</v>
      </c>
      <c r="BW59" s="16">
        <f>MongDon!$F$86</f>
        <v>1.5</v>
      </c>
      <c r="BX59" s="17" t="str">
        <f t="shared" si="77"/>
        <v>Ok</v>
      </c>
      <c r="BY59" s="17">
        <f t="shared" si="78"/>
        <v>187.61228651436099</v>
      </c>
      <c r="BZ59" s="17">
        <f t="shared" si="79"/>
        <v>166.18516665684299</v>
      </c>
      <c r="CA59" s="17">
        <f t="shared" si="80"/>
        <v>42.8176692666582</v>
      </c>
      <c r="CB59" s="17">
        <f t="shared" si="81"/>
        <v>64.244789124176194</v>
      </c>
      <c r="CC59" s="17">
        <f t="shared" si="82"/>
        <v>123.224578982362</v>
      </c>
      <c r="CD59" s="17">
        <f t="shared" si="83"/>
        <v>126.591697817115</v>
      </c>
      <c r="CE59" s="17">
        <f t="shared" si="84"/>
        <v>126.591697817115</v>
      </c>
      <c r="CF59" s="17">
        <f t="shared" si="85"/>
        <v>107.205376798657</v>
      </c>
      <c r="CG59" s="17">
        <f t="shared" si="86"/>
        <v>29.1137073135727</v>
      </c>
      <c r="CH59" s="17">
        <f t="shared" si="87"/>
        <v>29.1137073135727</v>
      </c>
      <c r="CI59" s="17">
        <f t="shared" si="88"/>
        <v>497.67021048842201</v>
      </c>
      <c r="CJ59" s="17">
        <f t="shared" si="89"/>
        <v>497.67021048842201</v>
      </c>
    </row>
    <row r="60" spans="2:88">
      <c r="B60" s="3">
        <v>11</v>
      </c>
      <c r="C60" s="3" t="s">
        <v>29</v>
      </c>
      <c r="D60" s="4">
        <v>-2.7649066412989201</v>
      </c>
      <c r="E60" s="4">
        <v>-3.6694565292630501</v>
      </c>
      <c r="F60" s="4">
        <v>146.99543219963101</v>
      </c>
      <c r="G60" s="4">
        <v>5.2635248395770597</v>
      </c>
      <c r="H60" s="4">
        <v>-4.7430995182689202</v>
      </c>
      <c r="I60" s="4" t="s">
        <v>19</v>
      </c>
      <c r="J60" s="4">
        <v>-2.2484101747263998</v>
      </c>
      <c r="K60" s="4">
        <v>-3.07358657903201</v>
      </c>
      <c r="L60" s="4">
        <v>126.788616841794</v>
      </c>
      <c r="M60" s="4">
        <v>4.3983379885086897</v>
      </c>
      <c r="N60" s="4">
        <v>-3.8955540855302999</v>
      </c>
      <c r="O60" s="4">
        <v>1.4</v>
      </c>
      <c r="P60" s="4">
        <v>1.4</v>
      </c>
      <c r="Q60" s="4">
        <v>0.22</v>
      </c>
      <c r="R60" s="4">
        <v>0.22</v>
      </c>
      <c r="S60" s="4">
        <v>0</v>
      </c>
      <c r="T60" s="4">
        <v>0</v>
      </c>
      <c r="U60" s="4">
        <v>0.3</v>
      </c>
      <c r="V60" s="4">
        <v>0.05</v>
      </c>
      <c r="W60" s="4">
        <v>1</v>
      </c>
      <c r="X60" s="4">
        <v>19.100000000000001</v>
      </c>
      <c r="Y60" s="4">
        <v>0</v>
      </c>
      <c r="Z60" s="4">
        <v>1.5</v>
      </c>
      <c r="AA60" s="4">
        <v>139</v>
      </c>
      <c r="AB60" s="4">
        <v>12.1</v>
      </c>
      <c r="AC60" s="4">
        <v>19.5</v>
      </c>
      <c r="AD60" s="3" t="s">
        <v>42</v>
      </c>
      <c r="AE60" s="3" t="s">
        <v>61</v>
      </c>
      <c r="AF60" s="17">
        <f>HLOOKUP(AD60,Data!$B$4:$M$9,2,0)</f>
        <v>13</v>
      </c>
      <c r="AG60" s="17">
        <f>HLOOKUP(AD60,Data!$B$4:$M$9,3,0)</f>
        <v>1</v>
      </c>
      <c r="AH60" s="17">
        <f>HLOOKUP(AE60,Data!$B$13:$I$18,3,0)</f>
        <v>260</v>
      </c>
      <c r="AI60" s="18">
        <f t="shared" si="39"/>
        <v>1.96</v>
      </c>
      <c r="AJ60" s="17">
        <f t="shared" si="40"/>
        <v>0.45733333333333298</v>
      </c>
      <c r="AK60" s="17">
        <f t="shared" si="41"/>
        <v>0.45733333333333298</v>
      </c>
      <c r="AL60" s="17">
        <f t="shared" si="42"/>
        <v>0.25</v>
      </c>
      <c r="AM60" s="17">
        <f t="shared" si="43"/>
        <v>0.59</v>
      </c>
      <c r="AN60" s="17">
        <f t="shared" si="44"/>
        <v>0.59</v>
      </c>
      <c r="AO60" s="17">
        <f t="shared" si="45"/>
        <v>0.59</v>
      </c>
      <c r="AP60" s="17">
        <f t="shared" si="46"/>
        <v>0.59</v>
      </c>
      <c r="AQ60" s="17">
        <f t="shared" si="47"/>
        <v>1.88</v>
      </c>
      <c r="AR60" s="17">
        <f t="shared" si="48"/>
        <v>1.4416</v>
      </c>
      <c r="AS60" s="17">
        <f t="shared" si="49"/>
        <v>146.99543219963101</v>
      </c>
      <c r="AT60" s="17">
        <f t="shared" si="50"/>
        <v>6.3643617983559801</v>
      </c>
      <c r="AU60" s="17">
        <f t="shared" si="51"/>
        <v>-5.5725715106585998</v>
      </c>
      <c r="AV60" s="17">
        <f t="shared" si="52"/>
        <v>126.788616841794</v>
      </c>
      <c r="AW60" s="17">
        <f t="shared" si="53"/>
        <v>5.3204139622182902</v>
      </c>
      <c r="AX60" s="17">
        <f t="shared" si="54"/>
        <v>-4.5700771379482203</v>
      </c>
      <c r="AY60" s="17">
        <f t="shared" si="55"/>
        <v>121.69883561719</v>
      </c>
      <c r="AZ60" s="17">
        <f t="shared" si="56"/>
        <v>69.496503362024697</v>
      </c>
      <c r="BA60" s="17">
        <f t="shared" si="57"/>
        <v>95.597669489607597</v>
      </c>
      <c r="BB60" s="17">
        <f t="shared" si="58"/>
        <v>106.91450808291199</v>
      </c>
      <c r="BC60" s="17">
        <f t="shared" si="59"/>
        <v>63.661631551571801</v>
      </c>
      <c r="BD60" s="17">
        <f t="shared" si="60"/>
        <v>85.288069817242004</v>
      </c>
      <c r="BE60" s="17" t="str">
        <f>IF(AND(BD60&lt;=AA60,BB60&lt;=AA60*MongDon!$J$44,BC60&gt;0),"Ok","FAIL")</f>
        <v>Ok</v>
      </c>
      <c r="BF60" s="17">
        <f t="shared" si="61"/>
        <v>175.44104142574199</v>
      </c>
      <c r="BG60" s="17">
        <f t="shared" si="62"/>
        <v>352.5</v>
      </c>
      <c r="BH60" s="17" t="str">
        <f t="shared" si="63"/>
        <v>Ok</v>
      </c>
      <c r="BI60" s="17">
        <f t="shared" si="64"/>
        <v>38.880359009376598</v>
      </c>
      <c r="BJ60" s="17">
        <f t="shared" si="65"/>
        <v>39.7044672680004</v>
      </c>
      <c r="BK60" s="17">
        <f t="shared" si="66"/>
        <v>52.128622344729898</v>
      </c>
      <c r="BL60" s="17">
        <f t="shared" si="67"/>
        <v>51.304514086106103</v>
      </c>
      <c r="BM60" s="17">
        <f t="shared" si="68"/>
        <v>88.125</v>
      </c>
      <c r="BN60" s="17">
        <f t="shared" si="69"/>
        <v>88.125</v>
      </c>
      <c r="BO60" s="17">
        <f t="shared" si="70"/>
        <v>88.125</v>
      </c>
      <c r="BP60" s="17">
        <f t="shared" si="71"/>
        <v>88.125</v>
      </c>
      <c r="BQ60" s="17" t="str">
        <f t="shared" si="72"/>
        <v>Ok</v>
      </c>
      <c r="BR60" s="17">
        <f t="shared" si="73"/>
        <v>69.733090113161595</v>
      </c>
      <c r="BS60" s="17">
        <f t="shared" si="74"/>
        <v>19.003656142825701</v>
      </c>
      <c r="BT60" s="16">
        <f>MongDon!$H$80</f>
        <v>1.2</v>
      </c>
      <c r="BU60" s="17" t="str">
        <f t="shared" si="75"/>
        <v>Ok</v>
      </c>
      <c r="BV60" s="17">
        <f t="shared" si="76"/>
        <v>20.285145098616301</v>
      </c>
      <c r="BW60" s="16">
        <f>MongDon!$F$86</f>
        <v>1.5</v>
      </c>
      <c r="BX60" s="17" t="str">
        <f t="shared" si="77"/>
        <v>Ok</v>
      </c>
      <c r="BY60" s="17">
        <f t="shared" si="78"/>
        <v>93.866349618549194</v>
      </c>
      <c r="BZ60" s="17">
        <f t="shared" si="79"/>
        <v>69.496503362024697</v>
      </c>
      <c r="CA60" s="17">
        <f t="shared" si="80"/>
        <v>97.328989360666</v>
      </c>
      <c r="CB60" s="17">
        <f t="shared" si="81"/>
        <v>121.69883561719</v>
      </c>
      <c r="CC60" s="17">
        <f t="shared" si="82"/>
        <v>95.869734040773906</v>
      </c>
      <c r="CD60" s="17">
        <f t="shared" si="83"/>
        <v>99.699281309656399</v>
      </c>
      <c r="CE60" s="17">
        <f t="shared" si="84"/>
        <v>95.325604938441302</v>
      </c>
      <c r="CF60" s="17">
        <f t="shared" si="85"/>
        <v>99.699281309656399</v>
      </c>
      <c r="CG60" s="17">
        <f t="shared" si="86"/>
        <v>19.905341530096599</v>
      </c>
      <c r="CH60" s="17">
        <f t="shared" si="87"/>
        <v>19.905341530096599</v>
      </c>
      <c r="CI60" s="17">
        <f t="shared" si="88"/>
        <v>340.262248377719</v>
      </c>
      <c r="CJ60" s="17">
        <f t="shared" si="89"/>
        <v>340.262248377719</v>
      </c>
    </row>
    <row r="61" spans="2:88">
      <c r="B61" s="3">
        <v>11</v>
      </c>
      <c r="C61" s="3" t="s">
        <v>30</v>
      </c>
      <c r="D61" s="4">
        <v>4.1941175187101001</v>
      </c>
      <c r="E61" s="4">
        <v>0.83996195171718102</v>
      </c>
      <c r="F61" s="4">
        <v>160.18230874975399</v>
      </c>
      <c r="G61" s="4">
        <v>-2.1992220980083501</v>
      </c>
      <c r="H61" s="4">
        <v>6.5022412035085004</v>
      </c>
      <c r="I61" s="4" t="s">
        <v>20</v>
      </c>
      <c r="J61" s="4">
        <v>3.5507766252811201</v>
      </c>
      <c r="K61" s="4">
        <v>0.684262155118189</v>
      </c>
      <c r="L61" s="4">
        <v>137.77768063356399</v>
      </c>
      <c r="M61" s="4">
        <v>-1.82061779281249</v>
      </c>
      <c r="N61" s="4">
        <v>5.4755631826175497</v>
      </c>
      <c r="O61" s="4">
        <v>1.4</v>
      </c>
      <c r="P61" s="4">
        <v>1.4</v>
      </c>
      <c r="Q61" s="4">
        <v>0.22</v>
      </c>
      <c r="R61" s="4">
        <v>0.22</v>
      </c>
      <c r="S61" s="4">
        <v>0</v>
      </c>
      <c r="T61" s="4">
        <v>0</v>
      </c>
      <c r="U61" s="4">
        <v>0.3</v>
      </c>
      <c r="V61" s="4">
        <v>0.05</v>
      </c>
      <c r="W61" s="4">
        <v>1</v>
      </c>
      <c r="X61" s="4">
        <v>19.100000000000001</v>
      </c>
      <c r="Y61" s="4">
        <v>0</v>
      </c>
      <c r="Z61" s="4">
        <v>1.5</v>
      </c>
      <c r="AA61" s="4">
        <v>139</v>
      </c>
      <c r="AB61" s="4">
        <v>12.1</v>
      </c>
      <c r="AC61" s="4">
        <v>19.5</v>
      </c>
      <c r="AD61" s="3" t="s">
        <v>42</v>
      </c>
      <c r="AE61" s="3" t="s">
        <v>61</v>
      </c>
      <c r="AF61" s="17">
        <f>HLOOKUP(AD61,Data!$B$4:$M$9,2,0)</f>
        <v>13</v>
      </c>
      <c r="AG61" s="17">
        <f>HLOOKUP(AD61,Data!$B$4:$M$9,3,0)</f>
        <v>1</v>
      </c>
      <c r="AH61" s="17">
        <f>HLOOKUP(AE61,Data!$B$13:$I$18,3,0)</f>
        <v>260</v>
      </c>
      <c r="AI61" s="18">
        <f t="shared" si="39"/>
        <v>1.96</v>
      </c>
      <c r="AJ61" s="17">
        <f t="shared" si="40"/>
        <v>0.45733333333333298</v>
      </c>
      <c r="AK61" s="17">
        <f t="shared" si="41"/>
        <v>0.45733333333333298</v>
      </c>
      <c r="AL61" s="17">
        <f t="shared" si="42"/>
        <v>0.25</v>
      </c>
      <c r="AM61" s="17">
        <f t="shared" si="43"/>
        <v>0.59</v>
      </c>
      <c r="AN61" s="17">
        <f t="shared" si="44"/>
        <v>0.59</v>
      </c>
      <c r="AO61" s="17">
        <f t="shared" si="45"/>
        <v>0.59</v>
      </c>
      <c r="AP61" s="17">
        <f t="shared" si="46"/>
        <v>0.59</v>
      </c>
      <c r="AQ61" s="17">
        <f t="shared" si="47"/>
        <v>1.88</v>
      </c>
      <c r="AR61" s="17">
        <f t="shared" si="48"/>
        <v>1.4416</v>
      </c>
      <c r="AS61" s="17">
        <f t="shared" si="49"/>
        <v>160.18230874975399</v>
      </c>
      <c r="AT61" s="17">
        <f t="shared" si="50"/>
        <v>-2.4512106835235099</v>
      </c>
      <c r="AU61" s="17">
        <f t="shared" si="51"/>
        <v>7.7604764591215298</v>
      </c>
      <c r="AV61" s="17">
        <f t="shared" si="52"/>
        <v>137.77768063356399</v>
      </c>
      <c r="AW61" s="17">
        <f t="shared" si="53"/>
        <v>-2.0258964393479499</v>
      </c>
      <c r="AX61" s="17">
        <f t="shared" si="54"/>
        <v>6.5407961702018804</v>
      </c>
      <c r="AY61" s="17">
        <f t="shared" si="55"/>
        <v>124.65442970318</v>
      </c>
      <c r="AZ61" s="17">
        <f t="shared" si="56"/>
        <v>79.996905755752707</v>
      </c>
      <c r="BA61" s="17">
        <f t="shared" si="57"/>
        <v>102.32566772946601</v>
      </c>
      <c r="BB61" s="17">
        <f t="shared" si="58"/>
        <v>109.626570169201</v>
      </c>
      <c r="BC61" s="17">
        <f t="shared" si="59"/>
        <v>72.162899865047393</v>
      </c>
      <c r="BD61" s="17">
        <f t="shared" si="60"/>
        <v>90.894735017124304</v>
      </c>
      <c r="BE61" s="17" t="str">
        <f>IF(AND(BD61&lt;=AA61,BB61&lt;=AA61*MongDon!$J$44,BC61&gt;0),"Ok","FAIL")</f>
        <v>Ok</v>
      </c>
      <c r="BF61" s="17">
        <f t="shared" si="61"/>
        <v>179.70182586010401</v>
      </c>
      <c r="BG61" s="17">
        <f t="shared" si="62"/>
        <v>352.5</v>
      </c>
      <c r="BH61" s="17" t="str">
        <f t="shared" si="63"/>
        <v>Ok</v>
      </c>
      <c r="BI61" s="17">
        <f t="shared" si="64"/>
        <v>51.258277938403502</v>
      </c>
      <c r="BJ61" s="17">
        <f t="shared" si="65"/>
        <v>56.784248439536199</v>
      </c>
      <c r="BK61" s="17">
        <f t="shared" si="66"/>
        <v>46.1557577400485</v>
      </c>
      <c r="BL61" s="17">
        <f t="shared" si="67"/>
        <v>40.629787238915902</v>
      </c>
      <c r="BM61" s="17">
        <f t="shared" si="68"/>
        <v>88.125</v>
      </c>
      <c r="BN61" s="17">
        <f t="shared" si="69"/>
        <v>88.125</v>
      </c>
      <c r="BO61" s="17">
        <f t="shared" si="70"/>
        <v>88.125</v>
      </c>
      <c r="BP61" s="17">
        <f t="shared" si="71"/>
        <v>88.125</v>
      </c>
      <c r="BQ61" s="17" t="str">
        <f t="shared" si="72"/>
        <v>Ok</v>
      </c>
      <c r="BR61" s="17">
        <f t="shared" si="73"/>
        <v>72.560111489382393</v>
      </c>
      <c r="BS61" s="17">
        <f t="shared" si="74"/>
        <v>17.300447869114102</v>
      </c>
      <c r="BT61" s="16">
        <f>MongDon!$H$80</f>
        <v>1.2</v>
      </c>
      <c r="BU61" s="17" t="str">
        <f t="shared" si="75"/>
        <v>Ok</v>
      </c>
      <c r="BV61" s="17">
        <f t="shared" si="76"/>
        <v>17.825299368344101</v>
      </c>
      <c r="BW61" s="16">
        <f>MongDon!$F$86</f>
        <v>1.5</v>
      </c>
      <c r="BX61" s="17" t="str">
        <f t="shared" si="77"/>
        <v>Ok</v>
      </c>
      <c r="BY61" s="17">
        <f t="shared" si="78"/>
        <v>90.716486004397794</v>
      </c>
      <c r="BZ61" s="17">
        <f t="shared" si="79"/>
        <v>124.65442970318</v>
      </c>
      <c r="CA61" s="17">
        <f t="shared" si="80"/>
        <v>113.934849454535</v>
      </c>
      <c r="CB61" s="17">
        <f t="shared" si="81"/>
        <v>79.996905755752707</v>
      </c>
      <c r="CC61" s="17">
        <f t="shared" si="82"/>
        <v>105.834473182479</v>
      </c>
      <c r="CD61" s="17">
        <f t="shared" si="83"/>
        <v>100.501367744098</v>
      </c>
      <c r="CE61" s="17">
        <f t="shared" si="84"/>
        <v>105.834473182479</v>
      </c>
      <c r="CF61" s="17">
        <f t="shared" si="85"/>
        <v>104.14996771483401</v>
      </c>
      <c r="CG61" s="17">
        <f t="shared" si="86"/>
        <v>20.604232345695799</v>
      </c>
      <c r="CH61" s="17">
        <f t="shared" si="87"/>
        <v>20.604232345695799</v>
      </c>
      <c r="CI61" s="17">
        <f t="shared" si="88"/>
        <v>352.20909992642402</v>
      </c>
      <c r="CJ61" s="17">
        <f t="shared" si="89"/>
        <v>352.20909992642402</v>
      </c>
    </row>
    <row r="62" spans="2:88">
      <c r="B62" s="3">
        <v>11</v>
      </c>
      <c r="C62" s="3" t="s">
        <v>31</v>
      </c>
      <c r="D62" s="4">
        <v>4.2055131630385798</v>
      </c>
      <c r="E62" s="4">
        <v>-18.847086331677499</v>
      </c>
      <c r="F62" s="4">
        <v>134.347588433732</v>
      </c>
      <c r="G62" s="4">
        <v>30.110087009408701</v>
      </c>
      <c r="H62" s="4">
        <v>6.5119909253229604</v>
      </c>
      <c r="I62" s="4" t="s">
        <v>21</v>
      </c>
      <c r="J62" s="4">
        <v>3.56027299555485</v>
      </c>
      <c r="K62" s="4">
        <v>-15.7216114143773</v>
      </c>
      <c r="L62" s="4">
        <v>116.248747036879</v>
      </c>
      <c r="M62" s="4">
        <v>25.1038064633684</v>
      </c>
      <c r="N62" s="4">
        <v>5.4836879507962699</v>
      </c>
      <c r="O62" s="4">
        <v>1.4</v>
      </c>
      <c r="P62" s="4">
        <v>1.4</v>
      </c>
      <c r="Q62" s="4">
        <v>0.22</v>
      </c>
      <c r="R62" s="4">
        <v>0.22</v>
      </c>
      <c r="S62" s="4">
        <v>0</v>
      </c>
      <c r="T62" s="4">
        <v>0</v>
      </c>
      <c r="U62" s="4">
        <v>0.3</v>
      </c>
      <c r="V62" s="4">
        <v>0.05</v>
      </c>
      <c r="W62" s="4">
        <v>1</v>
      </c>
      <c r="X62" s="4">
        <v>19.100000000000001</v>
      </c>
      <c r="Y62" s="4">
        <v>0</v>
      </c>
      <c r="Z62" s="4">
        <v>1.5</v>
      </c>
      <c r="AA62" s="4">
        <v>139</v>
      </c>
      <c r="AB62" s="4">
        <v>12.1</v>
      </c>
      <c r="AC62" s="4">
        <v>19.5</v>
      </c>
      <c r="AD62" s="3" t="s">
        <v>42</v>
      </c>
      <c r="AE62" s="3" t="s">
        <v>61</v>
      </c>
      <c r="AF62" s="17">
        <f>HLOOKUP(AD62,Data!$B$4:$M$9,2,0)</f>
        <v>13</v>
      </c>
      <c r="AG62" s="17">
        <f>HLOOKUP(AD62,Data!$B$4:$M$9,3,0)</f>
        <v>1</v>
      </c>
      <c r="AH62" s="17">
        <f>HLOOKUP(AE62,Data!$B$13:$I$18,3,0)</f>
        <v>260</v>
      </c>
      <c r="AI62" s="18">
        <f t="shared" si="39"/>
        <v>1.96</v>
      </c>
      <c r="AJ62" s="17">
        <f t="shared" si="40"/>
        <v>0.45733333333333298</v>
      </c>
      <c r="AK62" s="17">
        <f t="shared" si="41"/>
        <v>0.45733333333333298</v>
      </c>
      <c r="AL62" s="17">
        <f t="shared" si="42"/>
        <v>0.25</v>
      </c>
      <c r="AM62" s="17">
        <f t="shared" si="43"/>
        <v>0.59</v>
      </c>
      <c r="AN62" s="17">
        <f t="shared" si="44"/>
        <v>0.59</v>
      </c>
      <c r="AO62" s="17">
        <f t="shared" si="45"/>
        <v>0.59</v>
      </c>
      <c r="AP62" s="17">
        <f t="shared" si="46"/>
        <v>0.59</v>
      </c>
      <c r="AQ62" s="17">
        <f t="shared" si="47"/>
        <v>1.88</v>
      </c>
      <c r="AR62" s="17">
        <f t="shared" si="48"/>
        <v>1.4416</v>
      </c>
      <c r="AS62" s="17">
        <f t="shared" si="49"/>
        <v>134.347588433732</v>
      </c>
      <c r="AT62" s="17">
        <f t="shared" si="50"/>
        <v>35.764212908912</v>
      </c>
      <c r="AU62" s="17">
        <f t="shared" si="51"/>
        <v>7.7736448742345399</v>
      </c>
      <c r="AV62" s="17">
        <f t="shared" si="52"/>
        <v>116.248747036879</v>
      </c>
      <c r="AW62" s="17">
        <f t="shared" si="53"/>
        <v>29.8202898876816</v>
      </c>
      <c r="AX62" s="17">
        <f t="shared" si="54"/>
        <v>6.5517698494627297</v>
      </c>
      <c r="AY62" s="17">
        <f t="shared" si="55"/>
        <v>184.34408546140801</v>
      </c>
      <c r="AZ62" s="17">
        <f t="shared" si="56"/>
        <v>-6.05470950862028</v>
      </c>
      <c r="BA62" s="17">
        <f t="shared" si="57"/>
        <v>89.144687976393897</v>
      </c>
      <c r="BB62" s="17">
        <f t="shared" si="58"/>
        <v>159.44132808837301</v>
      </c>
      <c r="BC62" s="17">
        <f t="shared" si="59"/>
        <v>0.37984235742130301</v>
      </c>
      <c r="BD62" s="17">
        <f t="shared" si="60"/>
        <v>79.910585222897296</v>
      </c>
      <c r="BE62" s="17" t="str">
        <f>IF(AND(BD62&lt;=AA62,BB62&lt;=AA62*MongDon!$J$44,BC62&gt;0),"Ok","FAIL")</f>
        <v>Ok</v>
      </c>
      <c r="BF62" s="17">
        <f t="shared" si="61"/>
        <v>265.75043360116598</v>
      </c>
      <c r="BG62" s="17">
        <f t="shared" si="62"/>
        <v>352.5</v>
      </c>
      <c r="BH62" s="17" t="str">
        <f t="shared" si="63"/>
        <v>Ok</v>
      </c>
      <c r="BI62" s="17">
        <f t="shared" si="64"/>
        <v>5.2088947756510597</v>
      </c>
      <c r="BJ62" s="17">
        <f t="shared" si="65"/>
        <v>50.523807978517802</v>
      </c>
      <c r="BK62" s="17">
        <f t="shared" si="66"/>
        <v>79.656848177876</v>
      </c>
      <c r="BL62" s="17">
        <f t="shared" si="67"/>
        <v>34.341934975009202</v>
      </c>
      <c r="BM62" s="17">
        <f t="shared" si="68"/>
        <v>88.125</v>
      </c>
      <c r="BN62" s="17">
        <f t="shared" si="69"/>
        <v>88.125</v>
      </c>
      <c r="BO62" s="17">
        <f t="shared" si="70"/>
        <v>88.125</v>
      </c>
      <c r="BP62" s="17">
        <f t="shared" si="71"/>
        <v>88.125</v>
      </c>
      <c r="BQ62" s="17" t="str">
        <f t="shared" si="72"/>
        <v>Ok</v>
      </c>
      <c r="BR62" s="17">
        <f t="shared" si="73"/>
        <v>67.0216273529402</v>
      </c>
      <c r="BS62" s="17">
        <f t="shared" si="74"/>
        <v>3.5560736643038999</v>
      </c>
      <c r="BT62" s="16">
        <f>MongDon!$H$80</f>
        <v>1.2</v>
      </c>
      <c r="BU62" s="17" t="str">
        <f t="shared" si="75"/>
        <v>Ok</v>
      </c>
      <c r="BV62" s="17">
        <f t="shared" si="76"/>
        <v>3.3622580261971402</v>
      </c>
      <c r="BW62" s="16">
        <f>MongDon!$F$86</f>
        <v>1.5</v>
      </c>
      <c r="BX62" s="17" t="str">
        <f t="shared" si="77"/>
        <v>Ok</v>
      </c>
      <c r="BY62" s="17">
        <f t="shared" si="78"/>
        <v>-6.05470950862028</v>
      </c>
      <c r="BZ62" s="17">
        <f t="shared" si="79"/>
        <v>27.940822011355799</v>
      </c>
      <c r="CA62" s="17">
        <f t="shared" si="80"/>
        <v>184.34408546140801</v>
      </c>
      <c r="CB62" s="17">
        <f t="shared" si="81"/>
        <v>150.34855394143199</v>
      </c>
      <c r="CC62" s="17">
        <f t="shared" si="82"/>
        <v>104.10459329546801</v>
      </c>
      <c r="CD62" s="17">
        <f t="shared" si="83"/>
        <v>98.762438342328494</v>
      </c>
      <c r="CE62" s="17">
        <f t="shared" si="84"/>
        <v>79.526937610459399</v>
      </c>
      <c r="CF62" s="17">
        <f t="shared" si="85"/>
        <v>104.10459329546801</v>
      </c>
      <c r="CG62" s="17">
        <f t="shared" si="86"/>
        <v>27.429860204064099</v>
      </c>
      <c r="CH62" s="17">
        <f t="shared" si="87"/>
        <v>27.429860204064099</v>
      </c>
      <c r="CI62" s="17">
        <f t="shared" si="88"/>
        <v>468.88649921477099</v>
      </c>
      <c r="CJ62" s="17">
        <f t="shared" si="89"/>
        <v>468.88649921477099</v>
      </c>
    </row>
    <row r="63" spans="2:88">
      <c r="B63" s="3">
        <v>11</v>
      </c>
      <c r="C63" s="3" t="s">
        <v>32</v>
      </c>
      <c r="D63" s="4">
        <v>-2.7763022856273998</v>
      </c>
      <c r="E63" s="4">
        <v>16.017591754131601</v>
      </c>
      <c r="F63" s="4">
        <v>172.830152515653</v>
      </c>
      <c r="G63" s="4">
        <v>-27.045784267839998</v>
      </c>
      <c r="H63" s="4">
        <v>-4.7528492400833899</v>
      </c>
      <c r="I63" s="4" t="s">
        <v>22</v>
      </c>
      <c r="J63" s="4">
        <v>-2.2579065450001301</v>
      </c>
      <c r="K63" s="4">
        <v>13.3322869904635</v>
      </c>
      <c r="L63" s="4">
        <v>148.317550438479</v>
      </c>
      <c r="M63" s="4">
        <v>-22.526086267672198</v>
      </c>
      <c r="N63" s="4">
        <v>-3.9036788537090201</v>
      </c>
      <c r="O63" s="4">
        <v>1.4</v>
      </c>
      <c r="P63" s="4">
        <v>1.4</v>
      </c>
      <c r="Q63" s="4">
        <v>0.22</v>
      </c>
      <c r="R63" s="4">
        <v>0.22</v>
      </c>
      <c r="S63" s="4">
        <v>0</v>
      </c>
      <c r="T63" s="4">
        <v>0</v>
      </c>
      <c r="U63" s="4">
        <v>0.3</v>
      </c>
      <c r="V63" s="4">
        <v>0.05</v>
      </c>
      <c r="W63" s="4">
        <v>1</v>
      </c>
      <c r="X63" s="4">
        <v>19.100000000000001</v>
      </c>
      <c r="Y63" s="4">
        <v>0</v>
      </c>
      <c r="Z63" s="4">
        <v>1.5</v>
      </c>
      <c r="AA63" s="4">
        <v>139</v>
      </c>
      <c r="AB63" s="4">
        <v>12.1</v>
      </c>
      <c r="AC63" s="4">
        <v>19.5</v>
      </c>
      <c r="AD63" s="3" t="s">
        <v>42</v>
      </c>
      <c r="AE63" s="3" t="s">
        <v>61</v>
      </c>
      <c r="AF63" s="17">
        <f>HLOOKUP(AD63,Data!$B$4:$M$9,2,0)</f>
        <v>13</v>
      </c>
      <c r="AG63" s="17">
        <f>HLOOKUP(AD63,Data!$B$4:$M$9,3,0)</f>
        <v>1</v>
      </c>
      <c r="AH63" s="17">
        <f>HLOOKUP(AE63,Data!$B$13:$I$18,3,0)</f>
        <v>260</v>
      </c>
      <c r="AI63" s="18">
        <f t="shared" si="39"/>
        <v>1.96</v>
      </c>
      <c r="AJ63" s="17">
        <f t="shared" si="40"/>
        <v>0.45733333333333298</v>
      </c>
      <c r="AK63" s="17">
        <f t="shared" si="41"/>
        <v>0.45733333333333298</v>
      </c>
      <c r="AL63" s="17">
        <f t="shared" si="42"/>
        <v>0.25</v>
      </c>
      <c r="AM63" s="17">
        <f t="shared" si="43"/>
        <v>0.59</v>
      </c>
      <c r="AN63" s="17">
        <f t="shared" si="44"/>
        <v>0.59</v>
      </c>
      <c r="AO63" s="17">
        <f t="shared" si="45"/>
        <v>0.59</v>
      </c>
      <c r="AP63" s="17">
        <f t="shared" si="46"/>
        <v>0.59</v>
      </c>
      <c r="AQ63" s="17">
        <f t="shared" si="47"/>
        <v>1.88</v>
      </c>
      <c r="AR63" s="17">
        <f t="shared" si="48"/>
        <v>1.4416</v>
      </c>
      <c r="AS63" s="17">
        <f t="shared" si="49"/>
        <v>172.830152515653</v>
      </c>
      <c r="AT63" s="17">
        <f t="shared" si="50"/>
        <v>-31.851061794079499</v>
      </c>
      <c r="AU63" s="17">
        <f t="shared" si="51"/>
        <v>-5.5857399257716098</v>
      </c>
      <c r="AV63" s="17">
        <f t="shared" si="52"/>
        <v>148.317550438479</v>
      </c>
      <c r="AW63" s="17">
        <f t="shared" si="53"/>
        <v>-26.525772364811299</v>
      </c>
      <c r="AX63" s="17">
        <f t="shared" si="54"/>
        <v>-4.5810508172090598</v>
      </c>
      <c r="AY63" s="17">
        <f t="shared" si="55"/>
        <v>190.63754513156701</v>
      </c>
      <c r="AZ63" s="17">
        <f t="shared" si="56"/>
        <v>26.9197533537928</v>
      </c>
      <c r="BA63" s="17">
        <f t="shared" si="57"/>
        <v>108.77864924268</v>
      </c>
      <c r="BB63" s="17">
        <f t="shared" si="58"/>
        <v>164.290054557578</v>
      </c>
      <c r="BC63" s="17">
        <f t="shared" si="59"/>
        <v>28.254384665360401</v>
      </c>
      <c r="BD63" s="17">
        <f t="shared" si="60"/>
        <v>96.272219611468998</v>
      </c>
      <c r="BE63" s="17" t="str">
        <f>IF(AND(BD63&lt;=AA63,BB63&lt;=AA63*MongDon!$J$44,BC63&gt;0),"Ok","FAIL")</f>
        <v>Ok</v>
      </c>
      <c r="BF63" s="17">
        <f t="shared" si="61"/>
        <v>274.82308506166697</v>
      </c>
      <c r="BG63" s="17">
        <f t="shared" si="62"/>
        <v>352.5</v>
      </c>
      <c r="BH63" s="17" t="str">
        <f t="shared" si="63"/>
        <v>Ok</v>
      </c>
      <c r="BI63" s="17">
        <f t="shared" si="64"/>
        <v>84.929742172129096</v>
      </c>
      <c r="BJ63" s="17">
        <f t="shared" si="65"/>
        <v>45.964907729018698</v>
      </c>
      <c r="BK63" s="17">
        <f t="shared" si="66"/>
        <v>18.627531906902401</v>
      </c>
      <c r="BL63" s="17">
        <f t="shared" si="67"/>
        <v>57.592366350012703</v>
      </c>
      <c r="BM63" s="17">
        <f t="shared" si="68"/>
        <v>88.125</v>
      </c>
      <c r="BN63" s="17">
        <f t="shared" si="69"/>
        <v>88.125</v>
      </c>
      <c r="BO63" s="17">
        <f t="shared" si="70"/>
        <v>88.125</v>
      </c>
      <c r="BP63" s="17">
        <f t="shared" si="71"/>
        <v>88.125</v>
      </c>
      <c r="BQ63" s="17" t="str">
        <f t="shared" si="72"/>
        <v>Ok</v>
      </c>
      <c r="BR63" s="17">
        <f t="shared" si="73"/>
        <v>75.271574249603901</v>
      </c>
      <c r="BS63" s="17">
        <f t="shared" si="74"/>
        <v>4.6993065752339698</v>
      </c>
      <c r="BT63" s="16">
        <f>MongDon!$H$80</f>
        <v>1.2</v>
      </c>
      <c r="BU63" s="17" t="str">
        <f t="shared" si="75"/>
        <v>Ok</v>
      </c>
      <c r="BV63" s="17">
        <f t="shared" si="76"/>
        <v>4.6210800667347396</v>
      </c>
      <c r="BW63" s="16">
        <f>MongDon!$F$86</f>
        <v>1.5</v>
      </c>
      <c r="BX63" s="17" t="str">
        <f t="shared" si="77"/>
        <v>Ok</v>
      </c>
      <c r="BY63" s="17">
        <f t="shared" si="78"/>
        <v>190.63754513156701</v>
      </c>
      <c r="BZ63" s="17">
        <f t="shared" si="79"/>
        <v>166.210111053849</v>
      </c>
      <c r="CA63" s="17">
        <f t="shared" si="80"/>
        <v>26.9197533537928</v>
      </c>
      <c r="CB63" s="17">
        <f t="shared" si="81"/>
        <v>51.347187431511202</v>
      </c>
      <c r="CC63" s="17">
        <f t="shared" si="82"/>
        <v>117.803593241578</v>
      </c>
      <c r="CD63" s="17">
        <f t="shared" si="83"/>
        <v>121.64219002521899</v>
      </c>
      <c r="CE63" s="17">
        <f t="shared" si="84"/>
        <v>121.64219002521899</v>
      </c>
      <c r="CF63" s="17">
        <f t="shared" si="85"/>
        <v>99.753705243782093</v>
      </c>
      <c r="CG63" s="17">
        <f t="shared" si="86"/>
        <v>29.177584211395999</v>
      </c>
      <c r="CH63" s="17">
        <f t="shared" si="87"/>
        <v>29.177584211395999</v>
      </c>
      <c r="CI63" s="17">
        <f t="shared" si="88"/>
        <v>498.76212327172698</v>
      </c>
      <c r="CJ63" s="17">
        <f t="shared" si="89"/>
        <v>498.76212327172698</v>
      </c>
    </row>
    <row r="64" spans="2:88">
      <c r="B64" s="3">
        <v>13</v>
      </c>
      <c r="C64" s="3" t="s">
        <v>23</v>
      </c>
      <c r="D64" s="4">
        <v>0.29769404060154903</v>
      </c>
      <c r="E64" s="4">
        <v>1.55007722171503</v>
      </c>
      <c r="F64" s="4">
        <v>101.485460753475</v>
      </c>
      <c r="G64" s="4">
        <v>-1.6225389441607001</v>
      </c>
      <c r="H64" s="4">
        <v>0.37226883835331298</v>
      </c>
      <c r="I64" s="4" t="s">
        <v>13</v>
      </c>
      <c r="J64" s="4">
        <v>0.25238746880166202</v>
      </c>
      <c r="K64" s="4">
        <v>1.3231386195806101</v>
      </c>
      <c r="L64" s="4">
        <v>87.032647573696806</v>
      </c>
      <c r="M64" s="4">
        <v>-1.3879152195815101</v>
      </c>
      <c r="N64" s="4">
        <v>0.31524488400907502</v>
      </c>
      <c r="O64" s="4">
        <v>1.2</v>
      </c>
      <c r="P64" s="4">
        <v>1.2</v>
      </c>
      <c r="Q64" s="4">
        <v>0.22</v>
      </c>
      <c r="R64" s="4">
        <v>0.22</v>
      </c>
      <c r="S64" s="4">
        <v>0</v>
      </c>
      <c r="T64" s="4">
        <v>0</v>
      </c>
      <c r="U64" s="4">
        <v>0.3</v>
      </c>
      <c r="V64" s="4">
        <v>0.05</v>
      </c>
      <c r="W64" s="4">
        <v>1</v>
      </c>
      <c r="X64" s="4">
        <v>19.100000000000001</v>
      </c>
      <c r="Y64" s="4">
        <v>0</v>
      </c>
      <c r="Z64" s="4">
        <v>1.5</v>
      </c>
      <c r="AA64" s="4">
        <v>139</v>
      </c>
      <c r="AB64" s="4">
        <v>12.1</v>
      </c>
      <c r="AC64" s="4">
        <v>19.5</v>
      </c>
      <c r="AD64" s="3" t="s">
        <v>42</v>
      </c>
      <c r="AE64" s="3" t="s">
        <v>61</v>
      </c>
      <c r="AF64" s="17">
        <f>HLOOKUP(AD64,Data!$B$4:$M$9,2,0)</f>
        <v>13</v>
      </c>
      <c r="AG64" s="17">
        <f>HLOOKUP(AD64,Data!$B$4:$M$9,3,0)</f>
        <v>1</v>
      </c>
      <c r="AH64" s="17">
        <f>HLOOKUP(AE64,Data!$B$13:$I$18,3,0)</f>
        <v>260</v>
      </c>
      <c r="AI64" s="18">
        <f t="shared" si="39"/>
        <v>1.44</v>
      </c>
      <c r="AJ64" s="17">
        <f t="shared" si="40"/>
        <v>0.28799999999999998</v>
      </c>
      <c r="AK64" s="17">
        <f t="shared" si="41"/>
        <v>0.28799999999999998</v>
      </c>
      <c r="AL64" s="17">
        <f t="shared" si="42"/>
        <v>0.25</v>
      </c>
      <c r="AM64" s="17">
        <f t="shared" si="43"/>
        <v>0.49</v>
      </c>
      <c r="AN64" s="17">
        <f t="shared" si="44"/>
        <v>0.49</v>
      </c>
      <c r="AO64" s="17">
        <f t="shared" si="45"/>
        <v>0.49</v>
      </c>
      <c r="AP64" s="17">
        <f t="shared" si="46"/>
        <v>0.49</v>
      </c>
      <c r="AQ64" s="17">
        <f t="shared" si="47"/>
        <v>1.88</v>
      </c>
      <c r="AR64" s="17">
        <f t="shared" si="48"/>
        <v>0.92159999999999997</v>
      </c>
      <c r="AS64" s="17">
        <f t="shared" si="49"/>
        <v>101.485460753475</v>
      </c>
      <c r="AT64" s="17">
        <f t="shared" si="50"/>
        <v>-2.08756211067521</v>
      </c>
      <c r="AU64" s="17">
        <f t="shared" si="51"/>
        <v>0.46157705053377801</v>
      </c>
      <c r="AV64" s="17">
        <f t="shared" si="52"/>
        <v>87.032647573696806</v>
      </c>
      <c r="AW64" s="17">
        <f t="shared" si="53"/>
        <v>-1.7848568054556899</v>
      </c>
      <c r="AX64" s="17">
        <f t="shared" si="54"/>
        <v>0.390961124649574</v>
      </c>
      <c r="AY64" s="17">
        <f t="shared" si="55"/>
        <v>99.927192055222505</v>
      </c>
      <c r="AZ64" s="17">
        <f t="shared" si="56"/>
        <v>82.224836769049006</v>
      </c>
      <c r="BA64" s="17">
        <f t="shared" si="57"/>
        <v>91.076014412135805</v>
      </c>
      <c r="BB64" s="17">
        <f t="shared" si="58"/>
        <v>88.594261961266099</v>
      </c>
      <c r="BC64" s="17">
        <f t="shared" si="59"/>
        <v>73.484415224423998</v>
      </c>
      <c r="BD64" s="17">
        <f t="shared" si="60"/>
        <v>81.039338592844999</v>
      </c>
      <c r="BE64" s="17" t="str">
        <f>IF(AND(BD64&lt;=AA64,BB64&lt;=AA64*MongDon!$J$44,BC64&gt;0),"Ok","FAIL")</f>
        <v>Ok</v>
      </c>
      <c r="BF64" s="17">
        <f t="shared" si="61"/>
        <v>92.092900198093105</v>
      </c>
      <c r="BG64" s="17">
        <f t="shared" si="62"/>
        <v>352.5</v>
      </c>
      <c r="BH64" s="17" t="str">
        <f t="shared" si="63"/>
        <v>Ok</v>
      </c>
      <c r="BI64" s="17">
        <f t="shared" si="64"/>
        <v>28.317454261370301</v>
      </c>
      <c r="BJ64" s="17">
        <f t="shared" si="65"/>
        <v>26.691469201228902</v>
      </c>
      <c r="BK64" s="17">
        <f t="shared" si="66"/>
        <v>24.1423300400199</v>
      </c>
      <c r="BL64" s="17">
        <f t="shared" si="67"/>
        <v>25.768315100161299</v>
      </c>
      <c r="BM64" s="17">
        <f t="shared" si="68"/>
        <v>88.125</v>
      </c>
      <c r="BN64" s="17">
        <f t="shared" si="69"/>
        <v>88.125</v>
      </c>
      <c r="BO64" s="17">
        <f t="shared" si="70"/>
        <v>88.125</v>
      </c>
      <c r="BP64" s="17">
        <f t="shared" si="71"/>
        <v>88.125</v>
      </c>
      <c r="BQ64" s="17" t="str">
        <f t="shared" si="72"/>
        <v>Ok</v>
      </c>
      <c r="BR64" s="17">
        <f t="shared" si="73"/>
        <v>49.836597616970202</v>
      </c>
      <c r="BS64" s="17">
        <f t="shared" si="74"/>
        <v>32.151041844115497</v>
      </c>
      <c r="BT64" s="16">
        <f>MongDon!$H$80</f>
        <v>1.2</v>
      </c>
      <c r="BU64" s="17" t="str">
        <f t="shared" si="75"/>
        <v>Ok</v>
      </c>
      <c r="BV64" s="17">
        <f t="shared" si="76"/>
        <v>37.073711989844803</v>
      </c>
      <c r="BW64" s="16">
        <f>MongDon!$F$86</f>
        <v>1.5</v>
      </c>
      <c r="BX64" s="17" t="str">
        <f t="shared" si="77"/>
        <v>Ok</v>
      </c>
      <c r="BY64" s="17">
        <f t="shared" si="78"/>
        <v>96.721795870960193</v>
      </c>
      <c r="BZ64" s="17">
        <f t="shared" si="79"/>
        <v>99.927192055222505</v>
      </c>
      <c r="CA64" s="17">
        <f t="shared" si="80"/>
        <v>85.430232953311403</v>
      </c>
      <c r="CB64" s="17">
        <f t="shared" si="81"/>
        <v>82.224836769049006</v>
      </c>
      <c r="CC64" s="17">
        <f t="shared" si="82"/>
        <v>92.698730313368301</v>
      </c>
      <c r="CD64" s="17">
        <f t="shared" si="83"/>
        <v>92.111074346253602</v>
      </c>
      <c r="CE64" s="17">
        <f t="shared" si="84"/>
        <v>92.698730313368301</v>
      </c>
      <c r="CF64" s="17">
        <f t="shared" si="85"/>
        <v>90.040954478017994</v>
      </c>
      <c r="CG64" s="17">
        <f t="shared" si="86"/>
        <v>11.7070004621929</v>
      </c>
      <c r="CH64" s="17">
        <f t="shared" si="87"/>
        <v>11.7070004621929</v>
      </c>
      <c r="CI64" s="17">
        <f t="shared" si="88"/>
        <v>250</v>
      </c>
      <c r="CJ64" s="17">
        <f t="shared" si="89"/>
        <v>250</v>
      </c>
    </row>
    <row r="65" spans="2:88">
      <c r="B65" s="3">
        <v>13</v>
      </c>
      <c r="C65" s="3" t="s">
        <v>24</v>
      </c>
      <c r="D65" s="4">
        <v>0.33782969044099098</v>
      </c>
      <c r="E65" s="4">
        <v>1.7393267020677401</v>
      </c>
      <c r="F65" s="4">
        <v>112.984557598294</v>
      </c>
      <c r="G65" s="4">
        <v>-1.81420334940279</v>
      </c>
      <c r="H65" s="4">
        <v>0.42326777023997297</v>
      </c>
      <c r="I65" s="4" t="s">
        <v>14</v>
      </c>
      <c r="J65" s="4">
        <v>0.28583384366786402</v>
      </c>
      <c r="K65" s="4">
        <v>1.48084651987454</v>
      </c>
      <c r="L65" s="4">
        <v>96.615228277711793</v>
      </c>
      <c r="M65" s="4">
        <v>-1.5476355572832401</v>
      </c>
      <c r="N65" s="4">
        <v>0.35774399391462502</v>
      </c>
      <c r="O65" s="4">
        <v>1.2</v>
      </c>
      <c r="P65" s="4">
        <v>1.2</v>
      </c>
      <c r="Q65" s="4">
        <v>0.22</v>
      </c>
      <c r="R65" s="4">
        <v>0.22</v>
      </c>
      <c r="S65" s="4">
        <v>0</v>
      </c>
      <c r="T65" s="4">
        <v>0</v>
      </c>
      <c r="U65" s="4">
        <v>0.3</v>
      </c>
      <c r="V65" s="4">
        <v>0.05</v>
      </c>
      <c r="W65" s="4">
        <v>1</v>
      </c>
      <c r="X65" s="4">
        <v>19.100000000000001</v>
      </c>
      <c r="Y65" s="4">
        <v>0</v>
      </c>
      <c r="Z65" s="4">
        <v>1.5</v>
      </c>
      <c r="AA65" s="4">
        <v>139</v>
      </c>
      <c r="AB65" s="4">
        <v>12.1</v>
      </c>
      <c r="AC65" s="4">
        <v>19.5</v>
      </c>
      <c r="AD65" s="3" t="s">
        <v>42</v>
      </c>
      <c r="AE65" s="3" t="s">
        <v>61</v>
      </c>
      <c r="AF65" s="17">
        <f>HLOOKUP(AD65,Data!$B$4:$M$9,2,0)</f>
        <v>13</v>
      </c>
      <c r="AG65" s="17">
        <f>HLOOKUP(AD65,Data!$B$4:$M$9,3,0)</f>
        <v>1</v>
      </c>
      <c r="AH65" s="17">
        <f>HLOOKUP(AE65,Data!$B$13:$I$18,3,0)</f>
        <v>260</v>
      </c>
      <c r="AI65" s="18">
        <f t="shared" si="39"/>
        <v>1.44</v>
      </c>
      <c r="AJ65" s="17">
        <f t="shared" si="40"/>
        <v>0.28799999999999998</v>
      </c>
      <c r="AK65" s="17">
        <f t="shared" si="41"/>
        <v>0.28799999999999998</v>
      </c>
      <c r="AL65" s="17">
        <f t="shared" si="42"/>
        <v>0.25</v>
      </c>
      <c r="AM65" s="17">
        <f t="shared" si="43"/>
        <v>0.49</v>
      </c>
      <c r="AN65" s="17">
        <f t="shared" si="44"/>
        <v>0.49</v>
      </c>
      <c r="AO65" s="17">
        <f t="shared" si="45"/>
        <v>0.49</v>
      </c>
      <c r="AP65" s="17">
        <f t="shared" si="46"/>
        <v>0.49</v>
      </c>
      <c r="AQ65" s="17">
        <f t="shared" si="47"/>
        <v>1.88</v>
      </c>
      <c r="AR65" s="17">
        <f t="shared" si="48"/>
        <v>0.92159999999999997</v>
      </c>
      <c r="AS65" s="17">
        <f t="shared" si="49"/>
        <v>112.984557598294</v>
      </c>
      <c r="AT65" s="17">
        <f t="shared" si="50"/>
        <v>-2.33600136002311</v>
      </c>
      <c r="AU65" s="17">
        <f t="shared" si="51"/>
        <v>0.52461667737227002</v>
      </c>
      <c r="AV65" s="17">
        <f t="shared" si="52"/>
        <v>96.615228277711793</v>
      </c>
      <c r="AW65" s="17">
        <f t="shared" si="53"/>
        <v>-1.99188951324561</v>
      </c>
      <c r="AX65" s="17">
        <f t="shared" si="54"/>
        <v>0.44349414701498402</v>
      </c>
      <c r="AY65" s="17">
        <f t="shared" si="55"/>
        <v>108.994199850882</v>
      </c>
      <c r="AZ65" s="17">
        <f t="shared" si="56"/>
        <v>89.128796813414297</v>
      </c>
      <c r="BA65" s="17">
        <f t="shared" si="57"/>
        <v>99.061498332148304</v>
      </c>
      <c r="BB65" s="17">
        <f t="shared" si="58"/>
        <v>96.150101790982504</v>
      </c>
      <c r="BC65" s="17">
        <f t="shared" si="59"/>
        <v>79.237715261395095</v>
      </c>
      <c r="BD65" s="17">
        <f t="shared" si="60"/>
        <v>87.693908526188807</v>
      </c>
      <c r="BE65" s="17" t="str">
        <f>IF(AND(BD65&lt;=AA65,BB65&lt;=AA65*MongDon!$J$44,BC65&gt;0),"Ok","FAIL")</f>
        <v>Ok</v>
      </c>
      <c r="BF65" s="17">
        <f t="shared" si="61"/>
        <v>100.449054582573</v>
      </c>
      <c r="BG65" s="17">
        <f t="shared" si="62"/>
        <v>352.5</v>
      </c>
      <c r="BH65" s="17" t="str">
        <f t="shared" si="63"/>
        <v>Ok</v>
      </c>
      <c r="BI65" s="17">
        <f t="shared" si="64"/>
        <v>30.865712879681801</v>
      </c>
      <c r="BJ65" s="17">
        <f t="shared" si="65"/>
        <v>29.054328197031001</v>
      </c>
      <c r="BK65" s="17">
        <f t="shared" si="66"/>
        <v>26.1937101596356</v>
      </c>
      <c r="BL65" s="17">
        <f t="shared" si="67"/>
        <v>28.0050948422864</v>
      </c>
      <c r="BM65" s="17">
        <f t="shared" si="68"/>
        <v>88.125</v>
      </c>
      <c r="BN65" s="17">
        <f t="shared" si="69"/>
        <v>88.125</v>
      </c>
      <c r="BO65" s="17">
        <f t="shared" si="70"/>
        <v>88.125</v>
      </c>
      <c r="BP65" s="17">
        <f t="shared" si="71"/>
        <v>88.125</v>
      </c>
      <c r="BQ65" s="17" t="str">
        <f t="shared" si="72"/>
        <v>Ok</v>
      </c>
      <c r="BR65" s="17">
        <f t="shared" si="73"/>
        <v>52.301790376147899</v>
      </c>
      <c r="BS65" s="17">
        <f t="shared" si="74"/>
        <v>30.070135940516899</v>
      </c>
      <c r="BT65" s="16">
        <f>MongDon!$H$80</f>
        <v>1.2</v>
      </c>
      <c r="BU65" s="17" t="str">
        <f t="shared" si="75"/>
        <v>Ok</v>
      </c>
      <c r="BV65" s="17">
        <f t="shared" si="76"/>
        <v>36.084368785702402</v>
      </c>
      <c r="BW65" s="16">
        <f>MongDon!$F$86</f>
        <v>1.5</v>
      </c>
      <c r="BX65" s="17" t="str">
        <f t="shared" si="77"/>
        <v>Ok</v>
      </c>
      <c r="BY65" s="17">
        <f t="shared" si="78"/>
        <v>105.351028480241</v>
      </c>
      <c r="BZ65" s="17">
        <f t="shared" si="79"/>
        <v>108.994199850882</v>
      </c>
      <c r="CA65" s="17">
        <f t="shared" si="80"/>
        <v>92.771968184055098</v>
      </c>
      <c r="CB65" s="17">
        <f t="shared" si="81"/>
        <v>89.128796813414297</v>
      </c>
      <c r="CC65" s="17">
        <f t="shared" si="82"/>
        <v>100.882493610583</v>
      </c>
      <c r="CD65" s="17">
        <f t="shared" si="83"/>
        <v>100.214578859299</v>
      </c>
      <c r="CE65" s="17">
        <f t="shared" si="84"/>
        <v>100.882493610583</v>
      </c>
      <c r="CF65" s="17">
        <f t="shared" si="85"/>
        <v>97.908417804997896</v>
      </c>
      <c r="CG65" s="17">
        <f t="shared" si="86"/>
        <v>12.7601502473824</v>
      </c>
      <c r="CH65" s="17">
        <f t="shared" si="87"/>
        <v>12.7601502473824</v>
      </c>
      <c r="CI65" s="17">
        <f t="shared" si="88"/>
        <v>250</v>
      </c>
      <c r="CJ65" s="17">
        <f t="shared" si="89"/>
        <v>250</v>
      </c>
    </row>
    <row r="66" spans="2:88">
      <c r="B66" s="3">
        <v>13</v>
      </c>
      <c r="C66" s="3" t="s">
        <v>25</v>
      </c>
      <c r="D66" s="4">
        <v>-4.1552810178567503</v>
      </c>
      <c r="E66" s="4">
        <v>1.2502325250642401</v>
      </c>
      <c r="F66" s="4">
        <v>116.25209128569399</v>
      </c>
      <c r="G66" s="4">
        <v>-1.0258507671788299</v>
      </c>
      <c r="H66" s="4">
        <v>-6.5517714167107899</v>
      </c>
      <c r="I66" s="4" t="s">
        <v>15</v>
      </c>
      <c r="J66" s="4">
        <v>-3.4584250799135798</v>
      </c>
      <c r="K66" s="4">
        <v>1.07326803903829</v>
      </c>
      <c r="L66" s="4">
        <v>99.3381730172121</v>
      </c>
      <c r="M66" s="4">
        <v>-0.89067507209661401</v>
      </c>
      <c r="N66" s="4">
        <v>-5.4547886618776698</v>
      </c>
      <c r="O66" s="4">
        <v>1.2</v>
      </c>
      <c r="P66" s="4">
        <v>1.2</v>
      </c>
      <c r="Q66" s="4">
        <v>0.22</v>
      </c>
      <c r="R66" s="4">
        <v>0.22</v>
      </c>
      <c r="S66" s="4">
        <v>0</v>
      </c>
      <c r="T66" s="4">
        <v>0</v>
      </c>
      <c r="U66" s="4">
        <v>0.3</v>
      </c>
      <c r="V66" s="4">
        <v>0.05</v>
      </c>
      <c r="W66" s="4">
        <v>1</v>
      </c>
      <c r="X66" s="4">
        <v>19.100000000000001</v>
      </c>
      <c r="Y66" s="4">
        <v>0</v>
      </c>
      <c r="Z66" s="4">
        <v>1.5</v>
      </c>
      <c r="AA66" s="4">
        <v>139</v>
      </c>
      <c r="AB66" s="4">
        <v>12.1</v>
      </c>
      <c r="AC66" s="4">
        <v>19.5</v>
      </c>
      <c r="AD66" s="3" t="s">
        <v>42</v>
      </c>
      <c r="AE66" s="3" t="s">
        <v>61</v>
      </c>
      <c r="AF66" s="17">
        <f>HLOOKUP(AD66,Data!$B$4:$M$9,2,0)</f>
        <v>13</v>
      </c>
      <c r="AG66" s="17">
        <f>HLOOKUP(AD66,Data!$B$4:$M$9,3,0)</f>
        <v>1</v>
      </c>
      <c r="AH66" s="17">
        <f>HLOOKUP(AE66,Data!$B$13:$I$18,3,0)</f>
        <v>260</v>
      </c>
      <c r="AI66" s="18">
        <f t="shared" si="39"/>
        <v>1.44</v>
      </c>
      <c r="AJ66" s="17">
        <f t="shared" si="40"/>
        <v>0.28799999999999998</v>
      </c>
      <c r="AK66" s="17">
        <f t="shared" si="41"/>
        <v>0.28799999999999998</v>
      </c>
      <c r="AL66" s="17">
        <f t="shared" si="42"/>
        <v>0.25</v>
      </c>
      <c r="AM66" s="17">
        <f t="shared" si="43"/>
        <v>0.49</v>
      </c>
      <c r="AN66" s="17">
        <f t="shared" si="44"/>
        <v>0.49</v>
      </c>
      <c r="AO66" s="17">
        <f t="shared" si="45"/>
        <v>0.49</v>
      </c>
      <c r="AP66" s="17">
        <f t="shared" si="46"/>
        <v>0.49</v>
      </c>
      <c r="AQ66" s="17">
        <f t="shared" si="47"/>
        <v>1.88</v>
      </c>
      <c r="AR66" s="17">
        <f t="shared" si="48"/>
        <v>0.92159999999999997</v>
      </c>
      <c r="AS66" s="17">
        <f t="shared" si="49"/>
        <v>116.25209128569399</v>
      </c>
      <c r="AT66" s="17">
        <f t="shared" si="50"/>
        <v>-1.4009205246981</v>
      </c>
      <c r="AU66" s="17">
        <f t="shared" si="51"/>
        <v>-7.7983557220678099</v>
      </c>
      <c r="AV66" s="17">
        <f t="shared" si="52"/>
        <v>99.3381730172121</v>
      </c>
      <c r="AW66" s="17">
        <f t="shared" si="53"/>
        <v>-1.2126554838081001</v>
      </c>
      <c r="AX66" s="17">
        <f t="shared" si="54"/>
        <v>-6.4923161858517497</v>
      </c>
      <c r="AY66" s="17">
        <f t="shared" si="55"/>
        <v>133.27255036078</v>
      </c>
      <c r="AZ66" s="17">
        <f t="shared" si="56"/>
        <v>69.388687536016803</v>
      </c>
      <c r="BA66" s="17">
        <f t="shared" si="57"/>
        <v>101.330618948398</v>
      </c>
      <c r="BB66" s="17">
        <f t="shared" si="58"/>
        <v>116.33821622604999</v>
      </c>
      <c r="BC66" s="17">
        <f t="shared" si="59"/>
        <v>62.831468520078303</v>
      </c>
      <c r="BD66" s="17">
        <f t="shared" si="60"/>
        <v>89.584842373063907</v>
      </c>
      <c r="BE66" s="17" t="str">
        <f>IF(AND(BD66&lt;=AA66,BB66&lt;=AA66*MongDon!$J$44,BC66&gt;0),"Ok","FAIL")</f>
        <v>Ok</v>
      </c>
      <c r="BF66" s="17">
        <f t="shared" si="61"/>
        <v>122.823982412495</v>
      </c>
      <c r="BG66" s="17">
        <f t="shared" si="62"/>
        <v>352.5</v>
      </c>
      <c r="BH66" s="17" t="str">
        <f t="shared" si="63"/>
        <v>Ok</v>
      </c>
      <c r="BI66" s="17">
        <f t="shared" si="64"/>
        <v>30.584138781836899</v>
      </c>
      <c r="BJ66" s="17">
        <f t="shared" si="65"/>
        <v>21.384862535070901</v>
      </c>
      <c r="BK66" s="17">
        <f t="shared" si="66"/>
        <v>27.7822977324407</v>
      </c>
      <c r="BL66" s="17">
        <f t="shared" si="67"/>
        <v>36.981573979206601</v>
      </c>
      <c r="BM66" s="17">
        <f t="shared" si="68"/>
        <v>88.125</v>
      </c>
      <c r="BN66" s="17">
        <f t="shared" si="69"/>
        <v>88.125</v>
      </c>
      <c r="BO66" s="17">
        <f t="shared" si="70"/>
        <v>88.125</v>
      </c>
      <c r="BP66" s="17">
        <f t="shared" si="71"/>
        <v>88.125</v>
      </c>
      <c r="BQ66" s="17" t="str">
        <f t="shared" si="72"/>
        <v>Ok</v>
      </c>
      <c r="BR66" s="17">
        <f t="shared" si="73"/>
        <v>53.002288901836799</v>
      </c>
      <c r="BS66" s="17">
        <f t="shared" si="74"/>
        <v>12.7554041890468</v>
      </c>
      <c r="BT66" s="16">
        <f>MongDon!$H$80</f>
        <v>1.2</v>
      </c>
      <c r="BU66" s="17" t="str">
        <f t="shared" si="75"/>
        <v>Ok</v>
      </c>
      <c r="BV66" s="17">
        <f t="shared" si="76"/>
        <v>11.060492473731999</v>
      </c>
      <c r="BW66" s="16">
        <f>MongDon!$F$86</f>
        <v>1.5</v>
      </c>
      <c r="BX66" s="17" t="str">
        <f t="shared" si="77"/>
        <v>Ok</v>
      </c>
      <c r="BY66" s="17">
        <f t="shared" si="78"/>
        <v>133.27255036078</v>
      </c>
      <c r="BZ66" s="17">
        <f t="shared" si="79"/>
        <v>79.117302290864799</v>
      </c>
      <c r="CA66" s="17">
        <f t="shared" si="80"/>
        <v>69.388687536016803</v>
      </c>
      <c r="CB66" s="17">
        <f t="shared" si="81"/>
        <v>123.54393560593201</v>
      </c>
      <c r="CC66" s="17">
        <f t="shared" si="82"/>
        <v>97.258177561183999</v>
      </c>
      <c r="CD66" s="17">
        <f t="shared" si="83"/>
        <v>107.186639707335</v>
      </c>
      <c r="CE66" s="17">
        <f t="shared" si="84"/>
        <v>107.186639707335</v>
      </c>
      <c r="CF66" s="17">
        <f t="shared" si="85"/>
        <v>105.40306033561301</v>
      </c>
      <c r="CG66" s="17">
        <f t="shared" si="86"/>
        <v>14.955498479496301</v>
      </c>
      <c r="CH66" s="17">
        <f t="shared" si="87"/>
        <v>14.955498479496301</v>
      </c>
      <c r="CI66" s="17">
        <f t="shared" si="88"/>
        <v>255.64954665805601</v>
      </c>
      <c r="CJ66" s="17">
        <f t="shared" si="89"/>
        <v>255.64954665805601</v>
      </c>
    </row>
    <row r="67" spans="2:88">
      <c r="B67" s="3">
        <v>13</v>
      </c>
      <c r="C67" s="3" t="s">
        <v>26</v>
      </c>
      <c r="D67" s="4">
        <v>4.82291326877084</v>
      </c>
      <c r="E67" s="4">
        <v>2.1905709830007001</v>
      </c>
      <c r="F67" s="4">
        <v>107.41720454193</v>
      </c>
      <c r="G67" s="4">
        <v>-2.5642230505783199</v>
      </c>
      <c r="H67" s="4">
        <v>7.3881071708133996</v>
      </c>
      <c r="I67" s="4" t="s">
        <v>16</v>
      </c>
      <c r="J67" s="4">
        <v>4.0234034922760697</v>
      </c>
      <c r="K67" s="4">
        <v>1.856883420652</v>
      </c>
      <c r="L67" s="4">
        <v>91.975767397408603</v>
      </c>
      <c r="M67" s="4">
        <v>-2.1726519749295301</v>
      </c>
      <c r="N67" s="4">
        <v>6.16177682772582</v>
      </c>
      <c r="O67" s="4">
        <v>1.2</v>
      </c>
      <c r="P67" s="4">
        <v>1.2</v>
      </c>
      <c r="Q67" s="4">
        <v>0.22</v>
      </c>
      <c r="R67" s="4">
        <v>0.22</v>
      </c>
      <c r="S67" s="4">
        <v>0</v>
      </c>
      <c r="T67" s="4">
        <v>0</v>
      </c>
      <c r="U67" s="4">
        <v>0.3</v>
      </c>
      <c r="V67" s="4">
        <v>0.05</v>
      </c>
      <c r="W67" s="4">
        <v>1</v>
      </c>
      <c r="X67" s="4">
        <v>19.100000000000001</v>
      </c>
      <c r="Y67" s="4">
        <v>0</v>
      </c>
      <c r="Z67" s="4">
        <v>1.5</v>
      </c>
      <c r="AA67" s="4">
        <v>139</v>
      </c>
      <c r="AB67" s="4">
        <v>12.1</v>
      </c>
      <c r="AC67" s="4">
        <v>19.5</v>
      </c>
      <c r="AD67" s="3" t="s">
        <v>42</v>
      </c>
      <c r="AE67" s="3" t="s">
        <v>61</v>
      </c>
      <c r="AF67" s="17">
        <f>HLOOKUP(AD67,Data!$B$4:$M$9,2,0)</f>
        <v>13</v>
      </c>
      <c r="AG67" s="17">
        <f>HLOOKUP(AD67,Data!$B$4:$M$9,3,0)</f>
        <v>1</v>
      </c>
      <c r="AH67" s="17">
        <f>HLOOKUP(AE67,Data!$B$13:$I$18,3,0)</f>
        <v>260</v>
      </c>
      <c r="AI67" s="18">
        <f t="shared" si="39"/>
        <v>1.44</v>
      </c>
      <c r="AJ67" s="17">
        <f t="shared" si="40"/>
        <v>0.28799999999999998</v>
      </c>
      <c r="AK67" s="17">
        <f t="shared" si="41"/>
        <v>0.28799999999999998</v>
      </c>
      <c r="AL67" s="17">
        <f t="shared" si="42"/>
        <v>0.25</v>
      </c>
      <c r="AM67" s="17">
        <f t="shared" si="43"/>
        <v>0.49</v>
      </c>
      <c r="AN67" s="17">
        <f t="shared" si="44"/>
        <v>0.49</v>
      </c>
      <c r="AO67" s="17">
        <f t="shared" si="45"/>
        <v>0.49</v>
      </c>
      <c r="AP67" s="17">
        <f t="shared" si="46"/>
        <v>0.49</v>
      </c>
      <c r="AQ67" s="17">
        <f t="shared" si="47"/>
        <v>1.88</v>
      </c>
      <c r="AR67" s="17">
        <f t="shared" si="48"/>
        <v>0.92159999999999997</v>
      </c>
      <c r="AS67" s="17">
        <f t="shared" si="49"/>
        <v>107.41720454193</v>
      </c>
      <c r="AT67" s="17">
        <f t="shared" si="50"/>
        <v>-3.2213943454785299</v>
      </c>
      <c r="AU67" s="17">
        <f t="shared" si="51"/>
        <v>8.8349811514446497</v>
      </c>
      <c r="AV67" s="17">
        <f t="shared" si="52"/>
        <v>91.975767397408603</v>
      </c>
      <c r="AW67" s="17">
        <f t="shared" si="53"/>
        <v>-2.7297170011251302</v>
      </c>
      <c r="AX67" s="17">
        <f t="shared" si="54"/>
        <v>7.3687978754086396</v>
      </c>
      <c r="AY67" s="17">
        <f t="shared" si="55"/>
        <v>137.05769585176799</v>
      </c>
      <c r="AZ67" s="17">
        <f t="shared" si="56"/>
        <v>53.332866012023402</v>
      </c>
      <c r="BA67" s="17">
        <f t="shared" si="57"/>
        <v>95.195280931895596</v>
      </c>
      <c r="BB67" s="17">
        <f t="shared" si="58"/>
        <v>119.536348458387</v>
      </c>
      <c r="BC67" s="17">
        <f t="shared" si="59"/>
        <v>49.407772926902602</v>
      </c>
      <c r="BD67" s="17">
        <f t="shared" si="60"/>
        <v>84.472060692644902</v>
      </c>
      <c r="BE67" s="17" t="str">
        <f>IF(AND(BD67&lt;=AA67,BB67&lt;=AA67*MongDon!$J$44,BC67&gt;0),"Ok","FAIL")</f>
        <v>Ok</v>
      </c>
      <c r="BF67" s="17">
        <f t="shared" si="61"/>
        <v>126.312372496989</v>
      </c>
      <c r="BG67" s="17">
        <f t="shared" si="62"/>
        <v>352.5</v>
      </c>
      <c r="BH67" s="17" t="str">
        <f t="shared" si="63"/>
        <v>Ok</v>
      </c>
      <c r="BI67" s="17">
        <f t="shared" si="64"/>
        <v>30.637635253864499</v>
      </c>
      <c r="BJ67" s="17">
        <f t="shared" si="65"/>
        <v>36.251222059830603</v>
      </c>
      <c r="BK67" s="17">
        <f t="shared" si="66"/>
        <v>24.194846562907401</v>
      </c>
      <c r="BL67" s="17">
        <f t="shared" si="67"/>
        <v>18.5812597569413</v>
      </c>
      <c r="BM67" s="17">
        <f t="shared" si="68"/>
        <v>88.125</v>
      </c>
      <c r="BN67" s="17">
        <f t="shared" si="69"/>
        <v>88.125</v>
      </c>
      <c r="BO67" s="17">
        <f t="shared" si="70"/>
        <v>88.125</v>
      </c>
      <c r="BP67" s="17">
        <f t="shared" si="71"/>
        <v>88.125</v>
      </c>
      <c r="BQ67" s="17" t="str">
        <f t="shared" si="72"/>
        <v>Ok</v>
      </c>
      <c r="BR67" s="17">
        <f t="shared" si="73"/>
        <v>51.108253298623502</v>
      </c>
      <c r="BS67" s="17">
        <f t="shared" si="74"/>
        <v>10.596967113126</v>
      </c>
      <c r="BT67" s="16">
        <f>MongDon!$H$80</f>
        <v>1.2</v>
      </c>
      <c r="BU67" s="17" t="str">
        <f t="shared" si="75"/>
        <v>Ok</v>
      </c>
      <c r="BV67" s="17">
        <f t="shared" si="76"/>
        <v>9.1627499071597693</v>
      </c>
      <c r="BW67" s="16">
        <f>MongDon!$F$86</f>
        <v>1.5</v>
      </c>
      <c r="BX67" s="17" t="str">
        <f t="shared" si="77"/>
        <v>Ok</v>
      </c>
      <c r="BY67" s="17">
        <f t="shared" si="78"/>
        <v>75.703660077846493</v>
      </c>
      <c r="BZ67" s="17">
        <f t="shared" si="79"/>
        <v>137.05769585176799</v>
      </c>
      <c r="CA67" s="17">
        <f t="shared" si="80"/>
        <v>114.686901785945</v>
      </c>
      <c r="CB67" s="17">
        <f t="shared" si="81"/>
        <v>53.332866012023402</v>
      </c>
      <c r="CC67" s="17">
        <f t="shared" si="82"/>
        <v>102.87005700053901</v>
      </c>
      <c r="CD67" s="17">
        <f t="shared" si="83"/>
        <v>91.621817108653303</v>
      </c>
      <c r="CE67" s="17">
        <f t="shared" si="84"/>
        <v>102.87005700053901</v>
      </c>
      <c r="CF67" s="17">
        <f t="shared" si="85"/>
        <v>98.768744755137902</v>
      </c>
      <c r="CG67" s="17">
        <f t="shared" si="86"/>
        <v>15.085701038974699</v>
      </c>
      <c r="CH67" s="17">
        <f t="shared" si="87"/>
        <v>15.085701038974699</v>
      </c>
      <c r="CI67" s="17">
        <f t="shared" si="88"/>
        <v>257.87523143546503</v>
      </c>
      <c r="CJ67" s="17">
        <f t="shared" si="89"/>
        <v>257.87523143546503</v>
      </c>
    </row>
    <row r="68" spans="2:88">
      <c r="B68" s="3">
        <v>13</v>
      </c>
      <c r="C68" s="3" t="s">
        <v>27</v>
      </c>
      <c r="D68" s="4">
        <v>-1.29318268454149</v>
      </c>
      <c r="E68" s="4">
        <v>-5.1662263998332598</v>
      </c>
      <c r="F68" s="4">
        <v>107.73991571966</v>
      </c>
      <c r="G68" s="4">
        <v>9.7967797909420007</v>
      </c>
      <c r="H68" s="4">
        <v>-2.1118320030845101</v>
      </c>
      <c r="I68" s="4" t="s">
        <v>17</v>
      </c>
      <c r="J68" s="4">
        <v>-1.0733431354842</v>
      </c>
      <c r="K68" s="4">
        <v>-4.27378106504296</v>
      </c>
      <c r="L68" s="4">
        <v>92.244693378850201</v>
      </c>
      <c r="M68" s="4">
        <v>8.1281837263374097</v>
      </c>
      <c r="N68" s="4">
        <v>-1.7548391505224401</v>
      </c>
      <c r="O68" s="4">
        <v>1.2</v>
      </c>
      <c r="P68" s="4">
        <v>1.2</v>
      </c>
      <c r="Q68" s="4">
        <v>0.22</v>
      </c>
      <c r="R68" s="4">
        <v>0.22</v>
      </c>
      <c r="S68" s="4">
        <v>0</v>
      </c>
      <c r="T68" s="4">
        <v>0</v>
      </c>
      <c r="U68" s="4">
        <v>0.3</v>
      </c>
      <c r="V68" s="4">
        <v>0.05</v>
      </c>
      <c r="W68" s="4">
        <v>1</v>
      </c>
      <c r="X68" s="4">
        <v>19.100000000000001</v>
      </c>
      <c r="Y68" s="4">
        <v>0</v>
      </c>
      <c r="Z68" s="4">
        <v>1.5</v>
      </c>
      <c r="AA68" s="4">
        <v>139</v>
      </c>
      <c r="AB68" s="4">
        <v>12.1</v>
      </c>
      <c r="AC68" s="4">
        <v>19.5</v>
      </c>
      <c r="AD68" s="3" t="s">
        <v>42</v>
      </c>
      <c r="AE68" s="3" t="s">
        <v>61</v>
      </c>
      <c r="AF68" s="17">
        <f>HLOOKUP(AD68,Data!$B$4:$M$9,2,0)</f>
        <v>13</v>
      </c>
      <c r="AG68" s="17">
        <f>HLOOKUP(AD68,Data!$B$4:$M$9,3,0)</f>
        <v>1</v>
      </c>
      <c r="AH68" s="17">
        <f>HLOOKUP(AE68,Data!$B$13:$I$18,3,0)</f>
        <v>260</v>
      </c>
      <c r="AI68" s="18">
        <f t="shared" si="39"/>
        <v>1.44</v>
      </c>
      <c r="AJ68" s="17">
        <f t="shared" si="40"/>
        <v>0.28799999999999998</v>
      </c>
      <c r="AK68" s="17">
        <f t="shared" si="41"/>
        <v>0.28799999999999998</v>
      </c>
      <c r="AL68" s="17">
        <f t="shared" si="42"/>
        <v>0.25</v>
      </c>
      <c r="AM68" s="17">
        <f t="shared" si="43"/>
        <v>0.49</v>
      </c>
      <c r="AN68" s="17">
        <f t="shared" si="44"/>
        <v>0.49</v>
      </c>
      <c r="AO68" s="17">
        <f t="shared" si="45"/>
        <v>0.49</v>
      </c>
      <c r="AP68" s="17">
        <f t="shared" si="46"/>
        <v>0.49</v>
      </c>
      <c r="AQ68" s="17">
        <f t="shared" si="47"/>
        <v>1.88</v>
      </c>
      <c r="AR68" s="17">
        <f t="shared" si="48"/>
        <v>0.92159999999999997</v>
      </c>
      <c r="AS68" s="17">
        <f t="shared" si="49"/>
        <v>107.73991571966</v>
      </c>
      <c r="AT68" s="17">
        <f t="shared" si="50"/>
        <v>11.346647710892</v>
      </c>
      <c r="AU68" s="17">
        <f t="shared" si="51"/>
        <v>-2.4997868084469501</v>
      </c>
      <c r="AV68" s="17">
        <f t="shared" si="52"/>
        <v>92.244693378850201</v>
      </c>
      <c r="AW68" s="17">
        <f t="shared" si="53"/>
        <v>9.4103180458502997</v>
      </c>
      <c r="AX68" s="17">
        <f t="shared" si="54"/>
        <v>-2.0768420911677001</v>
      </c>
      <c r="AY68" s="17">
        <f t="shared" si="55"/>
        <v>143.497283553024</v>
      </c>
      <c r="AZ68" s="17">
        <f t="shared" si="56"/>
        <v>47.341488279836803</v>
      </c>
      <c r="BA68" s="17">
        <f t="shared" si="57"/>
        <v>95.419385916430301</v>
      </c>
      <c r="BB68" s="17">
        <f t="shared" si="58"/>
        <v>124.54478754440299</v>
      </c>
      <c r="BC68" s="17">
        <f t="shared" si="59"/>
        <v>44.772842148444603</v>
      </c>
      <c r="BD68" s="17">
        <f t="shared" si="60"/>
        <v>84.658814846423795</v>
      </c>
      <c r="BE68" s="17" t="str">
        <f>IF(AND(BD68&lt;=AA68,BB68&lt;=AA68*MongDon!$J$44,BC68&gt;0),"Ok","FAIL")</f>
        <v>Ok</v>
      </c>
      <c r="BF68" s="17">
        <f t="shared" si="61"/>
        <v>132.24709652246699</v>
      </c>
      <c r="BG68" s="17">
        <f t="shared" si="62"/>
        <v>352.5</v>
      </c>
      <c r="BH68" s="17" t="str">
        <f t="shared" si="63"/>
        <v>Ok</v>
      </c>
      <c r="BI68" s="17">
        <f t="shared" si="64"/>
        <v>16.134135433039901</v>
      </c>
      <c r="BJ68" s="17">
        <f t="shared" si="65"/>
        <v>24.980996335484999</v>
      </c>
      <c r="BK68" s="17">
        <f t="shared" si="66"/>
        <v>38.827430854823902</v>
      </c>
      <c r="BL68" s="17">
        <f t="shared" si="67"/>
        <v>29.9805699523789</v>
      </c>
      <c r="BM68" s="17">
        <f t="shared" si="68"/>
        <v>88.125</v>
      </c>
      <c r="BN68" s="17">
        <f t="shared" si="69"/>
        <v>88.125</v>
      </c>
      <c r="BO68" s="17">
        <f t="shared" si="70"/>
        <v>88.125</v>
      </c>
      <c r="BP68" s="17">
        <f t="shared" si="71"/>
        <v>88.125</v>
      </c>
      <c r="BQ68" s="17" t="str">
        <f t="shared" si="72"/>
        <v>Ok</v>
      </c>
      <c r="BR68" s="17">
        <f t="shared" si="73"/>
        <v>51.177436580526603</v>
      </c>
      <c r="BS68" s="17">
        <f t="shared" si="74"/>
        <v>9.9061544384075706</v>
      </c>
      <c r="BT68" s="16">
        <f>MongDon!$H$80</f>
        <v>1.2</v>
      </c>
      <c r="BU68" s="17" t="str">
        <f t="shared" si="75"/>
        <v>Ok</v>
      </c>
      <c r="BV68" s="17">
        <f t="shared" si="76"/>
        <v>7.1515703579922603</v>
      </c>
      <c r="BW68" s="16">
        <f>MongDon!$F$86</f>
        <v>1.5</v>
      </c>
      <c r="BX68" s="17" t="str">
        <f t="shared" si="77"/>
        <v>Ok</v>
      </c>
      <c r="BY68" s="17">
        <f t="shared" si="78"/>
        <v>64.701118894051703</v>
      </c>
      <c r="BZ68" s="17">
        <f t="shared" si="79"/>
        <v>47.341488279836803</v>
      </c>
      <c r="CA68" s="17">
        <f t="shared" si="80"/>
        <v>126.137652938809</v>
      </c>
      <c r="CB68" s="17">
        <f t="shared" si="81"/>
        <v>143.497283553024</v>
      </c>
      <c r="CC68" s="17">
        <f t="shared" si="82"/>
        <v>101.051068203866</v>
      </c>
      <c r="CD68" s="17">
        <f t="shared" si="83"/>
        <v>104.233667149806</v>
      </c>
      <c r="CE68" s="17">
        <f t="shared" si="84"/>
        <v>89.787703628994194</v>
      </c>
      <c r="CF68" s="17">
        <f t="shared" si="85"/>
        <v>104.233667149806</v>
      </c>
      <c r="CG68" s="17">
        <f t="shared" si="86"/>
        <v>15.655649840805101</v>
      </c>
      <c r="CH68" s="17">
        <f t="shared" si="87"/>
        <v>15.655649840805101</v>
      </c>
      <c r="CI68" s="17">
        <f t="shared" si="88"/>
        <v>267.61794599666803</v>
      </c>
      <c r="CJ68" s="17">
        <f t="shared" si="89"/>
        <v>267.61794599666803</v>
      </c>
    </row>
    <row r="69" spans="2:88">
      <c r="B69" s="3">
        <v>13</v>
      </c>
      <c r="C69" s="3" t="s">
        <v>28</v>
      </c>
      <c r="D69" s="4">
        <v>1.9608149354555899</v>
      </c>
      <c r="E69" s="4">
        <v>8.6070299078982</v>
      </c>
      <c r="F69" s="4">
        <v>115.92938010796399</v>
      </c>
      <c r="G69" s="4">
        <v>-13.3868536086992</v>
      </c>
      <c r="H69" s="4">
        <v>2.9481677571871199</v>
      </c>
      <c r="I69" s="4" t="s">
        <v>18</v>
      </c>
      <c r="J69" s="4">
        <v>1.6383215478466899</v>
      </c>
      <c r="K69" s="4">
        <v>7.2039325247332497</v>
      </c>
      <c r="L69" s="4">
        <v>99.069247035770402</v>
      </c>
      <c r="M69" s="4">
        <v>-11.1915107733635</v>
      </c>
      <c r="N69" s="4">
        <v>2.4618273163705799</v>
      </c>
      <c r="O69" s="4">
        <v>1.2</v>
      </c>
      <c r="P69" s="4">
        <v>1.2</v>
      </c>
      <c r="Q69" s="4">
        <v>0.22</v>
      </c>
      <c r="R69" s="4">
        <v>0.22</v>
      </c>
      <c r="S69" s="4">
        <v>0</v>
      </c>
      <c r="T69" s="4">
        <v>0</v>
      </c>
      <c r="U69" s="4">
        <v>0.3</v>
      </c>
      <c r="V69" s="4">
        <v>0.05</v>
      </c>
      <c r="W69" s="4">
        <v>1</v>
      </c>
      <c r="X69" s="4">
        <v>19.100000000000001</v>
      </c>
      <c r="Y69" s="4">
        <v>0</v>
      </c>
      <c r="Z69" s="4">
        <v>1.5</v>
      </c>
      <c r="AA69" s="4">
        <v>139</v>
      </c>
      <c r="AB69" s="4">
        <v>12.1</v>
      </c>
      <c r="AC69" s="4">
        <v>19.5</v>
      </c>
      <c r="AD69" s="3" t="s">
        <v>42</v>
      </c>
      <c r="AE69" s="3" t="s">
        <v>61</v>
      </c>
      <c r="AF69" s="17">
        <f>HLOOKUP(AD69,Data!$B$4:$M$9,2,0)</f>
        <v>13</v>
      </c>
      <c r="AG69" s="17">
        <f>HLOOKUP(AD69,Data!$B$4:$M$9,3,0)</f>
        <v>1</v>
      </c>
      <c r="AH69" s="17">
        <f>HLOOKUP(AE69,Data!$B$13:$I$18,3,0)</f>
        <v>260</v>
      </c>
      <c r="AI69" s="18">
        <f t="shared" ref="AI69:AI132" si="90">O69*P69</f>
        <v>1.44</v>
      </c>
      <c r="AJ69" s="17">
        <f t="shared" ref="AJ69:AJ132" si="91">1/6*O69*P69^2</f>
        <v>0.28799999999999998</v>
      </c>
      <c r="AK69" s="17">
        <f t="shared" ref="AK69:AK132" si="92">1/6*P69*O69^2</f>
        <v>0.28799999999999998</v>
      </c>
      <c r="AL69" s="17">
        <f t="shared" ref="AL69:AL132" si="93">U69-V69</f>
        <v>0.25</v>
      </c>
      <c r="AM69" s="17">
        <f t="shared" ref="AM69:AM132" si="94">O69/2-Q69/2+S69</f>
        <v>0.49</v>
      </c>
      <c r="AN69" s="17">
        <f t="shared" ref="AN69:AN132" si="95">O69-AM69-Q69</f>
        <v>0.49</v>
      </c>
      <c r="AO69" s="17">
        <f t="shared" ref="AO69:AO132" si="96">P69/2-R69/2+T69</f>
        <v>0.49</v>
      </c>
      <c r="AP69" s="17">
        <f t="shared" ref="AP69:AP132" si="97">P69-AO69-R69</f>
        <v>0.49</v>
      </c>
      <c r="AQ69" s="17">
        <f t="shared" ref="AQ69:AQ132" si="98">(2*Q69+2*R69+2*(MIN(AM69,AL69)+Q69+MIN(AN69,AL69))+2*(MIN(AO69,AL69)+R69+MIN(AP69,AL69)))/2</f>
        <v>1.88</v>
      </c>
      <c r="AR69" s="17">
        <f t="shared" ref="AR69:AR132" si="99">O69*P69-(MIN(AM69,AL69)+Q69+MIN(AN69,AL69))*(MIN(AO69,AL69)+R69+MIN(AP69,AL69))</f>
        <v>0.92159999999999997</v>
      </c>
      <c r="AS69" s="17">
        <f t="shared" ref="AS69:AS132" si="100">F69+X69*Y69*O69*P69</f>
        <v>115.92938010796399</v>
      </c>
      <c r="AT69" s="17">
        <f t="shared" ref="AT69:AT132" si="101">G69-E69*U69-F69*T69</f>
        <v>-15.968962581068601</v>
      </c>
      <c r="AU69" s="17">
        <f t="shared" ref="AU69:AU132" si="102">H69+D69*U69+F69*S69</f>
        <v>3.5364122378237899</v>
      </c>
      <c r="AV69" s="17">
        <f t="shared" ref="AV69:AV132" si="103">L69+X69*Y69*O69*P69</f>
        <v>99.069247035770402</v>
      </c>
      <c r="AW69" s="17">
        <f t="shared" ref="AW69:AW132" si="104">M69-K69*U69-L69*T69</f>
        <v>-13.3526905307835</v>
      </c>
      <c r="AX69" s="17">
        <f t="shared" ref="AX69:AX132" si="105">N69+J69*U69+L69*S69</f>
        <v>2.95332378072459</v>
      </c>
      <c r="AY69" s="17">
        <f t="shared" ref="AY69:AY132" si="106">AS69/AI69+ABS(AT69)/AJ69+ABS(AU69)/AK69+X69*W69+Z69</f>
        <v>168.83350986279601</v>
      </c>
      <c r="AZ69" s="17">
        <f t="shared" ref="AZ69:AZ132" si="107">AS69/AI69-ABS(AT69)/AJ69-ABS(AU69)/AK69+X69*W69+Z69</f>
        <v>33.379518064931801</v>
      </c>
      <c r="BA69" s="17">
        <f t="shared" ref="BA69:BA132" si="108">AS69/AI69+X69*W69+Z69</f>
        <v>101.106513963864</v>
      </c>
      <c r="BB69" s="17">
        <f t="shared" ref="BB69:BB132" si="109">AV69/AI69+ABS(AW69)/AJ69+ABS(AX69)/AK69+X69*W69+Z69</f>
        <v>146.01619346757701</v>
      </c>
      <c r="BC69" s="17">
        <f t="shared" ref="BC69:BC132" si="110">AV69/AI69-ABS(AW69)/AJ69-ABS(AX69)/AK69+X69*W69+Z69</f>
        <v>32.779982970992997</v>
      </c>
      <c r="BD69" s="17">
        <f t="shared" ref="BD69:BD132" si="111">AV69/AI69+X69*W69+Z69</f>
        <v>89.398088219285</v>
      </c>
      <c r="BE69" s="17" t="str">
        <f>IF(AND(BD69&lt;=AA69,BB69&lt;=AA69*MongDon!$J$44,BC69&gt;0),"Ok","FAIL")</f>
        <v>Ok</v>
      </c>
      <c r="BF69" s="17">
        <f t="shared" ref="BF69:BF132" si="112">AY69*AR69</f>
        <v>155.59696268955301</v>
      </c>
      <c r="BG69" s="17">
        <f t="shared" ref="BG69:BG132" si="113">0.75*AG69*1000*AQ69*AL69</f>
        <v>352.5</v>
      </c>
      <c r="BH69" s="17" t="str">
        <f t="shared" ref="BH69:BH132" si="114">IF(BF69&lt;BG69,"Ok","FAIL")</f>
        <v>Ok</v>
      </c>
      <c r="BI69" s="17">
        <f t="shared" ref="BI69:BI132" si="115">(BY69+BZ69)/2*(IF(AP69&gt;AL69,(AP69-AL69)*O69,0))</f>
        <v>45.0876386026614</v>
      </c>
      <c r="BJ69" s="17">
        <f t="shared" ref="BJ69:BJ132" si="116">(BZ69+CA69)/2*(IF(AN69&gt;AL69,(AN69-AL69)*P69,0))</f>
        <v>32.655088259416601</v>
      </c>
      <c r="BK69" s="17">
        <f t="shared" ref="BK69:BK132" si="117">(CA69+CB69)/2*(IF(AO69&gt;AL69,(AO69-AL69)*O69,0))</f>
        <v>13.1497134405242</v>
      </c>
      <c r="BL69" s="17">
        <f t="shared" ref="BL69:BL132" si="118">(CB69+BY69)/2*(IF(AM69&gt;AL69,(AM69-AL69)*P69,0))</f>
        <v>25.582263783769001</v>
      </c>
      <c r="BM69" s="17">
        <f t="shared" ref="BM69:BM132" si="119">0.75*AG69*1000*((Q69+2*MIN(AL69,AP69)+Q69)/2)*AL69</f>
        <v>88.125</v>
      </c>
      <c r="BN69" s="17">
        <f t="shared" ref="BN69:BN132" si="120">0.75*AG69*1000*((R69+2*MIN(AL69,AN69)+R69)/2)*AL69</f>
        <v>88.125</v>
      </c>
      <c r="BO69" s="17">
        <f t="shared" ref="BO69:BO132" si="121">0.75*AG69*1000*((Q69+2*MIN(AL69,AO69)+Q69)/2)*AL69</f>
        <v>88.125</v>
      </c>
      <c r="BP69" s="17">
        <f t="shared" ref="BP69:BP132" si="122">0.75*AG69*1000*((R69+2*MIN(AL69,AM69)+R69)/2)*AL69</f>
        <v>88.125</v>
      </c>
      <c r="BQ69" s="17" t="str">
        <f t="shared" ref="BQ69:BQ132" si="123">IF(AND(BI69&lt;BM69,BJ69&lt;BN69,BK69&lt;BO69,BL69&lt;BP69),"Ok","FAIL")</f>
        <v>Ok</v>
      </c>
      <c r="BR69" s="17">
        <f t="shared" ref="BR69:BR132" si="124">AS69*TAN(RADIANS(AB69))+AC69*O69*P69</f>
        <v>52.933105619933698</v>
      </c>
      <c r="BS69" s="17">
        <f t="shared" ref="BS69:BS132" si="125">ABS(BR69)/MAX(ABS(D69),ABS(E69))</f>
        <v>6.1499850919955499</v>
      </c>
      <c r="BT69" s="16">
        <f>MongDon!$H$80</f>
        <v>1.2</v>
      </c>
      <c r="BU69" s="17" t="str">
        <f t="shared" ref="BU69:BU132" si="126">IF(BS69&gt;BT69,"Ok","FAIL")</f>
        <v>Ok</v>
      </c>
      <c r="BV69" s="17">
        <f t="shared" ref="BV69:BV132" si="127">MIN(ABS((F69*MIN(AM69+Q69/2,AN69+Q69/2)+O69*P69*W69*X69*O69/2)/(G69-E69*U69-F69*T69)),ABS((F69*MIN(AO69+R69/2,AP69+R69/2)+O69*P69*W69*X69*P69/2)/(H69+D69*U69+F69*S69)))</f>
        <v>5.3892059442110201</v>
      </c>
      <c r="BW69" s="16">
        <f>MongDon!$F$86</f>
        <v>1.5</v>
      </c>
      <c r="BX69" s="17" t="str">
        <f t="shared" ref="BX69:BX132" si="128">IF(BV69&gt;BW69,"Ok","FAIL")</f>
        <v>Ok</v>
      </c>
      <c r="BY69" s="17">
        <f t="shared" ref="BY69:BY132" si="129">(AS69/AI69)+(AT69*-P69/2)/(P69*O69^3/12)+(AU69*-O69/2)/(O69*P69^3/12)+X69*W69+Z69</f>
        <v>144.27509154457499</v>
      </c>
      <c r="BZ69" s="17">
        <f t="shared" ref="BZ69:BZ132" si="130">(AS69/AI69)+(AT69*-P69/2)/(P69*O69^3/12)+(AU69*O69/2)/(O69*P69^3/12)+X69*W69+Z69</f>
        <v>168.83350986279601</v>
      </c>
      <c r="CA69" s="17">
        <f t="shared" ref="CA69:CA132" si="131">(AS69/AI69)+(AT69*P69/2)/(P69*O69^3/12)+(AU69*O69/2)/(O69*P69^3/12)+X69*W69+Z69</f>
        <v>57.937936383152604</v>
      </c>
      <c r="CB69" s="17">
        <f t="shared" ref="CB69:CB132" si="132">(AS69/AI69)+(AT69*P69/2)/(P69*O69^3/12)+(AU69*-O69/2)/(O69*P69^3/12)+X69*W69+Z69</f>
        <v>33.379518064931801</v>
      </c>
      <c r="CC69" s="17">
        <f t="shared" ref="CC69:CC132" si="133">(MIN(BY69,CB69)+(MAX(BZ69,CA69)-MIN(BY69,CB69))*(AM69+Q69)/O69)</f>
        <v>113.523129878668</v>
      </c>
      <c r="CD69" s="17">
        <f t="shared" ref="CD69:CD132" si="134">(MIN(BZ69,CA69)+(MAX(BY69,CB69)-MIN(BZ69,CA69))*(AN69+Q69)/O69)</f>
        <v>109.020753186994</v>
      </c>
      <c r="CE69" s="17">
        <f t="shared" ref="CE69:CE132" si="135">(MIN(CA69,CB69)+(MAX(BY69,BZ69)-MIN(CA69,CB69))*(AO69+R69)/P69)</f>
        <v>113.523129878668</v>
      </c>
      <c r="CF69" s="17">
        <f t="shared" ref="CF69:CF132" si="136">(MIN(BY69,BZ69)+(MAX(CA69,CB69)-MIN(BY69,BZ69))*(AP69+R69)/P69)</f>
        <v>93.192274740733396</v>
      </c>
      <c r="CG69" s="17">
        <f t="shared" ref="CG69:CG132" si="137">MAX(((2*MAX(BY69,BZ69)+CE69)*(AP69^2)/6),((2*MAX(CA69,CB69)+CF69)*(AO69^2)/6))</f>
        <v>18.055125819997102</v>
      </c>
      <c r="CH69" s="17">
        <f t="shared" ref="CH69:CH132" si="138">MAX(((2*MAX(BZ69,CA69)+CC69)*(AN69^2)/6),((2*MAX(BY69,CB69)+CD69)*(AM69^2)/6))</f>
        <v>18.055125819997102</v>
      </c>
      <c r="CI69" s="17">
        <f t="shared" ref="CI69:CI132" si="139">MAX(CH69*10^6/(0.9*AH69*AL69*1000),(0.1/100)*1000*AL69*1000)</f>
        <v>308.63462940165999</v>
      </c>
      <c r="CJ69" s="17">
        <f t="shared" ref="CJ69:CJ132" si="140">MAX(CG69*10^6/(0.9*AH69*AL69*1000),(0.1/100)*1000*AL69*1000)</f>
        <v>308.63462940165999</v>
      </c>
    </row>
    <row r="70" spans="2:88">
      <c r="B70" s="3">
        <v>13</v>
      </c>
      <c r="C70" s="3" t="s">
        <v>29</v>
      </c>
      <c r="D70" s="4">
        <v>-4.6901916741915501</v>
      </c>
      <c r="E70" s="4">
        <v>1.02766696730589</v>
      </c>
      <c r="F70" s="4">
        <v>106.39373116667799</v>
      </c>
      <c r="G70" s="4">
        <v>-0.76788767560542504</v>
      </c>
      <c r="H70" s="4">
        <v>-7.3721081547156802</v>
      </c>
      <c r="I70" s="4" t="s">
        <v>19</v>
      </c>
      <c r="J70" s="4">
        <v>-3.9041839601925901</v>
      </c>
      <c r="K70" s="4">
        <v>0.88779674090633198</v>
      </c>
      <c r="L70" s="4">
        <v>91.122872918032101</v>
      </c>
      <c r="M70" s="4">
        <v>-0.67570582911877697</v>
      </c>
      <c r="N70" s="4">
        <v>-6.1384026102150804</v>
      </c>
      <c r="O70" s="4">
        <v>1.2</v>
      </c>
      <c r="P70" s="4">
        <v>1.2</v>
      </c>
      <c r="Q70" s="4">
        <v>0.22</v>
      </c>
      <c r="R70" s="4">
        <v>0.22</v>
      </c>
      <c r="S70" s="4">
        <v>0</v>
      </c>
      <c r="T70" s="4">
        <v>0</v>
      </c>
      <c r="U70" s="4">
        <v>0.3</v>
      </c>
      <c r="V70" s="4">
        <v>0.05</v>
      </c>
      <c r="W70" s="4">
        <v>1</v>
      </c>
      <c r="X70" s="4">
        <v>19.100000000000001</v>
      </c>
      <c r="Y70" s="4">
        <v>0</v>
      </c>
      <c r="Z70" s="4">
        <v>1.5</v>
      </c>
      <c r="AA70" s="4">
        <v>139</v>
      </c>
      <c r="AB70" s="4">
        <v>12.1</v>
      </c>
      <c r="AC70" s="4">
        <v>19.5</v>
      </c>
      <c r="AD70" s="3" t="s">
        <v>42</v>
      </c>
      <c r="AE70" s="3" t="s">
        <v>61</v>
      </c>
      <c r="AF70" s="17">
        <f>HLOOKUP(AD70,Data!$B$4:$M$9,2,0)</f>
        <v>13</v>
      </c>
      <c r="AG70" s="17">
        <f>HLOOKUP(AD70,Data!$B$4:$M$9,3,0)</f>
        <v>1</v>
      </c>
      <c r="AH70" s="17">
        <f>HLOOKUP(AE70,Data!$B$13:$I$18,3,0)</f>
        <v>260</v>
      </c>
      <c r="AI70" s="18">
        <f t="shared" si="90"/>
        <v>1.44</v>
      </c>
      <c r="AJ70" s="17">
        <f t="shared" si="91"/>
        <v>0.28799999999999998</v>
      </c>
      <c r="AK70" s="17">
        <f t="shared" si="92"/>
        <v>0.28799999999999998</v>
      </c>
      <c r="AL70" s="17">
        <f t="shared" si="93"/>
        <v>0.25</v>
      </c>
      <c r="AM70" s="17">
        <f t="shared" si="94"/>
        <v>0.49</v>
      </c>
      <c r="AN70" s="17">
        <f t="shared" si="95"/>
        <v>0.49</v>
      </c>
      <c r="AO70" s="17">
        <f t="shared" si="96"/>
        <v>0.49</v>
      </c>
      <c r="AP70" s="17">
        <f t="shared" si="97"/>
        <v>0.49</v>
      </c>
      <c r="AQ70" s="17">
        <f t="shared" si="98"/>
        <v>1.88</v>
      </c>
      <c r="AR70" s="17">
        <f t="shared" si="99"/>
        <v>0.92159999999999997</v>
      </c>
      <c r="AS70" s="17">
        <f t="shared" si="100"/>
        <v>106.39373116667799</v>
      </c>
      <c r="AT70" s="17">
        <f t="shared" si="101"/>
        <v>-1.0761877657971901</v>
      </c>
      <c r="AU70" s="17">
        <f t="shared" si="102"/>
        <v>-8.7791656569731504</v>
      </c>
      <c r="AV70" s="17">
        <f t="shared" si="103"/>
        <v>91.122872918032101</v>
      </c>
      <c r="AW70" s="17">
        <f t="shared" si="104"/>
        <v>-0.94204485139067695</v>
      </c>
      <c r="AX70" s="17">
        <f t="shared" si="105"/>
        <v>-7.3096577982728599</v>
      </c>
      <c r="AY70" s="17">
        <f t="shared" si="106"/>
        <v>128.704512694812</v>
      </c>
      <c r="AZ70" s="17">
        <f t="shared" si="107"/>
        <v>60.264558370018101</v>
      </c>
      <c r="BA70" s="17">
        <f t="shared" si="108"/>
        <v>94.484535532415194</v>
      </c>
      <c r="BB70" s="17">
        <f t="shared" si="109"/>
        <v>112.531518171076</v>
      </c>
      <c r="BC70" s="17">
        <f t="shared" si="110"/>
        <v>55.228027548412797</v>
      </c>
      <c r="BD70" s="17">
        <f t="shared" si="111"/>
        <v>83.879772859744506</v>
      </c>
      <c r="BE70" s="17" t="str">
        <f>IF(AND(BD70&lt;=AA70,BB70&lt;=AA70*MongDon!$J$44,BC70&gt;0),"Ok","FAIL")</f>
        <v>Ok</v>
      </c>
      <c r="BF70" s="17">
        <f t="shared" si="112"/>
        <v>118.614078899539</v>
      </c>
      <c r="BG70" s="17">
        <f t="shared" si="113"/>
        <v>352.5</v>
      </c>
      <c r="BH70" s="17" t="str">
        <f t="shared" si="114"/>
        <v>Ok</v>
      </c>
      <c r="BI70" s="17">
        <f t="shared" si="115"/>
        <v>28.287733999132801</v>
      </c>
      <c r="BJ70" s="17">
        <f t="shared" si="116"/>
        <v>18.432380576362402</v>
      </c>
      <c r="BK70" s="17">
        <f t="shared" si="117"/>
        <v>26.135358467538399</v>
      </c>
      <c r="BL70" s="17">
        <f t="shared" si="118"/>
        <v>35.990711890308702</v>
      </c>
      <c r="BM70" s="17">
        <f t="shared" si="119"/>
        <v>88.125</v>
      </c>
      <c r="BN70" s="17">
        <f t="shared" si="120"/>
        <v>88.125</v>
      </c>
      <c r="BO70" s="17">
        <f t="shared" si="121"/>
        <v>88.125</v>
      </c>
      <c r="BP70" s="17">
        <f t="shared" si="122"/>
        <v>88.125</v>
      </c>
      <c r="BQ70" s="17" t="str">
        <f t="shared" si="123"/>
        <v>Ok</v>
      </c>
      <c r="BR70" s="17">
        <f t="shared" si="124"/>
        <v>50.888839618755398</v>
      </c>
      <c r="BS70" s="17">
        <f t="shared" si="125"/>
        <v>10.8500554249794</v>
      </c>
      <c r="BT70" s="16">
        <f>MongDon!$H$80</f>
        <v>1.2</v>
      </c>
      <c r="BU70" s="17" t="str">
        <f t="shared" si="126"/>
        <v>Ok</v>
      </c>
      <c r="BV70" s="17">
        <f t="shared" si="127"/>
        <v>9.1510562437325706</v>
      </c>
      <c r="BW70" s="16">
        <f>MongDon!$F$86</f>
        <v>1.5</v>
      </c>
      <c r="BX70" s="17" t="str">
        <f t="shared" si="128"/>
        <v>Ok</v>
      </c>
      <c r="BY70" s="17">
        <f t="shared" si="129"/>
        <v>128.704512694812</v>
      </c>
      <c r="BZ70" s="17">
        <f t="shared" si="130"/>
        <v>67.738084521387506</v>
      </c>
      <c r="CA70" s="17">
        <f t="shared" si="131"/>
        <v>60.264558370018101</v>
      </c>
      <c r="CB70" s="17">
        <f t="shared" si="132"/>
        <v>121.230986543443</v>
      </c>
      <c r="CC70" s="17">
        <f t="shared" si="133"/>
        <v>89.581019513726702</v>
      </c>
      <c r="CD70" s="17">
        <f t="shared" si="134"/>
        <v>100.758198012188</v>
      </c>
      <c r="CE70" s="17">
        <f t="shared" si="135"/>
        <v>100.758198012188</v>
      </c>
      <c r="CF70" s="17">
        <f t="shared" si="136"/>
        <v>99.388051551103601</v>
      </c>
      <c r="CG70" s="17">
        <f t="shared" si="137"/>
        <v>14.332658389795901</v>
      </c>
      <c r="CH70" s="17">
        <f t="shared" si="138"/>
        <v>14.332658389795901</v>
      </c>
      <c r="CI70" s="17">
        <f t="shared" si="139"/>
        <v>250</v>
      </c>
      <c r="CJ70" s="17">
        <f t="shared" si="140"/>
        <v>250</v>
      </c>
    </row>
    <row r="71" spans="2:88">
      <c r="B71" s="3">
        <v>13</v>
      </c>
      <c r="C71" s="3" t="s">
        <v>30</v>
      </c>
      <c r="D71" s="4">
        <v>5.2855797553946502</v>
      </c>
      <c r="E71" s="4">
        <v>2.0724874761241701</v>
      </c>
      <c r="F71" s="4">
        <v>96.577190340273205</v>
      </c>
      <c r="G71" s="4">
        <v>-2.47719021271597</v>
      </c>
      <c r="H71" s="4">
        <v>8.1166458314223107</v>
      </c>
      <c r="I71" s="4" t="s">
        <v>20</v>
      </c>
      <c r="J71" s="4">
        <v>4.4089588977959098</v>
      </c>
      <c r="K71" s="4">
        <v>1.7584804982549</v>
      </c>
      <c r="L71" s="4">
        <v>82.942422229361597</v>
      </c>
      <c r="M71" s="4">
        <v>-2.1001246100442299</v>
      </c>
      <c r="N71" s="4">
        <v>6.7688923782332404</v>
      </c>
      <c r="O71" s="4">
        <v>1.2</v>
      </c>
      <c r="P71" s="4">
        <v>1.2</v>
      </c>
      <c r="Q71" s="4">
        <v>0.22</v>
      </c>
      <c r="R71" s="4">
        <v>0.22</v>
      </c>
      <c r="S71" s="4">
        <v>0</v>
      </c>
      <c r="T71" s="4">
        <v>0</v>
      </c>
      <c r="U71" s="4">
        <v>0.3</v>
      </c>
      <c r="V71" s="4">
        <v>0.05</v>
      </c>
      <c r="W71" s="4">
        <v>1</v>
      </c>
      <c r="X71" s="4">
        <v>19.100000000000001</v>
      </c>
      <c r="Y71" s="4">
        <v>0</v>
      </c>
      <c r="Z71" s="4">
        <v>1.5</v>
      </c>
      <c r="AA71" s="4">
        <v>139</v>
      </c>
      <c r="AB71" s="4">
        <v>12.1</v>
      </c>
      <c r="AC71" s="4">
        <v>19.5</v>
      </c>
      <c r="AD71" s="3" t="s">
        <v>42</v>
      </c>
      <c r="AE71" s="3" t="s">
        <v>61</v>
      </c>
      <c r="AF71" s="17">
        <f>HLOOKUP(AD71,Data!$B$4:$M$9,2,0)</f>
        <v>13</v>
      </c>
      <c r="AG71" s="17">
        <f>HLOOKUP(AD71,Data!$B$4:$M$9,3,0)</f>
        <v>1</v>
      </c>
      <c r="AH71" s="17">
        <f>HLOOKUP(AE71,Data!$B$13:$I$18,3,0)</f>
        <v>260</v>
      </c>
      <c r="AI71" s="18">
        <f t="shared" si="90"/>
        <v>1.44</v>
      </c>
      <c r="AJ71" s="17">
        <f t="shared" si="91"/>
        <v>0.28799999999999998</v>
      </c>
      <c r="AK71" s="17">
        <f t="shared" si="92"/>
        <v>0.28799999999999998</v>
      </c>
      <c r="AL71" s="17">
        <f t="shared" si="93"/>
        <v>0.25</v>
      </c>
      <c r="AM71" s="17">
        <f t="shared" si="94"/>
        <v>0.49</v>
      </c>
      <c r="AN71" s="17">
        <f t="shared" si="95"/>
        <v>0.49</v>
      </c>
      <c r="AO71" s="17">
        <f t="shared" si="96"/>
        <v>0.49</v>
      </c>
      <c r="AP71" s="17">
        <f t="shared" si="97"/>
        <v>0.49</v>
      </c>
      <c r="AQ71" s="17">
        <f t="shared" si="98"/>
        <v>1.88</v>
      </c>
      <c r="AR71" s="17">
        <f t="shared" si="99"/>
        <v>0.92159999999999997</v>
      </c>
      <c r="AS71" s="17">
        <f t="shared" si="100"/>
        <v>96.577190340273205</v>
      </c>
      <c r="AT71" s="17">
        <f t="shared" si="101"/>
        <v>-3.0989364555532202</v>
      </c>
      <c r="AU71" s="17">
        <f t="shared" si="102"/>
        <v>9.7023197580406997</v>
      </c>
      <c r="AV71" s="17">
        <f t="shared" si="103"/>
        <v>82.942422229361597</v>
      </c>
      <c r="AW71" s="17">
        <f t="shared" si="104"/>
        <v>-2.6276687595207</v>
      </c>
      <c r="AX71" s="17">
        <f t="shared" si="105"/>
        <v>8.0915800475720108</v>
      </c>
      <c r="AY71" s="17">
        <f t="shared" si="106"/>
        <v>132.116299589058</v>
      </c>
      <c r="AZ71" s="17">
        <f t="shared" si="107"/>
        <v>43.218686994655201</v>
      </c>
      <c r="BA71" s="17">
        <f t="shared" si="108"/>
        <v>87.667493291856402</v>
      </c>
      <c r="BB71" s="17">
        <f t="shared" si="109"/>
        <v>115.418518239462</v>
      </c>
      <c r="BC71" s="17">
        <f t="shared" si="110"/>
        <v>40.979290412429201</v>
      </c>
      <c r="BD71" s="17">
        <f t="shared" si="111"/>
        <v>78.198904325945506</v>
      </c>
      <c r="BE71" s="17" t="str">
        <f>IF(AND(BD71&lt;=AA71,BB71&lt;=AA71*MongDon!$J$44,BC71&gt;0),"Ok","FAIL")</f>
        <v>Ok</v>
      </c>
      <c r="BF71" s="17">
        <f t="shared" si="112"/>
        <v>121.758381701275</v>
      </c>
      <c r="BG71" s="17">
        <f t="shared" si="113"/>
        <v>352.5</v>
      </c>
      <c r="BH71" s="17" t="str">
        <f t="shared" si="114"/>
        <v>Ok</v>
      </c>
      <c r="BI71" s="17">
        <f t="shared" si="115"/>
        <v>28.347174523607901</v>
      </c>
      <c r="BJ71" s="17">
        <f t="shared" si="116"/>
        <v>34.950557826095299</v>
      </c>
      <c r="BK71" s="17">
        <f t="shared" si="117"/>
        <v>22.1493016125014</v>
      </c>
      <c r="BL71" s="17">
        <f t="shared" si="118"/>
        <v>15.545918310013899</v>
      </c>
      <c r="BM71" s="17">
        <f t="shared" si="119"/>
        <v>88.125</v>
      </c>
      <c r="BN71" s="17">
        <f t="shared" si="120"/>
        <v>88.125</v>
      </c>
      <c r="BO71" s="17">
        <f t="shared" si="121"/>
        <v>88.125</v>
      </c>
      <c r="BP71" s="17">
        <f t="shared" si="122"/>
        <v>88.125</v>
      </c>
      <c r="BQ71" s="17" t="str">
        <f t="shared" si="123"/>
        <v>Ok</v>
      </c>
      <c r="BR71" s="17">
        <f t="shared" si="124"/>
        <v>48.784355615185099</v>
      </c>
      <c r="BS71" s="17">
        <f t="shared" si="125"/>
        <v>9.2297075955374694</v>
      </c>
      <c r="BT71" s="16">
        <f>MongDon!$H$80</f>
        <v>1.2</v>
      </c>
      <c r="BU71" s="17" t="str">
        <f t="shared" si="126"/>
        <v>Ok</v>
      </c>
      <c r="BV71" s="17">
        <f t="shared" si="127"/>
        <v>7.6732901059527796</v>
      </c>
      <c r="BW71" s="16">
        <f>MongDon!$F$86</f>
        <v>1.5</v>
      </c>
      <c r="BX71" s="17" t="str">
        <f t="shared" si="128"/>
        <v>Ok</v>
      </c>
      <c r="BY71" s="17">
        <f t="shared" si="129"/>
        <v>64.739079047108206</v>
      </c>
      <c r="BZ71" s="17">
        <f t="shared" si="130"/>
        <v>132.116299589058</v>
      </c>
      <c r="CA71" s="17">
        <f t="shared" si="131"/>
        <v>110.595907536605</v>
      </c>
      <c r="CB71" s="17">
        <f t="shared" si="132"/>
        <v>43.218686994655201</v>
      </c>
      <c r="CC71" s="17">
        <f t="shared" si="133"/>
        <v>95.816441113009901</v>
      </c>
      <c r="CD71" s="17">
        <f t="shared" si="134"/>
        <v>83.463950680319201</v>
      </c>
      <c r="CE71" s="17">
        <f t="shared" si="135"/>
        <v>95.816441113009901</v>
      </c>
      <c r="CF71" s="17">
        <f t="shared" si="136"/>
        <v>91.871035903393505</v>
      </c>
      <c r="CG71" s="17">
        <f t="shared" si="137"/>
        <v>14.4079624289832</v>
      </c>
      <c r="CH71" s="17">
        <f t="shared" si="138"/>
        <v>14.4079624289832</v>
      </c>
      <c r="CI71" s="17">
        <f t="shared" si="139"/>
        <v>250</v>
      </c>
      <c r="CJ71" s="17">
        <f t="shared" si="140"/>
        <v>250</v>
      </c>
    </row>
    <row r="72" spans="2:88">
      <c r="B72" s="3">
        <v>13</v>
      </c>
      <c r="C72" s="3" t="s">
        <v>31</v>
      </c>
      <c r="D72" s="4">
        <v>-1.5100824149523799</v>
      </c>
      <c r="E72" s="4">
        <v>-6.1017318381357804</v>
      </c>
      <c r="F72" s="4">
        <v>96.935758315528702</v>
      </c>
      <c r="G72" s="4">
        <v>11.257257388973301</v>
      </c>
      <c r="H72" s="4">
        <v>-2.4388421395753701</v>
      </c>
      <c r="I72" s="4" t="s">
        <v>21</v>
      </c>
      <c r="J72" s="4">
        <v>-1.2540929108266099</v>
      </c>
      <c r="K72" s="4">
        <v>-5.0533689302950604</v>
      </c>
      <c r="L72" s="4">
        <v>83.241228875407799</v>
      </c>
      <c r="M72" s="4">
        <v>9.3452483913634694</v>
      </c>
      <c r="N72" s="4">
        <v>-2.0273475975981601</v>
      </c>
      <c r="O72" s="4">
        <v>1.2</v>
      </c>
      <c r="P72" s="4">
        <v>1.2</v>
      </c>
      <c r="Q72" s="4">
        <v>0.22</v>
      </c>
      <c r="R72" s="4">
        <v>0.22</v>
      </c>
      <c r="S72" s="4">
        <v>0</v>
      </c>
      <c r="T72" s="4">
        <v>0</v>
      </c>
      <c r="U72" s="4">
        <v>0.3</v>
      </c>
      <c r="V72" s="4">
        <v>0.05</v>
      </c>
      <c r="W72" s="4">
        <v>1</v>
      </c>
      <c r="X72" s="4">
        <v>19.100000000000001</v>
      </c>
      <c r="Y72" s="4">
        <v>0</v>
      </c>
      <c r="Z72" s="4">
        <v>1.5</v>
      </c>
      <c r="AA72" s="4">
        <v>139</v>
      </c>
      <c r="AB72" s="4">
        <v>12.1</v>
      </c>
      <c r="AC72" s="4">
        <v>19.5</v>
      </c>
      <c r="AD72" s="3" t="s">
        <v>42</v>
      </c>
      <c r="AE72" s="3" t="s">
        <v>61</v>
      </c>
      <c r="AF72" s="17">
        <f>HLOOKUP(AD72,Data!$B$4:$M$9,2,0)</f>
        <v>13</v>
      </c>
      <c r="AG72" s="17">
        <f>HLOOKUP(AD72,Data!$B$4:$M$9,3,0)</f>
        <v>1</v>
      </c>
      <c r="AH72" s="17">
        <f>HLOOKUP(AE72,Data!$B$13:$I$18,3,0)</f>
        <v>260</v>
      </c>
      <c r="AI72" s="18">
        <f t="shared" si="90"/>
        <v>1.44</v>
      </c>
      <c r="AJ72" s="17">
        <f t="shared" si="91"/>
        <v>0.28799999999999998</v>
      </c>
      <c r="AK72" s="17">
        <f t="shared" si="92"/>
        <v>0.28799999999999998</v>
      </c>
      <c r="AL72" s="17">
        <f t="shared" si="93"/>
        <v>0.25</v>
      </c>
      <c r="AM72" s="17">
        <f t="shared" si="94"/>
        <v>0.49</v>
      </c>
      <c r="AN72" s="17">
        <f t="shared" si="95"/>
        <v>0.49</v>
      </c>
      <c r="AO72" s="17">
        <f t="shared" si="96"/>
        <v>0.49</v>
      </c>
      <c r="AP72" s="17">
        <f t="shared" si="97"/>
        <v>0.49</v>
      </c>
      <c r="AQ72" s="17">
        <f t="shared" si="98"/>
        <v>1.88</v>
      </c>
      <c r="AR72" s="17">
        <f t="shared" si="99"/>
        <v>0.92159999999999997</v>
      </c>
      <c r="AS72" s="17">
        <f t="shared" si="100"/>
        <v>96.935758315528702</v>
      </c>
      <c r="AT72" s="17">
        <f t="shared" si="101"/>
        <v>13.087776940414001</v>
      </c>
      <c r="AU72" s="17">
        <f t="shared" si="102"/>
        <v>-2.8918668640610798</v>
      </c>
      <c r="AV72" s="17">
        <f t="shared" si="103"/>
        <v>83.241228875407799</v>
      </c>
      <c r="AW72" s="17">
        <f t="shared" si="104"/>
        <v>10.861259070452</v>
      </c>
      <c r="AX72" s="17">
        <f t="shared" si="105"/>
        <v>-2.4035754708461399</v>
      </c>
      <c r="AY72" s="17">
        <f t="shared" si="106"/>
        <v>143.40137315132199</v>
      </c>
      <c r="AZ72" s="17">
        <f t="shared" si="107"/>
        <v>32.431624509134203</v>
      </c>
      <c r="BA72" s="17">
        <f t="shared" si="108"/>
        <v>87.916498830228207</v>
      </c>
      <c r="BB72" s="17">
        <f t="shared" si="109"/>
        <v>124.464862209652</v>
      </c>
      <c r="BC72" s="17">
        <f t="shared" si="110"/>
        <v>32.347955672859101</v>
      </c>
      <c r="BD72" s="17">
        <f t="shared" si="111"/>
        <v>78.406408941255407</v>
      </c>
      <c r="BE72" s="17" t="str">
        <f>IF(AND(BD72&lt;=AA72,BB72&lt;=AA72*MongDon!$J$44,BC72&gt;0),"Ok","FAIL")</f>
        <v>Ok</v>
      </c>
      <c r="BF72" s="17">
        <f t="shared" si="112"/>
        <v>132.15870549625899</v>
      </c>
      <c r="BG72" s="17">
        <f t="shared" si="113"/>
        <v>352.5</v>
      </c>
      <c r="BH72" s="17" t="str">
        <f t="shared" si="114"/>
        <v>Ok</v>
      </c>
      <c r="BI72" s="17">
        <f t="shared" si="115"/>
        <v>12.232174722691701</v>
      </c>
      <c r="BJ72" s="17">
        <f t="shared" si="116"/>
        <v>22.428084799044701</v>
      </c>
      <c r="BK72" s="17">
        <f t="shared" si="117"/>
        <v>38.407728603519701</v>
      </c>
      <c r="BL72" s="17">
        <f t="shared" si="118"/>
        <v>28.211818527166798</v>
      </c>
      <c r="BM72" s="17">
        <f t="shared" si="119"/>
        <v>88.125</v>
      </c>
      <c r="BN72" s="17">
        <f t="shared" si="120"/>
        <v>88.125</v>
      </c>
      <c r="BO72" s="17">
        <f t="shared" si="121"/>
        <v>88.125</v>
      </c>
      <c r="BP72" s="17">
        <f t="shared" si="122"/>
        <v>88.125</v>
      </c>
      <c r="BQ72" s="17" t="str">
        <f t="shared" si="123"/>
        <v>Ok</v>
      </c>
      <c r="BR72" s="17">
        <f t="shared" si="124"/>
        <v>48.861225928410697</v>
      </c>
      <c r="BS72" s="17">
        <f t="shared" si="125"/>
        <v>8.0077635701766603</v>
      </c>
      <c r="BT72" s="16">
        <f>MongDon!$H$80</f>
        <v>1.2</v>
      </c>
      <c r="BU72" s="17" t="str">
        <f t="shared" si="126"/>
        <v>Ok</v>
      </c>
      <c r="BV72" s="17">
        <f t="shared" si="127"/>
        <v>5.7048538746684496</v>
      </c>
      <c r="BW72" s="16">
        <f>MongDon!$F$86</f>
        <v>1.5</v>
      </c>
      <c r="BX72" s="17" t="str">
        <f t="shared" si="128"/>
        <v>Ok</v>
      </c>
      <c r="BY72" s="17">
        <f t="shared" si="129"/>
        <v>52.514033287336098</v>
      </c>
      <c r="BZ72" s="17">
        <f t="shared" si="130"/>
        <v>32.431624509134203</v>
      </c>
      <c r="CA72" s="17">
        <f t="shared" si="131"/>
        <v>123.31896437312</v>
      </c>
      <c r="CB72" s="17">
        <f t="shared" si="132"/>
        <v>143.40137315132199</v>
      </c>
      <c r="CC72" s="17">
        <f t="shared" si="133"/>
        <v>94.406950846425104</v>
      </c>
      <c r="CD72" s="17">
        <f t="shared" si="134"/>
        <v>98.088725789095506</v>
      </c>
      <c r="CE72" s="17">
        <f t="shared" si="135"/>
        <v>81.426046814031395</v>
      </c>
      <c r="CF72" s="17">
        <f t="shared" si="136"/>
        <v>98.088725789095506</v>
      </c>
      <c r="CG72" s="17">
        <f t="shared" si="137"/>
        <v>15.4020737415378</v>
      </c>
      <c r="CH72" s="17">
        <f t="shared" si="138"/>
        <v>15.4020737415378</v>
      </c>
      <c r="CI72" s="17">
        <f t="shared" si="139"/>
        <v>263.28331182115897</v>
      </c>
      <c r="CJ72" s="17">
        <f t="shared" si="140"/>
        <v>263.28331182115897</v>
      </c>
    </row>
    <row r="73" spans="2:88">
      <c r="B73" s="3">
        <v>13</v>
      </c>
      <c r="C73" s="3" t="s">
        <v>32</v>
      </c>
      <c r="D73" s="4">
        <v>2.1054704961554802</v>
      </c>
      <c r="E73" s="4">
        <v>9.2018862815658409</v>
      </c>
      <c r="F73" s="4">
        <v>106.035163191422</v>
      </c>
      <c r="G73" s="4">
        <v>-14.5023352772947</v>
      </c>
      <c r="H73" s="4">
        <v>3.18337981628199</v>
      </c>
      <c r="I73" s="4" t="s">
        <v>22</v>
      </c>
      <c r="J73" s="4">
        <v>1.75886784842994</v>
      </c>
      <c r="K73" s="4">
        <v>7.6996461694562903</v>
      </c>
      <c r="L73" s="4">
        <v>90.824066271985799</v>
      </c>
      <c r="M73" s="4">
        <v>-12.1210788305265</v>
      </c>
      <c r="N73" s="4">
        <v>2.6578373656163099</v>
      </c>
      <c r="O73" s="4">
        <v>1.2</v>
      </c>
      <c r="P73" s="4">
        <v>1.2</v>
      </c>
      <c r="Q73" s="4">
        <v>0.22</v>
      </c>
      <c r="R73" s="4">
        <v>0.22</v>
      </c>
      <c r="S73" s="4">
        <v>0</v>
      </c>
      <c r="T73" s="4">
        <v>0</v>
      </c>
      <c r="U73" s="4">
        <v>0.3</v>
      </c>
      <c r="V73" s="4">
        <v>0.05</v>
      </c>
      <c r="W73" s="4">
        <v>1</v>
      </c>
      <c r="X73" s="4">
        <v>19.100000000000001</v>
      </c>
      <c r="Y73" s="4">
        <v>0</v>
      </c>
      <c r="Z73" s="4">
        <v>1.5</v>
      </c>
      <c r="AA73" s="4">
        <v>139</v>
      </c>
      <c r="AB73" s="4">
        <v>12.1</v>
      </c>
      <c r="AC73" s="4">
        <v>19.5</v>
      </c>
      <c r="AD73" s="3" t="s">
        <v>42</v>
      </c>
      <c r="AE73" s="3" t="s">
        <v>61</v>
      </c>
      <c r="AF73" s="17">
        <f>HLOOKUP(AD73,Data!$B$4:$M$9,2,0)</f>
        <v>13</v>
      </c>
      <c r="AG73" s="17">
        <f>HLOOKUP(AD73,Data!$B$4:$M$9,3,0)</f>
        <v>1</v>
      </c>
      <c r="AH73" s="17">
        <f>HLOOKUP(AE73,Data!$B$13:$I$18,3,0)</f>
        <v>260</v>
      </c>
      <c r="AI73" s="18">
        <f t="shared" si="90"/>
        <v>1.44</v>
      </c>
      <c r="AJ73" s="17">
        <f t="shared" si="91"/>
        <v>0.28799999999999998</v>
      </c>
      <c r="AK73" s="17">
        <f t="shared" si="92"/>
        <v>0.28799999999999998</v>
      </c>
      <c r="AL73" s="17">
        <f t="shared" si="93"/>
        <v>0.25</v>
      </c>
      <c r="AM73" s="17">
        <f t="shared" si="94"/>
        <v>0.49</v>
      </c>
      <c r="AN73" s="17">
        <f t="shared" si="95"/>
        <v>0.49</v>
      </c>
      <c r="AO73" s="17">
        <f t="shared" si="96"/>
        <v>0.49</v>
      </c>
      <c r="AP73" s="17">
        <f t="shared" si="97"/>
        <v>0.49</v>
      </c>
      <c r="AQ73" s="17">
        <f t="shared" si="98"/>
        <v>1.88</v>
      </c>
      <c r="AR73" s="17">
        <f t="shared" si="99"/>
        <v>0.92159999999999997</v>
      </c>
      <c r="AS73" s="17">
        <f t="shared" si="100"/>
        <v>106.035163191422</v>
      </c>
      <c r="AT73" s="17">
        <f t="shared" si="101"/>
        <v>-17.2629011617644</v>
      </c>
      <c r="AU73" s="17">
        <f t="shared" si="102"/>
        <v>3.8150209651286402</v>
      </c>
      <c r="AV73" s="17">
        <f t="shared" si="103"/>
        <v>90.824066271985799</v>
      </c>
      <c r="AW73" s="17">
        <f t="shared" si="104"/>
        <v>-14.4309726813634</v>
      </c>
      <c r="AX73" s="17">
        <f t="shared" si="105"/>
        <v>3.1854977201452899</v>
      </c>
      <c r="AY73" s="17">
        <f t="shared" si="106"/>
        <v>167.42275960131099</v>
      </c>
      <c r="AZ73" s="17">
        <f t="shared" si="107"/>
        <v>21.048300386775701</v>
      </c>
      <c r="BA73" s="17">
        <f t="shared" si="108"/>
        <v>94.235529994043304</v>
      </c>
      <c r="BB73" s="17">
        <f t="shared" si="109"/>
        <v>144.840568249673</v>
      </c>
      <c r="BC73" s="17">
        <f t="shared" si="110"/>
        <v>22.503968239196201</v>
      </c>
      <c r="BD73" s="17">
        <f t="shared" si="111"/>
        <v>83.672268244434605</v>
      </c>
      <c r="BE73" s="17" t="str">
        <f>IF(AND(BD73&lt;=AA73,BB73&lt;=AA73*MongDon!$J$44,BC73&gt;0),"Ok","FAIL")</f>
        <v>Ok</v>
      </c>
      <c r="BF73" s="17">
        <f t="shared" si="112"/>
        <v>154.29681524856801</v>
      </c>
      <c r="BG73" s="17">
        <f t="shared" si="113"/>
        <v>352.5</v>
      </c>
      <c r="BH73" s="17" t="str">
        <f t="shared" si="114"/>
        <v>Ok</v>
      </c>
      <c r="BI73" s="17">
        <f t="shared" si="115"/>
        <v>44.4027338000489</v>
      </c>
      <c r="BJ73" s="17">
        <f t="shared" si="116"/>
        <v>30.954853603413099</v>
      </c>
      <c r="BK73" s="17">
        <f t="shared" si="117"/>
        <v>9.8769314765200402</v>
      </c>
      <c r="BL73" s="17">
        <f t="shared" si="118"/>
        <v>23.3248116731558</v>
      </c>
      <c r="BM73" s="17">
        <f t="shared" si="119"/>
        <v>88.125</v>
      </c>
      <c r="BN73" s="17">
        <f t="shared" si="120"/>
        <v>88.125</v>
      </c>
      <c r="BO73" s="17">
        <f t="shared" si="121"/>
        <v>88.125</v>
      </c>
      <c r="BP73" s="17">
        <f t="shared" si="122"/>
        <v>88.125</v>
      </c>
      <c r="BQ73" s="17" t="str">
        <f t="shared" si="123"/>
        <v>Ok</v>
      </c>
      <c r="BR73" s="17">
        <f t="shared" si="124"/>
        <v>50.811969305529701</v>
      </c>
      <c r="BS73" s="17">
        <f t="shared" si="125"/>
        <v>5.5219079817712498</v>
      </c>
      <c r="BT73" s="16">
        <f>MongDon!$H$80</f>
        <v>1.2</v>
      </c>
      <c r="BU73" s="17" t="str">
        <f t="shared" si="126"/>
        <v>Ok</v>
      </c>
      <c r="BV73" s="17">
        <f t="shared" si="127"/>
        <v>4.6413692092681904</v>
      </c>
      <c r="BW73" s="16">
        <f>MongDon!$F$86</f>
        <v>1.5</v>
      </c>
      <c r="BX73" s="17" t="str">
        <f t="shared" si="128"/>
        <v>Ok</v>
      </c>
      <c r="BY73" s="17">
        <f t="shared" si="129"/>
        <v>140.929558454584</v>
      </c>
      <c r="BZ73" s="17">
        <f t="shared" si="130"/>
        <v>167.42275960131099</v>
      </c>
      <c r="CA73" s="17">
        <f t="shared" si="131"/>
        <v>47.541501533502299</v>
      </c>
      <c r="CB73" s="17">
        <f t="shared" si="132"/>
        <v>21.048300386775701</v>
      </c>
      <c r="CC73" s="17">
        <f t="shared" si="133"/>
        <v>107.65318875537599</v>
      </c>
      <c r="CD73" s="17">
        <f t="shared" si="134"/>
        <v>102.79610187847599</v>
      </c>
      <c r="CE73" s="17">
        <f t="shared" si="135"/>
        <v>107.65318875537599</v>
      </c>
      <c r="CF73" s="17">
        <f t="shared" si="136"/>
        <v>85.674958109610799</v>
      </c>
      <c r="CG73" s="17">
        <f t="shared" si="137"/>
        <v>17.707323296785901</v>
      </c>
      <c r="CH73" s="17">
        <f t="shared" si="138"/>
        <v>17.707323296785901</v>
      </c>
      <c r="CI73" s="17">
        <f t="shared" si="139"/>
        <v>302.68928712454499</v>
      </c>
      <c r="CJ73" s="17">
        <f t="shared" si="140"/>
        <v>302.68928712454499</v>
      </c>
    </row>
    <row r="74" spans="2:88">
      <c r="B74" s="3">
        <v>15</v>
      </c>
      <c r="C74" s="3" t="s">
        <v>23</v>
      </c>
      <c r="D74" s="4">
        <v>0.122673320088194</v>
      </c>
      <c r="E74" s="4">
        <v>0.175083811488247</v>
      </c>
      <c r="F74" s="4">
        <v>142.778307522235</v>
      </c>
      <c r="G74" s="4">
        <v>-1.3342382106812699E-2</v>
      </c>
      <c r="H74" s="4">
        <v>0.230288425853752</v>
      </c>
      <c r="I74" s="4" t="s">
        <v>13</v>
      </c>
      <c r="J74" s="4">
        <v>0.124454945321279</v>
      </c>
      <c r="K74" s="4">
        <v>0.13488672913800201</v>
      </c>
      <c r="L74" s="4">
        <v>122.658418716219</v>
      </c>
      <c r="M74" s="4">
        <v>-2.3646304440439201E-3</v>
      </c>
      <c r="N74" s="4">
        <v>0.21604416637162099</v>
      </c>
      <c r="O74" s="4">
        <v>1.4</v>
      </c>
      <c r="P74" s="4">
        <v>1.4</v>
      </c>
      <c r="Q74" s="4">
        <v>0.22</v>
      </c>
      <c r="R74" s="4">
        <v>0.22</v>
      </c>
      <c r="S74" s="4">
        <v>0</v>
      </c>
      <c r="T74" s="4">
        <v>0</v>
      </c>
      <c r="U74" s="4">
        <v>0.3</v>
      </c>
      <c r="V74" s="4">
        <v>0.05</v>
      </c>
      <c r="W74" s="4">
        <v>1</v>
      </c>
      <c r="X74" s="4">
        <v>19.100000000000001</v>
      </c>
      <c r="Y74" s="4">
        <v>0</v>
      </c>
      <c r="Z74" s="4">
        <v>1.5</v>
      </c>
      <c r="AA74" s="4">
        <v>139</v>
      </c>
      <c r="AB74" s="4">
        <v>12.1</v>
      </c>
      <c r="AC74" s="4">
        <v>19.5</v>
      </c>
      <c r="AD74" s="3" t="s">
        <v>42</v>
      </c>
      <c r="AE74" s="3" t="s">
        <v>61</v>
      </c>
      <c r="AF74" s="17">
        <f>HLOOKUP(AD74,Data!$B$4:$M$9,2,0)</f>
        <v>13</v>
      </c>
      <c r="AG74" s="17">
        <f>HLOOKUP(AD74,Data!$B$4:$M$9,3,0)</f>
        <v>1</v>
      </c>
      <c r="AH74" s="17">
        <f>HLOOKUP(AE74,Data!$B$13:$I$18,3,0)</f>
        <v>260</v>
      </c>
      <c r="AI74" s="18">
        <f t="shared" si="90"/>
        <v>1.96</v>
      </c>
      <c r="AJ74" s="17">
        <f t="shared" si="91"/>
        <v>0.45733333333333298</v>
      </c>
      <c r="AK74" s="17">
        <f t="shared" si="92"/>
        <v>0.45733333333333298</v>
      </c>
      <c r="AL74" s="17">
        <f t="shared" si="93"/>
        <v>0.25</v>
      </c>
      <c r="AM74" s="17">
        <f t="shared" si="94"/>
        <v>0.59</v>
      </c>
      <c r="AN74" s="17">
        <f t="shared" si="95"/>
        <v>0.59</v>
      </c>
      <c r="AO74" s="17">
        <f t="shared" si="96"/>
        <v>0.59</v>
      </c>
      <c r="AP74" s="17">
        <f t="shared" si="97"/>
        <v>0.59</v>
      </c>
      <c r="AQ74" s="17">
        <f t="shared" si="98"/>
        <v>1.88</v>
      </c>
      <c r="AR74" s="17">
        <f t="shared" si="99"/>
        <v>1.4416</v>
      </c>
      <c r="AS74" s="17">
        <f t="shared" si="100"/>
        <v>142.778307522235</v>
      </c>
      <c r="AT74" s="17">
        <f t="shared" si="101"/>
        <v>-6.5867525553286801E-2</v>
      </c>
      <c r="AU74" s="17">
        <f t="shared" si="102"/>
        <v>0.26709042188020998</v>
      </c>
      <c r="AV74" s="17">
        <f t="shared" si="103"/>
        <v>122.658418716219</v>
      </c>
      <c r="AW74" s="17">
        <f t="shared" si="104"/>
        <v>-4.2830649185444401E-2</v>
      </c>
      <c r="AX74" s="17">
        <f t="shared" si="105"/>
        <v>0.25338064996800502</v>
      </c>
      <c r="AY74" s="17">
        <f t="shared" si="106"/>
        <v>94.174117425557398</v>
      </c>
      <c r="AZ74" s="17">
        <f t="shared" si="107"/>
        <v>92.718033107335103</v>
      </c>
      <c r="BA74" s="17">
        <f t="shared" si="108"/>
        <v>93.4460752664463</v>
      </c>
      <c r="BB74" s="17">
        <f t="shared" si="109"/>
        <v>83.828518220709597</v>
      </c>
      <c r="BC74" s="17">
        <f t="shared" si="110"/>
        <v>82.533133530534201</v>
      </c>
      <c r="BD74" s="17">
        <f t="shared" si="111"/>
        <v>83.180825875621906</v>
      </c>
      <c r="BE74" s="17" t="str">
        <f>IF(AND(BD74&lt;=AA74,BB74&lt;=AA74*MongDon!$J$44,BC74&gt;0),"Ok","FAIL")</f>
        <v>Ok</v>
      </c>
      <c r="BF74" s="17">
        <f t="shared" si="112"/>
        <v>135.76140768068399</v>
      </c>
      <c r="BG74" s="17">
        <f t="shared" si="113"/>
        <v>352.5</v>
      </c>
      <c r="BH74" s="17" t="str">
        <f t="shared" si="114"/>
        <v>Ok</v>
      </c>
      <c r="BI74" s="17">
        <f t="shared" si="115"/>
        <v>44.548887822812503</v>
      </c>
      <c r="BJ74" s="17">
        <f t="shared" si="116"/>
        <v>44.758323898581303</v>
      </c>
      <c r="BK74" s="17">
        <f t="shared" si="117"/>
        <v>44.411775830844398</v>
      </c>
      <c r="BL74" s="17">
        <f t="shared" si="118"/>
        <v>44.202339755075599</v>
      </c>
      <c r="BM74" s="17">
        <f t="shared" si="119"/>
        <v>88.125</v>
      </c>
      <c r="BN74" s="17">
        <f t="shared" si="120"/>
        <v>88.125</v>
      </c>
      <c r="BO74" s="17">
        <f t="shared" si="121"/>
        <v>88.125</v>
      </c>
      <c r="BP74" s="17">
        <f t="shared" si="122"/>
        <v>88.125</v>
      </c>
      <c r="BQ74" s="17" t="str">
        <f t="shared" si="123"/>
        <v>Ok</v>
      </c>
      <c r="BR74" s="17">
        <f t="shared" si="124"/>
        <v>68.829016918582795</v>
      </c>
      <c r="BS74" s="17">
        <f t="shared" si="125"/>
        <v>393.12039379039402</v>
      </c>
      <c r="BT74" s="16">
        <f>MongDon!$H$80</f>
        <v>1.2</v>
      </c>
      <c r="BU74" s="17" t="str">
        <f t="shared" si="126"/>
        <v>Ok</v>
      </c>
      <c r="BV74" s="17">
        <f t="shared" si="127"/>
        <v>472.31201470093299</v>
      </c>
      <c r="BW74" s="16">
        <f>MongDon!$F$86</f>
        <v>1.5</v>
      </c>
      <c r="BX74" s="17" t="str">
        <f t="shared" si="128"/>
        <v>Ok</v>
      </c>
      <c r="BY74" s="17">
        <f t="shared" si="129"/>
        <v>93.006083510629395</v>
      </c>
      <c r="BZ74" s="17">
        <f t="shared" si="130"/>
        <v>94.174117425557398</v>
      </c>
      <c r="CA74" s="17">
        <f t="shared" si="131"/>
        <v>93.886067022263106</v>
      </c>
      <c r="CB74" s="17">
        <f t="shared" si="132"/>
        <v>92.718033107335103</v>
      </c>
      <c r="CC74" s="17">
        <f t="shared" si="133"/>
        <v>93.560481891449399</v>
      </c>
      <c r="CD74" s="17">
        <f t="shared" si="134"/>
        <v>93.376933704817901</v>
      </c>
      <c r="CE74" s="17">
        <f t="shared" si="135"/>
        <v>93.560481891449399</v>
      </c>
      <c r="CF74" s="17">
        <f t="shared" si="136"/>
        <v>93.5152168280746</v>
      </c>
      <c r="CG74" s="17">
        <f t="shared" si="137"/>
        <v>16.355404049681098</v>
      </c>
      <c r="CH74" s="17">
        <f t="shared" si="138"/>
        <v>16.355404049681098</v>
      </c>
      <c r="CI74" s="17">
        <f t="shared" si="139"/>
        <v>279.57955640480498</v>
      </c>
      <c r="CJ74" s="17">
        <f t="shared" si="140"/>
        <v>279.57955640480498</v>
      </c>
    </row>
    <row r="75" spans="2:88">
      <c r="B75" s="3">
        <v>15</v>
      </c>
      <c r="C75" s="3" t="s">
        <v>24</v>
      </c>
      <c r="D75" s="4">
        <v>9.4219080557767704E-2</v>
      </c>
      <c r="E75" s="4">
        <v>0.22850063036113699</v>
      </c>
      <c r="F75" s="4">
        <v>158.48640139102201</v>
      </c>
      <c r="G75" s="4">
        <v>-3.4824959343541503E-2</v>
      </c>
      <c r="H75" s="4">
        <v>0.21556811154368999</v>
      </c>
      <c r="I75" s="4" t="s">
        <v>14</v>
      </c>
      <c r="J75" s="4">
        <v>0.100743079045924</v>
      </c>
      <c r="K75" s="4">
        <v>0.17940074486540999</v>
      </c>
      <c r="L75" s="4">
        <v>135.74849694020901</v>
      </c>
      <c r="M75" s="4">
        <v>-2.0266778141317901E-2</v>
      </c>
      <c r="N75" s="4">
        <v>0.203777237779903</v>
      </c>
      <c r="O75" s="4">
        <v>1.4</v>
      </c>
      <c r="P75" s="4">
        <v>1.4</v>
      </c>
      <c r="Q75" s="4">
        <v>0.22</v>
      </c>
      <c r="R75" s="4">
        <v>0.22</v>
      </c>
      <c r="S75" s="4">
        <v>0</v>
      </c>
      <c r="T75" s="4">
        <v>0</v>
      </c>
      <c r="U75" s="4">
        <v>0.3</v>
      </c>
      <c r="V75" s="4">
        <v>0.05</v>
      </c>
      <c r="W75" s="4">
        <v>1</v>
      </c>
      <c r="X75" s="4">
        <v>19.100000000000001</v>
      </c>
      <c r="Y75" s="4">
        <v>0</v>
      </c>
      <c r="Z75" s="4">
        <v>1.5</v>
      </c>
      <c r="AA75" s="4">
        <v>139</v>
      </c>
      <c r="AB75" s="4">
        <v>12.1</v>
      </c>
      <c r="AC75" s="4">
        <v>19.5</v>
      </c>
      <c r="AD75" s="3" t="s">
        <v>42</v>
      </c>
      <c r="AE75" s="3" t="s">
        <v>61</v>
      </c>
      <c r="AF75" s="17">
        <f>HLOOKUP(AD75,Data!$B$4:$M$9,2,0)</f>
        <v>13</v>
      </c>
      <c r="AG75" s="17">
        <f>HLOOKUP(AD75,Data!$B$4:$M$9,3,0)</f>
        <v>1</v>
      </c>
      <c r="AH75" s="17">
        <f>HLOOKUP(AE75,Data!$B$13:$I$18,3,0)</f>
        <v>260</v>
      </c>
      <c r="AI75" s="18">
        <f t="shared" si="90"/>
        <v>1.96</v>
      </c>
      <c r="AJ75" s="17">
        <f t="shared" si="91"/>
        <v>0.45733333333333298</v>
      </c>
      <c r="AK75" s="17">
        <f t="shared" si="92"/>
        <v>0.45733333333333298</v>
      </c>
      <c r="AL75" s="17">
        <f t="shared" si="93"/>
        <v>0.25</v>
      </c>
      <c r="AM75" s="17">
        <f t="shared" si="94"/>
        <v>0.59</v>
      </c>
      <c r="AN75" s="17">
        <f t="shared" si="95"/>
        <v>0.59</v>
      </c>
      <c r="AO75" s="17">
        <f t="shared" si="96"/>
        <v>0.59</v>
      </c>
      <c r="AP75" s="17">
        <f t="shared" si="97"/>
        <v>0.59</v>
      </c>
      <c r="AQ75" s="17">
        <f t="shared" si="98"/>
        <v>1.88</v>
      </c>
      <c r="AR75" s="17">
        <f t="shared" si="99"/>
        <v>1.4416</v>
      </c>
      <c r="AS75" s="17">
        <f t="shared" si="100"/>
        <v>158.48640139102201</v>
      </c>
      <c r="AT75" s="17">
        <f t="shared" si="101"/>
        <v>-0.103375148451883</v>
      </c>
      <c r="AU75" s="17">
        <f t="shared" si="102"/>
        <v>0.24383383571101999</v>
      </c>
      <c r="AV75" s="17">
        <f t="shared" si="103"/>
        <v>135.74849694020901</v>
      </c>
      <c r="AW75" s="17">
        <f t="shared" si="104"/>
        <v>-7.4087001600941005E-2</v>
      </c>
      <c r="AX75" s="17">
        <f t="shared" si="105"/>
        <v>0.23400016149368</v>
      </c>
      <c r="AY75" s="17">
        <f t="shared" si="106"/>
        <v>102.219612191111</v>
      </c>
      <c r="AZ75" s="17">
        <f t="shared" si="107"/>
        <v>100.70120555483</v>
      </c>
      <c r="BA75" s="17">
        <f t="shared" si="108"/>
        <v>101.460408872971</v>
      </c>
      <c r="BB75" s="17">
        <f t="shared" si="109"/>
        <v>90.533097192004305</v>
      </c>
      <c r="BC75" s="17">
        <f t="shared" si="110"/>
        <v>89.185777236779998</v>
      </c>
      <c r="BD75" s="17">
        <f t="shared" si="111"/>
        <v>89.859437214392202</v>
      </c>
      <c r="BE75" s="17" t="str">
        <f>IF(AND(BD75&lt;=AA75,BB75&lt;=AA75*MongDon!$J$44,BC75&gt;0),"Ok","FAIL")</f>
        <v>Ok</v>
      </c>
      <c r="BF75" s="17">
        <f t="shared" si="112"/>
        <v>147.35979293470601</v>
      </c>
      <c r="BG75" s="17">
        <f t="shared" si="113"/>
        <v>352.5</v>
      </c>
      <c r="BH75" s="17" t="str">
        <f t="shared" si="114"/>
        <v>Ok</v>
      </c>
      <c r="BI75" s="17">
        <f t="shared" si="115"/>
        <v>48.402749165800202</v>
      </c>
      <c r="BJ75" s="17">
        <f t="shared" si="116"/>
        <v>48.548940860702601</v>
      </c>
      <c r="BK75" s="17">
        <f t="shared" si="117"/>
        <v>48.187560081267797</v>
      </c>
      <c r="BL75" s="17">
        <f t="shared" si="118"/>
        <v>48.041368386365399</v>
      </c>
      <c r="BM75" s="17">
        <f t="shared" si="119"/>
        <v>88.125</v>
      </c>
      <c r="BN75" s="17">
        <f t="shared" si="120"/>
        <v>88.125</v>
      </c>
      <c r="BO75" s="17">
        <f t="shared" si="121"/>
        <v>88.125</v>
      </c>
      <c r="BP75" s="17">
        <f t="shared" si="122"/>
        <v>88.125</v>
      </c>
      <c r="BQ75" s="17" t="str">
        <f t="shared" si="123"/>
        <v>Ok</v>
      </c>
      <c r="BR75" s="17">
        <f t="shared" si="124"/>
        <v>72.196540454421907</v>
      </c>
      <c r="BS75" s="17">
        <f t="shared" si="125"/>
        <v>315.957729920997</v>
      </c>
      <c r="BT75" s="16">
        <f>MongDon!$H$80</f>
        <v>1.2</v>
      </c>
      <c r="BU75" s="17" t="str">
        <f t="shared" si="126"/>
        <v>Ok</v>
      </c>
      <c r="BV75" s="17">
        <f t="shared" si="127"/>
        <v>562.45549586585605</v>
      </c>
      <c r="BW75" s="16">
        <f>MongDon!$F$86</f>
        <v>1.5</v>
      </c>
      <c r="BX75" s="17" t="str">
        <f t="shared" si="128"/>
        <v>Ok</v>
      </c>
      <c r="BY75" s="17">
        <f t="shared" si="129"/>
        <v>101.153283463512</v>
      </c>
      <c r="BZ75" s="17">
        <f t="shared" si="130"/>
        <v>102.219612191111</v>
      </c>
      <c r="CA75" s="17">
        <f t="shared" si="131"/>
        <v>101.767534282429</v>
      </c>
      <c r="CB75" s="17">
        <f t="shared" si="132"/>
        <v>100.70120555483</v>
      </c>
      <c r="CC75" s="17">
        <f t="shared" si="133"/>
        <v>101.579712251535</v>
      </c>
      <c r="CD75" s="17">
        <f t="shared" si="134"/>
        <v>101.412146308627</v>
      </c>
      <c r="CE75" s="17">
        <f t="shared" si="135"/>
        <v>101.579712251535</v>
      </c>
      <c r="CF75" s="17">
        <f t="shared" si="136"/>
        <v>101.50867143731401</v>
      </c>
      <c r="CG75" s="17">
        <f t="shared" si="137"/>
        <v>17.7541986403685</v>
      </c>
      <c r="CH75" s="17">
        <f t="shared" si="138"/>
        <v>17.7541986403685</v>
      </c>
      <c r="CI75" s="17">
        <f t="shared" si="139"/>
        <v>303.49057504903402</v>
      </c>
      <c r="CJ75" s="17">
        <f t="shared" si="140"/>
        <v>303.49057504903402</v>
      </c>
    </row>
    <row r="76" spans="2:88">
      <c r="B76" s="3">
        <v>15</v>
      </c>
      <c r="C76" s="3" t="s">
        <v>25</v>
      </c>
      <c r="D76" s="4">
        <v>-3.8453187896924401</v>
      </c>
      <c r="E76" s="4">
        <v>-1.85532276160701</v>
      </c>
      <c r="F76" s="4">
        <v>156.04828291385499</v>
      </c>
      <c r="G76" s="4">
        <v>3.3820003151748899</v>
      </c>
      <c r="H76" s="4">
        <v>-6.2039484573568098</v>
      </c>
      <c r="I76" s="4" t="s">
        <v>15</v>
      </c>
      <c r="J76" s="4">
        <v>-3.18220514616258</v>
      </c>
      <c r="K76" s="4">
        <v>-1.55711874844138</v>
      </c>
      <c r="L76" s="4">
        <v>133.71673154256999</v>
      </c>
      <c r="M76" s="4">
        <v>2.8270876172907098</v>
      </c>
      <c r="N76" s="4">
        <v>-5.1458199029705103</v>
      </c>
      <c r="O76" s="4">
        <v>1.4</v>
      </c>
      <c r="P76" s="4">
        <v>1.4</v>
      </c>
      <c r="Q76" s="4">
        <v>0.22</v>
      </c>
      <c r="R76" s="4">
        <v>0.22</v>
      </c>
      <c r="S76" s="4">
        <v>0</v>
      </c>
      <c r="T76" s="4">
        <v>0</v>
      </c>
      <c r="U76" s="4">
        <v>0.3</v>
      </c>
      <c r="V76" s="4">
        <v>0.05</v>
      </c>
      <c r="W76" s="4">
        <v>1</v>
      </c>
      <c r="X76" s="4">
        <v>19.100000000000001</v>
      </c>
      <c r="Y76" s="4">
        <v>0</v>
      </c>
      <c r="Z76" s="4">
        <v>1.5</v>
      </c>
      <c r="AA76" s="4">
        <v>139</v>
      </c>
      <c r="AB76" s="4">
        <v>12.1</v>
      </c>
      <c r="AC76" s="4">
        <v>19.5</v>
      </c>
      <c r="AD76" s="3" t="s">
        <v>42</v>
      </c>
      <c r="AE76" s="3" t="s">
        <v>61</v>
      </c>
      <c r="AF76" s="17">
        <f>HLOOKUP(AD76,Data!$B$4:$M$9,2,0)</f>
        <v>13</v>
      </c>
      <c r="AG76" s="17">
        <f>HLOOKUP(AD76,Data!$B$4:$M$9,3,0)</f>
        <v>1</v>
      </c>
      <c r="AH76" s="17">
        <f>HLOOKUP(AE76,Data!$B$13:$I$18,3,0)</f>
        <v>260</v>
      </c>
      <c r="AI76" s="18">
        <f t="shared" si="90"/>
        <v>1.96</v>
      </c>
      <c r="AJ76" s="17">
        <f t="shared" si="91"/>
        <v>0.45733333333333298</v>
      </c>
      <c r="AK76" s="17">
        <f t="shared" si="92"/>
        <v>0.45733333333333298</v>
      </c>
      <c r="AL76" s="17">
        <f t="shared" si="93"/>
        <v>0.25</v>
      </c>
      <c r="AM76" s="17">
        <f t="shared" si="94"/>
        <v>0.59</v>
      </c>
      <c r="AN76" s="17">
        <f t="shared" si="95"/>
        <v>0.59</v>
      </c>
      <c r="AO76" s="17">
        <f t="shared" si="96"/>
        <v>0.59</v>
      </c>
      <c r="AP76" s="17">
        <f t="shared" si="97"/>
        <v>0.59</v>
      </c>
      <c r="AQ76" s="17">
        <f t="shared" si="98"/>
        <v>1.88</v>
      </c>
      <c r="AR76" s="17">
        <f t="shared" si="99"/>
        <v>1.4416</v>
      </c>
      <c r="AS76" s="17">
        <f t="shared" si="100"/>
        <v>156.04828291385499</v>
      </c>
      <c r="AT76" s="17">
        <f t="shared" si="101"/>
        <v>3.93859714365699</v>
      </c>
      <c r="AU76" s="17">
        <f t="shared" si="102"/>
        <v>-7.35754409426454</v>
      </c>
      <c r="AV76" s="17">
        <f t="shared" si="103"/>
        <v>133.71673154256999</v>
      </c>
      <c r="AW76" s="17">
        <f t="shared" si="104"/>
        <v>3.2942232418231199</v>
      </c>
      <c r="AX76" s="17">
        <f t="shared" si="105"/>
        <v>-6.1004814468192903</v>
      </c>
      <c r="AY76" s="17">
        <f t="shared" si="106"/>
        <v>124.916488158501</v>
      </c>
      <c r="AZ76" s="17">
        <f t="shared" si="107"/>
        <v>75.516453590330997</v>
      </c>
      <c r="BA76" s="17">
        <f t="shared" si="108"/>
        <v>100.216470874416</v>
      </c>
      <c r="BB76" s="17">
        <f t="shared" si="109"/>
        <v>109.365179406506</v>
      </c>
      <c r="BC76" s="17">
        <f t="shared" si="110"/>
        <v>68.280465024687601</v>
      </c>
      <c r="BD76" s="17">
        <f t="shared" si="111"/>
        <v>88.822822215596702</v>
      </c>
      <c r="BE76" s="17" t="str">
        <f>IF(AND(BD76&lt;=AA76,BB76&lt;=AA76*MongDon!$J$44,BC76&gt;0),"Ok","FAIL")</f>
        <v>Ok</v>
      </c>
      <c r="BF76" s="17">
        <f t="shared" si="112"/>
        <v>180.07960932929501</v>
      </c>
      <c r="BG76" s="17">
        <f t="shared" si="113"/>
        <v>352.5</v>
      </c>
      <c r="BH76" s="17" t="str">
        <f t="shared" si="114"/>
        <v>Ok</v>
      </c>
      <c r="BI76" s="17">
        <f t="shared" si="115"/>
        <v>43.603683925477</v>
      </c>
      <c r="BJ76" s="17">
        <f t="shared" si="116"/>
        <v>40.045188119742598</v>
      </c>
      <c r="BK76" s="17">
        <f t="shared" si="117"/>
        <v>51.8023963469671</v>
      </c>
      <c r="BL76" s="17">
        <f t="shared" si="118"/>
        <v>55.360892152701403</v>
      </c>
      <c r="BM76" s="17">
        <f t="shared" si="119"/>
        <v>88.125</v>
      </c>
      <c r="BN76" s="17">
        <f t="shared" si="120"/>
        <v>88.125</v>
      </c>
      <c r="BO76" s="17">
        <f t="shared" si="121"/>
        <v>88.125</v>
      </c>
      <c r="BP76" s="17">
        <f t="shared" si="122"/>
        <v>88.125</v>
      </c>
      <c r="BQ76" s="17" t="str">
        <f t="shared" si="123"/>
        <v>Ok</v>
      </c>
      <c r="BR76" s="17">
        <f t="shared" si="124"/>
        <v>71.673853142797299</v>
      </c>
      <c r="BS76" s="17">
        <f t="shared" si="125"/>
        <v>18.6392486716374</v>
      </c>
      <c r="BT76" s="16">
        <f>MongDon!$H$80</f>
        <v>1.2</v>
      </c>
      <c r="BU76" s="17" t="str">
        <f t="shared" si="126"/>
        <v>Ok</v>
      </c>
      <c r="BV76" s="17">
        <f t="shared" si="127"/>
        <v>18.408180271087801</v>
      </c>
      <c r="BW76" s="16">
        <f>MongDon!$F$86</f>
        <v>1.5</v>
      </c>
      <c r="BX76" s="17" t="str">
        <f t="shared" si="128"/>
        <v>Ok</v>
      </c>
      <c r="BY76" s="17">
        <f t="shared" si="129"/>
        <v>107.692302399068</v>
      </c>
      <c r="BZ76" s="17">
        <f t="shared" si="130"/>
        <v>75.516453590330997</v>
      </c>
      <c r="CA76" s="17">
        <f t="shared" si="131"/>
        <v>92.740639349763896</v>
      </c>
      <c r="CB76" s="17">
        <f t="shared" si="132"/>
        <v>124.916488158501</v>
      </c>
      <c r="CC76" s="17">
        <f t="shared" si="133"/>
        <v>99.041697349113505</v>
      </c>
      <c r="CD76" s="17">
        <f t="shared" si="134"/>
        <v>104.097902161915</v>
      </c>
      <c r="CE76" s="17">
        <f t="shared" si="135"/>
        <v>101.391244399718</v>
      </c>
      <c r="CF76" s="17">
        <f t="shared" si="136"/>
        <v>104.097902161915</v>
      </c>
      <c r="CG76" s="17">
        <f t="shared" si="137"/>
        <v>20.533889799751801</v>
      </c>
      <c r="CH76" s="17">
        <f t="shared" si="138"/>
        <v>20.533889799751801</v>
      </c>
      <c r="CI76" s="17">
        <f t="shared" si="139"/>
        <v>351.00666324362101</v>
      </c>
      <c r="CJ76" s="17">
        <f t="shared" si="140"/>
        <v>351.00666324362101</v>
      </c>
    </row>
    <row r="77" spans="2:88">
      <c r="B77" s="3">
        <v>15</v>
      </c>
      <c r="C77" s="3" t="s">
        <v>26</v>
      </c>
      <c r="D77" s="4">
        <v>4.0394477987140602</v>
      </c>
      <c r="E77" s="4">
        <v>2.3016406585547098</v>
      </c>
      <c r="F77" s="4">
        <v>157.78290109443199</v>
      </c>
      <c r="G77" s="4">
        <v>-3.4473537184146301</v>
      </c>
      <c r="H77" s="4">
        <v>6.6380287433062</v>
      </c>
      <c r="I77" s="4" t="s">
        <v>16</v>
      </c>
      <c r="J77" s="4">
        <v>3.3884336775095001</v>
      </c>
      <c r="K77" s="4">
        <v>1.9070174350267199</v>
      </c>
      <c r="L77" s="4">
        <v>135.16224669305001</v>
      </c>
      <c r="M77" s="4">
        <v>-2.8640407440338902</v>
      </c>
      <c r="N77" s="4">
        <v>5.5558277642486598</v>
      </c>
      <c r="O77" s="4">
        <v>1.4</v>
      </c>
      <c r="P77" s="4">
        <v>1.4</v>
      </c>
      <c r="Q77" s="4">
        <v>0.22</v>
      </c>
      <c r="R77" s="4">
        <v>0.22</v>
      </c>
      <c r="S77" s="4">
        <v>0</v>
      </c>
      <c r="T77" s="4">
        <v>0</v>
      </c>
      <c r="U77" s="4">
        <v>0.3</v>
      </c>
      <c r="V77" s="4">
        <v>0.05</v>
      </c>
      <c r="W77" s="4">
        <v>1</v>
      </c>
      <c r="X77" s="4">
        <v>19.100000000000001</v>
      </c>
      <c r="Y77" s="4">
        <v>0</v>
      </c>
      <c r="Z77" s="4">
        <v>1.5</v>
      </c>
      <c r="AA77" s="4">
        <v>139</v>
      </c>
      <c r="AB77" s="4">
        <v>12.1</v>
      </c>
      <c r="AC77" s="4">
        <v>19.5</v>
      </c>
      <c r="AD77" s="3" t="s">
        <v>42</v>
      </c>
      <c r="AE77" s="3" t="s">
        <v>61</v>
      </c>
      <c r="AF77" s="17">
        <f>HLOOKUP(AD77,Data!$B$4:$M$9,2,0)</f>
        <v>13</v>
      </c>
      <c r="AG77" s="17">
        <f>HLOOKUP(AD77,Data!$B$4:$M$9,3,0)</f>
        <v>1</v>
      </c>
      <c r="AH77" s="17">
        <f>HLOOKUP(AE77,Data!$B$13:$I$18,3,0)</f>
        <v>260</v>
      </c>
      <c r="AI77" s="18">
        <f t="shared" si="90"/>
        <v>1.96</v>
      </c>
      <c r="AJ77" s="17">
        <f t="shared" si="91"/>
        <v>0.45733333333333298</v>
      </c>
      <c r="AK77" s="17">
        <f t="shared" si="92"/>
        <v>0.45733333333333298</v>
      </c>
      <c r="AL77" s="17">
        <f t="shared" si="93"/>
        <v>0.25</v>
      </c>
      <c r="AM77" s="17">
        <f t="shared" si="94"/>
        <v>0.59</v>
      </c>
      <c r="AN77" s="17">
        <f t="shared" si="95"/>
        <v>0.59</v>
      </c>
      <c r="AO77" s="17">
        <f t="shared" si="96"/>
        <v>0.59</v>
      </c>
      <c r="AP77" s="17">
        <f t="shared" si="97"/>
        <v>0.59</v>
      </c>
      <c r="AQ77" s="17">
        <f t="shared" si="98"/>
        <v>1.88</v>
      </c>
      <c r="AR77" s="17">
        <f t="shared" si="99"/>
        <v>1.4416</v>
      </c>
      <c r="AS77" s="17">
        <f t="shared" si="100"/>
        <v>157.78290109443199</v>
      </c>
      <c r="AT77" s="17">
        <f t="shared" si="101"/>
        <v>-4.1378459159810399</v>
      </c>
      <c r="AU77" s="17">
        <f t="shared" si="102"/>
        <v>7.8498630829204199</v>
      </c>
      <c r="AV77" s="17">
        <f t="shared" si="103"/>
        <v>135.16224669305001</v>
      </c>
      <c r="AW77" s="17">
        <f t="shared" si="104"/>
        <v>-3.4361459745418999</v>
      </c>
      <c r="AX77" s="17">
        <f t="shared" si="105"/>
        <v>6.57235786750151</v>
      </c>
      <c r="AY77" s="17">
        <f t="shared" si="106"/>
        <v>127.31367183878</v>
      </c>
      <c r="AZ77" s="17">
        <f t="shared" si="107"/>
        <v>74.8892884616602</v>
      </c>
      <c r="BA77" s="17">
        <f t="shared" si="108"/>
        <v>101.10148015022</v>
      </c>
      <c r="BB77" s="17">
        <f t="shared" si="109"/>
        <v>111.44481356506201</v>
      </c>
      <c r="BC77" s="17">
        <f t="shared" si="110"/>
        <v>67.675846325805097</v>
      </c>
      <c r="BD77" s="17">
        <f t="shared" si="111"/>
        <v>89.560329945433594</v>
      </c>
      <c r="BE77" s="17" t="str">
        <f>IF(AND(BD77&lt;=AA77,BB77&lt;=AA77*MongDon!$J$44,BC77&gt;0),"Ok","FAIL")</f>
        <v>Ok</v>
      </c>
      <c r="BF77" s="17">
        <f t="shared" si="112"/>
        <v>183.53538932278599</v>
      </c>
      <c r="BG77" s="17">
        <f t="shared" si="113"/>
        <v>352.5</v>
      </c>
      <c r="BH77" s="17" t="str">
        <f t="shared" si="114"/>
        <v>Ok</v>
      </c>
      <c r="BI77" s="17">
        <f t="shared" si="115"/>
        <v>52.4310421375259</v>
      </c>
      <c r="BJ77" s="17">
        <f t="shared" si="116"/>
        <v>56.294570209238401</v>
      </c>
      <c r="BK77" s="17">
        <f t="shared" si="117"/>
        <v>43.817566965483799</v>
      </c>
      <c r="BL77" s="17">
        <f t="shared" si="118"/>
        <v>39.954038893771397</v>
      </c>
      <c r="BM77" s="17">
        <f t="shared" si="119"/>
        <v>88.125</v>
      </c>
      <c r="BN77" s="17">
        <f t="shared" si="120"/>
        <v>88.125</v>
      </c>
      <c r="BO77" s="17">
        <f t="shared" si="121"/>
        <v>88.125</v>
      </c>
      <c r="BP77" s="17">
        <f t="shared" si="122"/>
        <v>88.125</v>
      </c>
      <c r="BQ77" s="17" t="str">
        <f t="shared" si="123"/>
        <v>Ok</v>
      </c>
      <c r="BR77" s="17">
        <f t="shared" si="124"/>
        <v>72.045723058878707</v>
      </c>
      <c r="BS77" s="17">
        <f t="shared" si="125"/>
        <v>17.8355375905128</v>
      </c>
      <c r="BT77" s="16">
        <f>MongDon!$H$80</f>
        <v>1.2</v>
      </c>
      <c r="BU77" s="17" t="str">
        <f t="shared" si="126"/>
        <v>Ok</v>
      </c>
      <c r="BV77" s="17">
        <f t="shared" si="127"/>
        <v>17.408358505440699</v>
      </c>
      <c r="BW77" s="16">
        <f>MongDon!$F$86</f>
        <v>1.5</v>
      </c>
      <c r="BX77" s="17" t="str">
        <f t="shared" si="128"/>
        <v>Ok</v>
      </c>
      <c r="BY77" s="17">
        <f t="shared" si="129"/>
        <v>92.984824537379097</v>
      </c>
      <c r="BZ77" s="17">
        <f t="shared" si="130"/>
        <v>127.31367183878</v>
      </c>
      <c r="CA77" s="17">
        <f t="shared" si="131"/>
        <v>109.218135763061</v>
      </c>
      <c r="CB77" s="17">
        <f t="shared" si="132"/>
        <v>74.8892884616602</v>
      </c>
      <c r="CC77" s="17">
        <f t="shared" si="133"/>
        <v>105.220538844137</v>
      </c>
      <c r="CD77" s="17">
        <f t="shared" si="134"/>
        <v>99.826005696773805</v>
      </c>
      <c r="CE77" s="17">
        <f t="shared" si="135"/>
        <v>105.220538844137</v>
      </c>
      <c r="CF77" s="17">
        <f t="shared" si="136"/>
        <v>102.376954603667</v>
      </c>
      <c r="CG77" s="17">
        <f t="shared" si="137"/>
        <v>20.877174650967198</v>
      </c>
      <c r="CH77" s="17">
        <f t="shared" si="138"/>
        <v>20.877174650967198</v>
      </c>
      <c r="CI77" s="17">
        <f t="shared" si="139"/>
        <v>356.87478035841298</v>
      </c>
      <c r="CJ77" s="17">
        <f t="shared" si="140"/>
        <v>356.87478035841298</v>
      </c>
    </row>
    <row r="78" spans="2:88">
      <c r="B78" s="3">
        <v>15</v>
      </c>
      <c r="C78" s="3" t="s">
        <v>27</v>
      </c>
      <c r="D78" s="4">
        <v>-1.30987345918766</v>
      </c>
      <c r="E78" s="4">
        <v>-15.7546491073259</v>
      </c>
      <c r="F78" s="4">
        <v>175.29267665366001</v>
      </c>
      <c r="G78" s="4">
        <v>26.007358814556799</v>
      </c>
      <c r="H78" s="4">
        <v>-2.0965438618871199</v>
      </c>
      <c r="I78" s="4" t="s">
        <v>17</v>
      </c>
      <c r="J78" s="4">
        <v>-1.0693340374086</v>
      </c>
      <c r="K78" s="4">
        <v>-13.1398907032072</v>
      </c>
      <c r="L78" s="4">
        <v>149.75372632573999</v>
      </c>
      <c r="M78" s="4">
        <v>21.681553033442299</v>
      </c>
      <c r="N78" s="4">
        <v>-1.7229827400791</v>
      </c>
      <c r="O78" s="4">
        <v>1.4</v>
      </c>
      <c r="P78" s="4">
        <v>1.4</v>
      </c>
      <c r="Q78" s="4">
        <v>0.22</v>
      </c>
      <c r="R78" s="4">
        <v>0.22</v>
      </c>
      <c r="S78" s="4">
        <v>0</v>
      </c>
      <c r="T78" s="4">
        <v>0</v>
      </c>
      <c r="U78" s="4">
        <v>0.3</v>
      </c>
      <c r="V78" s="4">
        <v>0.05</v>
      </c>
      <c r="W78" s="4">
        <v>1</v>
      </c>
      <c r="X78" s="4">
        <v>19.100000000000001</v>
      </c>
      <c r="Y78" s="4">
        <v>0</v>
      </c>
      <c r="Z78" s="4">
        <v>1.5</v>
      </c>
      <c r="AA78" s="4">
        <v>139</v>
      </c>
      <c r="AB78" s="4">
        <v>12.1</v>
      </c>
      <c r="AC78" s="4">
        <v>19.5</v>
      </c>
      <c r="AD78" s="3" t="s">
        <v>42</v>
      </c>
      <c r="AE78" s="3" t="s">
        <v>61</v>
      </c>
      <c r="AF78" s="17">
        <f>HLOOKUP(AD78,Data!$B$4:$M$9,2,0)</f>
        <v>13</v>
      </c>
      <c r="AG78" s="17">
        <f>HLOOKUP(AD78,Data!$B$4:$M$9,3,0)</f>
        <v>1</v>
      </c>
      <c r="AH78" s="17">
        <f>HLOOKUP(AE78,Data!$B$13:$I$18,3,0)</f>
        <v>260</v>
      </c>
      <c r="AI78" s="18">
        <f t="shared" si="90"/>
        <v>1.96</v>
      </c>
      <c r="AJ78" s="17">
        <f t="shared" si="91"/>
        <v>0.45733333333333298</v>
      </c>
      <c r="AK78" s="17">
        <f t="shared" si="92"/>
        <v>0.45733333333333298</v>
      </c>
      <c r="AL78" s="17">
        <f t="shared" si="93"/>
        <v>0.25</v>
      </c>
      <c r="AM78" s="17">
        <f t="shared" si="94"/>
        <v>0.59</v>
      </c>
      <c r="AN78" s="17">
        <f t="shared" si="95"/>
        <v>0.59</v>
      </c>
      <c r="AO78" s="17">
        <f t="shared" si="96"/>
        <v>0.59</v>
      </c>
      <c r="AP78" s="17">
        <f t="shared" si="97"/>
        <v>0.59</v>
      </c>
      <c r="AQ78" s="17">
        <f t="shared" si="98"/>
        <v>1.88</v>
      </c>
      <c r="AR78" s="17">
        <f t="shared" si="99"/>
        <v>1.4416</v>
      </c>
      <c r="AS78" s="17">
        <f t="shared" si="100"/>
        <v>175.29267665366001</v>
      </c>
      <c r="AT78" s="17">
        <f t="shared" si="101"/>
        <v>30.733753546754599</v>
      </c>
      <c r="AU78" s="17">
        <f t="shared" si="102"/>
        <v>-2.4895058996434201</v>
      </c>
      <c r="AV78" s="17">
        <f t="shared" si="103"/>
        <v>149.75372632573999</v>
      </c>
      <c r="AW78" s="17">
        <f t="shared" si="104"/>
        <v>25.623520244404499</v>
      </c>
      <c r="AX78" s="17">
        <f t="shared" si="105"/>
        <v>-2.0437829513016799</v>
      </c>
      <c r="AY78" s="17">
        <f t="shared" si="106"/>
        <v>182.680650143408</v>
      </c>
      <c r="AZ78" s="17">
        <f t="shared" si="107"/>
        <v>37.389428074612297</v>
      </c>
      <c r="BA78" s="17">
        <f t="shared" si="108"/>
        <v>110.03503910901</v>
      </c>
      <c r="BB78" s="17">
        <f t="shared" si="109"/>
        <v>157.501981060595</v>
      </c>
      <c r="BC78" s="17">
        <f t="shared" si="110"/>
        <v>36.507943761588699</v>
      </c>
      <c r="BD78" s="17">
        <f t="shared" si="111"/>
        <v>97.004962411091995</v>
      </c>
      <c r="BE78" s="17" t="str">
        <f>IF(AND(BD78&lt;=AA78,BB78&lt;=AA78*MongDon!$J$44,BC78&gt;0),"Ok","FAIL")</f>
        <v>Ok</v>
      </c>
      <c r="BF78" s="17">
        <f t="shared" si="112"/>
        <v>263.35242524673799</v>
      </c>
      <c r="BG78" s="17">
        <f t="shared" si="113"/>
        <v>352.5</v>
      </c>
      <c r="BH78" s="17" t="str">
        <f t="shared" si="114"/>
        <v>Ok</v>
      </c>
      <c r="BI78" s="17">
        <f t="shared" si="115"/>
        <v>20.3884861488586</v>
      </c>
      <c r="BJ78" s="17">
        <f t="shared" si="116"/>
        <v>49.785560230545798</v>
      </c>
      <c r="BK78" s="17">
        <f t="shared" si="117"/>
        <v>84.364871082919294</v>
      </c>
      <c r="BL78" s="17">
        <f t="shared" si="118"/>
        <v>54.9677970012321</v>
      </c>
      <c r="BM78" s="17">
        <f t="shared" si="119"/>
        <v>88.125</v>
      </c>
      <c r="BN78" s="17">
        <f t="shared" si="120"/>
        <v>88.125</v>
      </c>
      <c r="BO78" s="17">
        <f t="shared" si="121"/>
        <v>88.125</v>
      </c>
      <c r="BP78" s="17">
        <f t="shared" si="122"/>
        <v>88.125</v>
      </c>
      <c r="BQ78" s="17" t="str">
        <f t="shared" si="123"/>
        <v>Ok</v>
      </c>
      <c r="BR78" s="17">
        <f t="shared" si="124"/>
        <v>75.799493681559298</v>
      </c>
      <c r="BS78" s="17">
        <f t="shared" si="125"/>
        <v>4.8112460750593504</v>
      </c>
      <c r="BT78" s="16">
        <f>MongDon!$H$80</f>
        <v>1.2</v>
      </c>
      <c r="BU78" s="17" t="str">
        <f t="shared" si="126"/>
        <v>Ok</v>
      </c>
      <c r="BV78" s="17">
        <f t="shared" si="127"/>
        <v>4.8451639150105201</v>
      </c>
      <c r="BW78" s="16">
        <f>MongDon!$F$86</f>
        <v>1.5</v>
      </c>
      <c r="BX78" s="17" t="str">
        <f t="shared" si="128"/>
        <v>Ok</v>
      </c>
      <c r="BY78" s="17">
        <f t="shared" si="129"/>
        <v>48.276480113869198</v>
      </c>
      <c r="BZ78" s="17">
        <f t="shared" si="130"/>
        <v>37.389428074612297</v>
      </c>
      <c r="CA78" s="17">
        <f t="shared" si="131"/>
        <v>171.79359810415099</v>
      </c>
      <c r="CB78" s="17">
        <f t="shared" si="132"/>
        <v>182.680650143408</v>
      </c>
      <c r="CC78" s="17">
        <f t="shared" si="133"/>
        <v>119.73995552253299</v>
      </c>
      <c r="CD78" s="17">
        <f t="shared" si="134"/>
        <v>121.450777985844</v>
      </c>
      <c r="CE78" s="17">
        <f t="shared" si="135"/>
        <v>100.330122695488</v>
      </c>
      <c r="CF78" s="17">
        <f t="shared" si="136"/>
        <v>121.450777985844</v>
      </c>
      <c r="CG78" s="17">
        <f t="shared" si="137"/>
        <v>28.243214074452201</v>
      </c>
      <c r="CH78" s="17">
        <f t="shared" si="138"/>
        <v>28.243214074452201</v>
      </c>
      <c r="CI78" s="17">
        <f t="shared" si="139"/>
        <v>482.78998417867098</v>
      </c>
      <c r="CJ78" s="17">
        <f t="shared" si="140"/>
        <v>482.78998417867098</v>
      </c>
    </row>
    <row r="79" spans="2:88">
      <c r="B79" s="3">
        <v>15</v>
      </c>
      <c r="C79" s="3" t="s">
        <v>28</v>
      </c>
      <c r="D79" s="4">
        <v>1.5040024682092801</v>
      </c>
      <c r="E79" s="4">
        <v>16.2009670042736</v>
      </c>
      <c r="F79" s="4">
        <v>138.538507354627</v>
      </c>
      <c r="G79" s="4">
        <v>-26.0727122177966</v>
      </c>
      <c r="H79" s="4">
        <v>2.5306241478365101</v>
      </c>
      <c r="I79" s="4" t="s">
        <v>18</v>
      </c>
      <c r="J79" s="4">
        <v>1.2755625687555201</v>
      </c>
      <c r="K79" s="4">
        <v>13.489789389792501</v>
      </c>
      <c r="L79" s="4">
        <v>119.125251909879</v>
      </c>
      <c r="M79" s="4">
        <v>-21.718506160185498</v>
      </c>
      <c r="N79" s="4">
        <v>2.1329906013572502</v>
      </c>
      <c r="O79" s="4">
        <v>1.4</v>
      </c>
      <c r="P79" s="4">
        <v>1.4</v>
      </c>
      <c r="Q79" s="4">
        <v>0.22</v>
      </c>
      <c r="R79" s="4">
        <v>0.22</v>
      </c>
      <c r="S79" s="4">
        <v>0</v>
      </c>
      <c r="T79" s="4">
        <v>0</v>
      </c>
      <c r="U79" s="4">
        <v>0.3</v>
      </c>
      <c r="V79" s="4">
        <v>0.05</v>
      </c>
      <c r="W79" s="4">
        <v>1</v>
      </c>
      <c r="X79" s="4">
        <v>19.100000000000001</v>
      </c>
      <c r="Y79" s="4">
        <v>0</v>
      </c>
      <c r="Z79" s="4">
        <v>1.5</v>
      </c>
      <c r="AA79" s="4">
        <v>139</v>
      </c>
      <c r="AB79" s="4">
        <v>12.1</v>
      </c>
      <c r="AC79" s="4">
        <v>19.5</v>
      </c>
      <c r="AD79" s="3" t="s">
        <v>42</v>
      </c>
      <c r="AE79" s="3" t="s">
        <v>61</v>
      </c>
      <c r="AF79" s="17">
        <f>HLOOKUP(AD79,Data!$B$4:$M$9,2,0)</f>
        <v>13</v>
      </c>
      <c r="AG79" s="17">
        <f>HLOOKUP(AD79,Data!$B$4:$M$9,3,0)</f>
        <v>1</v>
      </c>
      <c r="AH79" s="17">
        <f>HLOOKUP(AE79,Data!$B$13:$I$18,3,0)</f>
        <v>260</v>
      </c>
      <c r="AI79" s="18">
        <f t="shared" si="90"/>
        <v>1.96</v>
      </c>
      <c r="AJ79" s="17">
        <f t="shared" si="91"/>
        <v>0.45733333333333298</v>
      </c>
      <c r="AK79" s="17">
        <f t="shared" si="92"/>
        <v>0.45733333333333298</v>
      </c>
      <c r="AL79" s="17">
        <f t="shared" si="93"/>
        <v>0.25</v>
      </c>
      <c r="AM79" s="17">
        <f t="shared" si="94"/>
        <v>0.59</v>
      </c>
      <c r="AN79" s="17">
        <f t="shared" si="95"/>
        <v>0.59</v>
      </c>
      <c r="AO79" s="17">
        <f t="shared" si="96"/>
        <v>0.59</v>
      </c>
      <c r="AP79" s="17">
        <f t="shared" si="97"/>
        <v>0.59</v>
      </c>
      <c r="AQ79" s="17">
        <f t="shared" si="98"/>
        <v>1.88</v>
      </c>
      <c r="AR79" s="17">
        <f t="shared" si="99"/>
        <v>1.4416</v>
      </c>
      <c r="AS79" s="17">
        <f t="shared" si="100"/>
        <v>138.538507354627</v>
      </c>
      <c r="AT79" s="17">
        <f t="shared" si="101"/>
        <v>-30.9330023190787</v>
      </c>
      <c r="AU79" s="17">
        <f t="shared" si="102"/>
        <v>2.9818248882992999</v>
      </c>
      <c r="AV79" s="17">
        <f t="shared" si="103"/>
        <v>119.125251909879</v>
      </c>
      <c r="AW79" s="17">
        <f t="shared" si="104"/>
        <v>-25.7654429771233</v>
      </c>
      <c r="AX79" s="17">
        <f t="shared" si="105"/>
        <v>2.5156593719839102</v>
      </c>
      <c r="AY79" s="17">
        <f t="shared" si="106"/>
        <v>165.44069735449901</v>
      </c>
      <c r="AZ79" s="17">
        <f t="shared" si="107"/>
        <v>17.125126476752801</v>
      </c>
      <c r="BA79" s="17">
        <f t="shared" si="108"/>
        <v>91.282911915625903</v>
      </c>
      <c r="BB79" s="17">
        <f t="shared" si="109"/>
        <v>143.217334828161</v>
      </c>
      <c r="BC79" s="17">
        <f t="shared" si="110"/>
        <v>19.539044671715601</v>
      </c>
      <c r="BD79" s="17">
        <f t="shared" si="111"/>
        <v>81.378189749938301</v>
      </c>
      <c r="BE79" s="17" t="str">
        <f>IF(AND(BD79&lt;=AA79,BB79&lt;=AA79*MongDon!$J$44,BC79&gt;0),"Ok","FAIL")</f>
        <v>Ok</v>
      </c>
      <c r="BF79" s="17">
        <f t="shared" si="112"/>
        <v>238.499309306246</v>
      </c>
      <c r="BG79" s="17">
        <f t="shared" si="113"/>
        <v>352.5</v>
      </c>
      <c r="BH79" s="17" t="str">
        <f t="shared" si="114"/>
        <v>Ok</v>
      </c>
      <c r="BI79" s="17">
        <f t="shared" si="115"/>
        <v>75.646239914144303</v>
      </c>
      <c r="BJ79" s="17">
        <f t="shared" si="116"/>
        <v>46.554198098435201</v>
      </c>
      <c r="BK79" s="17">
        <f t="shared" si="117"/>
        <v>11.2550922295316</v>
      </c>
      <c r="BL79" s="17">
        <f t="shared" si="118"/>
        <v>40.347134045240701</v>
      </c>
      <c r="BM79" s="17">
        <f t="shared" si="119"/>
        <v>88.125</v>
      </c>
      <c r="BN79" s="17">
        <f t="shared" si="120"/>
        <v>88.125</v>
      </c>
      <c r="BO79" s="17">
        <f t="shared" si="121"/>
        <v>88.125</v>
      </c>
      <c r="BP79" s="17">
        <f t="shared" si="122"/>
        <v>88.125</v>
      </c>
      <c r="BQ79" s="17" t="str">
        <f t="shared" si="123"/>
        <v>Ok</v>
      </c>
      <c r="BR79" s="17">
        <f t="shared" si="124"/>
        <v>67.920082520116694</v>
      </c>
      <c r="BS79" s="17">
        <f t="shared" si="125"/>
        <v>4.1923474384090804</v>
      </c>
      <c r="BT79" s="16">
        <f>MongDon!$H$80</f>
        <v>1.2</v>
      </c>
      <c r="BU79" s="17" t="str">
        <f t="shared" si="126"/>
        <v>Ok</v>
      </c>
      <c r="BV79" s="17">
        <f t="shared" si="127"/>
        <v>3.9822243530581298</v>
      </c>
      <c r="BW79" s="16">
        <f>MongDon!$F$86</f>
        <v>1.5</v>
      </c>
      <c r="BX79" s="17" t="str">
        <f t="shared" si="128"/>
        <v>Ok</v>
      </c>
      <c r="BY79" s="17">
        <f t="shared" si="129"/>
        <v>152.40064682257801</v>
      </c>
      <c r="BZ79" s="17">
        <f t="shared" si="130"/>
        <v>165.44069735449901</v>
      </c>
      <c r="CA79" s="17">
        <f t="shared" si="131"/>
        <v>30.165177008673901</v>
      </c>
      <c r="CB79" s="17">
        <f t="shared" si="132"/>
        <v>17.125126476752801</v>
      </c>
      <c r="CC79" s="17">
        <f t="shared" si="133"/>
        <v>102.93627819887701</v>
      </c>
      <c r="CD79" s="17">
        <f t="shared" si="134"/>
        <v>100.88712740100399</v>
      </c>
      <c r="CE79" s="17">
        <f t="shared" si="135"/>
        <v>102.93627819887701</v>
      </c>
      <c r="CF79" s="17">
        <f t="shared" si="136"/>
        <v>81.678696430247697</v>
      </c>
      <c r="CG79" s="17">
        <f t="shared" si="137"/>
        <v>25.168655323205201</v>
      </c>
      <c r="CH79" s="17">
        <f t="shared" si="138"/>
        <v>25.168655323205201</v>
      </c>
      <c r="CI79" s="17">
        <f t="shared" si="139"/>
        <v>430.23342432829497</v>
      </c>
      <c r="CJ79" s="17">
        <f t="shared" si="140"/>
        <v>430.23342432829497</v>
      </c>
    </row>
    <row r="80" spans="2:88">
      <c r="B80" s="3">
        <v>15</v>
      </c>
      <c r="C80" s="3" t="s">
        <v>29</v>
      </c>
      <c r="D80" s="4">
        <v>-4.25775256235986</v>
      </c>
      <c r="E80" s="4">
        <v>-2.1343403108238199</v>
      </c>
      <c r="F80" s="4">
        <v>141.814630755248</v>
      </c>
      <c r="G80" s="4">
        <v>3.78074319210958</v>
      </c>
      <c r="H80" s="4">
        <v>-6.9041433522923601</v>
      </c>
      <c r="I80" s="4" t="s">
        <v>19</v>
      </c>
      <c r="J80" s="4">
        <v>-3.5258999567187699</v>
      </c>
      <c r="K80" s="4">
        <v>-1.7896333727887199</v>
      </c>
      <c r="L80" s="4">
        <v>121.85535474373</v>
      </c>
      <c r="M80" s="4">
        <v>3.1593733480696198</v>
      </c>
      <c r="N80" s="4">
        <v>-5.7293156487501404</v>
      </c>
      <c r="O80" s="4">
        <v>1.4</v>
      </c>
      <c r="P80" s="4">
        <v>1.4</v>
      </c>
      <c r="Q80" s="4">
        <v>0.22</v>
      </c>
      <c r="R80" s="4">
        <v>0.22</v>
      </c>
      <c r="S80" s="4">
        <v>0</v>
      </c>
      <c r="T80" s="4">
        <v>0</v>
      </c>
      <c r="U80" s="4">
        <v>0.3</v>
      </c>
      <c r="V80" s="4">
        <v>0.05</v>
      </c>
      <c r="W80" s="4">
        <v>1</v>
      </c>
      <c r="X80" s="4">
        <v>19.100000000000001</v>
      </c>
      <c r="Y80" s="4">
        <v>0</v>
      </c>
      <c r="Z80" s="4">
        <v>1.5</v>
      </c>
      <c r="AA80" s="4">
        <v>139</v>
      </c>
      <c r="AB80" s="4">
        <v>12.1</v>
      </c>
      <c r="AC80" s="4">
        <v>19.5</v>
      </c>
      <c r="AD80" s="3" t="s">
        <v>42</v>
      </c>
      <c r="AE80" s="3" t="s">
        <v>61</v>
      </c>
      <c r="AF80" s="17">
        <f>HLOOKUP(AD80,Data!$B$4:$M$9,2,0)</f>
        <v>13</v>
      </c>
      <c r="AG80" s="17">
        <f>HLOOKUP(AD80,Data!$B$4:$M$9,3,0)</f>
        <v>1</v>
      </c>
      <c r="AH80" s="17">
        <f>HLOOKUP(AE80,Data!$B$13:$I$18,3,0)</f>
        <v>260</v>
      </c>
      <c r="AI80" s="18">
        <f t="shared" si="90"/>
        <v>1.96</v>
      </c>
      <c r="AJ80" s="17">
        <f t="shared" si="91"/>
        <v>0.45733333333333298</v>
      </c>
      <c r="AK80" s="17">
        <f t="shared" si="92"/>
        <v>0.45733333333333298</v>
      </c>
      <c r="AL80" s="17">
        <f t="shared" si="93"/>
        <v>0.25</v>
      </c>
      <c r="AM80" s="17">
        <f t="shared" si="94"/>
        <v>0.59</v>
      </c>
      <c r="AN80" s="17">
        <f t="shared" si="95"/>
        <v>0.59</v>
      </c>
      <c r="AO80" s="17">
        <f t="shared" si="96"/>
        <v>0.59</v>
      </c>
      <c r="AP80" s="17">
        <f t="shared" si="97"/>
        <v>0.59</v>
      </c>
      <c r="AQ80" s="17">
        <f t="shared" si="98"/>
        <v>1.88</v>
      </c>
      <c r="AR80" s="17">
        <f t="shared" si="99"/>
        <v>1.4416</v>
      </c>
      <c r="AS80" s="17">
        <f t="shared" si="100"/>
        <v>141.814630755248</v>
      </c>
      <c r="AT80" s="17">
        <f t="shared" si="101"/>
        <v>4.4210452853567297</v>
      </c>
      <c r="AU80" s="17">
        <f t="shared" si="102"/>
        <v>-8.1814691210003208</v>
      </c>
      <c r="AV80" s="17">
        <f t="shared" si="103"/>
        <v>121.85535474373</v>
      </c>
      <c r="AW80" s="17">
        <f t="shared" si="104"/>
        <v>3.69626335990624</v>
      </c>
      <c r="AX80" s="17">
        <f t="shared" si="105"/>
        <v>-6.7870856357657701</v>
      </c>
      <c r="AY80" s="17">
        <f t="shared" si="106"/>
        <v>120.51092182780199</v>
      </c>
      <c r="AZ80" s="17">
        <f t="shared" si="107"/>
        <v>65.397885065307804</v>
      </c>
      <c r="BA80" s="17">
        <f t="shared" si="108"/>
        <v>92.954403446555006</v>
      </c>
      <c r="BB80" s="17">
        <f t="shared" si="109"/>
        <v>105.69387413092301</v>
      </c>
      <c r="BC80" s="17">
        <f t="shared" si="110"/>
        <v>59.8483245871683</v>
      </c>
      <c r="BD80" s="17">
        <f t="shared" si="111"/>
        <v>82.771099359045905</v>
      </c>
      <c r="BE80" s="17" t="str">
        <f>IF(AND(BD80&lt;=AA80,BB80&lt;=AA80*MongDon!$J$44,BC80&gt;0),"Ok","FAIL")</f>
        <v>Ok</v>
      </c>
      <c r="BF80" s="17">
        <f t="shared" si="112"/>
        <v>173.72854490696</v>
      </c>
      <c r="BG80" s="17">
        <f t="shared" si="113"/>
        <v>352.5</v>
      </c>
      <c r="BH80" s="17" t="str">
        <f t="shared" si="114"/>
        <v>Ok</v>
      </c>
      <c r="BI80" s="17">
        <f t="shared" si="115"/>
        <v>39.644799927229698</v>
      </c>
      <c r="BJ80" s="17">
        <f t="shared" si="116"/>
        <v>35.730889404416999</v>
      </c>
      <c r="BK80" s="17">
        <f t="shared" si="117"/>
        <v>48.847792153890701</v>
      </c>
      <c r="BL80" s="17">
        <f t="shared" si="118"/>
        <v>52.761702676703401</v>
      </c>
      <c r="BM80" s="17">
        <f t="shared" si="119"/>
        <v>88.125</v>
      </c>
      <c r="BN80" s="17">
        <f t="shared" si="120"/>
        <v>88.125</v>
      </c>
      <c r="BO80" s="17">
        <f t="shared" si="121"/>
        <v>88.125</v>
      </c>
      <c r="BP80" s="17">
        <f t="shared" si="122"/>
        <v>88.125</v>
      </c>
      <c r="BQ80" s="17" t="str">
        <f t="shared" si="123"/>
        <v>Ok</v>
      </c>
      <c r="BR80" s="17">
        <f t="shared" si="124"/>
        <v>68.622422520759699</v>
      </c>
      <c r="BS80" s="17">
        <f t="shared" si="125"/>
        <v>16.117052721054701</v>
      </c>
      <c r="BT80" s="16">
        <f>MongDon!$H$80</f>
        <v>1.2</v>
      </c>
      <c r="BU80" s="17" t="str">
        <f t="shared" si="126"/>
        <v>Ok</v>
      </c>
      <c r="BV80" s="17">
        <f t="shared" si="127"/>
        <v>15.3365416006523</v>
      </c>
      <c r="BW80" s="16">
        <f>MongDon!$F$86</f>
        <v>1.5</v>
      </c>
      <c r="BX80" s="17" t="str">
        <f t="shared" si="128"/>
        <v>Ok</v>
      </c>
      <c r="BY80" s="17">
        <f t="shared" si="129"/>
        <v>101.17690454490101</v>
      </c>
      <c r="BZ80" s="17">
        <f t="shared" si="130"/>
        <v>65.397885065307804</v>
      </c>
      <c r="CA80" s="17">
        <f t="shared" si="131"/>
        <v>84.731902348208905</v>
      </c>
      <c r="CB80" s="17">
        <f t="shared" si="132"/>
        <v>120.51092182780199</v>
      </c>
      <c r="CC80" s="17">
        <f t="shared" si="133"/>
        <v>91.662296131100604</v>
      </c>
      <c r="CD80" s="17">
        <f t="shared" si="134"/>
        <v>97.284713477893803</v>
      </c>
      <c r="CE80" s="17">
        <f t="shared" si="135"/>
        <v>94.246510762009393</v>
      </c>
      <c r="CF80" s="17">
        <f t="shared" si="136"/>
        <v>97.284713477893803</v>
      </c>
      <c r="CG80" s="17">
        <f t="shared" si="137"/>
        <v>19.627418756361799</v>
      </c>
      <c r="CH80" s="17">
        <f t="shared" si="138"/>
        <v>19.627418756361799</v>
      </c>
      <c r="CI80" s="17">
        <f t="shared" si="139"/>
        <v>335.51143173268002</v>
      </c>
      <c r="CJ80" s="17">
        <f t="shared" si="140"/>
        <v>335.51143173268002</v>
      </c>
    </row>
    <row r="81" spans="2:88">
      <c r="B81" s="3">
        <v>15</v>
      </c>
      <c r="C81" s="3" t="s">
        <v>30</v>
      </c>
      <c r="D81" s="4">
        <v>4.5030992025362497</v>
      </c>
      <c r="E81" s="4">
        <v>2.4845079338003102</v>
      </c>
      <c r="F81" s="4">
        <v>143.74198428922199</v>
      </c>
      <c r="G81" s="4">
        <v>-3.8074279563232101</v>
      </c>
      <c r="H81" s="4">
        <v>7.3647202039998696</v>
      </c>
      <c r="I81" s="4" t="s">
        <v>20</v>
      </c>
      <c r="J81" s="4">
        <v>3.7748098473613201</v>
      </c>
      <c r="K81" s="4">
        <v>2.0594068310647198</v>
      </c>
      <c r="L81" s="4">
        <v>123.461482688708</v>
      </c>
      <c r="M81" s="4">
        <v>-3.1641026089577098</v>
      </c>
      <c r="N81" s="4">
        <v>6.1614039814933799</v>
      </c>
      <c r="O81" s="4">
        <v>1.4</v>
      </c>
      <c r="P81" s="4">
        <v>1.4</v>
      </c>
      <c r="Q81" s="4">
        <v>0.22</v>
      </c>
      <c r="R81" s="4">
        <v>0.22</v>
      </c>
      <c r="S81" s="4">
        <v>0</v>
      </c>
      <c r="T81" s="4">
        <v>0</v>
      </c>
      <c r="U81" s="4">
        <v>0.3</v>
      </c>
      <c r="V81" s="4">
        <v>0.05</v>
      </c>
      <c r="W81" s="4">
        <v>1</v>
      </c>
      <c r="X81" s="4">
        <v>19.100000000000001</v>
      </c>
      <c r="Y81" s="4">
        <v>0</v>
      </c>
      <c r="Z81" s="4">
        <v>1.5</v>
      </c>
      <c r="AA81" s="4">
        <v>139</v>
      </c>
      <c r="AB81" s="4">
        <v>12.1</v>
      </c>
      <c r="AC81" s="4">
        <v>19.5</v>
      </c>
      <c r="AD81" s="3" t="s">
        <v>42</v>
      </c>
      <c r="AE81" s="3" t="s">
        <v>61</v>
      </c>
      <c r="AF81" s="17">
        <f>HLOOKUP(AD81,Data!$B$4:$M$9,2,0)</f>
        <v>13</v>
      </c>
      <c r="AG81" s="17">
        <f>HLOOKUP(AD81,Data!$B$4:$M$9,3,0)</f>
        <v>1</v>
      </c>
      <c r="AH81" s="17">
        <f>HLOOKUP(AE81,Data!$B$13:$I$18,3,0)</f>
        <v>260</v>
      </c>
      <c r="AI81" s="18">
        <f t="shared" si="90"/>
        <v>1.96</v>
      </c>
      <c r="AJ81" s="17">
        <f t="shared" si="91"/>
        <v>0.45733333333333298</v>
      </c>
      <c r="AK81" s="17">
        <f t="shared" si="92"/>
        <v>0.45733333333333298</v>
      </c>
      <c r="AL81" s="17">
        <f t="shared" si="93"/>
        <v>0.25</v>
      </c>
      <c r="AM81" s="17">
        <f t="shared" si="94"/>
        <v>0.59</v>
      </c>
      <c r="AN81" s="17">
        <f t="shared" si="95"/>
        <v>0.59</v>
      </c>
      <c r="AO81" s="17">
        <f t="shared" si="96"/>
        <v>0.59</v>
      </c>
      <c r="AP81" s="17">
        <f t="shared" si="97"/>
        <v>0.59</v>
      </c>
      <c r="AQ81" s="17">
        <f t="shared" si="98"/>
        <v>1.88</v>
      </c>
      <c r="AR81" s="17">
        <f t="shared" si="99"/>
        <v>1.4416</v>
      </c>
      <c r="AS81" s="17">
        <f t="shared" si="100"/>
        <v>143.74198428922199</v>
      </c>
      <c r="AT81" s="17">
        <f t="shared" si="101"/>
        <v>-4.5527803364633002</v>
      </c>
      <c r="AU81" s="17">
        <f t="shared" si="102"/>
        <v>8.7156499647607397</v>
      </c>
      <c r="AV81" s="17">
        <f t="shared" si="103"/>
        <v>123.461482688708</v>
      </c>
      <c r="AW81" s="17">
        <f t="shared" si="104"/>
        <v>-3.7819246582771302</v>
      </c>
      <c r="AX81" s="17">
        <f t="shared" si="105"/>
        <v>7.2938469357017803</v>
      </c>
      <c r="AY81" s="17">
        <f t="shared" si="106"/>
        <v>122.95034978580701</v>
      </c>
      <c r="AZ81" s="17">
        <f t="shared" si="107"/>
        <v>64.925144386868098</v>
      </c>
      <c r="BA81" s="17">
        <f t="shared" si="108"/>
        <v>93.937747086337495</v>
      </c>
      <c r="BB81" s="17">
        <f t="shared" si="109"/>
        <v>107.808711854251</v>
      </c>
      <c r="BC81" s="17">
        <f t="shared" si="110"/>
        <v>59.372392930144997</v>
      </c>
      <c r="BD81" s="17">
        <f t="shared" si="111"/>
        <v>83.590552392198006</v>
      </c>
      <c r="BE81" s="17" t="str">
        <f>IF(AND(BD81&lt;=AA81,BB81&lt;=AA81*MongDon!$J$44,BC81&gt;0),"Ok","FAIL")</f>
        <v>Ok</v>
      </c>
      <c r="BF81" s="17">
        <f t="shared" si="112"/>
        <v>177.24522425121901</v>
      </c>
      <c r="BG81" s="17">
        <f t="shared" si="113"/>
        <v>352.5</v>
      </c>
      <c r="BH81" s="17" t="str">
        <f t="shared" si="114"/>
        <v>Ok</v>
      </c>
      <c r="BI81" s="17">
        <f t="shared" si="115"/>
        <v>49.452975718395201</v>
      </c>
      <c r="BJ81" s="17">
        <f t="shared" si="116"/>
        <v>53.785758392745599</v>
      </c>
      <c r="BK81" s="17">
        <f t="shared" si="117"/>
        <v>39.975759507798202</v>
      </c>
      <c r="BL81" s="17">
        <f t="shared" si="118"/>
        <v>35.642976833447698</v>
      </c>
      <c r="BM81" s="17">
        <f t="shared" si="119"/>
        <v>88.125</v>
      </c>
      <c r="BN81" s="17">
        <f t="shared" si="120"/>
        <v>88.125</v>
      </c>
      <c r="BO81" s="17">
        <f t="shared" si="121"/>
        <v>88.125</v>
      </c>
      <c r="BP81" s="17">
        <f t="shared" si="122"/>
        <v>88.125</v>
      </c>
      <c r="BQ81" s="17" t="str">
        <f t="shared" si="123"/>
        <v>Ok</v>
      </c>
      <c r="BR81" s="17">
        <f t="shared" si="124"/>
        <v>69.035611316405806</v>
      </c>
      <c r="BS81" s="17">
        <f t="shared" si="125"/>
        <v>15.330688535025701</v>
      </c>
      <c r="BT81" s="16">
        <f>MongDon!$H$80</f>
        <v>1.2</v>
      </c>
      <c r="BU81" s="17" t="str">
        <f t="shared" si="126"/>
        <v>Ok</v>
      </c>
      <c r="BV81" s="17">
        <f t="shared" si="127"/>
        <v>14.5513632965108</v>
      </c>
      <c r="BW81" s="16">
        <f>MongDon!$F$86</f>
        <v>1.5</v>
      </c>
      <c r="BX81" s="17" t="str">
        <f t="shared" si="128"/>
        <v>Ok</v>
      </c>
      <c r="BY81" s="17">
        <f t="shared" si="129"/>
        <v>84.835262476357698</v>
      </c>
      <c r="BZ81" s="17">
        <f t="shared" si="130"/>
        <v>122.95034978580701</v>
      </c>
      <c r="CA81" s="17">
        <f t="shared" si="131"/>
        <v>103.04023169631699</v>
      </c>
      <c r="CB81" s="17">
        <f t="shared" si="132"/>
        <v>64.925144386868098</v>
      </c>
      <c r="CC81" s="17">
        <f t="shared" si="133"/>
        <v>98.496870367682703</v>
      </c>
      <c r="CD81" s="17">
        <f t="shared" si="134"/>
        <v>92.507356647626395</v>
      </c>
      <c r="CE81" s="17">
        <f t="shared" si="135"/>
        <v>98.496870367682703</v>
      </c>
      <c r="CF81" s="17">
        <f t="shared" si="136"/>
        <v>95.368137525048695</v>
      </c>
      <c r="CG81" s="17">
        <f t="shared" si="137"/>
        <v>19.980799015978199</v>
      </c>
      <c r="CH81" s="17">
        <f t="shared" si="138"/>
        <v>19.980799015978199</v>
      </c>
      <c r="CI81" s="17">
        <f t="shared" si="139"/>
        <v>341.55211993125101</v>
      </c>
      <c r="CJ81" s="17">
        <f t="shared" si="140"/>
        <v>341.55211993125101</v>
      </c>
    </row>
    <row r="82" spans="2:88">
      <c r="B82" s="3">
        <v>15</v>
      </c>
      <c r="C82" s="3" t="s">
        <v>31</v>
      </c>
      <c r="D82" s="4">
        <v>-1.4405910840212199</v>
      </c>
      <c r="E82" s="4">
        <v>-17.578036250511499</v>
      </c>
      <c r="F82" s="4">
        <v>163.19729046614199</v>
      </c>
      <c r="G82" s="4">
        <v>28.920030413645101</v>
      </c>
      <c r="H82" s="4">
        <v>-2.34036046843715</v>
      </c>
      <c r="I82" s="4" t="s">
        <v>21</v>
      </c>
      <c r="J82" s="4">
        <v>-1.17826539143656</v>
      </c>
      <c r="K82" s="4">
        <v>-14.6593799891951</v>
      </c>
      <c r="L82" s="4">
        <v>139.674237836142</v>
      </c>
      <c r="M82" s="4">
        <v>24.108779366015899</v>
      </c>
      <c r="N82" s="4">
        <v>-1.92616324553747</v>
      </c>
      <c r="O82" s="4">
        <v>1.4</v>
      </c>
      <c r="P82" s="4">
        <v>1.4</v>
      </c>
      <c r="Q82" s="4">
        <v>0.22</v>
      </c>
      <c r="R82" s="4">
        <v>0.22</v>
      </c>
      <c r="S82" s="4">
        <v>0</v>
      </c>
      <c r="T82" s="4">
        <v>0</v>
      </c>
      <c r="U82" s="4">
        <v>0.3</v>
      </c>
      <c r="V82" s="4">
        <v>0.05</v>
      </c>
      <c r="W82" s="4">
        <v>1</v>
      </c>
      <c r="X82" s="4">
        <v>19.100000000000001</v>
      </c>
      <c r="Y82" s="4">
        <v>0</v>
      </c>
      <c r="Z82" s="4">
        <v>1.5</v>
      </c>
      <c r="AA82" s="4">
        <v>139</v>
      </c>
      <c r="AB82" s="4">
        <v>12.1</v>
      </c>
      <c r="AC82" s="4">
        <v>19.5</v>
      </c>
      <c r="AD82" s="3" t="s">
        <v>42</v>
      </c>
      <c r="AE82" s="3" t="s">
        <v>61</v>
      </c>
      <c r="AF82" s="17">
        <f>HLOOKUP(AD82,Data!$B$4:$M$9,2,0)</f>
        <v>13</v>
      </c>
      <c r="AG82" s="17">
        <f>HLOOKUP(AD82,Data!$B$4:$M$9,3,0)</f>
        <v>1</v>
      </c>
      <c r="AH82" s="17">
        <f>HLOOKUP(AE82,Data!$B$13:$I$18,3,0)</f>
        <v>260</v>
      </c>
      <c r="AI82" s="18">
        <f t="shared" si="90"/>
        <v>1.96</v>
      </c>
      <c r="AJ82" s="17">
        <f t="shared" si="91"/>
        <v>0.45733333333333298</v>
      </c>
      <c r="AK82" s="17">
        <f t="shared" si="92"/>
        <v>0.45733333333333298</v>
      </c>
      <c r="AL82" s="17">
        <f t="shared" si="93"/>
        <v>0.25</v>
      </c>
      <c r="AM82" s="17">
        <f t="shared" si="94"/>
        <v>0.59</v>
      </c>
      <c r="AN82" s="17">
        <f t="shared" si="95"/>
        <v>0.59</v>
      </c>
      <c r="AO82" s="17">
        <f t="shared" si="96"/>
        <v>0.59</v>
      </c>
      <c r="AP82" s="17">
        <f t="shared" si="97"/>
        <v>0.59</v>
      </c>
      <c r="AQ82" s="17">
        <f t="shared" si="98"/>
        <v>1.88</v>
      </c>
      <c r="AR82" s="17">
        <f t="shared" si="99"/>
        <v>1.4416</v>
      </c>
      <c r="AS82" s="17">
        <f t="shared" si="100"/>
        <v>163.19729046614199</v>
      </c>
      <c r="AT82" s="17">
        <f t="shared" si="101"/>
        <v>34.193441288798603</v>
      </c>
      <c r="AU82" s="17">
        <f t="shared" si="102"/>
        <v>-2.77253779364352</v>
      </c>
      <c r="AV82" s="17">
        <f t="shared" si="103"/>
        <v>139.674237836142</v>
      </c>
      <c r="AW82" s="17">
        <f t="shared" si="104"/>
        <v>28.506593362774399</v>
      </c>
      <c r="AX82" s="17">
        <f t="shared" si="105"/>
        <v>-2.2796428629684402</v>
      </c>
      <c r="AY82" s="17">
        <f t="shared" si="106"/>
        <v>184.69332403325501</v>
      </c>
      <c r="AZ82" s="17">
        <f t="shared" si="107"/>
        <v>23.034523381175902</v>
      </c>
      <c r="BA82" s="17">
        <f t="shared" si="108"/>
        <v>103.86392370721499</v>
      </c>
      <c r="BB82" s="17">
        <f t="shared" si="109"/>
        <v>159.17920930213401</v>
      </c>
      <c r="BC82" s="17">
        <f t="shared" si="110"/>
        <v>24.545523183724999</v>
      </c>
      <c r="BD82" s="17">
        <f t="shared" si="111"/>
        <v>91.862366242929497</v>
      </c>
      <c r="BE82" s="17" t="str">
        <f>IF(AND(BD82&lt;=AA82,BB82&lt;=AA82*MongDon!$J$44,BC82&gt;0),"Ok","FAIL")</f>
        <v>Ok</v>
      </c>
      <c r="BF82" s="17">
        <f t="shared" si="112"/>
        <v>266.25389592634002</v>
      </c>
      <c r="BG82" s="17">
        <f t="shared" si="113"/>
        <v>352.5</v>
      </c>
      <c r="BH82" s="17" t="str">
        <f t="shared" si="114"/>
        <v>Ok</v>
      </c>
      <c r="BI82" s="17">
        <f t="shared" si="115"/>
        <v>13.8501357309871</v>
      </c>
      <c r="BJ82" s="17">
        <f t="shared" si="116"/>
        <v>46.553525083087202</v>
      </c>
      <c r="BK82" s="17">
        <f t="shared" si="117"/>
        <v>85.028319638281999</v>
      </c>
      <c r="BL82" s="17">
        <f t="shared" si="118"/>
        <v>52.324930286181903</v>
      </c>
      <c r="BM82" s="17">
        <f t="shared" si="119"/>
        <v>88.125</v>
      </c>
      <c r="BN82" s="17">
        <f t="shared" si="120"/>
        <v>88.125</v>
      </c>
      <c r="BO82" s="17">
        <f t="shared" si="121"/>
        <v>88.125</v>
      </c>
      <c r="BP82" s="17">
        <f t="shared" si="122"/>
        <v>88.125</v>
      </c>
      <c r="BQ82" s="17" t="str">
        <f t="shared" si="123"/>
        <v>Ok</v>
      </c>
      <c r="BR82" s="17">
        <f t="shared" si="124"/>
        <v>73.206467563828596</v>
      </c>
      <c r="BS82" s="17">
        <f t="shared" si="125"/>
        <v>4.1646556259490204</v>
      </c>
      <c r="BT82" s="16">
        <f>MongDon!$H$80</f>
        <v>1.2</v>
      </c>
      <c r="BU82" s="17" t="str">
        <f t="shared" si="126"/>
        <v>Ok</v>
      </c>
      <c r="BV82" s="17">
        <f t="shared" si="127"/>
        <v>4.1073170184923002</v>
      </c>
      <c r="BW82" s="16">
        <f>MongDon!$F$86</f>
        <v>1.5</v>
      </c>
      <c r="BX82" s="17" t="str">
        <f t="shared" si="128"/>
        <v>Ok</v>
      </c>
      <c r="BY82" s="17">
        <f t="shared" si="129"/>
        <v>35.159324228013404</v>
      </c>
      <c r="BZ82" s="17">
        <f t="shared" si="130"/>
        <v>23.034523381175902</v>
      </c>
      <c r="CA82" s="17">
        <f t="shared" si="131"/>
        <v>172.568523186417</v>
      </c>
      <c r="CB82" s="17">
        <f t="shared" si="132"/>
        <v>184.69332403325501</v>
      </c>
      <c r="CC82" s="17">
        <f t="shared" si="133"/>
        <v>114.66036076823301</v>
      </c>
      <c r="CD82" s="17">
        <f t="shared" si="134"/>
        <v>116.56568661559299</v>
      </c>
      <c r="CE82" s="17">
        <f t="shared" si="135"/>
        <v>93.067486646197906</v>
      </c>
      <c r="CF82" s="17">
        <f t="shared" si="136"/>
        <v>116.56568661559299</v>
      </c>
      <c r="CG82" s="17">
        <f t="shared" si="137"/>
        <v>28.19333461714</v>
      </c>
      <c r="CH82" s="17">
        <f t="shared" si="138"/>
        <v>28.19333461714</v>
      </c>
      <c r="CI82" s="17">
        <f t="shared" si="139"/>
        <v>481.93734388273498</v>
      </c>
      <c r="CJ82" s="17">
        <f t="shared" si="140"/>
        <v>481.93734388273498</v>
      </c>
    </row>
    <row r="83" spans="2:88">
      <c r="B83" s="3">
        <v>15</v>
      </c>
      <c r="C83" s="3" t="s">
        <v>32</v>
      </c>
      <c r="D83" s="4">
        <v>1.6859377241976099</v>
      </c>
      <c r="E83" s="4">
        <v>17.928203873487998</v>
      </c>
      <c r="F83" s="4">
        <v>122.359324578327</v>
      </c>
      <c r="G83" s="4">
        <v>-28.9467151778587</v>
      </c>
      <c r="H83" s="4">
        <v>2.8009373201446599</v>
      </c>
      <c r="I83" s="4" t="s">
        <v>22</v>
      </c>
      <c r="J83" s="4">
        <v>1.4271752820791199</v>
      </c>
      <c r="K83" s="4">
        <v>14.9291534474711</v>
      </c>
      <c r="L83" s="4">
        <v>105.64259959629599</v>
      </c>
      <c r="M83" s="4">
        <v>-24.113508626904</v>
      </c>
      <c r="N83" s="4">
        <v>2.3582515782807101</v>
      </c>
      <c r="O83" s="4">
        <v>1.4</v>
      </c>
      <c r="P83" s="4">
        <v>1.4</v>
      </c>
      <c r="Q83" s="4">
        <v>0.22</v>
      </c>
      <c r="R83" s="4">
        <v>0.22</v>
      </c>
      <c r="S83" s="4">
        <v>0</v>
      </c>
      <c r="T83" s="4">
        <v>0</v>
      </c>
      <c r="U83" s="4">
        <v>0.3</v>
      </c>
      <c r="V83" s="4">
        <v>0.05</v>
      </c>
      <c r="W83" s="4">
        <v>1</v>
      </c>
      <c r="X83" s="4">
        <v>19.100000000000001</v>
      </c>
      <c r="Y83" s="4">
        <v>0</v>
      </c>
      <c r="Z83" s="4">
        <v>1.5</v>
      </c>
      <c r="AA83" s="4">
        <v>139</v>
      </c>
      <c r="AB83" s="4">
        <v>12.1</v>
      </c>
      <c r="AC83" s="4">
        <v>19.5</v>
      </c>
      <c r="AD83" s="3" t="s">
        <v>42</v>
      </c>
      <c r="AE83" s="3" t="s">
        <v>61</v>
      </c>
      <c r="AF83" s="17">
        <f>HLOOKUP(AD83,Data!$B$4:$M$9,2,0)</f>
        <v>13</v>
      </c>
      <c r="AG83" s="17">
        <f>HLOOKUP(AD83,Data!$B$4:$M$9,3,0)</f>
        <v>1</v>
      </c>
      <c r="AH83" s="17">
        <f>HLOOKUP(AE83,Data!$B$13:$I$18,3,0)</f>
        <v>260</v>
      </c>
      <c r="AI83" s="18">
        <f t="shared" si="90"/>
        <v>1.96</v>
      </c>
      <c r="AJ83" s="17">
        <f t="shared" si="91"/>
        <v>0.45733333333333298</v>
      </c>
      <c r="AK83" s="17">
        <f t="shared" si="92"/>
        <v>0.45733333333333298</v>
      </c>
      <c r="AL83" s="17">
        <f t="shared" si="93"/>
        <v>0.25</v>
      </c>
      <c r="AM83" s="17">
        <f t="shared" si="94"/>
        <v>0.59</v>
      </c>
      <c r="AN83" s="17">
        <f t="shared" si="95"/>
        <v>0.59</v>
      </c>
      <c r="AO83" s="17">
        <f t="shared" si="96"/>
        <v>0.59</v>
      </c>
      <c r="AP83" s="17">
        <f t="shared" si="97"/>
        <v>0.59</v>
      </c>
      <c r="AQ83" s="17">
        <f t="shared" si="98"/>
        <v>1.88</v>
      </c>
      <c r="AR83" s="17">
        <f t="shared" si="99"/>
        <v>1.4416</v>
      </c>
      <c r="AS83" s="17">
        <f t="shared" si="100"/>
        <v>122.359324578327</v>
      </c>
      <c r="AT83" s="17">
        <f t="shared" si="101"/>
        <v>-34.325176339905099</v>
      </c>
      <c r="AU83" s="17">
        <f t="shared" si="102"/>
        <v>3.3067186374039399</v>
      </c>
      <c r="AV83" s="17">
        <f t="shared" si="103"/>
        <v>105.64259959629599</v>
      </c>
      <c r="AW83" s="17">
        <f t="shared" si="104"/>
        <v>-28.592254661145301</v>
      </c>
      <c r="AX83" s="17">
        <f t="shared" si="105"/>
        <v>2.7864041629044398</v>
      </c>
      <c r="AY83" s="17">
        <f t="shared" si="106"/>
        <v>165.31371146993899</v>
      </c>
      <c r="AZ83" s="17">
        <f t="shared" si="107"/>
        <v>0.74274218141535198</v>
      </c>
      <c r="BA83" s="17">
        <f t="shared" si="108"/>
        <v>83.028226825677095</v>
      </c>
      <c r="BB83" s="17">
        <f t="shared" si="109"/>
        <v>143.11151325769401</v>
      </c>
      <c r="BC83" s="17">
        <f t="shared" si="110"/>
        <v>5.88705775893441</v>
      </c>
      <c r="BD83" s="17">
        <f t="shared" si="111"/>
        <v>74.499285508314301</v>
      </c>
      <c r="BE83" s="17" t="str">
        <f>IF(AND(BD83&lt;=AA83,BB83&lt;=AA83*MongDon!$J$44,BC83&gt;0),"Ok","FAIL")</f>
        <v>Ok</v>
      </c>
      <c r="BF83" s="17">
        <f t="shared" si="112"/>
        <v>238.316246455064</v>
      </c>
      <c r="BG83" s="17">
        <f t="shared" si="113"/>
        <v>352.5</v>
      </c>
      <c r="BH83" s="17" t="str">
        <f t="shared" si="114"/>
        <v>Ok</v>
      </c>
      <c r="BI83" s="17">
        <f t="shared" si="115"/>
        <v>75.247639914637901</v>
      </c>
      <c r="BJ83" s="17">
        <f t="shared" si="116"/>
        <v>42.963122714075404</v>
      </c>
      <c r="BK83" s="17">
        <f t="shared" si="117"/>
        <v>3.7952320234067898</v>
      </c>
      <c r="BL83" s="17">
        <f t="shared" si="118"/>
        <v>36.079749223969202</v>
      </c>
      <c r="BM83" s="17">
        <f t="shared" si="119"/>
        <v>88.125</v>
      </c>
      <c r="BN83" s="17">
        <f t="shared" si="120"/>
        <v>88.125</v>
      </c>
      <c r="BO83" s="17">
        <f t="shared" si="121"/>
        <v>88.125</v>
      </c>
      <c r="BP83" s="17">
        <f t="shared" si="122"/>
        <v>88.125</v>
      </c>
      <c r="BQ83" s="17" t="str">
        <f t="shared" si="123"/>
        <v>Ok</v>
      </c>
      <c r="BR83" s="17">
        <f t="shared" si="124"/>
        <v>64.451566273336894</v>
      </c>
      <c r="BS83" s="17">
        <f t="shared" si="125"/>
        <v>3.59498178000123</v>
      </c>
      <c r="BT83" s="16">
        <f>MongDon!$H$80</f>
        <v>1.2</v>
      </c>
      <c r="BU83" s="17" t="str">
        <f t="shared" si="126"/>
        <v>Ok</v>
      </c>
      <c r="BV83" s="17">
        <f t="shared" si="127"/>
        <v>3.2587371466694801</v>
      </c>
      <c r="BW83" s="16">
        <f>MongDon!$F$86</f>
        <v>1.5</v>
      </c>
      <c r="BX83" s="17" t="str">
        <f t="shared" si="128"/>
        <v>Ok</v>
      </c>
      <c r="BY83" s="17">
        <f t="shared" si="129"/>
        <v>150.852842793245</v>
      </c>
      <c r="BZ83" s="17">
        <f t="shared" si="130"/>
        <v>165.31371146993899</v>
      </c>
      <c r="CA83" s="17">
        <f t="shared" si="131"/>
        <v>15.203610858109</v>
      </c>
      <c r="CB83" s="17">
        <f t="shared" si="132"/>
        <v>0.74274218141535198</v>
      </c>
      <c r="CC83" s="17">
        <f t="shared" si="133"/>
        <v>95.958802984061094</v>
      </c>
      <c r="CD83" s="17">
        <f t="shared" si="134"/>
        <v>93.686380763437896</v>
      </c>
      <c r="CE83" s="17">
        <f t="shared" si="135"/>
        <v>95.958802984061094</v>
      </c>
      <c r="CF83" s="17">
        <f t="shared" si="136"/>
        <v>72.370072887916393</v>
      </c>
      <c r="CG83" s="17">
        <f t="shared" si="137"/>
        <v>24.749110874020499</v>
      </c>
      <c r="CH83" s="17">
        <f t="shared" si="138"/>
        <v>24.749110874020499</v>
      </c>
      <c r="CI83" s="17">
        <f t="shared" si="139"/>
        <v>423.061724342231</v>
      </c>
      <c r="CJ83" s="17">
        <f t="shared" si="140"/>
        <v>423.061724342231</v>
      </c>
    </row>
    <row r="84" spans="2:88">
      <c r="B84" s="3">
        <v>17</v>
      </c>
      <c r="C84" s="3" t="s">
        <v>23</v>
      </c>
      <c r="D84" s="4">
        <v>9.80202987273954E-2</v>
      </c>
      <c r="E84" s="4">
        <v>1.8709720281278499</v>
      </c>
      <c r="F84" s="4">
        <v>125.145974845688</v>
      </c>
      <c r="G84" s="4">
        <v>-1.99115152549204</v>
      </c>
      <c r="H84" s="4">
        <v>0.170788125706061</v>
      </c>
      <c r="I84" s="4" t="s">
        <v>13</v>
      </c>
      <c r="J84" s="4">
        <v>8.4378800238610094E-2</v>
      </c>
      <c r="K84" s="4">
        <v>1.59667293921314</v>
      </c>
      <c r="L84" s="4">
        <v>107.304337675733</v>
      </c>
      <c r="M84" s="4">
        <v>-1.7013595321006101</v>
      </c>
      <c r="N84" s="4">
        <v>0.145715801440301</v>
      </c>
      <c r="O84" s="4">
        <v>1.2</v>
      </c>
      <c r="P84" s="4">
        <v>1.2</v>
      </c>
      <c r="Q84" s="4">
        <v>0.22</v>
      </c>
      <c r="R84" s="4">
        <v>0.22</v>
      </c>
      <c r="S84" s="4">
        <v>0</v>
      </c>
      <c r="T84" s="4">
        <v>0</v>
      </c>
      <c r="U84" s="4">
        <v>0.3</v>
      </c>
      <c r="V84" s="4">
        <v>0.05</v>
      </c>
      <c r="W84" s="4">
        <v>1</v>
      </c>
      <c r="X84" s="4">
        <v>19.100000000000001</v>
      </c>
      <c r="Y84" s="4">
        <v>0</v>
      </c>
      <c r="Z84" s="4">
        <v>1.5</v>
      </c>
      <c r="AA84" s="4">
        <v>139</v>
      </c>
      <c r="AB84" s="4">
        <v>12.1</v>
      </c>
      <c r="AC84" s="4">
        <v>19.5</v>
      </c>
      <c r="AD84" s="3" t="s">
        <v>42</v>
      </c>
      <c r="AE84" s="3" t="s">
        <v>61</v>
      </c>
      <c r="AF84" s="17">
        <f>HLOOKUP(AD84,Data!$B$4:$M$9,2,0)</f>
        <v>13</v>
      </c>
      <c r="AG84" s="17">
        <f>HLOOKUP(AD84,Data!$B$4:$M$9,3,0)</f>
        <v>1</v>
      </c>
      <c r="AH84" s="17">
        <f>HLOOKUP(AE84,Data!$B$13:$I$18,3,0)</f>
        <v>260</v>
      </c>
      <c r="AI84" s="18">
        <f t="shared" si="90"/>
        <v>1.44</v>
      </c>
      <c r="AJ84" s="17">
        <f t="shared" si="91"/>
        <v>0.28799999999999998</v>
      </c>
      <c r="AK84" s="17">
        <f t="shared" si="92"/>
        <v>0.28799999999999998</v>
      </c>
      <c r="AL84" s="17">
        <f t="shared" si="93"/>
        <v>0.25</v>
      </c>
      <c r="AM84" s="17">
        <f t="shared" si="94"/>
        <v>0.49</v>
      </c>
      <c r="AN84" s="17">
        <f t="shared" si="95"/>
        <v>0.49</v>
      </c>
      <c r="AO84" s="17">
        <f t="shared" si="96"/>
        <v>0.49</v>
      </c>
      <c r="AP84" s="17">
        <f t="shared" si="97"/>
        <v>0.49</v>
      </c>
      <c r="AQ84" s="17">
        <f t="shared" si="98"/>
        <v>1.88</v>
      </c>
      <c r="AR84" s="17">
        <f t="shared" si="99"/>
        <v>0.92159999999999997</v>
      </c>
      <c r="AS84" s="17">
        <f t="shared" si="100"/>
        <v>125.145974845688</v>
      </c>
      <c r="AT84" s="17">
        <f t="shared" si="101"/>
        <v>-2.5524431339303999</v>
      </c>
      <c r="AU84" s="17">
        <f t="shared" si="102"/>
        <v>0.20019421532428</v>
      </c>
      <c r="AV84" s="17">
        <f t="shared" si="103"/>
        <v>107.304337675733</v>
      </c>
      <c r="AW84" s="17">
        <f t="shared" si="104"/>
        <v>-2.1803614138645599</v>
      </c>
      <c r="AX84" s="17">
        <f t="shared" si="105"/>
        <v>0.17102944151188401</v>
      </c>
      <c r="AY84" s="17">
        <f t="shared" si="106"/>
        <v>117.064695549973</v>
      </c>
      <c r="AZ84" s="17">
        <f t="shared" si="107"/>
        <v>97.949158402371495</v>
      </c>
      <c r="BA84" s="17">
        <f t="shared" si="108"/>
        <v>107.50692697617301</v>
      </c>
      <c r="BB84" s="17">
        <f t="shared" si="109"/>
        <v>103.281452744871</v>
      </c>
      <c r="BC84" s="17">
        <f t="shared" si="110"/>
        <v>86.952349582535007</v>
      </c>
      <c r="BD84" s="17">
        <f t="shared" si="111"/>
        <v>95.116901163703304</v>
      </c>
      <c r="BE84" s="17" t="str">
        <f>IF(AND(BD84&lt;=AA84,BB84&lt;=AA84*MongDon!$J$44,BC84&gt;0),"Ok","FAIL")</f>
        <v>Ok</v>
      </c>
      <c r="BF84" s="17">
        <f t="shared" si="112"/>
        <v>107.886823418856</v>
      </c>
      <c r="BG84" s="17">
        <f t="shared" si="113"/>
        <v>352.5</v>
      </c>
      <c r="BH84" s="17" t="str">
        <f t="shared" si="114"/>
        <v>Ok</v>
      </c>
      <c r="BI84" s="17">
        <f t="shared" si="115"/>
        <v>33.514438103068102</v>
      </c>
      <c r="BJ84" s="17">
        <f t="shared" si="116"/>
        <v>31.162189184462001</v>
      </c>
      <c r="BK84" s="17">
        <f t="shared" si="117"/>
        <v>28.409551835207299</v>
      </c>
      <c r="BL84" s="17">
        <f t="shared" si="118"/>
        <v>30.7618007538134</v>
      </c>
      <c r="BM84" s="17">
        <f t="shared" si="119"/>
        <v>88.125</v>
      </c>
      <c r="BN84" s="17">
        <f t="shared" si="120"/>
        <v>88.125</v>
      </c>
      <c r="BO84" s="17">
        <f t="shared" si="121"/>
        <v>88.125</v>
      </c>
      <c r="BP84" s="17">
        <f t="shared" si="122"/>
        <v>88.125</v>
      </c>
      <c r="BQ84" s="17" t="str">
        <f t="shared" si="123"/>
        <v>Ok</v>
      </c>
      <c r="BR84" s="17">
        <f t="shared" si="124"/>
        <v>54.908972326539697</v>
      </c>
      <c r="BS84" s="17">
        <f t="shared" si="125"/>
        <v>29.3478317692879</v>
      </c>
      <c r="BT84" s="16">
        <f>MongDon!$H$80</f>
        <v>1.2</v>
      </c>
      <c r="BU84" s="17" t="str">
        <f t="shared" si="126"/>
        <v>Ok</v>
      </c>
      <c r="BV84" s="17">
        <f t="shared" si="127"/>
        <v>35.883261683631503</v>
      </c>
      <c r="BW84" s="16">
        <f>MongDon!$F$86</f>
        <v>1.5</v>
      </c>
      <c r="BX84" s="17" t="str">
        <f t="shared" si="128"/>
        <v>Ok</v>
      </c>
      <c r="BY84" s="17">
        <f t="shared" si="129"/>
        <v>115.674457943555</v>
      </c>
      <c r="BZ84" s="17">
        <f t="shared" si="130"/>
        <v>117.064695549973</v>
      </c>
      <c r="CA84" s="17">
        <f t="shared" si="131"/>
        <v>99.339396008790104</v>
      </c>
      <c r="CB84" s="17">
        <f t="shared" si="132"/>
        <v>97.949158402371495</v>
      </c>
      <c r="CC84" s="17">
        <f t="shared" si="133"/>
        <v>109.259184548036</v>
      </c>
      <c r="CD84" s="17">
        <f t="shared" si="134"/>
        <v>109.004307653526</v>
      </c>
      <c r="CE84" s="17">
        <f t="shared" si="135"/>
        <v>109.259184548036</v>
      </c>
      <c r="CF84" s="17">
        <f t="shared" si="136"/>
        <v>106.009546298819</v>
      </c>
      <c r="CG84" s="17">
        <f t="shared" si="137"/>
        <v>13.741266168846799</v>
      </c>
      <c r="CH84" s="17">
        <f t="shared" si="138"/>
        <v>13.741266168846799</v>
      </c>
      <c r="CI84" s="17">
        <f t="shared" si="139"/>
        <v>250</v>
      </c>
      <c r="CJ84" s="17">
        <f t="shared" si="140"/>
        <v>250</v>
      </c>
    </row>
    <row r="85" spans="2:88">
      <c r="B85" s="3">
        <v>17</v>
      </c>
      <c r="C85" s="3" t="s">
        <v>24</v>
      </c>
      <c r="D85" s="4">
        <v>0.108427535657244</v>
      </c>
      <c r="E85" s="4">
        <v>2.1002356181146502</v>
      </c>
      <c r="F85" s="4">
        <v>139.36838165045299</v>
      </c>
      <c r="G85" s="4">
        <v>-2.23046360585478</v>
      </c>
      <c r="H85" s="4">
        <v>0.19178961394952199</v>
      </c>
      <c r="I85" s="4" t="s">
        <v>14</v>
      </c>
      <c r="J85" s="4">
        <v>9.3051497680150599E-2</v>
      </c>
      <c r="K85" s="4">
        <v>1.7877259308688001</v>
      </c>
      <c r="L85" s="4">
        <v>119.15634334636999</v>
      </c>
      <c r="M85" s="4">
        <v>-1.90078626573623</v>
      </c>
      <c r="N85" s="4">
        <v>0.16321704164318501</v>
      </c>
      <c r="O85" s="4">
        <v>1.2</v>
      </c>
      <c r="P85" s="4">
        <v>1.2</v>
      </c>
      <c r="Q85" s="4">
        <v>0.22</v>
      </c>
      <c r="R85" s="4">
        <v>0.22</v>
      </c>
      <c r="S85" s="4">
        <v>0</v>
      </c>
      <c r="T85" s="4">
        <v>0</v>
      </c>
      <c r="U85" s="4">
        <v>0.3</v>
      </c>
      <c r="V85" s="4">
        <v>0.05</v>
      </c>
      <c r="W85" s="4">
        <v>1</v>
      </c>
      <c r="X85" s="4">
        <v>19.100000000000001</v>
      </c>
      <c r="Y85" s="4">
        <v>0</v>
      </c>
      <c r="Z85" s="4">
        <v>1.5</v>
      </c>
      <c r="AA85" s="4">
        <v>139</v>
      </c>
      <c r="AB85" s="4">
        <v>12.1</v>
      </c>
      <c r="AC85" s="4">
        <v>19.5</v>
      </c>
      <c r="AD85" s="3" t="s">
        <v>42</v>
      </c>
      <c r="AE85" s="3" t="s">
        <v>61</v>
      </c>
      <c r="AF85" s="17">
        <f>HLOOKUP(AD85,Data!$B$4:$M$9,2,0)</f>
        <v>13</v>
      </c>
      <c r="AG85" s="17">
        <f>HLOOKUP(AD85,Data!$B$4:$M$9,3,0)</f>
        <v>1</v>
      </c>
      <c r="AH85" s="17">
        <f>HLOOKUP(AE85,Data!$B$13:$I$18,3,0)</f>
        <v>260</v>
      </c>
      <c r="AI85" s="18">
        <f t="shared" si="90"/>
        <v>1.44</v>
      </c>
      <c r="AJ85" s="17">
        <f t="shared" si="91"/>
        <v>0.28799999999999998</v>
      </c>
      <c r="AK85" s="17">
        <f t="shared" si="92"/>
        <v>0.28799999999999998</v>
      </c>
      <c r="AL85" s="17">
        <f t="shared" si="93"/>
        <v>0.25</v>
      </c>
      <c r="AM85" s="17">
        <f t="shared" si="94"/>
        <v>0.49</v>
      </c>
      <c r="AN85" s="17">
        <f t="shared" si="95"/>
        <v>0.49</v>
      </c>
      <c r="AO85" s="17">
        <f t="shared" si="96"/>
        <v>0.49</v>
      </c>
      <c r="AP85" s="17">
        <f t="shared" si="97"/>
        <v>0.49</v>
      </c>
      <c r="AQ85" s="17">
        <f t="shared" si="98"/>
        <v>1.88</v>
      </c>
      <c r="AR85" s="17">
        <f t="shared" si="99"/>
        <v>0.92159999999999997</v>
      </c>
      <c r="AS85" s="17">
        <f t="shared" si="100"/>
        <v>139.36838165045299</v>
      </c>
      <c r="AT85" s="17">
        <f t="shared" si="101"/>
        <v>-2.86053429128917</v>
      </c>
      <c r="AU85" s="17">
        <f t="shared" si="102"/>
        <v>0.224317874646695</v>
      </c>
      <c r="AV85" s="17">
        <f t="shared" si="103"/>
        <v>119.15634334636999</v>
      </c>
      <c r="AW85" s="17">
        <f t="shared" si="104"/>
        <v>-2.4371040449968699</v>
      </c>
      <c r="AX85" s="17">
        <f t="shared" si="105"/>
        <v>0.19113249094723</v>
      </c>
      <c r="AY85" s="17">
        <f t="shared" si="106"/>
        <v>128.094890611203</v>
      </c>
      <c r="AZ85" s="17">
        <f t="shared" si="107"/>
        <v>106.67230612553701</v>
      </c>
      <c r="BA85" s="17">
        <f t="shared" si="108"/>
        <v>117.38359836837</v>
      </c>
      <c r="BB85" s="17">
        <f t="shared" si="109"/>
        <v>112.47328196256299</v>
      </c>
      <c r="BC85" s="17">
        <f t="shared" si="110"/>
        <v>94.221639351839997</v>
      </c>
      <c r="BD85" s="17">
        <f t="shared" si="111"/>
        <v>103.347460657201</v>
      </c>
      <c r="BE85" s="17" t="str">
        <f>IF(AND(BD85&lt;=AA85,BB85&lt;=AA85*MongDon!$J$44,BC85&gt;0),"Ok","FAIL")</f>
        <v>Ok</v>
      </c>
      <c r="BF85" s="17">
        <f t="shared" si="112"/>
        <v>118.05225118728499</v>
      </c>
      <c r="BG85" s="17">
        <f t="shared" si="113"/>
        <v>352.5</v>
      </c>
      <c r="BH85" s="17" t="str">
        <f t="shared" si="114"/>
        <v>Ok</v>
      </c>
      <c r="BI85" s="17">
        <f t="shared" si="115"/>
        <v>36.667010621379802</v>
      </c>
      <c r="BJ85" s="17">
        <f t="shared" si="116"/>
        <v>34.030794204737298</v>
      </c>
      <c r="BK85" s="17">
        <f t="shared" si="117"/>
        <v>30.945942038801501</v>
      </c>
      <c r="BL85" s="17">
        <f t="shared" si="118"/>
        <v>33.582158455443903</v>
      </c>
      <c r="BM85" s="17">
        <f t="shared" si="119"/>
        <v>88.125</v>
      </c>
      <c r="BN85" s="17">
        <f t="shared" si="120"/>
        <v>88.125</v>
      </c>
      <c r="BO85" s="17">
        <f t="shared" si="121"/>
        <v>88.125</v>
      </c>
      <c r="BP85" s="17">
        <f t="shared" si="122"/>
        <v>88.125</v>
      </c>
      <c r="BQ85" s="17" t="str">
        <f t="shared" si="123"/>
        <v>Ok</v>
      </c>
      <c r="BR85" s="17">
        <f t="shared" si="124"/>
        <v>57.957992153604202</v>
      </c>
      <c r="BS85" s="17">
        <f t="shared" si="125"/>
        <v>27.595947642118499</v>
      </c>
      <c r="BT85" s="16">
        <f>MongDon!$H$80</f>
        <v>1.2</v>
      </c>
      <c r="BU85" s="17" t="str">
        <f t="shared" si="126"/>
        <v>Ok</v>
      </c>
      <c r="BV85" s="17">
        <f t="shared" si="127"/>
        <v>35.001653116050797</v>
      </c>
      <c r="BW85" s="16">
        <f>MongDon!$F$86</f>
        <v>1.5</v>
      </c>
      <c r="BX85" s="17" t="str">
        <f t="shared" si="128"/>
        <v>Ok</v>
      </c>
      <c r="BY85" s="17">
        <f t="shared" si="129"/>
        <v>126.537127592823</v>
      </c>
      <c r="BZ85" s="17">
        <f t="shared" si="130"/>
        <v>128.094890611203</v>
      </c>
      <c r="CA85" s="17">
        <f t="shared" si="131"/>
        <v>108.23006914391701</v>
      </c>
      <c r="CB85" s="17">
        <f t="shared" si="132"/>
        <v>106.67230612553701</v>
      </c>
      <c r="CC85" s="17">
        <f t="shared" si="133"/>
        <v>119.34733527955601</v>
      </c>
      <c r="CD85" s="17">
        <f t="shared" si="134"/>
        <v>119.061745392853</v>
      </c>
      <c r="CE85" s="17">
        <f t="shared" si="135"/>
        <v>119.34733527955601</v>
      </c>
      <c r="CF85" s="17">
        <f t="shared" si="136"/>
        <v>115.70545134388701</v>
      </c>
      <c r="CG85" s="17">
        <f t="shared" si="137"/>
        <v>15.027743612020201</v>
      </c>
      <c r="CH85" s="17">
        <f t="shared" si="138"/>
        <v>15.027743612020201</v>
      </c>
      <c r="CI85" s="17">
        <f t="shared" si="139"/>
        <v>256.88450618837999</v>
      </c>
      <c r="CJ85" s="17">
        <f t="shared" si="140"/>
        <v>256.88450618837999</v>
      </c>
    </row>
    <row r="86" spans="2:88">
      <c r="B86" s="3">
        <v>17</v>
      </c>
      <c r="C86" s="3" t="s">
        <v>25</v>
      </c>
      <c r="D86" s="4">
        <v>-4.3590707924444603</v>
      </c>
      <c r="E86" s="4">
        <v>1.99097497153194</v>
      </c>
      <c r="F86" s="4">
        <v>137.61413440821599</v>
      </c>
      <c r="G86" s="4">
        <v>-2.1038892932717999</v>
      </c>
      <c r="H86" s="4">
        <v>-6.7574054105888299</v>
      </c>
      <c r="I86" s="4" t="s">
        <v>15</v>
      </c>
      <c r="J86" s="4">
        <v>-3.6298637757379302</v>
      </c>
      <c r="K86" s="4">
        <v>1.69667539204988</v>
      </c>
      <c r="L86" s="4">
        <v>117.694470644506</v>
      </c>
      <c r="M86" s="4">
        <v>-1.79530767191708</v>
      </c>
      <c r="N86" s="4">
        <v>-5.6277788121387697</v>
      </c>
      <c r="O86" s="4">
        <v>1.2</v>
      </c>
      <c r="P86" s="4">
        <v>1.2</v>
      </c>
      <c r="Q86" s="4">
        <v>0.22</v>
      </c>
      <c r="R86" s="4">
        <v>0.22</v>
      </c>
      <c r="S86" s="4">
        <v>0</v>
      </c>
      <c r="T86" s="4">
        <v>0</v>
      </c>
      <c r="U86" s="4">
        <v>0.3</v>
      </c>
      <c r="V86" s="4">
        <v>0.05</v>
      </c>
      <c r="W86" s="4">
        <v>1</v>
      </c>
      <c r="X86" s="4">
        <v>19.100000000000001</v>
      </c>
      <c r="Y86" s="4">
        <v>0</v>
      </c>
      <c r="Z86" s="4">
        <v>1.5</v>
      </c>
      <c r="AA86" s="4">
        <v>139</v>
      </c>
      <c r="AB86" s="4">
        <v>12.1</v>
      </c>
      <c r="AC86" s="4">
        <v>19.5</v>
      </c>
      <c r="AD86" s="3" t="s">
        <v>42</v>
      </c>
      <c r="AE86" s="3" t="s">
        <v>61</v>
      </c>
      <c r="AF86" s="17">
        <f>HLOOKUP(AD86,Data!$B$4:$M$9,2,0)</f>
        <v>13</v>
      </c>
      <c r="AG86" s="17">
        <f>HLOOKUP(AD86,Data!$B$4:$M$9,3,0)</f>
        <v>1</v>
      </c>
      <c r="AH86" s="17">
        <f>HLOOKUP(AE86,Data!$B$13:$I$18,3,0)</f>
        <v>260</v>
      </c>
      <c r="AI86" s="18">
        <f t="shared" si="90"/>
        <v>1.44</v>
      </c>
      <c r="AJ86" s="17">
        <f t="shared" si="91"/>
        <v>0.28799999999999998</v>
      </c>
      <c r="AK86" s="17">
        <f t="shared" si="92"/>
        <v>0.28799999999999998</v>
      </c>
      <c r="AL86" s="17">
        <f t="shared" si="93"/>
        <v>0.25</v>
      </c>
      <c r="AM86" s="17">
        <f t="shared" si="94"/>
        <v>0.49</v>
      </c>
      <c r="AN86" s="17">
        <f t="shared" si="95"/>
        <v>0.49</v>
      </c>
      <c r="AO86" s="17">
        <f t="shared" si="96"/>
        <v>0.49</v>
      </c>
      <c r="AP86" s="17">
        <f t="shared" si="97"/>
        <v>0.49</v>
      </c>
      <c r="AQ86" s="17">
        <f t="shared" si="98"/>
        <v>1.88</v>
      </c>
      <c r="AR86" s="17">
        <f t="shared" si="99"/>
        <v>0.92159999999999997</v>
      </c>
      <c r="AS86" s="17">
        <f t="shared" si="100"/>
        <v>137.61413440821599</v>
      </c>
      <c r="AT86" s="17">
        <f t="shared" si="101"/>
        <v>-2.7011817847313799</v>
      </c>
      <c r="AU86" s="17">
        <f t="shared" si="102"/>
        <v>-8.0651266483221704</v>
      </c>
      <c r="AV86" s="17">
        <f t="shared" si="103"/>
        <v>117.694470644506</v>
      </c>
      <c r="AW86" s="17">
        <f t="shared" si="104"/>
        <v>-2.3043102895320402</v>
      </c>
      <c r="AX86" s="17">
        <f t="shared" si="105"/>
        <v>-6.7167379448601503</v>
      </c>
      <c r="AY86" s="17">
        <f t="shared" si="106"/>
        <v>153.54838650936401</v>
      </c>
      <c r="AZ86" s="17">
        <f t="shared" si="107"/>
        <v>78.782355724269607</v>
      </c>
      <c r="BA86" s="17">
        <f t="shared" si="108"/>
        <v>116.165371116817</v>
      </c>
      <c r="BB86" s="17">
        <f t="shared" si="109"/>
        <v>133.65535542810201</v>
      </c>
      <c r="BC86" s="17">
        <f t="shared" si="110"/>
        <v>71.009187133711606</v>
      </c>
      <c r="BD86" s="17">
        <f t="shared" si="111"/>
        <v>102.33227128090699</v>
      </c>
      <c r="BE86" s="17" t="str">
        <f>IF(AND(BD86&lt;=AA86,BB86&lt;=AA86*MongDon!$J$44,BC86&gt;0),"Ok","FAIL")</f>
        <v>Ok</v>
      </c>
      <c r="BF86" s="17">
        <f t="shared" si="112"/>
        <v>141.51019300703001</v>
      </c>
      <c r="BG86" s="17">
        <f t="shared" si="113"/>
        <v>352.5</v>
      </c>
      <c r="BH86" s="17" t="str">
        <f t="shared" si="114"/>
        <v>Ok</v>
      </c>
      <c r="BI86" s="17">
        <f t="shared" si="115"/>
        <v>36.156808666374602</v>
      </c>
      <c r="BJ86" s="17">
        <f t="shared" si="116"/>
        <v>25.390500233320999</v>
      </c>
      <c r="BK86" s="17">
        <f t="shared" si="117"/>
        <v>30.754445096911802</v>
      </c>
      <c r="BL86" s="17">
        <f t="shared" si="118"/>
        <v>41.520753529965397</v>
      </c>
      <c r="BM86" s="17">
        <f t="shared" si="119"/>
        <v>88.125</v>
      </c>
      <c r="BN86" s="17">
        <f t="shared" si="120"/>
        <v>88.125</v>
      </c>
      <c r="BO86" s="17">
        <f t="shared" si="121"/>
        <v>88.125</v>
      </c>
      <c r="BP86" s="17">
        <f t="shared" si="122"/>
        <v>88.125</v>
      </c>
      <c r="BQ86" s="17" t="str">
        <f t="shared" si="123"/>
        <v>Ok</v>
      </c>
      <c r="BR86" s="17">
        <f t="shared" si="124"/>
        <v>57.581914131327203</v>
      </c>
      <c r="BS86" s="17">
        <f t="shared" si="125"/>
        <v>13.209676298704199</v>
      </c>
      <c r="BT86" s="16">
        <f>MongDon!$H$80</f>
        <v>1.2</v>
      </c>
      <c r="BU86" s="17" t="str">
        <f t="shared" si="126"/>
        <v>Ok</v>
      </c>
      <c r="BV86" s="17">
        <f t="shared" si="127"/>
        <v>12.283859257875401</v>
      </c>
      <c r="BW86" s="16">
        <f>MongDon!$F$86</f>
        <v>1.5</v>
      </c>
      <c r="BX86" s="17" t="str">
        <f t="shared" si="128"/>
        <v>Ok</v>
      </c>
      <c r="BY86" s="17">
        <f t="shared" si="129"/>
        <v>153.54838650936401</v>
      </c>
      <c r="BZ86" s="17">
        <f t="shared" si="130"/>
        <v>97.540562562681998</v>
      </c>
      <c r="CA86" s="17">
        <f t="shared" si="131"/>
        <v>78.782355724269607</v>
      </c>
      <c r="CB86" s="17">
        <f t="shared" si="132"/>
        <v>134.79017967095101</v>
      </c>
      <c r="CC86" s="17">
        <f t="shared" si="133"/>
        <v>112.75082288189201</v>
      </c>
      <c r="CD86" s="17">
        <f t="shared" si="134"/>
        <v>123.018923938784</v>
      </c>
      <c r="CE86" s="17">
        <f t="shared" si="135"/>
        <v>123.018923938784</v>
      </c>
      <c r="CF86" s="17">
        <f t="shared" si="136"/>
        <v>119.579919351741</v>
      </c>
      <c r="CG86" s="17">
        <f t="shared" si="137"/>
        <v>17.211796473249699</v>
      </c>
      <c r="CH86" s="17">
        <f t="shared" si="138"/>
        <v>17.211796473249699</v>
      </c>
      <c r="CI86" s="17">
        <f t="shared" si="139"/>
        <v>294.218743132474</v>
      </c>
      <c r="CJ86" s="17">
        <f t="shared" si="140"/>
        <v>294.218743132474</v>
      </c>
    </row>
    <row r="87" spans="2:88">
      <c r="B87" s="3">
        <v>17</v>
      </c>
      <c r="C87" s="3" t="s">
        <v>26</v>
      </c>
      <c r="D87" s="4">
        <v>4.5738444163729799</v>
      </c>
      <c r="E87" s="4">
        <v>2.1636435466999999</v>
      </c>
      <c r="F87" s="4">
        <v>138.27814753173701</v>
      </c>
      <c r="G87" s="4">
        <v>-2.3091755023651999</v>
      </c>
      <c r="H87" s="4">
        <v>7.1367843408391796</v>
      </c>
      <c r="I87" s="4" t="s">
        <v>16</v>
      </c>
      <c r="J87" s="4">
        <v>3.81423223160993</v>
      </c>
      <c r="K87" s="4">
        <v>1.8405658713566</v>
      </c>
      <c r="L87" s="4">
        <v>118.247814914107</v>
      </c>
      <c r="M87" s="4">
        <v>-1.96637951282825</v>
      </c>
      <c r="N87" s="4">
        <v>5.9507126473845604</v>
      </c>
      <c r="O87" s="4">
        <v>1.2</v>
      </c>
      <c r="P87" s="4">
        <v>1.2</v>
      </c>
      <c r="Q87" s="4">
        <v>0.22</v>
      </c>
      <c r="R87" s="4">
        <v>0.22</v>
      </c>
      <c r="S87" s="4">
        <v>0</v>
      </c>
      <c r="T87" s="4">
        <v>0</v>
      </c>
      <c r="U87" s="4">
        <v>0.3</v>
      </c>
      <c r="V87" s="4">
        <v>0.05</v>
      </c>
      <c r="W87" s="4">
        <v>1</v>
      </c>
      <c r="X87" s="4">
        <v>19.100000000000001</v>
      </c>
      <c r="Y87" s="4">
        <v>0</v>
      </c>
      <c r="Z87" s="4">
        <v>1.5</v>
      </c>
      <c r="AA87" s="4">
        <v>139</v>
      </c>
      <c r="AB87" s="4">
        <v>12.1</v>
      </c>
      <c r="AC87" s="4">
        <v>19.5</v>
      </c>
      <c r="AD87" s="3" t="s">
        <v>42</v>
      </c>
      <c r="AE87" s="3" t="s">
        <v>61</v>
      </c>
      <c r="AF87" s="17">
        <f>HLOOKUP(AD87,Data!$B$4:$M$9,2,0)</f>
        <v>13</v>
      </c>
      <c r="AG87" s="17">
        <f>HLOOKUP(AD87,Data!$B$4:$M$9,3,0)</f>
        <v>1</v>
      </c>
      <c r="AH87" s="17">
        <f>HLOOKUP(AE87,Data!$B$13:$I$18,3,0)</f>
        <v>260</v>
      </c>
      <c r="AI87" s="18">
        <f t="shared" si="90"/>
        <v>1.44</v>
      </c>
      <c r="AJ87" s="17">
        <f t="shared" si="91"/>
        <v>0.28799999999999998</v>
      </c>
      <c r="AK87" s="17">
        <f t="shared" si="92"/>
        <v>0.28799999999999998</v>
      </c>
      <c r="AL87" s="17">
        <f t="shared" si="93"/>
        <v>0.25</v>
      </c>
      <c r="AM87" s="17">
        <f t="shared" si="94"/>
        <v>0.49</v>
      </c>
      <c r="AN87" s="17">
        <f t="shared" si="95"/>
        <v>0.49</v>
      </c>
      <c r="AO87" s="17">
        <f t="shared" si="96"/>
        <v>0.49</v>
      </c>
      <c r="AP87" s="17">
        <f t="shared" si="97"/>
        <v>0.49</v>
      </c>
      <c r="AQ87" s="17">
        <f t="shared" si="98"/>
        <v>1.88</v>
      </c>
      <c r="AR87" s="17">
        <f t="shared" si="99"/>
        <v>0.92159999999999997</v>
      </c>
      <c r="AS87" s="17">
        <f t="shared" si="100"/>
        <v>138.27814753173701</v>
      </c>
      <c r="AT87" s="17">
        <f t="shared" si="101"/>
        <v>-2.9582685663752</v>
      </c>
      <c r="AU87" s="17">
        <f t="shared" si="102"/>
        <v>8.5089376657510698</v>
      </c>
      <c r="AV87" s="17">
        <f t="shared" si="103"/>
        <v>118.247814914107</v>
      </c>
      <c r="AW87" s="17">
        <f t="shared" si="104"/>
        <v>-2.5185492742352298</v>
      </c>
      <c r="AX87" s="17">
        <f t="shared" si="105"/>
        <v>7.0949823168675401</v>
      </c>
      <c r="AY87" s="17">
        <f t="shared" si="106"/>
        <v>156.44317964747799</v>
      </c>
      <c r="AZ87" s="17">
        <f t="shared" si="107"/>
        <v>76.809803035490305</v>
      </c>
      <c r="BA87" s="17">
        <f t="shared" si="108"/>
        <v>116.626491341484</v>
      </c>
      <c r="BB87" s="17">
        <f t="shared" si="109"/>
        <v>136.09685615945901</v>
      </c>
      <c r="BC87" s="17">
        <f t="shared" si="110"/>
        <v>69.336220110134093</v>
      </c>
      <c r="BD87" s="17">
        <f t="shared" si="111"/>
        <v>102.716538134796</v>
      </c>
      <c r="BE87" s="17" t="str">
        <f>IF(AND(BD87&lt;=AA87,BB87&lt;=AA87*MongDon!$J$44,BC87&gt;0),"Ok","FAIL")</f>
        <v>Ok</v>
      </c>
      <c r="BF87" s="17">
        <f t="shared" si="112"/>
        <v>144.17803436311601</v>
      </c>
      <c r="BG87" s="17">
        <f t="shared" si="113"/>
        <v>352.5</v>
      </c>
      <c r="BH87" s="17" t="str">
        <f t="shared" si="114"/>
        <v>Ok</v>
      </c>
      <c r="BI87" s="17">
        <f t="shared" si="115"/>
        <v>36.546698072722698</v>
      </c>
      <c r="BJ87" s="17">
        <f t="shared" si="116"/>
        <v>42.0973671720986</v>
      </c>
      <c r="BK87" s="17">
        <f t="shared" si="117"/>
        <v>30.630160939972299</v>
      </c>
      <c r="BL87" s="17">
        <f t="shared" si="118"/>
        <v>25.0794918405964</v>
      </c>
      <c r="BM87" s="17">
        <f t="shared" si="119"/>
        <v>88.125</v>
      </c>
      <c r="BN87" s="17">
        <f t="shared" si="120"/>
        <v>88.125</v>
      </c>
      <c r="BO87" s="17">
        <f t="shared" si="121"/>
        <v>88.125</v>
      </c>
      <c r="BP87" s="17">
        <f t="shared" si="122"/>
        <v>88.125</v>
      </c>
      <c r="BQ87" s="17" t="str">
        <f t="shared" si="123"/>
        <v>Ok</v>
      </c>
      <c r="BR87" s="17">
        <f t="shared" si="124"/>
        <v>57.724266210468301</v>
      </c>
      <c r="BS87" s="17">
        <f t="shared" si="125"/>
        <v>12.620513720106601</v>
      </c>
      <c r="BT87" s="16">
        <f>MongDon!$H$80</f>
        <v>1.2</v>
      </c>
      <c r="BU87" s="17" t="str">
        <f t="shared" si="126"/>
        <v>Ok</v>
      </c>
      <c r="BV87" s="17">
        <f t="shared" si="127"/>
        <v>11.6899773422259</v>
      </c>
      <c r="BW87" s="16">
        <f>MongDon!$F$86</f>
        <v>1.5</v>
      </c>
      <c r="BX87" s="17" t="str">
        <f t="shared" si="128"/>
        <v>Ok</v>
      </c>
      <c r="BY87" s="17">
        <f t="shared" si="129"/>
        <v>97.353334746429297</v>
      </c>
      <c r="BZ87" s="17">
        <f t="shared" si="130"/>
        <v>156.44317964747799</v>
      </c>
      <c r="CA87" s="17">
        <f t="shared" si="131"/>
        <v>135.899647936539</v>
      </c>
      <c r="CB87" s="17">
        <f t="shared" si="132"/>
        <v>76.809803035490305</v>
      </c>
      <c r="CC87" s="17">
        <f t="shared" si="133"/>
        <v>123.926217530917</v>
      </c>
      <c r="CD87" s="17">
        <f t="shared" si="134"/>
        <v>113.093079299058</v>
      </c>
      <c r="CE87" s="17">
        <f t="shared" si="135"/>
        <v>123.926217530917</v>
      </c>
      <c r="CF87" s="17">
        <f t="shared" si="136"/>
        <v>120.159903383911</v>
      </c>
      <c r="CG87" s="17">
        <f t="shared" si="137"/>
        <v>17.4797832826487</v>
      </c>
      <c r="CH87" s="17">
        <f t="shared" si="138"/>
        <v>17.4797832826487</v>
      </c>
      <c r="CI87" s="17">
        <f t="shared" si="139"/>
        <v>298.79971423331102</v>
      </c>
      <c r="CJ87" s="17">
        <f t="shared" si="140"/>
        <v>298.79971423331102</v>
      </c>
    </row>
    <row r="88" spans="2:88">
      <c r="B88" s="3">
        <v>17</v>
      </c>
      <c r="C88" s="3" t="s">
        <v>27</v>
      </c>
      <c r="D88" s="4">
        <v>-1.46286164759564</v>
      </c>
      <c r="E88" s="4">
        <v>-2.66270687826366</v>
      </c>
      <c r="F88" s="4">
        <v>133.51215090400399</v>
      </c>
      <c r="G88" s="4">
        <v>5.7772167873102198</v>
      </c>
      <c r="H88" s="4">
        <v>-2.2830464956688301</v>
      </c>
      <c r="I88" s="4" t="s">
        <v>17</v>
      </c>
      <c r="J88" s="4">
        <v>-1.2163561550305799</v>
      </c>
      <c r="K88" s="4">
        <v>-2.18139281611312</v>
      </c>
      <c r="L88" s="4">
        <v>114.27615105766201</v>
      </c>
      <c r="M88" s="4">
        <v>4.7722807285679396</v>
      </c>
      <c r="N88" s="4">
        <v>-1.89914638303877</v>
      </c>
      <c r="O88" s="4">
        <v>1.2</v>
      </c>
      <c r="P88" s="4">
        <v>1.2</v>
      </c>
      <c r="Q88" s="4">
        <v>0.22</v>
      </c>
      <c r="R88" s="4">
        <v>0.22</v>
      </c>
      <c r="S88" s="4">
        <v>0</v>
      </c>
      <c r="T88" s="4">
        <v>0</v>
      </c>
      <c r="U88" s="4">
        <v>0.3</v>
      </c>
      <c r="V88" s="4">
        <v>0.05</v>
      </c>
      <c r="W88" s="4">
        <v>1</v>
      </c>
      <c r="X88" s="4">
        <v>19.100000000000001</v>
      </c>
      <c r="Y88" s="4">
        <v>0</v>
      </c>
      <c r="Z88" s="4">
        <v>1.5</v>
      </c>
      <c r="AA88" s="4">
        <v>139</v>
      </c>
      <c r="AB88" s="4">
        <v>12.1</v>
      </c>
      <c r="AC88" s="4">
        <v>19.5</v>
      </c>
      <c r="AD88" s="3" t="s">
        <v>42</v>
      </c>
      <c r="AE88" s="3" t="s">
        <v>61</v>
      </c>
      <c r="AF88" s="17">
        <f>HLOOKUP(AD88,Data!$B$4:$M$9,2,0)</f>
        <v>13</v>
      </c>
      <c r="AG88" s="17">
        <f>HLOOKUP(AD88,Data!$B$4:$M$9,3,0)</f>
        <v>1</v>
      </c>
      <c r="AH88" s="17">
        <f>HLOOKUP(AE88,Data!$B$13:$I$18,3,0)</f>
        <v>260</v>
      </c>
      <c r="AI88" s="18">
        <f t="shared" si="90"/>
        <v>1.44</v>
      </c>
      <c r="AJ88" s="17">
        <f t="shared" si="91"/>
        <v>0.28799999999999998</v>
      </c>
      <c r="AK88" s="17">
        <f t="shared" si="92"/>
        <v>0.28799999999999998</v>
      </c>
      <c r="AL88" s="17">
        <f t="shared" si="93"/>
        <v>0.25</v>
      </c>
      <c r="AM88" s="17">
        <f t="shared" si="94"/>
        <v>0.49</v>
      </c>
      <c r="AN88" s="17">
        <f t="shared" si="95"/>
        <v>0.49</v>
      </c>
      <c r="AO88" s="17">
        <f t="shared" si="96"/>
        <v>0.49</v>
      </c>
      <c r="AP88" s="17">
        <f t="shared" si="97"/>
        <v>0.49</v>
      </c>
      <c r="AQ88" s="17">
        <f t="shared" si="98"/>
        <v>1.88</v>
      </c>
      <c r="AR88" s="17">
        <f t="shared" si="99"/>
        <v>0.92159999999999997</v>
      </c>
      <c r="AS88" s="17">
        <f t="shared" si="100"/>
        <v>133.51215090400399</v>
      </c>
      <c r="AT88" s="17">
        <f t="shared" si="101"/>
        <v>6.5760288507893199</v>
      </c>
      <c r="AU88" s="17">
        <f t="shared" si="102"/>
        <v>-2.7219049899475198</v>
      </c>
      <c r="AV88" s="17">
        <f t="shared" si="103"/>
        <v>114.27615105766201</v>
      </c>
      <c r="AW88" s="17">
        <f t="shared" si="104"/>
        <v>5.42669857340187</v>
      </c>
      <c r="AX88" s="17">
        <f t="shared" si="105"/>
        <v>-2.2640532295479501</v>
      </c>
      <c r="AY88" s="17">
        <f t="shared" si="106"/>
        <v>145.60126396367201</v>
      </c>
      <c r="AZ88" s="17">
        <f t="shared" si="107"/>
        <v>81.032278958555196</v>
      </c>
      <c r="BA88" s="17">
        <f t="shared" si="108"/>
        <v>113.316771461114</v>
      </c>
      <c r="BB88" s="17">
        <f t="shared" si="109"/>
        <v>126.662437550286</v>
      </c>
      <c r="BC88" s="17">
        <f t="shared" si="110"/>
        <v>73.254438918689601</v>
      </c>
      <c r="BD88" s="17">
        <f t="shared" si="111"/>
        <v>99.958438234487502</v>
      </c>
      <c r="BE88" s="17" t="str">
        <f>IF(AND(BD88&lt;=AA88,BB88&lt;=AA88*MongDon!$J$44,BC88&gt;0),"Ok","FAIL")</f>
        <v>Ok</v>
      </c>
      <c r="BF88" s="17">
        <f t="shared" si="112"/>
        <v>134.18612486891999</v>
      </c>
      <c r="BG88" s="17">
        <f t="shared" si="113"/>
        <v>352.5</v>
      </c>
      <c r="BH88" s="17" t="str">
        <f t="shared" si="114"/>
        <v>Ok</v>
      </c>
      <c r="BI88" s="17">
        <f t="shared" si="115"/>
        <v>26.059201330011401</v>
      </c>
      <c r="BJ88" s="17">
        <f t="shared" si="116"/>
        <v>29.9133251908532</v>
      </c>
      <c r="BK88" s="17">
        <f t="shared" si="117"/>
        <v>39.211259031589996</v>
      </c>
      <c r="BL88" s="17">
        <f t="shared" si="118"/>
        <v>35.357135170748201</v>
      </c>
      <c r="BM88" s="17">
        <f t="shared" si="119"/>
        <v>88.125</v>
      </c>
      <c r="BN88" s="17">
        <f t="shared" si="120"/>
        <v>88.125</v>
      </c>
      <c r="BO88" s="17">
        <f t="shared" si="121"/>
        <v>88.125</v>
      </c>
      <c r="BP88" s="17">
        <f t="shared" si="122"/>
        <v>88.125</v>
      </c>
      <c r="BQ88" s="17" t="str">
        <f t="shared" si="123"/>
        <v>Ok</v>
      </c>
      <c r="BR88" s="17">
        <f t="shared" si="124"/>
        <v>56.7025250654453</v>
      </c>
      <c r="BS88" s="17">
        <f t="shared" si="125"/>
        <v>21.2950683863561</v>
      </c>
      <c r="BT88" s="16">
        <f>MongDon!$H$80</f>
        <v>1.2</v>
      </c>
      <c r="BU88" s="17" t="str">
        <f t="shared" si="126"/>
        <v>Ok</v>
      </c>
      <c r="BV88" s="17">
        <f t="shared" si="127"/>
        <v>14.6911901900805</v>
      </c>
      <c r="BW88" s="16">
        <f>MongDon!$F$86</f>
        <v>1.5</v>
      </c>
      <c r="BX88" s="17" t="str">
        <f t="shared" si="128"/>
        <v>Ok</v>
      </c>
      <c r="BY88" s="17">
        <f t="shared" si="129"/>
        <v>99.934396944301895</v>
      </c>
      <c r="BZ88" s="17">
        <f t="shared" si="130"/>
        <v>81.032278958555196</v>
      </c>
      <c r="CA88" s="17">
        <f t="shared" si="131"/>
        <v>126.699145977925</v>
      </c>
      <c r="CB88" s="17">
        <f t="shared" si="132"/>
        <v>145.60126396367201</v>
      </c>
      <c r="CC88" s="17">
        <f t="shared" si="133"/>
        <v>115.770206789196</v>
      </c>
      <c r="CD88" s="17">
        <f t="shared" si="134"/>
        <v>119.235595086583</v>
      </c>
      <c r="CE88" s="17">
        <f t="shared" si="135"/>
        <v>110.863336133031</v>
      </c>
      <c r="CF88" s="17">
        <f t="shared" si="136"/>
        <v>119.235595086583</v>
      </c>
      <c r="CG88" s="17">
        <f t="shared" si="137"/>
        <v>16.4243655559406</v>
      </c>
      <c r="CH88" s="17">
        <f t="shared" si="138"/>
        <v>16.4243655559406</v>
      </c>
      <c r="CI88" s="17">
        <f t="shared" si="139"/>
        <v>280.75838557163502</v>
      </c>
      <c r="CJ88" s="17">
        <f t="shared" si="140"/>
        <v>280.75838557163502</v>
      </c>
    </row>
    <row r="89" spans="2:88">
      <c r="B89" s="3">
        <v>17</v>
      </c>
      <c r="C89" s="3" t="s">
        <v>28</v>
      </c>
      <c r="D89" s="4">
        <v>1.67763527152416</v>
      </c>
      <c r="E89" s="4">
        <v>6.8173253964956002</v>
      </c>
      <c r="F89" s="4">
        <v>142.38013103595</v>
      </c>
      <c r="G89" s="4">
        <v>-10.1902815829472</v>
      </c>
      <c r="H89" s="4">
        <v>2.6624254259191802</v>
      </c>
      <c r="I89" s="4" t="s">
        <v>18</v>
      </c>
      <c r="J89" s="4">
        <v>1.4007246109025799</v>
      </c>
      <c r="K89" s="4">
        <v>5.7186340795195898</v>
      </c>
      <c r="L89" s="4">
        <v>121.666134500951</v>
      </c>
      <c r="M89" s="4">
        <v>-8.5339679133132709</v>
      </c>
      <c r="N89" s="4">
        <v>2.22208021828457</v>
      </c>
      <c r="O89" s="4">
        <v>1.2</v>
      </c>
      <c r="P89" s="4">
        <v>1.2</v>
      </c>
      <c r="Q89" s="4">
        <v>0.22</v>
      </c>
      <c r="R89" s="4">
        <v>0.22</v>
      </c>
      <c r="S89" s="4">
        <v>0</v>
      </c>
      <c r="T89" s="4">
        <v>0</v>
      </c>
      <c r="U89" s="4">
        <v>0.3</v>
      </c>
      <c r="V89" s="4">
        <v>0.05</v>
      </c>
      <c r="W89" s="4">
        <v>1</v>
      </c>
      <c r="X89" s="4">
        <v>19.100000000000001</v>
      </c>
      <c r="Y89" s="4">
        <v>0</v>
      </c>
      <c r="Z89" s="4">
        <v>1.5</v>
      </c>
      <c r="AA89" s="4">
        <v>139</v>
      </c>
      <c r="AB89" s="4">
        <v>12.1</v>
      </c>
      <c r="AC89" s="4">
        <v>19.5</v>
      </c>
      <c r="AD89" s="3" t="s">
        <v>42</v>
      </c>
      <c r="AE89" s="3" t="s">
        <v>61</v>
      </c>
      <c r="AF89" s="17">
        <f>HLOOKUP(AD89,Data!$B$4:$M$9,2,0)</f>
        <v>13</v>
      </c>
      <c r="AG89" s="17">
        <f>HLOOKUP(AD89,Data!$B$4:$M$9,3,0)</f>
        <v>1</v>
      </c>
      <c r="AH89" s="17">
        <f>HLOOKUP(AE89,Data!$B$13:$I$18,3,0)</f>
        <v>260</v>
      </c>
      <c r="AI89" s="18">
        <f t="shared" si="90"/>
        <v>1.44</v>
      </c>
      <c r="AJ89" s="17">
        <f t="shared" si="91"/>
        <v>0.28799999999999998</v>
      </c>
      <c r="AK89" s="17">
        <f t="shared" si="92"/>
        <v>0.28799999999999998</v>
      </c>
      <c r="AL89" s="17">
        <f t="shared" si="93"/>
        <v>0.25</v>
      </c>
      <c r="AM89" s="17">
        <f t="shared" si="94"/>
        <v>0.49</v>
      </c>
      <c r="AN89" s="17">
        <f t="shared" si="95"/>
        <v>0.49</v>
      </c>
      <c r="AO89" s="17">
        <f t="shared" si="96"/>
        <v>0.49</v>
      </c>
      <c r="AP89" s="17">
        <f t="shared" si="97"/>
        <v>0.49</v>
      </c>
      <c r="AQ89" s="17">
        <f t="shared" si="98"/>
        <v>1.88</v>
      </c>
      <c r="AR89" s="17">
        <f t="shared" si="99"/>
        <v>0.92159999999999997</v>
      </c>
      <c r="AS89" s="17">
        <f t="shared" si="100"/>
        <v>142.38013103595</v>
      </c>
      <c r="AT89" s="17">
        <f t="shared" si="101"/>
        <v>-12.235479201895901</v>
      </c>
      <c r="AU89" s="17">
        <f t="shared" si="102"/>
        <v>3.1657160073764299</v>
      </c>
      <c r="AV89" s="17">
        <f t="shared" si="103"/>
        <v>121.666134500951</v>
      </c>
      <c r="AW89" s="17">
        <f t="shared" si="104"/>
        <v>-10.2495581371691</v>
      </c>
      <c r="AX89" s="17">
        <f t="shared" si="105"/>
        <v>2.6422976015553399</v>
      </c>
      <c r="AY89" s="17">
        <f t="shared" si="106"/>
        <v>172.95146325160499</v>
      </c>
      <c r="AZ89" s="17">
        <f t="shared" si="107"/>
        <v>65.998718742769597</v>
      </c>
      <c r="BA89" s="17">
        <f t="shared" si="108"/>
        <v>119.475090997187</v>
      </c>
      <c r="BB89" s="17">
        <f t="shared" si="109"/>
        <v>149.853759162898</v>
      </c>
      <c r="BC89" s="17">
        <f t="shared" si="110"/>
        <v>60.326983199533402</v>
      </c>
      <c r="BD89" s="17">
        <f t="shared" si="111"/>
        <v>105.090371181216</v>
      </c>
      <c r="BE89" s="17" t="str">
        <f>IF(AND(BD89&lt;=AA89,BB89&lt;=AA89*MongDon!$J$44,BC89&gt;0),"Ok","FAIL")</f>
        <v>Ok</v>
      </c>
      <c r="BF89" s="17">
        <f t="shared" si="112"/>
        <v>159.39206853267899</v>
      </c>
      <c r="BG89" s="17">
        <f t="shared" si="113"/>
        <v>352.5</v>
      </c>
      <c r="BH89" s="17" t="str">
        <f t="shared" si="114"/>
        <v>Ok</v>
      </c>
      <c r="BI89" s="17">
        <f t="shared" si="115"/>
        <v>46.644305409085902</v>
      </c>
      <c r="BJ89" s="17">
        <f t="shared" si="116"/>
        <v>37.574542214566399</v>
      </c>
      <c r="BK89" s="17">
        <f t="shared" si="117"/>
        <v>22.173347005294101</v>
      </c>
      <c r="BL89" s="17">
        <f t="shared" si="118"/>
        <v>31.243110199813501</v>
      </c>
      <c r="BM89" s="17">
        <f t="shared" si="119"/>
        <v>88.125</v>
      </c>
      <c r="BN89" s="17">
        <f t="shared" si="120"/>
        <v>88.125</v>
      </c>
      <c r="BO89" s="17">
        <f t="shared" si="121"/>
        <v>88.125</v>
      </c>
      <c r="BP89" s="17">
        <f t="shared" si="122"/>
        <v>88.125</v>
      </c>
      <c r="BQ89" s="17" t="str">
        <f t="shared" si="123"/>
        <v>Ok</v>
      </c>
      <c r="BR89" s="17">
        <f t="shared" si="124"/>
        <v>58.603655276350203</v>
      </c>
      <c r="BS89" s="17">
        <f t="shared" si="125"/>
        <v>8.5962825401403098</v>
      </c>
      <c r="BT89" s="16">
        <f>MongDon!$H$80</f>
        <v>1.2</v>
      </c>
      <c r="BU89" s="17" t="str">
        <f t="shared" si="126"/>
        <v>Ok</v>
      </c>
      <c r="BV89" s="17">
        <f t="shared" si="127"/>
        <v>8.3307304061924796</v>
      </c>
      <c r="BW89" s="16">
        <f>MongDon!$F$86</f>
        <v>1.5</v>
      </c>
      <c r="BX89" s="17" t="str">
        <f t="shared" si="128"/>
        <v>Ok</v>
      </c>
      <c r="BY89" s="17">
        <f t="shared" si="129"/>
        <v>150.96732431149101</v>
      </c>
      <c r="BZ89" s="17">
        <f t="shared" si="130"/>
        <v>172.95146325160499</v>
      </c>
      <c r="CA89" s="17">
        <f t="shared" si="131"/>
        <v>87.982857682883704</v>
      </c>
      <c r="CB89" s="17">
        <f t="shared" si="132"/>
        <v>65.998718742769597</v>
      </c>
      <c r="CC89" s="17">
        <f t="shared" si="133"/>
        <v>129.27909257716399</v>
      </c>
      <c r="CD89" s="17">
        <f t="shared" si="134"/>
        <v>125.24866710481</v>
      </c>
      <c r="CE89" s="17">
        <f t="shared" si="135"/>
        <v>129.27909257716399</v>
      </c>
      <c r="CF89" s="17">
        <f t="shared" si="136"/>
        <v>113.701514889565</v>
      </c>
      <c r="CG89" s="17">
        <f t="shared" si="137"/>
        <v>19.015200463532999</v>
      </c>
      <c r="CH89" s="17">
        <f t="shared" si="138"/>
        <v>19.015200463532999</v>
      </c>
      <c r="CI89" s="17">
        <f t="shared" si="139"/>
        <v>325.04616176979403</v>
      </c>
      <c r="CJ89" s="17">
        <f t="shared" si="140"/>
        <v>325.04616176979403</v>
      </c>
    </row>
    <row r="90" spans="2:88">
      <c r="B90" s="3">
        <v>17</v>
      </c>
      <c r="C90" s="3" t="s">
        <v>29</v>
      </c>
      <c r="D90" s="4">
        <v>-4.86471037283785</v>
      </c>
      <c r="E90" s="4">
        <v>1.7750450419233701</v>
      </c>
      <c r="F90" s="4">
        <v>124.77707866595399</v>
      </c>
      <c r="G90" s="4">
        <v>-1.8771036315512599</v>
      </c>
      <c r="H90" s="4">
        <v>-7.54820618064283</v>
      </c>
      <c r="I90" s="4" t="s">
        <v>19</v>
      </c>
      <c r="J90" s="4">
        <v>-4.0512300927324203</v>
      </c>
      <c r="K90" s="4">
        <v>1.51673378404274</v>
      </c>
      <c r="L90" s="4">
        <v>106.99692419262099</v>
      </c>
      <c r="M90" s="4">
        <v>-1.6063196204832999</v>
      </c>
      <c r="N90" s="4">
        <v>-6.28677945385044</v>
      </c>
      <c r="O90" s="4">
        <v>1.2</v>
      </c>
      <c r="P90" s="4">
        <v>1.2</v>
      </c>
      <c r="Q90" s="4">
        <v>0.22</v>
      </c>
      <c r="R90" s="4">
        <v>0.22</v>
      </c>
      <c r="S90" s="4">
        <v>0</v>
      </c>
      <c r="T90" s="4">
        <v>0</v>
      </c>
      <c r="U90" s="4">
        <v>0.3</v>
      </c>
      <c r="V90" s="4">
        <v>0.05</v>
      </c>
      <c r="W90" s="4">
        <v>1</v>
      </c>
      <c r="X90" s="4">
        <v>19.100000000000001</v>
      </c>
      <c r="Y90" s="4">
        <v>0</v>
      </c>
      <c r="Z90" s="4">
        <v>1.5</v>
      </c>
      <c r="AA90" s="4">
        <v>139</v>
      </c>
      <c r="AB90" s="4">
        <v>12.1</v>
      </c>
      <c r="AC90" s="4">
        <v>19.5</v>
      </c>
      <c r="AD90" s="3" t="s">
        <v>42</v>
      </c>
      <c r="AE90" s="3" t="s">
        <v>61</v>
      </c>
      <c r="AF90" s="17">
        <f>HLOOKUP(AD90,Data!$B$4:$M$9,2,0)</f>
        <v>13</v>
      </c>
      <c r="AG90" s="17">
        <f>HLOOKUP(AD90,Data!$B$4:$M$9,3,0)</f>
        <v>1</v>
      </c>
      <c r="AH90" s="17">
        <f>HLOOKUP(AE90,Data!$B$13:$I$18,3,0)</f>
        <v>260</v>
      </c>
      <c r="AI90" s="18">
        <f t="shared" si="90"/>
        <v>1.44</v>
      </c>
      <c r="AJ90" s="17">
        <f t="shared" si="91"/>
        <v>0.28799999999999998</v>
      </c>
      <c r="AK90" s="17">
        <f t="shared" si="92"/>
        <v>0.28799999999999998</v>
      </c>
      <c r="AL90" s="17">
        <f t="shared" si="93"/>
        <v>0.25</v>
      </c>
      <c r="AM90" s="17">
        <f t="shared" si="94"/>
        <v>0.49</v>
      </c>
      <c r="AN90" s="17">
        <f t="shared" si="95"/>
        <v>0.49</v>
      </c>
      <c r="AO90" s="17">
        <f t="shared" si="96"/>
        <v>0.49</v>
      </c>
      <c r="AP90" s="17">
        <f t="shared" si="97"/>
        <v>0.49</v>
      </c>
      <c r="AQ90" s="17">
        <f t="shared" si="98"/>
        <v>1.88</v>
      </c>
      <c r="AR90" s="17">
        <f t="shared" si="99"/>
        <v>0.92159999999999997</v>
      </c>
      <c r="AS90" s="17">
        <f t="shared" si="100"/>
        <v>124.77707866595399</v>
      </c>
      <c r="AT90" s="17">
        <f t="shared" si="101"/>
        <v>-2.4096171441282701</v>
      </c>
      <c r="AU90" s="17">
        <f t="shared" si="102"/>
        <v>-9.00761929249418</v>
      </c>
      <c r="AV90" s="17">
        <f t="shared" si="103"/>
        <v>106.99692419262099</v>
      </c>
      <c r="AW90" s="17">
        <f t="shared" si="104"/>
        <v>-2.0613397556961202</v>
      </c>
      <c r="AX90" s="17">
        <f t="shared" si="105"/>
        <v>-7.5021484816701696</v>
      </c>
      <c r="AY90" s="17">
        <f t="shared" si="106"/>
        <v>146.89393114518501</v>
      </c>
      <c r="AZ90" s="17">
        <f t="shared" si="107"/>
        <v>67.607567001973607</v>
      </c>
      <c r="BA90" s="17">
        <f t="shared" si="108"/>
        <v>107.250749073579</v>
      </c>
      <c r="BB90" s="17">
        <f t="shared" si="109"/>
        <v>128.109975957953</v>
      </c>
      <c r="BC90" s="17">
        <f t="shared" si="110"/>
        <v>61.696863198464897</v>
      </c>
      <c r="BD90" s="17">
        <f t="shared" si="111"/>
        <v>94.903419578208897</v>
      </c>
      <c r="BE90" s="17" t="str">
        <f>IF(AND(BD90&lt;=AA90,BB90&lt;=AA90*MongDon!$J$44,BC90&gt;0),"Ok","FAIL")</f>
        <v>Ok</v>
      </c>
      <c r="BF90" s="17">
        <f t="shared" si="112"/>
        <v>135.37744694340299</v>
      </c>
      <c r="BG90" s="17">
        <f t="shared" si="113"/>
        <v>352.5</v>
      </c>
      <c r="BH90" s="17" t="str">
        <f t="shared" si="114"/>
        <v>Ok</v>
      </c>
      <c r="BI90" s="17">
        <f t="shared" si="115"/>
        <v>33.297832877319102</v>
      </c>
      <c r="BJ90" s="17">
        <f t="shared" si="116"/>
        <v>21.880596440696699</v>
      </c>
      <c r="BK90" s="17">
        <f t="shared" si="117"/>
        <v>28.478598589062599</v>
      </c>
      <c r="BL90" s="17">
        <f t="shared" si="118"/>
        <v>39.895835025685003</v>
      </c>
      <c r="BM90" s="17">
        <f t="shared" si="119"/>
        <v>88.125</v>
      </c>
      <c r="BN90" s="17">
        <f t="shared" si="120"/>
        <v>88.125</v>
      </c>
      <c r="BO90" s="17">
        <f t="shared" si="121"/>
        <v>88.125</v>
      </c>
      <c r="BP90" s="17">
        <f t="shared" si="122"/>
        <v>88.125</v>
      </c>
      <c r="BQ90" s="17" t="str">
        <f t="shared" si="123"/>
        <v>Ok</v>
      </c>
      <c r="BR90" s="17">
        <f t="shared" si="124"/>
        <v>54.829887838128002</v>
      </c>
      <c r="BS90" s="17">
        <f t="shared" si="125"/>
        <v>11.2709459836029</v>
      </c>
      <c r="BT90" s="16">
        <f>MongDon!$H$80</f>
        <v>1.2</v>
      </c>
      <c r="BU90" s="17" t="str">
        <f t="shared" si="126"/>
        <v>Ok</v>
      </c>
      <c r="BV90" s="17">
        <f t="shared" si="127"/>
        <v>10.1434845582015</v>
      </c>
      <c r="BW90" s="16">
        <f>MongDon!$F$86</f>
        <v>1.5</v>
      </c>
      <c r="BX90" s="17" t="str">
        <f t="shared" si="128"/>
        <v>Ok</v>
      </c>
      <c r="BY90" s="17">
        <f t="shared" si="129"/>
        <v>146.89393114518501</v>
      </c>
      <c r="BZ90" s="17">
        <f t="shared" si="130"/>
        <v>84.341019391753207</v>
      </c>
      <c r="CA90" s="17">
        <f t="shared" si="131"/>
        <v>67.607567001973607</v>
      </c>
      <c r="CB90" s="17">
        <f t="shared" si="132"/>
        <v>130.16047875540499</v>
      </c>
      <c r="CC90" s="17">
        <f t="shared" si="133"/>
        <v>103.050631965245</v>
      </c>
      <c r="CD90" s="17">
        <f t="shared" si="134"/>
        <v>114.518665786707</v>
      </c>
      <c r="CE90" s="17">
        <f t="shared" si="135"/>
        <v>114.518665786707</v>
      </c>
      <c r="CF90" s="17">
        <f t="shared" si="136"/>
        <v>111.45086618191399</v>
      </c>
      <c r="CG90" s="17">
        <f t="shared" si="137"/>
        <v>16.339066231884399</v>
      </c>
      <c r="CH90" s="17">
        <f t="shared" si="138"/>
        <v>16.339066231884399</v>
      </c>
      <c r="CI90" s="17">
        <f t="shared" si="139"/>
        <v>279.30027746810902</v>
      </c>
      <c r="CJ90" s="17">
        <f t="shared" si="140"/>
        <v>279.30027746810902</v>
      </c>
    </row>
    <row r="91" spans="2:88">
      <c r="B91" s="3">
        <v>17</v>
      </c>
      <c r="C91" s="3" t="s">
        <v>30</v>
      </c>
      <c r="D91" s="4">
        <v>5.0607509702926396</v>
      </c>
      <c r="E91" s="4">
        <v>1.9668990143323299</v>
      </c>
      <c r="F91" s="4">
        <v>125.51487102542301</v>
      </c>
      <c r="G91" s="4">
        <v>-2.1051994194328199</v>
      </c>
      <c r="H91" s="4">
        <v>7.8897824320549503</v>
      </c>
      <c r="I91" s="4" t="s">
        <v>20</v>
      </c>
      <c r="J91" s="4">
        <v>4.2199876932096396</v>
      </c>
      <c r="K91" s="4">
        <v>1.6766120943835401</v>
      </c>
      <c r="L91" s="4">
        <v>107.611751158844</v>
      </c>
      <c r="M91" s="4">
        <v>-1.79639944371793</v>
      </c>
      <c r="N91" s="4">
        <v>6.5782110567310399</v>
      </c>
      <c r="O91" s="4">
        <v>1.2</v>
      </c>
      <c r="P91" s="4">
        <v>1.2</v>
      </c>
      <c r="Q91" s="4">
        <v>0.22</v>
      </c>
      <c r="R91" s="4">
        <v>0.22</v>
      </c>
      <c r="S91" s="4">
        <v>0</v>
      </c>
      <c r="T91" s="4">
        <v>0</v>
      </c>
      <c r="U91" s="4">
        <v>0.3</v>
      </c>
      <c r="V91" s="4">
        <v>0.05</v>
      </c>
      <c r="W91" s="4">
        <v>1</v>
      </c>
      <c r="X91" s="4">
        <v>19.100000000000001</v>
      </c>
      <c r="Y91" s="4">
        <v>0</v>
      </c>
      <c r="Z91" s="4">
        <v>1.5</v>
      </c>
      <c r="AA91" s="4">
        <v>139</v>
      </c>
      <c r="AB91" s="4">
        <v>12.1</v>
      </c>
      <c r="AC91" s="4">
        <v>19.5</v>
      </c>
      <c r="AD91" s="3" t="s">
        <v>42</v>
      </c>
      <c r="AE91" s="3" t="s">
        <v>61</v>
      </c>
      <c r="AF91" s="17">
        <f>HLOOKUP(AD91,Data!$B$4:$M$9,2,0)</f>
        <v>13</v>
      </c>
      <c r="AG91" s="17">
        <f>HLOOKUP(AD91,Data!$B$4:$M$9,3,0)</f>
        <v>1</v>
      </c>
      <c r="AH91" s="17">
        <f>HLOOKUP(AE91,Data!$B$13:$I$18,3,0)</f>
        <v>260</v>
      </c>
      <c r="AI91" s="18">
        <f t="shared" si="90"/>
        <v>1.44</v>
      </c>
      <c r="AJ91" s="17">
        <f t="shared" si="91"/>
        <v>0.28799999999999998</v>
      </c>
      <c r="AK91" s="17">
        <f t="shared" si="92"/>
        <v>0.28799999999999998</v>
      </c>
      <c r="AL91" s="17">
        <f t="shared" si="93"/>
        <v>0.25</v>
      </c>
      <c r="AM91" s="17">
        <f t="shared" si="94"/>
        <v>0.49</v>
      </c>
      <c r="AN91" s="17">
        <f t="shared" si="95"/>
        <v>0.49</v>
      </c>
      <c r="AO91" s="17">
        <f t="shared" si="96"/>
        <v>0.49</v>
      </c>
      <c r="AP91" s="17">
        <f t="shared" si="97"/>
        <v>0.49</v>
      </c>
      <c r="AQ91" s="17">
        <f t="shared" si="98"/>
        <v>1.88</v>
      </c>
      <c r="AR91" s="17">
        <f t="shared" si="99"/>
        <v>0.92159999999999997</v>
      </c>
      <c r="AS91" s="17">
        <f t="shared" si="100"/>
        <v>125.51487102542301</v>
      </c>
      <c r="AT91" s="17">
        <f t="shared" si="101"/>
        <v>-2.6952691237325199</v>
      </c>
      <c r="AU91" s="17">
        <f t="shared" si="102"/>
        <v>9.4080077231427399</v>
      </c>
      <c r="AV91" s="17">
        <f t="shared" si="103"/>
        <v>107.611751158844</v>
      </c>
      <c r="AW91" s="17">
        <f t="shared" si="104"/>
        <v>-2.29938307203299</v>
      </c>
      <c r="AX91" s="17">
        <f t="shared" si="105"/>
        <v>7.8442073646939399</v>
      </c>
      <c r="AY91" s="17">
        <f t="shared" si="106"/>
        <v>149.78837170819401</v>
      </c>
      <c r="AZ91" s="17">
        <f t="shared" si="107"/>
        <v>65.737838049337697</v>
      </c>
      <c r="BA91" s="17">
        <f t="shared" si="108"/>
        <v>107.763104878766</v>
      </c>
      <c r="BB91" s="17">
        <f t="shared" si="109"/>
        <v>130.55118287672201</v>
      </c>
      <c r="BC91" s="17">
        <f t="shared" si="110"/>
        <v>60.109582621673503</v>
      </c>
      <c r="BD91" s="17">
        <f t="shared" si="111"/>
        <v>95.330382749197597</v>
      </c>
      <c r="BE91" s="17" t="str">
        <f>IF(AND(BD91&lt;=AA91,BB91&lt;=AA91*MongDon!$J$44,BC91&gt;0),"Ok","FAIL")</f>
        <v>Ok</v>
      </c>
      <c r="BF91" s="17">
        <f t="shared" si="112"/>
        <v>138.04496336627099</v>
      </c>
      <c r="BG91" s="17">
        <f t="shared" si="113"/>
        <v>352.5</v>
      </c>
      <c r="BH91" s="17" t="str">
        <f t="shared" si="114"/>
        <v>Ok</v>
      </c>
      <c r="BI91" s="17">
        <f t="shared" si="115"/>
        <v>33.731043328817002</v>
      </c>
      <c r="BJ91" s="17">
        <f t="shared" si="116"/>
        <v>40.443781928227203</v>
      </c>
      <c r="BK91" s="17">
        <f t="shared" si="117"/>
        <v>28.340505081351999</v>
      </c>
      <c r="BL91" s="17">
        <f t="shared" si="118"/>
        <v>21.627766481941801</v>
      </c>
      <c r="BM91" s="17">
        <f t="shared" si="119"/>
        <v>88.125</v>
      </c>
      <c r="BN91" s="17">
        <f t="shared" si="120"/>
        <v>88.125</v>
      </c>
      <c r="BO91" s="17">
        <f t="shared" si="121"/>
        <v>88.125</v>
      </c>
      <c r="BP91" s="17">
        <f t="shared" si="122"/>
        <v>88.125</v>
      </c>
      <c r="BQ91" s="17" t="str">
        <f t="shared" si="123"/>
        <v>Ok</v>
      </c>
      <c r="BR91" s="17">
        <f t="shared" si="124"/>
        <v>54.988056814951399</v>
      </c>
      <c r="BS91" s="17">
        <f t="shared" si="125"/>
        <v>10.865592307888599</v>
      </c>
      <c r="BT91" s="16">
        <f>MongDon!$H$80</f>
        <v>1.2</v>
      </c>
      <c r="BU91" s="17" t="str">
        <f t="shared" si="126"/>
        <v>Ok</v>
      </c>
      <c r="BV91" s="17">
        <f t="shared" si="127"/>
        <v>9.7588485593402492</v>
      </c>
      <c r="BW91" s="16">
        <f>MongDon!$F$86</f>
        <v>1.5</v>
      </c>
      <c r="BX91" s="17" t="str">
        <f t="shared" si="128"/>
        <v>Ok</v>
      </c>
      <c r="BY91" s="17">
        <f t="shared" si="129"/>
        <v>84.454984741924605</v>
      </c>
      <c r="BZ91" s="17">
        <f t="shared" si="130"/>
        <v>149.78837170819401</v>
      </c>
      <c r="CA91" s="17">
        <f t="shared" si="131"/>
        <v>131.07122501560701</v>
      </c>
      <c r="CB91" s="17">
        <f t="shared" si="132"/>
        <v>65.737838049337697</v>
      </c>
      <c r="CC91" s="17">
        <f t="shared" si="133"/>
        <v>115.467737130827</v>
      </c>
      <c r="CD91" s="17">
        <f t="shared" si="134"/>
        <v>103.48994952034499</v>
      </c>
      <c r="CE91" s="17">
        <f t="shared" si="135"/>
        <v>115.467737130827</v>
      </c>
      <c r="CF91" s="17">
        <f t="shared" si="136"/>
        <v>112.03626023718699</v>
      </c>
      <c r="CG91" s="17">
        <f t="shared" si="137"/>
        <v>16.6086966298977</v>
      </c>
      <c r="CH91" s="17">
        <f t="shared" si="138"/>
        <v>16.6086966298977</v>
      </c>
      <c r="CI91" s="17">
        <f t="shared" si="139"/>
        <v>283.90934410081599</v>
      </c>
      <c r="CJ91" s="17">
        <f t="shared" si="140"/>
        <v>283.90934410081599</v>
      </c>
    </row>
    <row r="92" spans="2:88">
      <c r="B92" s="3">
        <v>17</v>
      </c>
      <c r="C92" s="3" t="s">
        <v>31</v>
      </c>
      <c r="D92" s="4">
        <v>-1.6467002118947101</v>
      </c>
      <c r="E92" s="4">
        <v>-3.39571256896062</v>
      </c>
      <c r="F92" s="4">
        <v>120.21931921682901</v>
      </c>
      <c r="G92" s="4">
        <v>6.8796809024287597</v>
      </c>
      <c r="H92" s="4">
        <v>-2.5766962751761699</v>
      </c>
      <c r="I92" s="4" t="s">
        <v>21</v>
      </c>
      <c r="J92" s="4">
        <v>-1.3695549586131499</v>
      </c>
      <c r="K92" s="4">
        <v>-2.79223089169392</v>
      </c>
      <c r="L92" s="4">
        <v>103.19879131835</v>
      </c>
      <c r="M92" s="4">
        <v>5.6910008245000503</v>
      </c>
      <c r="N92" s="4">
        <v>-2.1438545326282199</v>
      </c>
      <c r="O92" s="4">
        <v>1.2</v>
      </c>
      <c r="P92" s="4">
        <v>1.2</v>
      </c>
      <c r="Q92" s="4">
        <v>0.22</v>
      </c>
      <c r="R92" s="4">
        <v>0.22</v>
      </c>
      <c r="S92" s="4">
        <v>0</v>
      </c>
      <c r="T92" s="4">
        <v>0</v>
      </c>
      <c r="U92" s="4">
        <v>0.3</v>
      </c>
      <c r="V92" s="4">
        <v>0.05</v>
      </c>
      <c r="W92" s="4">
        <v>1</v>
      </c>
      <c r="X92" s="4">
        <v>19.100000000000001</v>
      </c>
      <c r="Y92" s="4">
        <v>0</v>
      </c>
      <c r="Z92" s="4">
        <v>1.5</v>
      </c>
      <c r="AA92" s="4">
        <v>139</v>
      </c>
      <c r="AB92" s="4">
        <v>12.1</v>
      </c>
      <c r="AC92" s="4">
        <v>19.5</v>
      </c>
      <c r="AD92" s="3" t="s">
        <v>42</v>
      </c>
      <c r="AE92" s="3" t="s">
        <v>61</v>
      </c>
      <c r="AF92" s="17">
        <f>HLOOKUP(AD92,Data!$B$4:$M$9,2,0)</f>
        <v>13</v>
      </c>
      <c r="AG92" s="17">
        <f>HLOOKUP(AD92,Data!$B$4:$M$9,3,0)</f>
        <v>1</v>
      </c>
      <c r="AH92" s="17">
        <f>HLOOKUP(AE92,Data!$B$13:$I$18,3,0)</f>
        <v>260</v>
      </c>
      <c r="AI92" s="18">
        <f t="shared" si="90"/>
        <v>1.44</v>
      </c>
      <c r="AJ92" s="17">
        <f t="shared" si="91"/>
        <v>0.28799999999999998</v>
      </c>
      <c r="AK92" s="17">
        <f t="shared" si="92"/>
        <v>0.28799999999999998</v>
      </c>
      <c r="AL92" s="17">
        <f t="shared" si="93"/>
        <v>0.25</v>
      </c>
      <c r="AM92" s="17">
        <f t="shared" si="94"/>
        <v>0.49</v>
      </c>
      <c r="AN92" s="17">
        <f t="shared" si="95"/>
        <v>0.49</v>
      </c>
      <c r="AO92" s="17">
        <f t="shared" si="96"/>
        <v>0.49</v>
      </c>
      <c r="AP92" s="17">
        <f t="shared" si="97"/>
        <v>0.49</v>
      </c>
      <c r="AQ92" s="17">
        <f t="shared" si="98"/>
        <v>1.88</v>
      </c>
      <c r="AR92" s="17">
        <f t="shared" si="99"/>
        <v>0.92159999999999997</v>
      </c>
      <c r="AS92" s="17">
        <f t="shared" si="100"/>
        <v>120.21931921682901</v>
      </c>
      <c r="AT92" s="17">
        <f t="shared" si="101"/>
        <v>7.8983946731169397</v>
      </c>
      <c r="AU92" s="17">
        <f t="shared" si="102"/>
        <v>-3.0707063387445799</v>
      </c>
      <c r="AV92" s="17">
        <f t="shared" si="103"/>
        <v>103.19879131835</v>
      </c>
      <c r="AW92" s="17">
        <f t="shared" si="104"/>
        <v>6.5286700920082303</v>
      </c>
      <c r="AX92" s="17">
        <f t="shared" si="105"/>
        <v>-2.5547210202121602</v>
      </c>
      <c r="AY92" s="17">
        <f t="shared" si="106"/>
        <v>142.17279463620599</v>
      </c>
      <c r="AZ92" s="17">
        <f t="shared" si="107"/>
        <v>65.998482053834607</v>
      </c>
      <c r="BA92" s="17">
        <f t="shared" si="108"/>
        <v>104.08563834502</v>
      </c>
      <c r="BB92" s="17">
        <f t="shared" si="109"/>
        <v>123.80537977739699</v>
      </c>
      <c r="BC92" s="17">
        <f t="shared" si="110"/>
        <v>60.726274831422401</v>
      </c>
      <c r="BD92" s="17">
        <f t="shared" si="111"/>
        <v>92.265827304409896</v>
      </c>
      <c r="BE92" s="17" t="str">
        <f>IF(AND(BD92&lt;=AA92,BB92&lt;=AA92*MongDon!$J$44,BC92&gt;0),"Ok","FAIL")</f>
        <v>Ok</v>
      </c>
      <c r="BF92" s="17">
        <f t="shared" si="112"/>
        <v>131.026447536728</v>
      </c>
      <c r="BG92" s="17">
        <f t="shared" si="113"/>
        <v>352.5</v>
      </c>
      <c r="BH92" s="17" t="str">
        <f t="shared" si="114"/>
        <v>Ok</v>
      </c>
      <c r="BI92" s="17">
        <f t="shared" si="115"/>
        <v>22.078269170248898</v>
      </c>
      <c r="BJ92" s="17">
        <f t="shared" si="116"/>
        <v>26.905957504621298</v>
      </c>
      <c r="BK92" s="17">
        <f t="shared" si="117"/>
        <v>37.875058516482802</v>
      </c>
      <c r="BL92" s="17">
        <f t="shared" si="118"/>
        <v>33.047370182110498</v>
      </c>
      <c r="BM92" s="17">
        <f t="shared" si="119"/>
        <v>88.125</v>
      </c>
      <c r="BN92" s="17">
        <f t="shared" si="120"/>
        <v>88.125</v>
      </c>
      <c r="BO92" s="17">
        <f t="shared" si="121"/>
        <v>88.125</v>
      </c>
      <c r="BP92" s="17">
        <f t="shared" si="122"/>
        <v>88.125</v>
      </c>
      <c r="BQ92" s="17" t="str">
        <f t="shared" si="123"/>
        <v>Ok</v>
      </c>
      <c r="BR92" s="17">
        <f t="shared" si="124"/>
        <v>53.852788876036897</v>
      </c>
      <c r="BS92" s="17">
        <f t="shared" si="125"/>
        <v>15.8590539636046</v>
      </c>
      <c r="BT92" s="16">
        <f>MongDon!$H$80</f>
        <v>1.2</v>
      </c>
      <c r="BU92" s="17" t="str">
        <f t="shared" si="126"/>
        <v>Ok</v>
      </c>
      <c r="BV92" s="17">
        <f t="shared" si="127"/>
        <v>11.221772929602199</v>
      </c>
      <c r="BW92" s="16">
        <f>MongDon!$F$86</f>
        <v>1.5</v>
      </c>
      <c r="BX92" s="17" t="str">
        <f t="shared" si="128"/>
        <v>Ok</v>
      </c>
      <c r="BY92" s="17">
        <f t="shared" si="129"/>
        <v>87.322831628449705</v>
      </c>
      <c r="BZ92" s="17">
        <f t="shared" si="130"/>
        <v>65.998482053834607</v>
      </c>
      <c r="CA92" s="17">
        <f t="shared" si="131"/>
        <v>120.84844506159099</v>
      </c>
      <c r="CB92" s="17">
        <f t="shared" si="132"/>
        <v>142.17279463620599</v>
      </c>
      <c r="CC92" s="17">
        <f t="shared" si="133"/>
        <v>107.15881957639201</v>
      </c>
      <c r="CD92" s="17">
        <f t="shared" si="134"/>
        <v>111.06828366507099</v>
      </c>
      <c r="CE92" s="17">
        <f t="shared" si="135"/>
        <v>101.01245711364901</v>
      </c>
      <c r="CF92" s="17">
        <f t="shared" si="136"/>
        <v>111.06828366507099</v>
      </c>
      <c r="CG92" s="17">
        <f t="shared" si="137"/>
        <v>15.823145148715</v>
      </c>
      <c r="CH92" s="17">
        <f t="shared" si="138"/>
        <v>15.823145148715</v>
      </c>
      <c r="CI92" s="17">
        <f t="shared" si="139"/>
        <v>270.48111365324701</v>
      </c>
      <c r="CJ92" s="17">
        <f t="shared" si="140"/>
        <v>270.48111365324701</v>
      </c>
    </row>
    <row r="93" spans="2:88">
      <c r="B93" s="3">
        <v>17</v>
      </c>
      <c r="C93" s="3" t="s">
        <v>32</v>
      </c>
      <c r="D93" s="4">
        <v>1.8427408093494999</v>
      </c>
      <c r="E93" s="4">
        <v>7.13765662521633</v>
      </c>
      <c r="F93" s="4">
        <v>130.072630474547</v>
      </c>
      <c r="G93" s="4">
        <v>-10.8619839534128</v>
      </c>
      <c r="H93" s="4">
        <v>2.9182725265882898</v>
      </c>
      <c r="I93" s="4" t="s">
        <v>22</v>
      </c>
      <c r="J93" s="4">
        <v>1.5383125590903699</v>
      </c>
      <c r="K93" s="4">
        <v>5.9855767701201996</v>
      </c>
      <c r="L93" s="4">
        <v>111.40988403311501</v>
      </c>
      <c r="M93" s="4">
        <v>-9.0937198887012798</v>
      </c>
      <c r="N93" s="4">
        <v>2.4352861355088198</v>
      </c>
      <c r="O93" s="4">
        <v>1.2</v>
      </c>
      <c r="P93" s="4">
        <v>1.2</v>
      </c>
      <c r="Q93" s="4">
        <v>0.22</v>
      </c>
      <c r="R93" s="4">
        <v>0.22</v>
      </c>
      <c r="S93" s="4">
        <v>0</v>
      </c>
      <c r="T93" s="4">
        <v>0</v>
      </c>
      <c r="U93" s="4">
        <v>0.3</v>
      </c>
      <c r="V93" s="4">
        <v>0.05</v>
      </c>
      <c r="W93" s="4">
        <v>1</v>
      </c>
      <c r="X93" s="4">
        <v>19.100000000000001</v>
      </c>
      <c r="Y93" s="4">
        <v>0</v>
      </c>
      <c r="Z93" s="4">
        <v>1.5</v>
      </c>
      <c r="AA93" s="4">
        <v>139</v>
      </c>
      <c r="AB93" s="4">
        <v>12.1</v>
      </c>
      <c r="AC93" s="4">
        <v>19.5</v>
      </c>
      <c r="AD93" s="3" t="s">
        <v>42</v>
      </c>
      <c r="AE93" s="3" t="s">
        <v>61</v>
      </c>
      <c r="AF93" s="17">
        <f>HLOOKUP(AD93,Data!$B$4:$M$9,2,0)</f>
        <v>13</v>
      </c>
      <c r="AG93" s="17">
        <f>HLOOKUP(AD93,Data!$B$4:$M$9,3,0)</f>
        <v>1</v>
      </c>
      <c r="AH93" s="17">
        <f>HLOOKUP(AE93,Data!$B$13:$I$18,3,0)</f>
        <v>260</v>
      </c>
      <c r="AI93" s="18">
        <f t="shared" si="90"/>
        <v>1.44</v>
      </c>
      <c r="AJ93" s="17">
        <f t="shared" si="91"/>
        <v>0.28799999999999998</v>
      </c>
      <c r="AK93" s="17">
        <f t="shared" si="92"/>
        <v>0.28799999999999998</v>
      </c>
      <c r="AL93" s="17">
        <f t="shared" si="93"/>
        <v>0.25</v>
      </c>
      <c r="AM93" s="17">
        <f t="shared" si="94"/>
        <v>0.49</v>
      </c>
      <c r="AN93" s="17">
        <f t="shared" si="95"/>
        <v>0.49</v>
      </c>
      <c r="AO93" s="17">
        <f t="shared" si="96"/>
        <v>0.49</v>
      </c>
      <c r="AP93" s="17">
        <f t="shared" si="97"/>
        <v>0.49</v>
      </c>
      <c r="AQ93" s="17">
        <f t="shared" si="98"/>
        <v>1.88</v>
      </c>
      <c r="AR93" s="17">
        <f t="shared" si="99"/>
        <v>0.92159999999999997</v>
      </c>
      <c r="AS93" s="17">
        <f t="shared" si="100"/>
        <v>130.072630474547</v>
      </c>
      <c r="AT93" s="17">
        <f t="shared" si="101"/>
        <v>-13.003280940977699</v>
      </c>
      <c r="AU93" s="17">
        <f t="shared" si="102"/>
        <v>3.4710947693931402</v>
      </c>
      <c r="AV93" s="17">
        <f t="shared" si="103"/>
        <v>111.40988403311501</v>
      </c>
      <c r="AW93" s="17">
        <f t="shared" si="104"/>
        <v>-10.889392919737301</v>
      </c>
      <c r="AX93" s="17">
        <f t="shared" si="105"/>
        <v>2.89677990323593</v>
      </c>
      <c r="AY93" s="17">
        <f t="shared" si="106"/>
        <v>168.13090904611201</v>
      </c>
      <c r="AZ93" s="17">
        <f t="shared" si="107"/>
        <v>53.725522168536799</v>
      </c>
      <c r="BA93" s="17">
        <f t="shared" si="108"/>
        <v>110.928215607325</v>
      </c>
      <c r="BB93" s="17">
        <f t="shared" si="109"/>
        <v>145.83663065832101</v>
      </c>
      <c r="BC93" s="17">
        <f t="shared" si="110"/>
        <v>50.0993193876728</v>
      </c>
      <c r="BD93" s="17">
        <f t="shared" si="111"/>
        <v>97.967975022996697</v>
      </c>
      <c r="BE93" s="17" t="str">
        <f>IF(AND(BD93&lt;=AA93,BB93&lt;=AA93*MongDon!$J$44,BC93&gt;0),"Ok","FAIL")</f>
        <v>Ok</v>
      </c>
      <c r="BF93" s="17">
        <f t="shared" si="112"/>
        <v>154.94944577689699</v>
      </c>
      <c r="BG93" s="17">
        <f t="shared" si="113"/>
        <v>352.5</v>
      </c>
      <c r="BH93" s="17" t="str">
        <f t="shared" si="114"/>
        <v>Ok</v>
      </c>
      <c r="BI93" s="17">
        <f t="shared" si="115"/>
        <v>44.950607035887202</v>
      </c>
      <c r="BJ93" s="17">
        <f t="shared" si="116"/>
        <v>35.418420864302597</v>
      </c>
      <c r="BK93" s="17">
        <f t="shared" si="117"/>
        <v>18.9440451539317</v>
      </c>
      <c r="BL93" s="17">
        <f t="shared" si="118"/>
        <v>28.476231325516299</v>
      </c>
      <c r="BM93" s="17">
        <f t="shared" si="119"/>
        <v>88.125</v>
      </c>
      <c r="BN93" s="17">
        <f t="shared" si="120"/>
        <v>88.125</v>
      </c>
      <c r="BO93" s="17">
        <f t="shared" si="121"/>
        <v>88.125</v>
      </c>
      <c r="BP93" s="17">
        <f t="shared" si="122"/>
        <v>88.125</v>
      </c>
      <c r="BQ93" s="17" t="str">
        <f t="shared" si="123"/>
        <v>Ok</v>
      </c>
      <c r="BR93" s="17">
        <f t="shared" si="124"/>
        <v>55.965155777042398</v>
      </c>
      <c r="BS93" s="17">
        <f t="shared" si="125"/>
        <v>7.8408305016138602</v>
      </c>
      <c r="BT93" s="16">
        <f>MongDon!$H$80</f>
        <v>1.2</v>
      </c>
      <c r="BU93" s="17" t="str">
        <f t="shared" si="126"/>
        <v>Ok</v>
      </c>
      <c r="BV93" s="17">
        <f t="shared" si="127"/>
        <v>7.2709325218669996</v>
      </c>
      <c r="BW93" s="16">
        <f>MongDon!$F$86</f>
        <v>1.5</v>
      </c>
      <c r="BX93" s="17" t="str">
        <f t="shared" si="128"/>
        <v>Ok</v>
      </c>
      <c r="BY93" s="17">
        <f t="shared" si="129"/>
        <v>144.02608425866001</v>
      </c>
      <c r="BZ93" s="17">
        <f t="shared" si="130"/>
        <v>168.13090904611201</v>
      </c>
      <c r="CA93" s="17">
        <f t="shared" si="131"/>
        <v>77.8303469559891</v>
      </c>
      <c r="CB93" s="17">
        <f t="shared" si="132"/>
        <v>53.725522168536799</v>
      </c>
      <c r="CC93" s="17">
        <f t="shared" si="133"/>
        <v>121.415376071102</v>
      </c>
      <c r="CD93" s="17">
        <f t="shared" si="134"/>
        <v>116.99615819340301</v>
      </c>
      <c r="CE93" s="17">
        <f t="shared" si="135"/>
        <v>121.415376071102</v>
      </c>
      <c r="CF93" s="17">
        <f t="shared" si="136"/>
        <v>104.860273021246</v>
      </c>
      <c r="CG93" s="17">
        <f t="shared" si="137"/>
        <v>18.314715719769101</v>
      </c>
      <c r="CH93" s="17">
        <f t="shared" si="138"/>
        <v>18.314715719769101</v>
      </c>
      <c r="CI93" s="17">
        <f t="shared" si="139"/>
        <v>313.07206358579703</v>
      </c>
      <c r="CJ93" s="17">
        <f t="shared" si="140"/>
        <v>313.07206358579703</v>
      </c>
    </row>
    <row r="94" spans="2:88">
      <c r="B94" s="3">
        <v>19</v>
      </c>
      <c r="C94" s="3" t="s">
        <v>23</v>
      </c>
      <c r="D94" s="4">
        <v>-0.36082408918488901</v>
      </c>
      <c r="E94" s="4">
        <v>1.7320449819352599</v>
      </c>
      <c r="F94" s="4">
        <v>126.30034576244</v>
      </c>
      <c r="G94" s="4">
        <v>-1.78073666071687</v>
      </c>
      <c r="H94" s="4">
        <v>-0.29220862791327701</v>
      </c>
      <c r="I94" s="4" t="s">
        <v>13</v>
      </c>
      <c r="J94" s="4">
        <v>-0.30829475524092198</v>
      </c>
      <c r="K94" s="4">
        <v>1.4775772879619</v>
      </c>
      <c r="L94" s="4">
        <v>108.159465244112</v>
      </c>
      <c r="M94" s="4">
        <v>-1.52251992756434</v>
      </c>
      <c r="N94" s="4">
        <v>-0.25051129909457998</v>
      </c>
      <c r="O94" s="4">
        <v>1.3</v>
      </c>
      <c r="P94" s="4">
        <v>1.3</v>
      </c>
      <c r="Q94" s="4">
        <v>0.22</v>
      </c>
      <c r="R94" s="4">
        <v>0.22</v>
      </c>
      <c r="S94" s="4">
        <v>0</v>
      </c>
      <c r="T94" s="4">
        <v>0</v>
      </c>
      <c r="U94" s="4">
        <v>0.3</v>
      </c>
      <c r="V94" s="4">
        <v>0.05</v>
      </c>
      <c r="W94" s="4">
        <v>1</v>
      </c>
      <c r="X94" s="4">
        <v>19.100000000000001</v>
      </c>
      <c r="Y94" s="4">
        <v>0</v>
      </c>
      <c r="Z94" s="4">
        <v>1.5</v>
      </c>
      <c r="AA94" s="4">
        <v>139</v>
      </c>
      <c r="AB94" s="4">
        <v>12.1</v>
      </c>
      <c r="AC94" s="4">
        <v>19.5</v>
      </c>
      <c r="AD94" s="3" t="s">
        <v>42</v>
      </c>
      <c r="AE94" s="3" t="s">
        <v>61</v>
      </c>
      <c r="AF94" s="17">
        <f>HLOOKUP(AD94,Data!$B$4:$M$9,2,0)</f>
        <v>13</v>
      </c>
      <c r="AG94" s="17">
        <f>HLOOKUP(AD94,Data!$B$4:$M$9,3,0)</f>
        <v>1</v>
      </c>
      <c r="AH94" s="17">
        <f>HLOOKUP(AE94,Data!$B$13:$I$18,3,0)</f>
        <v>260</v>
      </c>
      <c r="AI94" s="18">
        <f t="shared" si="90"/>
        <v>1.69</v>
      </c>
      <c r="AJ94" s="17">
        <f t="shared" si="91"/>
        <v>0.36616666666666697</v>
      </c>
      <c r="AK94" s="17">
        <f t="shared" si="92"/>
        <v>0.36616666666666697</v>
      </c>
      <c r="AL94" s="17">
        <f t="shared" si="93"/>
        <v>0.25</v>
      </c>
      <c r="AM94" s="17">
        <f t="shared" si="94"/>
        <v>0.54</v>
      </c>
      <c r="AN94" s="17">
        <f t="shared" si="95"/>
        <v>0.54</v>
      </c>
      <c r="AO94" s="17">
        <f t="shared" si="96"/>
        <v>0.54</v>
      </c>
      <c r="AP94" s="17">
        <f t="shared" si="97"/>
        <v>0.54</v>
      </c>
      <c r="AQ94" s="17">
        <f t="shared" si="98"/>
        <v>1.88</v>
      </c>
      <c r="AR94" s="17">
        <f t="shared" si="99"/>
        <v>1.1716</v>
      </c>
      <c r="AS94" s="17">
        <f t="shared" si="100"/>
        <v>126.30034576244</v>
      </c>
      <c r="AT94" s="17">
        <f t="shared" si="101"/>
        <v>-2.3003501552974499</v>
      </c>
      <c r="AU94" s="17">
        <f t="shared" si="102"/>
        <v>-0.400455854668744</v>
      </c>
      <c r="AV94" s="17">
        <f t="shared" si="103"/>
        <v>108.159465244112</v>
      </c>
      <c r="AW94" s="17">
        <f t="shared" si="104"/>
        <v>-1.9657931139529099</v>
      </c>
      <c r="AX94" s="17">
        <f t="shared" si="105"/>
        <v>-0.34299972566685599</v>
      </c>
      <c r="AY94" s="17">
        <f t="shared" si="106"/>
        <v>102.70982501182</v>
      </c>
      <c r="AZ94" s="17">
        <f t="shared" si="107"/>
        <v>87.958039795801199</v>
      </c>
      <c r="BA94" s="17">
        <f t="shared" si="108"/>
        <v>95.333932403810806</v>
      </c>
      <c r="BB94" s="17">
        <f t="shared" si="109"/>
        <v>90.904989465208899</v>
      </c>
      <c r="BC94" s="17">
        <f t="shared" si="110"/>
        <v>78.294377687586106</v>
      </c>
      <c r="BD94" s="17">
        <f t="shared" si="111"/>
        <v>84.599683576397496</v>
      </c>
      <c r="BE94" s="17" t="str">
        <f>IF(AND(BD94&lt;=AA94,BB94&lt;=AA94*MongDon!$J$44,BC94&gt;0),"Ok","FAIL")</f>
        <v>Ok</v>
      </c>
      <c r="BF94" s="17">
        <f t="shared" si="112"/>
        <v>120.334830983849</v>
      </c>
      <c r="BG94" s="17">
        <f t="shared" si="113"/>
        <v>352.5</v>
      </c>
      <c r="BH94" s="17" t="str">
        <f t="shared" si="114"/>
        <v>Ok</v>
      </c>
      <c r="BI94" s="17">
        <f t="shared" si="115"/>
        <v>38.309300368436404</v>
      </c>
      <c r="BJ94" s="17">
        <f t="shared" si="116"/>
        <v>35.528588855216803</v>
      </c>
      <c r="BK94" s="17">
        <f t="shared" si="117"/>
        <v>33.572484664036899</v>
      </c>
      <c r="BL94" s="17">
        <f t="shared" si="118"/>
        <v>36.353196177256599</v>
      </c>
      <c r="BM94" s="17">
        <f t="shared" si="119"/>
        <v>88.125</v>
      </c>
      <c r="BN94" s="17">
        <f t="shared" si="120"/>
        <v>88.125</v>
      </c>
      <c r="BO94" s="17">
        <f t="shared" si="121"/>
        <v>88.125</v>
      </c>
      <c r="BP94" s="17">
        <f t="shared" si="122"/>
        <v>88.125</v>
      </c>
      <c r="BQ94" s="17" t="str">
        <f t="shared" si="123"/>
        <v>Ok</v>
      </c>
      <c r="BR94" s="17">
        <f t="shared" si="124"/>
        <v>60.0314480077854</v>
      </c>
      <c r="BS94" s="17">
        <f t="shared" si="125"/>
        <v>34.659289241270599</v>
      </c>
      <c r="BT94" s="16">
        <f>MongDon!$H$80</f>
        <v>1.2</v>
      </c>
      <c r="BU94" s="17" t="str">
        <f t="shared" si="126"/>
        <v>Ok</v>
      </c>
      <c r="BV94" s="17">
        <f t="shared" si="127"/>
        <v>44.809080264677299</v>
      </c>
      <c r="BW94" s="16">
        <f>MongDon!$F$86</f>
        <v>1.5</v>
      </c>
      <c r="BX94" s="17" t="str">
        <f t="shared" si="128"/>
        <v>Ok</v>
      </c>
      <c r="BY94" s="17">
        <f t="shared" si="129"/>
        <v>102.70982501182</v>
      </c>
      <c r="BZ94" s="17">
        <f t="shared" si="130"/>
        <v>100.52253768545501</v>
      </c>
      <c r="CA94" s="17">
        <f t="shared" si="131"/>
        <v>87.958039795801199</v>
      </c>
      <c r="CB94" s="17">
        <f t="shared" si="132"/>
        <v>90.145327122166705</v>
      </c>
      <c r="CC94" s="17">
        <f t="shared" si="133"/>
        <v>96.212004066858299</v>
      </c>
      <c r="CD94" s="17">
        <f t="shared" si="134"/>
        <v>96.582160383627794</v>
      </c>
      <c r="CE94" s="17">
        <f t="shared" si="135"/>
        <v>96.582160383627794</v>
      </c>
      <c r="CF94" s="17">
        <f t="shared" si="136"/>
        <v>94.455860740763299</v>
      </c>
      <c r="CG94" s="17">
        <f t="shared" si="137"/>
        <v>14.677287985793299</v>
      </c>
      <c r="CH94" s="17">
        <f t="shared" si="138"/>
        <v>14.677287985793299</v>
      </c>
      <c r="CI94" s="17">
        <f t="shared" si="139"/>
        <v>250.893811722962</v>
      </c>
      <c r="CJ94" s="17">
        <f t="shared" si="140"/>
        <v>250.893811722962</v>
      </c>
    </row>
    <row r="95" spans="2:88">
      <c r="B95" s="3">
        <v>19</v>
      </c>
      <c r="C95" s="3" t="s">
        <v>24</v>
      </c>
      <c r="D95" s="4">
        <v>-0.40422380602463898</v>
      </c>
      <c r="E95" s="4">
        <v>1.9454649122895999</v>
      </c>
      <c r="F95" s="4">
        <v>140.950213750275</v>
      </c>
      <c r="G95" s="4">
        <v>-1.9926661415090701</v>
      </c>
      <c r="H95" s="4">
        <v>-0.32550102573175599</v>
      </c>
      <c r="I95" s="4" t="s">
        <v>14</v>
      </c>
      <c r="J95" s="4">
        <v>-0.34446118594071301</v>
      </c>
      <c r="K95" s="4">
        <v>1.6554272299238499</v>
      </c>
      <c r="L95" s="4">
        <v>120.367688567307</v>
      </c>
      <c r="M95" s="4">
        <v>-1.6991278282244999</v>
      </c>
      <c r="N95" s="4">
        <v>-0.27825496394331201</v>
      </c>
      <c r="O95" s="4">
        <v>1.3</v>
      </c>
      <c r="P95" s="4">
        <v>1.3</v>
      </c>
      <c r="Q95" s="4">
        <v>0.22</v>
      </c>
      <c r="R95" s="4">
        <v>0.22</v>
      </c>
      <c r="S95" s="4">
        <v>0</v>
      </c>
      <c r="T95" s="4">
        <v>0</v>
      </c>
      <c r="U95" s="4">
        <v>0.3</v>
      </c>
      <c r="V95" s="4">
        <v>0.05</v>
      </c>
      <c r="W95" s="4">
        <v>1</v>
      </c>
      <c r="X95" s="4">
        <v>19.100000000000001</v>
      </c>
      <c r="Y95" s="4">
        <v>0</v>
      </c>
      <c r="Z95" s="4">
        <v>1.5</v>
      </c>
      <c r="AA95" s="4">
        <v>139</v>
      </c>
      <c r="AB95" s="4">
        <v>12.1</v>
      </c>
      <c r="AC95" s="4">
        <v>19.5</v>
      </c>
      <c r="AD95" s="3" t="s">
        <v>42</v>
      </c>
      <c r="AE95" s="3" t="s">
        <v>61</v>
      </c>
      <c r="AF95" s="17">
        <f>HLOOKUP(AD95,Data!$B$4:$M$9,2,0)</f>
        <v>13</v>
      </c>
      <c r="AG95" s="17">
        <f>HLOOKUP(AD95,Data!$B$4:$M$9,3,0)</f>
        <v>1</v>
      </c>
      <c r="AH95" s="17">
        <f>HLOOKUP(AE95,Data!$B$13:$I$18,3,0)</f>
        <v>260</v>
      </c>
      <c r="AI95" s="18">
        <f t="shared" si="90"/>
        <v>1.69</v>
      </c>
      <c r="AJ95" s="17">
        <f t="shared" si="91"/>
        <v>0.36616666666666697</v>
      </c>
      <c r="AK95" s="17">
        <f t="shared" si="92"/>
        <v>0.36616666666666697</v>
      </c>
      <c r="AL95" s="17">
        <f t="shared" si="93"/>
        <v>0.25</v>
      </c>
      <c r="AM95" s="17">
        <f t="shared" si="94"/>
        <v>0.54</v>
      </c>
      <c r="AN95" s="17">
        <f t="shared" si="95"/>
        <v>0.54</v>
      </c>
      <c r="AO95" s="17">
        <f t="shared" si="96"/>
        <v>0.54</v>
      </c>
      <c r="AP95" s="17">
        <f t="shared" si="97"/>
        <v>0.54</v>
      </c>
      <c r="AQ95" s="17">
        <f t="shared" si="98"/>
        <v>1.88</v>
      </c>
      <c r="AR95" s="17">
        <f t="shared" si="99"/>
        <v>1.1716</v>
      </c>
      <c r="AS95" s="17">
        <f t="shared" si="100"/>
        <v>140.950213750275</v>
      </c>
      <c r="AT95" s="17">
        <f t="shared" si="101"/>
        <v>-2.5763056151959498</v>
      </c>
      <c r="AU95" s="17">
        <f t="shared" si="102"/>
        <v>-0.446768167539148</v>
      </c>
      <c r="AV95" s="17">
        <f t="shared" si="103"/>
        <v>120.367688567307</v>
      </c>
      <c r="AW95" s="17">
        <f t="shared" si="104"/>
        <v>-2.19575599720166</v>
      </c>
      <c r="AX95" s="17">
        <f t="shared" si="105"/>
        <v>-0.38159331972552601</v>
      </c>
      <c r="AY95" s="17">
        <f t="shared" si="106"/>
        <v>112.258498212002</v>
      </c>
      <c r="AZ95" s="17">
        <f t="shared" si="107"/>
        <v>95.746488474714198</v>
      </c>
      <c r="BA95" s="17">
        <f t="shared" si="108"/>
        <v>104.002493343358</v>
      </c>
      <c r="BB95" s="17">
        <f t="shared" si="109"/>
        <v>98.8622171320267</v>
      </c>
      <c r="BC95" s="17">
        <f t="shared" si="110"/>
        <v>84.784751586680201</v>
      </c>
      <c r="BD95" s="17">
        <f t="shared" si="111"/>
        <v>91.8234843593535</v>
      </c>
      <c r="BE95" s="17" t="str">
        <f>IF(AND(BD95&lt;=AA95,BB95&lt;=AA95*MongDon!$J$44,BC95&gt;0),"Ok","FAIL")</f>
        <v>Ok</v>
      </c>
      <c r="BF95" s="17">
        <f t="shared" si="112"/>
        <v>131.52205650518101</v>
      </c>
      <c r="BG95" s="17">
        <f t="shared" si="113"/>
        <v>352.5</v>
      </c>
      <c r="BH95" s="17" t="str">
        <f t="shared" si="114"/>
        <v>Ok</v>
      </c>
      <c r="BI95" s="17">
        <f t="shared" si="115"/>
        <v>41.861467665263099</v>
      </c>
      <c r="BJ95" s="17">
        <f t="shared" si="116"/>
        <v>38.748953829784398</v>
      </c>
      <c r="BK95" s="17">
        <f t="shared" si="117"/>
        <v>36.556412315628897</v>
      </c>
      <c r="BL95" s="17">
        <f t="shared" si="118"/>
        <v>39.668926151107598</v>
      </c>
      <c r="BM95" s="17">
        <f t="shared" si="119"/>
        <v>88.125</v>
      </c>
      <c r="BN95" s="17">
        <f t="shared" si="120"/>
        <v>88.125</v>
      </c>
      <c r="BO95" s="17">
        <f t="shared" si="121"/>
        <v>88.125</v>
      </c>
      <c r="BP95" s="17">
        <f t="shared" si="122"/>
        <v>88.125</v>
      </c>
      <c r="BQ95" s="17" t="str">
        <f t="shared" si="123"/>
        <v>Ok</v>
      </c>
      <c r="BR95" s="17">
        <f t="shared" si="124"/>
        <v>63.172107572088002</v>
      </c>
      <c r="BS95" s="17">
        <f t="shared" si="125"/>
        <v>32.471471046856998</v>
      </c>
      <c r="BT95" s="16">
        <f>MongDon!$H$80</f>
        <v>1.2</v>
      </c>
      <c r="BU95" s="17" t="str">
        <f t="shared" si="126"/>
        <v>Ok</v>
      </c>
      <c r="BV95" s="17">
        <f t="shared" si="127"/>
        <v>43.705602422915497</v>
      </c>
      <c r="BW95" s="16">
        <f>MongDon!$F$86</f>
        <v>1.5</v>
      </c>
      <c r="BX95" s="17" t="str">
        <f t="shared" si="128"/>
        <v>Ok</v>
      </c>
      <c r="BY95" s="17">
        <f t="shared" si="129"/>
        <v>112.258498212002</v>
      </c>
      <c r="BZ95" s="17">
        <f t="shared" si="130"/>
        <v>109.818253327855</v>
      </c>
      <c r="CA95" s="17">
        <f t="shared" si="131"/>
        <v>95.746488474714198</v>
      </c>
      <c r="CB95" s="17">
        <f t="shared" si="132"/>
        <v>98.186733358860593</v>
      </c>
      <c r="CC95" s="17">
        <f t="shared" si="133"/>
        <v>104.986698879196</v>
      </c>
      <c r="CD95" s="17">
        <f t="shared" si="134"/>
        <v>105.399663398052</v>
      </c>
      <c r="CE95" s="17">
        <f t="shared" si="135"/>
        <v>105.399663398052</v>
      </c>
      <c r="CF95" s="17">
        <f t="shared" si="136"/>
        <v>103.01828780752</v>
      </c>
      <c r="CG95" s="17">
        <f t="shared" si="137"/>
        <v>16.033949667351902</v>
      </c>
      <c r="CH95" s="17">
        <f t="shared" si="138"/>
        <v>16.033949667351902</v>
      </c>
      <c r="CI95" s="17">
        <f t="shared" si="139"/>
        <v>274.08460969832299</v>
      </c>
      <c r="CJ95" s="17">
        <f t="shared" si="140"/>
        <v>274.08460969832299</v>
      </c>
    </row>
    <row r="96" spans="2:88">
      <c r="B96" s="3">
        <v>19</v>
      </c>
      <c r="C96" s="3" t="s">
        <v>25</v>
      </c>
      <c r="D96" s="4">
        <v>-4.8628101758000497</v>
      </c>
      <c r="E96" s="4">
        <v>1.2281924598746401</v>
      </c>
      <c r="F96" s="4">
        <v>132.09851371758401</v>
      </c>
      <c r="G96" s="4">
        <v>-0.81611094195020595</v>
      </c>
      <c r="H96" s="4">
        <v>-7.2657034421394098</v>
      </c>
      <c r="I96" s="4" t="s">
        <v>15</v>
      </c>
      <c r="J96" s="4">
        <v>-4.0599498274202199</v>
      </c>
      <c r="K96" s="4">
        <v>1.05770018624471</v>
      </c>
      <c r="L96" s="4">
        <v>112.99127187339801</v>
      </c>
      <c r="M96" s="4">
        <v>-0.71866516192545205</v>
      </c>
      <c r="N96" s="4">
        <v>-6.0617569776163602</v>
      </c>
      <c r="O96" s="4">
        <v>1.3</v>
      </c>
      <c r="P96" s="4">
        <v>1.3</v>
      </c>
      <c r="Q96" s="4">
        <v>0.22</v>
      </c>
      <c r="R96" s="4">
        <v>0.22</v>
      </c>
      <c r="S96" s="4">
        <v>0</v>
      </c>
      <c r="T96" s="4">
        <v>0</v>
      </c>
      <c r="U96" s="4">
        <v>0.3</v>
      </c>
      <c r="V96" s="4">
        <v>0.05</v>
      </c>
      <c r="W96" s="4">
        <v>1</v>
      </c>
      <c r="X96" s="4">
        <v>19.100000000000001</v>
      </c>
      <c r="Y96" s="4">
        <v>0</v>
      </c>
      <c r="Z96" s="4">
        <v>1.5</v>
      </c>
      <c r="AA96" s="4">
        <v>139</v>
      </c>
      <c r="AB96" s="4">
        <v>12.1</v>
      </c>
      <c r="AC96" s="4">
        <v>19.5</v>
      </c>
      <c r="AD96" s="3" t="s">
        <v>42</v>
      </c>
      <c r="AE96" s="3" t="s">
        <v>61</v>
      </c>
      <c r="AF96" s="17">
        <f>HLOOKUP(AD96,Data!$B$4:$M$9,2,0)</f>
        <v>13</v>
      </c>
      <c r="AG96" s="17">
        <f>HLOOKUP(AD96,Data!$B$4:$M$9,3,0)</f>
        <v>1</v>
      </c>
      <c r="AH96" s="17">
        <f>HLOOKUP(AE96,Data!$B$13:$I$18,3,0)</f>
        <v>260</v>
      </c>
      <c r="AI96" s="18">
        <f t="shared" si="90"/>
        <v>1.69</v>
      </c>
      <c r="AJ96" s="17">
        <f t="shared" si="91"/>
        <v>0.36616666666666697</v>
      </c>
      <c r="AK96" s="17">
        <f t="shared" si="92"/>
        <v>0.36616666666666697</v>
      </c>
      <c r="AL96" s="17">
        <f t="shared" si="93"/>
        <v>0.25</v>
      </c>
      <c r="AM96" s="17">
        <f t="shared" si="94"/>
        <v>0.54</v>
      </c>
      <c r="AN96" s="17">
        <f t="shared" si="95"/>
        <v>0.54</v>
      </c>
      <c r="AO96" s="17">
        <f t="shared" si="96"/>
        <v>0.54</v>
      </c>
      <c r="AP96" s="17">
        <f t="shared" si="97"/>
        <v>0.54</v>
      </c>
      <c r="AQ96" s="17">
        <f t="shared" si="98"/>
        <v>1.88</v>
      </c>
      <c r="AR96" s="17">
        <f t="shared" si="99"/>
        <v>1.1716</v>
      </c>
      <c r="AS96" s="17">
        <f t="shared" si="100"/>
        <v>132.09851371758401</v>
      </c>
      <c r="AT96" s="17">
        <f t="shared" si="101"/>
        <v>-1.1845686799126001</v>
      </c>
      <c r="AU96" s="17">
        <f t="shared" si="102"/>
        <v>-8.72454649487943</v>
      </c>
      <c r="AV96" s="17">
        <f t="shared" si="103"/>
        <v>112.99127187339801</v>
      </c>
      <c r="AW96" s="17">
        <f t="shared" si="104"/>
        <v>-1.0359752177988699</v>
      </c>
      <c r="AX96" s="17">
        <f t="shared" si="105"/>
        <v>-7.2797419258424299</v>
      </c>
      <c r="AY96" s="17">
        <f t="shared" si="106"/>
        <v>125.826562986623</v>
      </c>
      <c r="AZ96" s="17">
        <f t="shared" si="107"/>
        <v>71.703039046020706</v>
      </c>
      <c r="BA96" s="17">
        <f t="shared" si="108"/>
        <v>98.764801016322096</v>
      </c>
      <c r="BB96" s="17">
        <f t="shared" si="109"/>
        <v>110.168937777545</v>
      </c>
      <c r="BC96" s="17">
        <f t="shared" si="110"/>
        <v>64.748543729435696</v>
      </c>
      <c r="BD96" s="17">
        <f t="shared" si="111"/>
        <v>87.458740753490204</v>
      </c>
      <c r="BE96" s="17" t="str">
        <f>IF(AND(BD96&lt;=AA96,BB96&lt;=AA96*MongDon!$J$44,BC96&gt;0),"Ok","FAIL")</f>
        <v>Ok</v>
      </c>
      <c r="BF96" s="17">
        <f t="shared" si="112"/>
        <v>147.41840119512801</v>
      </c>
      <c r="BG96" s="17">
        <f t="shared" si="113"/>
        <v>352.5</v>
      </c>
      <c r="BH96" s="17" t="str">
        <f t="shared" si="114"/>
        <v>Ok</v>
      </c>
      <c r="BI96" s="17">
        <f t="shared" si="115"/>
        <v>38.453945073714301</v>
      </c>
      <c r="BJ96" s="17">
        <f t="shared" si="116"/>
        <v>28.2516608109107</v>
      </c>
      <c r="BK96" s="17">
        <f t="shared" si="117"/>
        <v>36.014714892592501</v>
      </c>
      <c r="BL96" s="17">
        <f t="shared" si="118"/>
        <v>46.216999155396202</v>
      </c>
      <c r="BM96" s="17">
        <f t="shared" si="119"/>
        <v>88.125</v>
      </c>
      <c r="BN96" s="17">
        <f t="shared" si="120"/>
        <v>88.125</v>
      </c>
      <c r="BO96" s="17">
        <f t="shared" si="121"/>
        <v>88.125</v>
      </c>
      <c r="BP96" s="17">
        <f t="shared" si="122"/>
        <v>88.125</v>
      </c>
      <c r="BQ96" s="17" t="str">
        <f t="shared" si="123"/>
        <v>Ok</v>
      </c>
      <c r="BR96" s="17">
        <f t="shared" si="124"/>
        <v>61.274467512048297</v>
      </c>
      <c r="BS96" s="17">
        <f t="shared" si="125"/>
        <v>12.600629121198899</v>
      </c>
      <c r="BT96" s="16">
        <f>MongDon!$H$80</f>
        <v>1.2</v>
      </c>
      <c r="BU96" s="17" t="str">
        <f t="shared" si="126"/>
        <v>Ok</v>
      </c>
      <c r="BV96" s="17">
        <f t="shared" si="127"/>
        <v>12.2465258198967</v>
      </c>
      <c r="BW96" s="16">
        <f>MongDon!$F$86</f>
        <v>1.5</v>
      </c>
      <c r="BX96" s="17" t="str">
        <f t="shared" si="128"/>
        <v>Ok</v>
      </c>
      <c r="BY96" s="17">
        <f t="shared" si="129"/>
        <v>125.826562986623</v>
      </c>
      <c r="BZ96" s="17">
        <f t="shared" si="130"/>
        <v>78.173145627245603</v>
      </c>
      <c r="CA96" s="17">
        <f t="shared" si="131"/>
        <v>71.703039046020706</v>
      </c>
      <c r="CB96" s="17">
        <f t="shared" si="132"/>
        <v>119.356456405399</v>
      </c>
      <c r="CC96" s="17">
        <f t="shared" si="133"/>
        <v>95.280059335093796</v>
      </c>
      <c r="CD96" s="17">
        <f t="shared" si="134"/>
        <v>103.344483811296</v>
      </c>
      <c r="CE96" s="17">
        <f t="shared" si="135"/>
        <v>103.344483811296</v>
      </c>
      <c r="CF96" s="17">
        <f t="shared" si="136"/>
        <v>102.24954269755</v>
      </c>
      <c r="CG96" s="17">
        <f t="shared" si="137"/>
        <v>17.252883835528799</v>
      </c>
      <c r="CH96" s="17">
        <f t="shared" si="138"/>
        <v>17.252883835528799</v>
      </c>
      <c r="CI96" s="17">
        <f t="shared" si="139"/>
        <v>294.92109120561997</v>
      </c>
      <c r="CJ96" s="17">
        <f t="shared" si="140"/>
        <v>294.92109120561997</v>
      </c>
    </row>
    <row r="97" spans="2:88">
      <c r="B97" s="3">
        <v>19</v>
      </c>
      <c r="C97" s="3" t="s">
        <v>26</v>
      </c>
      <c r="D97" s="4">
        <v>4.0630425071187197</v>
      </c>
      <c r="E97" s="4">
        <v>2.6200533786336999</v>
      </c>
      <c r="F97" s="4">
        <v>146.87194018539901</v>
      </c>
      <c r="G97" s="4">
        <v>-3.1268354449094899</v>
      </c>
      <c r="H97" s="4">
        <v>6.6213598702396004</v>
      </c>
      <c r="I97" s="4" t="s">
        <v>16</v>
      </c>
      <c r="J97" s="4">
        <v>3.37826074167875</v>
      </c>
      <c r="K97" s="4">
        <v>2.2175842852106</v>
      </c>
      <c r="L97" s="4">
        <v>125.30246059657701</v>
      </c>
      <c r="M97" s="4">
        <v>-2.6442689143915201</v>
      </c>
      <c r="N97" s="4">
        <v>5.5107957826994802</v>
      </c>
      <c r="O97" s="4">
        <v>1.3</v>
      </c>
      <c r="P97" s="4">
        <v>1.3</v>
      </c>
      <c r="Q97" s="4">
        <v>0.22</v>
      </c>
      <c r="R97" s="4">
        <v>0.22</v>
      </c>
      <c r="S97" s="4">
        <v>0</v>
      </c>
      <c r="T97" s="4">
        <v>0</v>
      </c>
      <c r="U97" s="4">
        <v>0.3</v>
      </c>
      <c r="V97" s="4">
        <v>0.05</v>
      </c>
      <c r="W97" s="4">
        <v>1</v>
      </c>
      <c r="X97" s="4">
        <v>19.100000000000001</v>
      </c>
      <c r="Y97" s="4">
        <v>0</v>
      </c>
      <c r="Z97" s="4">
        <v>1.5</v>
      </c>
      <c r="AA97" s="4">
        <v>139</v>
      </c>
      <c r="AB97" s="4">
        <v>12.1</v>
      </c>
      <c r="AC97" s="4">
        <v>19.5</v>
      </c>
      <c r="AD97" s="3" t="s">
        <v>42</v>
      </c>
      <c r="AE97" s="3" t="s">
        <v>61</v>
      </c>
      <c r="AF97" s="17">
        <f>HLOOKUP(AD97,Data!$B$4:$M$9,2,0)</f>
        <v>13</v>
      </c>
      <c r="AG97" s="17">
        <f>HLOOKUP(AD97,Data!$B$4:$M$9,3,0)</f>
        <v>1</v>
      </c>
      <c r="AH97" s="17">
        <f>HLOOKUP(AE97,Data!$B$13:$I$18,3,0)</f>
        <v>260</v>
      </c>
      <c r="AI97" s="18">
        <f t="shared" si="90"/>
        <v>1.69</v>
      </c>
      <c r="AJ97" s="17">
        <f t="shared" si="91"/>
        <v>0.36616666666666697</v>
      </c>
      <c r="AK97" s="17">
        <f t="shared" si="92"/>
        <v>0.36616666666666697</v>
      </c>
      <c r="AL97" s="17">
        <f t="shared" si="93"/>
        <v>0.25</v>
      </c>
      <c r="AM97" s="17">
        <f t="shared" si="94"/>
        <v>0.54</v>
      </c>
      <c r="AN97" s="17">
        <f t="shared" si="95"/>
        <v>0.54</v>
      </c>
      <c r="AO97" s="17">
        <f t="shared" si="96"/>
        <v>0.54</v>
      </c>
      <c r="AP97" s="17">
        <f t="shared" si="97"/>
        <v>0.54</v>
      </c>
      <c r="AQ97" s="17">
        <f t="shared" si="98"/>
        <v>1.88</v>
      </c>
      <c r="AR97" s="17">
        <f t="shared" si="99"/>
        <v>1.1716</v>
      </c>
      <c r="AS97" s="17">
        <f t="shared" si="100"/>
        <v>146.87194018539901</v>
      </c>
      <c r="AT97" s="17">
        <f t="shared" si="101"/>
        <v>-3.9128514584995999</v>
      </c>
      <c r="AU97" s="17">
        <f t="shared" si="102"/>
        <v>7.8402726223752097</v>
      </c>
      <c r="AV97" s="17">
        <f t="shared" si="103"/>
        <v>125.30246059657701</v>
      </c>
      <c r="AW97" s="17">
        <f t="shared" si="104"/>
        <v>-3.3095441999547002</v>
      </c>
      <c r="AX97" s="17">
        <f t="shared" si="105"/>
        <v>6.5242740052031101</v>
      </c>
      <c r="AY97" s="17">
        <f t="shared" si="106"/>
        <v>139.604217899985</v>
      </c>
      <c r="AZ97" s="17">
        <f t="shared" si="107"/>
        <v>75.408729064983902</v>
      </c>
      <c r="BA97" s="17">
        <f t="shared" si="108"/>
        <v>107.50647348248501</v>
      </c>
      <c r="BB97" s="17">
        <f t="shared" si="109"/>
        <v>121.59959399476401</v>
      </c>
      <c r="BC97" s="17">
        <f t="shared" si="110"/>
        <v>67.887341622486801</v>
      </c>
      <c r="BD97" s="17">
        <f t="shared" si="111"/>
        <v>94.743467808625596</v>
      </c>
      <c r="BE97" s="17" t="str">
        <f>IF(AND(BD97&lt;=AA97,BB97&lt;=AA97*MongDon!$J$44,BC97&gt;0),"Ok","FAIL")</f>
        <v>Ok</v>
      </c>
      <c r="BF97" s="17">
        <f t="shared" si="112"/>
        <v>163.56030169162301</v>
      </c>
      <c r="BG97" s="17">
        <f t="shared" si="113"/>
        <v>352.5</v>
      </c>
      <c r="BH97" s="17" t="str">
        <f t="shared" si="114"/>
        <v>Ok</v>
      </c>
      <c r="BI97" s="17">
        <f t="shared" si="115"/>
        <v>44.558556797446599</v>
      </c>
      <c r="BJ97" s="17">
        <f t="shared" si="116"/>
        <v>48.602173853744503</v>
      </c>
      <c r="BK97" s="17">
        <f t="shared" si="117"/>
        <v>36.501324208346801</v>
      </c>
      <c r="BL97" s="17">
        <f t="shared" si="118"/>
        <v>32.457707152048798</v>
      </c>
      <c r="BM97" s="17">
        <f t="shared" si="119"/>
        <v>88.125</v>
      </c>
      <c r="BN97" s="17">
        <f t="shared" si="120"/>
        <v>88.125</v>
      </c>
      <c r="BO97" s="17">
        <f t="shared" si="121"/>
        <v>88.125</v>
      </c>
      <c r="BP97" s="17">
        <f t="shared" si="122"/>
        <v>88.125</v>
      </c>
      <c r="BQ97" s="17" t="str">
        <f t="shared" si="123"/>
        <v>Ok</v>
      </c>
      <c r="BR97" s="17">
        <f t="shared" si="124"/>
        <v>64.441615719267105</v>
      </c>
      <c r="BS97" s="17">
        <f t="shared" si="125"/>
        <v>15.860433555977099</v>
      </c>
      <c r="BT97" s="16">
        <f>MongDon!$H$80</f>
        <v>1.2</v>
      </c>
      <c r="BU97" s="17" t="str">
        <f t="shared" si="126"/>
        <v>Ok</v>
      </c>
      <c r="BV97" s="17">
        <f t="shared" si="127"/>
        <v>14.8525589260991</v>
      </c>
      <c r="BW97" s="16">
        <f>MongDon!$F$86</f>
        <v>1.5</v>
      </c>
      <c r="BX97" s="17" t="str">
        <f t="shared" si="128"/>
        <v>Ok</v>
      </c>
      <c r="BY97" s="17">
        <f t="shared" si="129"/>
        <v>96.780698797344002</v>
      </c>
      <c r="BZ97" s="17">
        <f t="shared" si="130"/>
        <v>139.604217899985</v>
      </c>
      <c r="CA97" s="17">
        <f t="shared" si="131"/>
        <v>118.232248167625</v>
      </c>
      <c r="CB97" s="17">
        <f t="shared" si="132"/>
        <v>75.408729064983902</v>
      </c>
      <c r="CC97" s="17">
        <f t="shared" si="133"/>
        <v>112.93839946083099</v>
      </c>
      <c r="CD97" s="17">
        <f t="shared" si="134"/>
        <v>105.691342381922</v>
      </c>
      <c r="CE97" s="17">
        <f t="shared" si="135"/>
        <v>112.93839946083099</v>
      </c>
      <c r="CF97" s="17">
        <f t="shared" si="136"/>
        <v>109.32160458304701</v>
      </c>
      <c r="CG97" s="17">
        <f t="shared" si="137"/>
        <v>19.058336193674901</v>
      </c>
      <c r="CH97" s="17">
        <f t="shared" si="138"/>
        <v>19.058336193674901</v>
      </c>
      <c r="CI97" s="17">
        <f t="shared" si="139"/>
        <v>325.783524678204</v>
      </c>
      <c r="CJ97" s="17">
        <f t="shared" si="140"/>
        <v>325.783524678204</v>
      </c>
    </row>
    <row r="98" spans="2:88">
      <c r="B98" s="3">
        <v>19</v>
      </c>
      <c r="C98" s="3" t="s">
        <v>27</v>
      </c>
      <c r="D98" s="4">
        <v>-1.95350581829451</v>
      </c>
      <c r="E98" s="4">
        <v>-6.2003021715476496</v>
      </c>
      <c r="F98" s="4">
        <v>128.27435975030801</v>
      </c>
      <c r="G98" s="4">
        <v>11.6872094986993</v>
      </c>
      <c r="H98" s="4">
        <v>-2.7781308079112099</v>
      </c>
      <c r="I98" s="4" t="s">
        <v>17</v>
      </c>
      <c r="J98" s="4">
        <v>-1.63552952949894</v>
      </c>
      <c r="K98" s="4">
        <v>-5.1327120066071998</v>
      </c>
      <c r="L98" s="4">
        <v>109.80447690066801</v>
      </c>
      <c r="M98" s="4">
        <v>9.7007685386157902</v>
      </c>
      <c r="N98" s="4">
        <v>-2.3221131157595298</v>
      </c>
      <c r="O98" s="4">
        <v>1.3</v>
      </c>
      <c r="P98" s="4">
        <v>1.3</v>
      </c>
      <c r="Q98" s="4">
        <v>0.22</v>
      </c>
      <c r="R98" s="4">
        <v>0.22</v>
      </c>
      <c r="S98" s="4">
        <v>0</v>
      </c>
      <c r="T98" s="4">
        <v>0</v>
      </c>
      <c r="U98" s="4">
        <v>0.3</v>
      </c>
      <c r="V98" s="4">
        <v>0.05</v>
      </c>
      <c r="W98" s="4">
        <v>1</v>
      </c>
      <c r="X98" s="4">
        <v>19.100000000000001</v>
      </c>
      <c r="Y98" s="4">
        <v>0</v>
      </c>
      <c r="Z98" s="4">
        <v>1.5</v>
      </c>
      <c r="AA98" s="4">
        <v>139</v>
      </c>
      <c r="AB98" s="4">
        <v>12.1</v>
      </c>
      <c r="AC98" s="4">
        <v>19.5</v>
      </c>
      <c r="AD98" s="3" t="s">
        <v>42</v>
      </c>
      <c r="AE98" s="3" t="s">
        <v>61</v>
      </c>
      <c r="AF98" s="17">
        <f>HLOOKUP(AD98,Data!$B$4:$M$9,2,0)</f>
        <v>13</v>
      </c>
      <c r="AG98" s="17">
        <f>HLOOKUP(AD98,Data!$B$4:$M$9,3,0)</f>
        <v>1</v>
      </c>
      <c r="AH98" s="17">
        <f>HLOOKUP(AE98,Data!$B$13:$I$18,3,0)</f>
        <v>260</v>
      </c>
      <c r="AI98" s="18">
        <f t="shared" si="90"/>
        <v>1.69</v>
      </c>
      <c r="AJ98" s="17">
        <f t="shared" si="91"/>
        <v>0.36616666666666697</v>
      </c>
      <c r="AK98" s="17">
        <f t="shared" si="92"/>
        <v>0.36616666666666697</v>
      </c>
      <c r="AL98" s="17">
        <f t="shared" si="93"/>
        <v>0.25</v>
      </c>
      <c r="AM98" s="17">
        <f t="shared" si="94"/>
        <v>0.54</v>
      </c>
      <c r="AN98" s="17">
        <f t="shared" si="95"/>
        <v>0.54</v>
      </c>
      <c r="AO98" s="17">
        <f t="shared" si="96"/>
        <v>0.54</v>
      </c>
      <c r="AP98" s="17">
        <f t="shared" si="97"/>
        <v>0.54</v>
      </c>
      <c r="AQ98" s="17">
        <f t="shared" si="98"/>
        <v>1.88</v>
      </c>
      <c r="AR98" s="17">
        <f t="shared" si="99"/>
        <v>1.1716</v>
      </c>
      <c r="AS98" s="17">
        <f t="shared" si="100"/>
        <v>128.27435975030801</v>
      </c>
      <c r="AT98" s="17">
        <f t="shared" si="101"/>
        <v>13.547300150163601</v>
      </c>
      <c r="AU98" s="17">
        <f t="shared" si="102"/>
        <v>-3.3641825533995702</v>
      </c>
      <c r="AV98" s="17">
        <f t="shared" si="103"/>
        <v>109.80447690066801</v>
      </c>
      <c r="AW98" s="17">
        <f t="shared" si="104"/>
        <v>11.240582140597899</v>
      </c>
      <c r="AX98" s="17">
        <f t="shared" si="105"/>
        <v>-2.8127719746092099</v>
      </c>
      <c r="AY98" s="17">
        <f t="shared" si="106"/>
        <v>142.687193398625</v>
      </c>
      <c r="AZ98" s="17">
        <f t="shared" si="107"/>
        <v>50.316782637242497</v>
      </c>
      <c r="BA98" s="17">
        <f t="shared" si="108"/>
        <v>96.501988017933897</v>
      </c>
      <c r="BB98" s="17">
        <f t="shared" si="109"/>
        <v>123.952728567188</v>
      </c>
      <c r="BC98" s="17">
        <f t="shared" si="110"/>
        <v>47.193397942478803</v>
      </c>
      <c r="BD98" s="17">
        <f t="shared" si="111"/>
        <v>85.5730632548334</v>
      </c>
      <c r="BE98" s="17" t="str">
        <f>IF(AND(BD98&lt;=AA98,BB98&lt;=AA98*MongDon!$J$44,BC98&gt;0),"Ok","FAIL")</f>
        <v>Ok</v>
      </c>
      <c r="BF98" s="17">
        <f t="shared" si="112"/>
        <v>167.172315785829</v>
      </c>
      <c r="BG98" s="17">
        <f t="shared" si="113"/>
        <v>352.5</v>
      </c>
      <c r="BH98" s="17" t="str">
        <f t="shared" si="114"/>
        <v>Ok</v>
      </c>
      <c r="BI98" s="17">
        <f t="shared" si="115"/>
        <v>22.4331416358471</v>
      </c>
      <c r="BJ98" s="17">
        <f t="shared" si="116"/>
        <v>32.917534901154397</v>
      </c>
      <c r="BK98" s="17">
        <f t="shared" si="117"/>
        <v>50.329357329674998</v>
      </c>
      <c r="BL98" s="17">
        <f t="shared" si="118"/>
        <v>39.844964064367701</v>
      </c>
      <c r="BM98" s="17">
        <f t="shared" si="119"/>
        <v>88.125</v>
      </c>
      <c r="BN98" s="17">
        <f t="shared" si="120"/>
        <v>88.125</v>
      </c>
      <c r="BO98" s="17">
        <f t="shared" si="121"/>
        <v>88.125</v>
      </c>
      <c r="BP98" s="17">
        <f t="shared" si="122"/>
        <v>88.125</v>
      </c>
      <c r="BQ98" s="17" t="str">
        <f t="shared" si="123"/>
        <v>Ok</v>
      </c>
      <c r="BR98" s="17">
        <f t="shared" si="124"/>
        <v>60.454639937993399</v>
      </c>
      <c r="BS98" s="17">
        <f t="shared" si="125"/>
        <v>9.7502731746545503</v>
      </c>
      <c r="BT98" s="16">
        <f>MongDon!$H$80</f>
        <v>1.2</v>
      </c>
      <c r="BU98" s="17" t="str">
        <f t="shared" si="126"/>
        <v>Ok</v>
      </c>
      <c r="BV98" s="17">
        <f t="shared" si="127"/>
        <v>7.7033565862523696</v>
      </c>
      <c r="BW98" s="16">
        <f>MongDon!$F$86</f>
        <v>1.5</v>
      </c>
      <c r="BX98" s="17" t="str">
        <f t="shared" si="128"/>
        <v>Ok</v>
      </c>
      <c r="BY98" s="17">
        <f t="shared" si="129"/>
        <v>68.691926306243303</v>
      </c>
      <c r="BZ98" s="17">
        <f t="shared" si="130"/>
        <v>50.316782637242497</v>
      </c>
      <c r="CA98" s="17">
        <f t="shared" si="131"/>
        <v>124.31204972962399</v>
      </c>
      <c r="CB98" s="17">
        <f t="shared" si="132"/>
        <v>142.687193398625</v>
      </c>
      <c r="CC98" s="17">
        <f t="shared" si="133"/>
        <v>101.208306153758</v>
      </c>
      <c r="CD98" s="17">
        <f t="shared" si="134"/>
        <v>104.317945851589</v>
      </c>
      <c r="CE98" s="17">
        <f t="shared" si="135"/>
        <v>91.795669882109294</v>
      </c>
      <c r="CF98" s="17">
        <f t="shared" si="136"/>
        <v>104.317945851589</v>
      </c>
      <c r="CG98" s="17">
        <f t="shared" si="137"/>
        <v>18.9390473667336</v>
      </c>
      <c r="CH98" s="17">
        <f t="shared" si="138"/>
        <v>18.9390473667336</v>
      </c>
      <c r="CI98" s="17">
        <f t="shared" si="139"/>
        <v>323.74439943134399</v>
      </c>
      <c r="CJ98" s="17">
        <f t="shared" si="140"/>
        <v>323.74439943134399</v>
      </c>
    </row>
    <row r="99" spans="2:88">
      <c r="B99" s="3">
        <v>19</v>
      </c>
      <c r="C99" s="3" t="s">
        <v>28</v>
      </c>
      <c r="D99" s="4">
        <v>1.15373814961318</v>
      </c>
      <c r="E99" s="4">
        <v>10.048548010056001</v>
      </c>
      <c r="F99" s="4">
        <v>150.69609415267499</v>
      </c>
      <c r="G99" s="4">
        <v>-15.630155885559001</v>
      </c>
      <c r="H99" s="4">
        <v>2.1337872360114001</v>
      </c>
      <c r="I99" s="4" t="s">
        <v>18</v>
      </c>
      <c r="J99" s="4">
        <v>0.95384044375747101</v>
      </c>
      <c r="K99" s="4">
        <v>8.4079964780625005</v>
      </c>
      <c r="L99" s="4">
        <v>128.48925556930701</v>
      </c>
      <c r="M99" s="4">
        <v>-13.063702614932801</v>
      </c>
      <c r="N99" s="4">
        <v>1.7711519208426501</v>
      </c>
      <c r="O99" s="4">
        <v>1.3</v>
      </c>
      <c r="P99" s="4">
        <v>1.3</v>
      </c>
      <c r="Q99" s="4">
        <v>0.22</v>
      </c>
      <c r="R99" s="4">
        <v>0.22</v>
      </c>
      <c r="S99" s="4">
        <v>0</v>
      </c>
      <c r="T99" s="4">
        <v>0</v>
      </c>
      <c r="U99" s="4">
        <v>0.3</v>
      </c>
      <c r="V99" s="4">
        <v>0.05</v>
      </c>
      <c r="W99" s="4">
        <v>1</v>
      </c>
      <c r="X99" s="4">
        <v>19.100000000000001</v>
      </c>
      <c r="Y99" s="4">
        <v>0</v>
      </c>
      <c r="Z99" s="4">
        <v>1.5</v>
      </c>
      <c r="AA99" s="4">
        <v>139</v>
      </c>
      <c r="AB99" s="4">
        <v>12.1</v>
      </c>
      <c r="AC99" s="4">
        <v>19.5</v>
      </c>
      <c r="AD99" s="3" t="s">
        <v>42</v>
      </c>
      <c r="AE99" s="3" t="s">
        <v>61</v>
      </c>
      <c r="AF99" s="17">
        <f>HLOOKUP(AD99,Data!$B$4:$M$9,2,0)</f>
        <v>13</v>
      </c>
      <c r="AG99" s="17">
        <f>HLOOKUP(AD99,Data!$B$4:$M$9,3,0)</f>
        <v>1</v>
      </c>
      <c r="AH99" s="17">
        <f>HLOOKUP(AE99,Data!$B$13:$I$18,3,0)</f>
        <v>260</v>
      </c>
      <c r="AI99" s="18">
        <f t="shared" si="90"/>
        <v>1.69</v>
      </c>
      <c r="AJ99" s="17">
        <f t="shared" si="91"/>
        <v>0.36616666666666697</v>
      </c>
      <c r="AK99" s="17">
        <f t="shared" si="92"/>
        <v>0.36616666666666697</v>
      </c>
      <c r="AL99" s="17">
        <f t="shared" si="93"/>
        <v>0.25</v>
      </c>
      <c r="AM99" s="17">
        <f t="shared" si="94"/>
        <v>0.54</v>
      </c>
      <c r="AN99" s="17">
        <f t="shared" si="95"/>
        <v>0.54</v>
      </c>
      <c r="AO99" s="17">
        <f t="shared" si="96"/>
        <v>0.54</v>
      </c>
      <c r="AP99" s="17">
        <f t="shared" si="97"/>
        <v>0.54</v>
      </c>
      <c r="AQ99" s="17">
        <f t="shared" si="98"/>
        <v>1.88</v>
      </c>
      <c r="AR99" s="17">
        <f t="shared" si="99"/>
        <v>1.1716</v>
      </c>
      <c r="AS99" s="17">
        <f t="shared" si="100"/>
        <v>150.69609415267499</v>
      </c>
      <c r="AT99" s="17">
        <f t="shared" si="101"/>
        <v>-18.644720288575801</v>
      </c>
      <c r="AU99" s="17">
        <f t="shared" si="102"/>
        <v>2.4799086808953499</v>
      </c>
      <c r="AV99" s="17">
        <f t="shared" si="103"/>
        <v>128.48925556930701</v>
      </c>
      <c r="AW99" s="17">
        <f t="shared" si="104"/>
        <v>-15.586101558351499</v>
      </c>
      <c r="AX99" s="17">
        <f t="shared" si="105"/>
        <v>2.0573040539698901</v>
      </c>
      <c r="AY99" s="17">
        <f t="shared" si="106"/>
        <v>167.46058088998799</v>
      </c>
      <c r="AZ99" s="17">
        <f t="shared" si="107"/>
        <v>52.077992071757301</v>
      </c>
      <c r="BA99" s="17">
        <f t="shared" si="108"/>
        <v>109.76928648087301</v>
      </c>
      <c r="BB99" s="17">
        <f t="shared" si="109"/>
        <v>144.813229819767</v>
      </c>
      <c r="BC99" s="17">
        <f t="shared" si="110"/>
        <v>48.445060794798003</v>
      </c>
      <c r="BD99" s="17">
        <f t="shared" si="111"/>
        <v>96.6291453072824</v>
      </c>
      <c r="BE99" s="17" t="str">
        <f>IF(AND(BD99&lt;=AA99,BB99&lt;=AA99*MongDon!$J$44,BC99&gt;0),"Ok","FAIL")</f>
        <v>Ok</v>
      </c>
      <c r="BF99" s="17">
        <f t="shared" si="112"/>
        <v>196.19681657071001</v>
      </c>
      <c r="BG99" s="17">
        <f t="shared" si="113"/>
        <v>352.5</v>
      </c>
      <c r="BH99" s="17" t="str">
        <f t="shared" si="114"/>
        <v>Ok</v>
      </c>
      <c r="BI99" s="17">
        <f t="shared" si="115"/>
        <v>60.5793602353138</v>
      </c>
      <c r="BJ99" s="17">
        <f t="shared" si="116"/>
        <v>43.936299763500799</v>
      </c>
      <c r="BK99" s="17">
        <f t="shared" si="117"/>
        <v>22.186681771264301</v>
      </c>
      <c r="BL99" s="17">
        <f t="shared" si="118"/>
        <v>38.829742243077298</v>
      </c>
      <c r="BM99" s="17">
        <f t="shared" si="119"/>
        <v>88.125</v>
      </c>
      <c r="BN99" s="17">
        <f t="shared" si="120"/>
        <v>88.125</v>
      </c>
      <c r="BO99" s="17">
        <f t="shared" si="121"/>
        <v>88.125</v>
      </c>
      <c r="BP99" s="17">
        <f t="shared" si="122"/>
        <v>88.125</v>
      </c>
      <c r="BQ99" s="17" t="str">
        <f t="shared" si="123"/>
        <v>Ok</v>
      </c>
      <c r="BR99" s="17">
        <f t="shared" si="124"/>
        <v>65.261443293322003</v>
      </c>
      <c r="BS99" s="17">
        <f t="shared" si="125"/>
        <v>6.4946142694459201</v>
      </c>
      <c r="BT99" s="16">
        <f>MongDon!$H$80</f>
        <v>1.2</v>
      </c>
      <c r="BU99" s="17" t="str">
        <f t="shared" si="126"/>
        <v>Ok</v>
      </c>
      <c r="BV99" s="17">
        <f t="shared" si="127"/>
        <v>6.3789539000010302</v>
      </c>
      <c r="BW99" s="16">
        <f>MongDon!$F$86</f>
        <v>1.5</v>
      </c>
      <c r="BX99" s="17" t="str">
        <f t="shared" si="128"/>
        <v>Ok</v>
      </c>
      <c r="BY99" s="17">
        <f t="shared" si="129"/>
        <v>153.915335477724</v>
      </c>
      <c r="BZ99" s="17">
        <f t="shared" si="130"/>
        <v>167.46058088998799</v>
      </c>
      <c r="CA99" s="17">
        <f t="shared" si="131"/>
        <v>65.623237484021402</v>
      </c>
      <c r="CB99" s="17">
        <f t="shared" si="132"/>
        <v>52.077992071757301</v>
      </c>
      <c r="CC99" s="17">
        <f t="shared" si="133"/>
        <v>119.532428611646</v>
      </c>
      <c r="CD99" s="17">
        <f t="shared" si="134"/>
        <v>117.240156311109</v>
      </c>
      <c r="CE99" s="17">
        <f t="shared" si="135"/>
        <v>119.532428611646</v>
      </c>
      <c r="CF99" s="17">
        <f t="shared" si="136"/>
        <v>102.298416650636</v>
      </c>
      <c r="CG99" s="17">
        <f t="shared" si="137"/>
        <v>22.0864444930329</v>
      </c>
      <c r="CH99" s="17">
        <f t="shared" si="138"/>
        <v>22.0864444930329</v>
      </c>
      <c r="CI99" s="17">
        <f t="shared" si="139"/>
        <v>377.546059709963</v>
      </c>
      <c r="CJ99" s="17">
        <f t="shared" si="140"/>
        <v>377.546059709963</v>
      </c>
    </row>
    <row r="100" spans="2:88">
      <c r="B100" s="3">
        <v>19</v>
      </c>
      <c r="C100" s="3" t="s">
        <v>29</v>
      </c>
      <c r="D100" s="4">
        <v>-5.3196311352508703</v>
      </c>
      <c r="E100" s="4">
        <v>0.95878891595800297</v>
      </c>
      <c r="F100" s="4">
        <v>118.092886613654</v>
      </c>
      <c r="G100" s="4">
        <v>-0.497000825739492</v>
      </c>
      <c r="H100" s="4">
        <v>-8.0072438014571699</v>
      </c>
      <c r="I100" s="4" t="s">
        <v>19</v>
      </c>
      <c r="J100" s="4">
        <v>-4.4406339602959104</v>
      </c>
      <c r="K100" s="4">
        <v>0.83319723298085002</v>
      </c>
      <c r="L100" s="4">
        <v>101.319915953457</v>
      </c>
      <c r="M100" s="4">
        <v>-0.45274006508318998</v>
      </c>
      <c r="N100" s="4">
        <v>-6.6797072770478199</v>
      </c>
      <c r="O100" s="4">
        <v>1.3</v>
      </c>
      <c r="P100" s="4">
        <v>1.3</v>
      </c>
      <c r="Q100" s="4">
        <v>0.22</v>
      </c>
      <c r="R100" s="4">
        <v>0.22</v>
      </c>
      <c r="S100" s="4">
        <v>0</v>
      </c>
      <c r="T100" s="4">
        <v>0</v>
      </c>
      <c r="U100" s="4">
        <v>0.3</v>
      </c>
      <c r="V100" s="4">
        <v>0.05</v>
      </c>
      <c r="W100" s="4">
        <v>1</v>
      </c>
      <c r="X100" s="4">
        <v>19.100000000000001</v>
      </c>
      <c r="Y100" s="4">
        <v>0</v>
      </c>
      <c r="Z100" s="4">
        <v>1.5</v>
      </c>
      <c r="AA100" s="4">
        <v>139</v>
      </c>
      <c r="AB100" s="4">
        <v>12.1</v>
      </c>
      <c r="AC100" s="4">
        <v>19.5</v>
      </c>
      <c r="AD100" s="3" t="s">
        <v>42</v>
      </c>
      <c r="AE100" s="3" t="s">
        <v>61</v>
      </c>
      <c r="AF100" s="17">
        <f>HLOOKUP(AD100,Data!$B$4:$M$9,2,0)</f>
        <v>13</v>
      </c>
      <c r="AG100" s="17">
        <f>HLOOKUP(AD100,Data!$B$4:$M$9,3,0)</f>
        <v>1</v>
      </c>
      <c r="AH100" s="17">
        <f>HLOOKUP(AE100,Data!$B$13:$I$18,3,0)</f>
        <v>260</v>
      </c>
      <c r="AI100" s="18">
        <f t="shared" si="90"/>
        <v>1.69</v>
      </c>
      <c r="AJ100" s="17">
        <f t="shared" si="91"/>
        <v>0.36616666666666697</v>
      </c>
      <c r="AK100" s="17">
        <f t="shared" si="92"/>
        <v>0.36616666666666697</v>
      </c>
      <c r="AL100" s="17">
        <f t="shared" si="93"/>
        <v>0.25</v>
      </c>
      <c r="AM100" s="17">
        <f t="shared" si="94"/>
        <v>0.54</v>
      </c>
      <c r="AN100" s="17">
        <f t="shared" si="95"/>
        <v>0.54</v>
      </c>
      <c r="AO100" s="17">
        <f t="shared" si="96"/>
        <v>0.54</v>
      </c>
      <c r="AP100" s="17">
        <f t="shared" si="97"/>
        <v>0.54</v>
      </c>
      <c r="AQ100" s="17">
        <f t="shared" si="98"/>
        <v>1.88</v>
      </c>
      <c r="AR100" s="17">
        <f t="shared" si="99"/>
        <v>1.1716</v>
      </c>
      <c r="AS100" s="17">
        <f t="shared" si="100"/>
        <v>118.092886613654</v>
      </c>
      <c r="AT100" s="17">
        <f t="shared" si="101"/>
        <v>-0.78463750052689296</v>
      </c>
      <c r="AU100" s="17">
        <f t="shared" si="102"/>
        <v>-9.60313314203243</v>
      </c>
      <c r="AV100" s="17">
        <f t="shared" si="103"/>
        <v>101.319915953457</v>
      </c>
      <c r="AW100" s="17">
        <f t="shared" si="104"/>
        <v>-0.70269923497744502</v>
      </c>
      <c r="AX100" s="17">
        <f t="shared" si="105"/>
        <v>-8.0118974651366006</v>
      </c>
      <c r="AY100" s="17">
        <f t="shared" si="106"/>
        <v>118.84641622808699</v>
      </c>
      <c r="AZ100" s="17">
        <f t="shared" si="107"/>
        <v>62.108479172687701</v>
      </c>
      <c r="BA100" s="17">
        <f t="shared" si="108"/>
        <v>90.477447700387202</v>
      </c>
      <c r="BB100" s="17">
        <f t="shared" si="109"/>
        <v>104.35214881209799</v>
      </c>
      <c r="BC100" s="17">
        <f t="shared" si="110"/>
        <v>56.7530771683249</v>
      </c>
      <c r="BD100" s="17">
        <f t="shared" si="111"/>
        <v>80.552612990211202</v>
      </c>
      <c r="BE100" s="17" t="str">
        <f>IF(AND(BD100&lt;=AA100,BB100&lt;=AA100*MongDon!$J$44,BC100&gt;0),"Ok","FAIL")</f>
        <v>Ok</v>
      </c>
      <c r="BF100" s="17">
        <f t="shared" si="112"/>
        <v>139.240461252827</v>
      </c>
      <c r="BG100" s="17">
        <f t="shared" si="113"/>
        <v>352.5</v>
      </c>
      <c r="BH100" s="17" t="str">
        <f t="shared" si="114"/>
        <v>Ok</v>
      </c>
      <c r="BI100" s="17">
        <f t="shared" si="115"/>
        <v>34.917849410807399</v>
      </c>
      <c r="BJ100" s="17">
        <f t="shared" si="116"/>
        <v>24.222748275864699</v>
      </c>
      <c r="BK100" s="17">
        <f t="shared" si="117"/>
        <v>33.302146155284603</v>
      </c>
      <c r="BL100" s="17">
        <f t="shared" si="118"/>
        <v>43.9972472902273</v>
      </c>
      <c r="BM100" s="17">
        <f t="shared" si="119"/>
        <v>88.125</v>
      </c>
      <c r="BN100" s="17">
        <f t="shared" si="120"/>
        <v>88.125</v>
      </c>
      <c r="BO100" s="17">
        <f t="shared" si="121"/>
        <v>88.125</v>
      </c>
      <c r="BP100" s="17">
        <f t="shared" si="122"/>
        <v>88.125</v>
      </c>
      <c r="BQ100" s="17" t="str">
        <f t="shared" si="123"/>
        <v>Ok</v>
      </c>
      <c r="BR100" s="17">
        <f t="shared" si="124"/>
        <v>58.271921225997197</v>
      </c>
      <c r="BS100" s="17">
        <f t="shared" si="125"/>
        <v>10.9541281612281</v>
      </c>
      <c r="BT100" s="16">
        <f>MongDon!$H$80</f>
        <v>1.2</v>
      </c>
      <c r="BU100" s="17" t="str">
        <f t="shared" si="126"/>
        <v>Ok</v>
      </c>
      <c r="BV100" s="17">
        <f t="shared" si="127"/>
        <v>10.178108004258</v>
      </c>
      <c r="BW100" s="16">
        <f>MongDon!$F$86</f>
        <v>1.5</v>
      </c>
      <c r="BX100" s="17" t="str">
        <f t="shared" si="128"/>
        <v>Ok</v>
      </c>
      <c r="BY100" s="17">
        <f t="shared" si="129"/>
        <v>118.84641622808699</v>
      </c>
      <c r="BZ100" s="17">
        <f t="shared" si="130"/>
        <v>66.394164200599704</v>
      </c>
      <c r="CA100" s="17">
        <f t="shared" si="131"/>
        <v>62.108479172687701</v>
      </c>
      <c r="CB100" s="17">
        <f t="shared" si="132"/>
        <v>114.560731200175</v>
      </c>
      <c r="CC100" s="17">
        <f t="shared" si="133"/>
        <v>86.4018151081155</v>
      </c>
      <c r="CD100" s="17">
        <f t="shared" si="134"/>
        <v>95.278350066613299</v>
      </c>
      <c r="CE100" s="17">
        <f t="shared" si="135"/>
        <v>95.278350066613299</v>
      </c>
      <c r="CF100" s="17">
        <f t="shared" si="136"/>
        <v>94.553080292659004</v>
      </c>
      <c r="CG100" s="17">
        <f t="shared" si="137"/>
        <v>16.1823994706074</v>
      </c>
      <c r="CH100" s="17">
        <f t="shared" si="138"/>
        <v>16.1823994706074</v>
      </c>
      <c r="CI100" s="17">
        <f t="shared" si="139"/>
        <v>276.62221317277698</v>
      </c>
      <c r="CJ100" s="17">
        <f t="shared" si="140"/>
        <v>276.62221317277698</v>
      </c>
    </row>
    <row r="101" spans="2:88">
      <c r="B101" s="3">
        <v>19</v>
      </c>
      <c r="C101" s="3" t="s">
        <v>30</v>
      </c>
      <c r="D101" s="4">
        <v>4.5979829568810997</v>
      </c>
      <c r="E101" s="4">
        <v>2.5053010479125102</v>
      </c>
      <c r="F101" s="4">
        <v>134.507804911226</v>
      </c>
      <c r="G101" s="4">
        <v>-3.06447249569425</v>
      </c>
      <c r="H101" s="4">
        <v>7.4228265456306204</v>
      </c>
      <c r="I101" s="4" t="s">
        <v>20</v>
      </c>
      <c r="J101" s="4">
        <v>3.8240444498140702</v>
      </c>
      <c r="K101" s="4">
        <v>2.1219573429429399</v>
      </c>
      <c r="L101" s="4">
        <v>114.999014534767</v>
      </c>
      <c r="M101" s="4">
        <v>-2.59229979004549</v>
      </c>
      <c r="N101" s="4">
        <v>6.1786846788586596</v>
      </c>
      <c r="O101" s="4">
        <v>1.3</v>
      </c>
      <c r="P101" s="4">
        <v>1.3</v>
      </c>
      <c r="Q101" s="4">
        <v>0.22</v>
      </c>
      <c r="R101" s="4">
        <v>0.22</v>
      </c>
      <c r="S101" s="4">
        <v>0</v>
      </c>
      <c r="T101" s="4">
        <v>0</v>
      </c>
      <c r="U101" s="4">
        <v>0.3</v>
      </c>
      <c r="V101" s="4">
        <v>0.05</v>
      </c>
      <c r="W101" s="4">
        <v>1</v>
      </c>
      <c r="X101" s="4">
        <v>19.100000000000001</v>
      </c>
      <c r="Y101" s="4">
        <v>0</v>
      </c>
      <c r="Z101" s="4">
        <v>1.5</v>
      </c>
      <c r="AA101" s="4">
        <v>139</v>
      </c>
      <c r="AB101" s="4">
        <v>12.1</v>
      </c>
      <c r="AC101" s="4">
        <v>19.5</v>
      </c>
      <c r="AD101" s="3" t="s">
        <v>42</v>
      </c>
      <c r="AE101" s="3" t="s">
        <v>61</v>
      </c>
      <c r="AF101" s="17">
        <f>HLOOKUP(AD101,Data!$B$4:$M$9,2,0)</f>
        <v>13</v>
      </c>
      <c r="AG101" s="17">
        <f>HLOOKUP(AD101,Data!$B$4:$M$9,3,0)</f>
        <v>1</v>
      </c>
      <c r="AH101" s="17">
        <f>HLOOKUP(AE101,Data!$B$13:$I$18,3,0)</f>
        <v>260</v>
      </c>
      <c r="AI101" s="18">
        <f t="shared" si="90"/>
        <v>1.69</v>
      </c>
      <c r="AJ101" s="17">
        <f t="shared" si="91"/>
        <v>0.36616666666666697</v>
      </c>
      <c r="AK101" s="17">
        <f t="shared" si="92"/>
        <v>0.36616666666666697</v>
      </c>
      <c r="AL101" s="17">
        <f t="shared" si="93"/>
        <v>0.25</v>
      </c>
      <c r="AM101" s="17">
        <f t="shared" si="94"/>
        <v>0.54</v>
      </c>
      <c r="AN101" s="17">
        <f t="shared" si="95"/>
        <v>0.54</v>
      </c>
      <c r="AO101" s="17">
        <f t="shared" si="96"/>
        <v>0.54</v>
      </c>
      <c r="AP101" s="17">
        <f t="shared" si="97"/>
        <v>0.54</v>
      </c>
      <c r="AQ101" s="17">
        <f t="shared" si="98"/>
        <v>1.88</v>
      </c>
      <c r="AR101" s="17">
        <f t="shared" si="99"/>
        <v>1.1716</v>
      </c>
      <c r="AS101" s="17">
        <f t="shared" si="100"/>
        <v>134.507804911226</v>
      </c>
      <c r="AT101" s="17">
        <f t="shared" si="101"/>
        <v>-3.8160628100679999</v>
      </c>
      <c r="AU101" s="17">
        <f t="shared" si="102"/>
        <v>8.8022214326949406</v>
      </c>
      <c r="AV101" s="17">
        <f t="shared" si="103"/>
        <v>114.999014534767</v>
      </c>
      <c r="AW101" s="17">
        <f t="shared" si="104"/>
        <v>-3.2288869929283699</v>
      </c>
      <c r="AX101" s="17">
        <f t="shared" si="105"/>
        <v>7.3258980138028802</v>
      </c>
      <c r="AY101" s="17">
        <f t="shared" si="106"/>
        <v>134.65091117031</v>
      </c>
      <c r="AZ101" s="17">
        <f t="shared" si="107"/>
        <v>65.729923044158497</v>
      </c>
      <c r="BA101" s="17">
        <f t="shared" si="108"/>
        <v>100.190417107234</v>
      </c>
      <c r="BB101" s="17">
        <f t="shared" si="109"/>
        <v>117.471838386702</v>
      </c>
      <c r="BC101" s="17">
        <f t="shared" si="110"/>
        <v>59.821669938465703</v>
      </c>
      <c r="BD101" s="17">
        <f t="shared" si="111"/>
        <v>88.646754162583804</v>
      </c>
      <c r="BE101" s="17" t="str">
        <f>IF(AND(BD101&lt;=AA101,BB101&lt;=AA101*MongDon!$J$44,BC101&gt;0),"Ok","FAIL")</f>
        <v>Ok</v>
      </c>
      <c r="BF101" s="17">
        <f t="shared" si="112"/>
        <v>157.75700752713601</v>
      </c>
      <c r="BG101" s="17">
        <f t="shared" si="113"/>
        <v>352.5</v>
      </c>
      <c r="BH101" s="17" t="str">
        <f t="shared" si="114"/>
        <v>Ok</v>
      </c>
      <c r="BI101" s="17">
        <f t="shared" si="115"/>
        <v>41.700751326065401</v>
      </c>
      <c r="BJ101" s="17">
        <f t="shared" si="116"/>
        <v>46.834429434568897</v>
      </c>
      <c r="BK101" s="17">
        <f t="shared" si="117"/>
        <v>33.842823172789302</v>
      </c>
      <c r="BL101" s="17">
        <f t="shared" si="118"/>
        <v>28.709145064285799</v>
      </c>
      <c r="BM101" s="17">
        <f t="shared" si="119"/>
        <v>88.125</v>
      </c>
      <c r="BN101" s="17">
        <f t="shared" si="120"/>
        <v>88.125</v>
      </c>
      <c r="BO101" s="17">
        <f t="shared" si="121"/>
        <v>88.125</v>
      </c>
      <c r="BP101" s="17">
        <f t="shared" si="122"/>
        <v>88.125</v>
      </c>
      <c r="BQ101" s="17" t="str">
        <f t="shared" si="123"/>
        <v>Ok</v>
      </c>
      <c r="BR101" s="17">
        <f t="shared" si="124"/>
        <v>61.790974789573603</v>
      </c>
      <c r="BS101" s="17">
        <f t="shared" si="125"/>
        <v>13.4387133160423</v>
      </c>
      <c r="BT101" s="16">
        <f>MongDon!$H$80</f>
        <v>1.2</v>
      </c>
      <c r="BU101" s="17" t="str">
        <f t="shared" si="126"/>
        <v>Ok</v>
      </c>
      <c r="BV101" s="17">
        <f t="shared" si="127"/>
        <v>12.316370818576999</v>
      </c>
      <c r="BW101" s="16">
        <f>MongDon!$F$86</f>
        <v>1.5</v>
      </c>
      <c r="BX101" s="17" t="str">
        <f t="shared" si="128"/>
        <v>Ok</v>
      </c>
      <c r="BY101" s="17">
        <f t="shared" si="129"/>
        <v>86.573233795554103</v>
      </c>
      <c r="BZ101" s="17">
        <f t="shared" si="130"/>
        <v>134.65091117031</v>
      </c>
      <c r="CA101" s="17">
        <f t="shared" si="131"/>
        <v>113.807600418915</v>
      </c>
      <c r="CB101" s="17">
        <f t="shared" si="132"/>
        <v>65.729923044158497</v>
      </c>
      <c r="CC101" s="17">
        <f t="shared" si="133"/>
        <v>106.022193025601</v>
      </c>
      <c r="CD101" s="17">
        <f t="shared" si="134"/>
        <v>97.885970700642403</v>
      </c>
      <c r="CE101" s="17">
        <f t="shared" si="135"/>
        <v>106.022193025601</v>
      </c>
      <c r="CF101" s="17">
        <f t="shared" si="136"/>
        <v>102.494863513826</v>
      </c>
      <c r="CG101" s="17">
        <f t="shared" si="137"/>
        <v>18.240747146798402</v>
      </c>
      <c r="CH101" s="17">
        <f t="shared" si="138"/>
        <v>18.240747146798402</v>
      </c>
      <c r="CI101" s="17">
        <f t="shared" si="139"/>
        <v>311.80764353501502</v>
      </c>
      <c r="CJ101" s="17">
        <f t="shared" si="140"/>
        <v>311.80764353501502</v>
      </c>
    </row>
    <row r="102" spans="2:88">
      <c r="B102" s="3">
        <v>19</v>
      </c>
      <c r="C102" s="3" t="s">
        <v>31</v>
      </c>
      <c r="D102" s="4">
        <v>-2.0870707380225002</v>
      </c>
      <c r="E102" s="4">
        <v>-7.2950940078445399</v>
      </c>
      <c r="F102" s="4">
        <v>113.84382665001399</v>
      </c>
      <c r="G102" s="4">
        <v>13.3955774416488</v>
      </c>
      <c r="H102" s="4">
        <v>-3.02105198564806</v>
      </c>
      <c r="I102" s="4" t="s">
        <v>21</v>
      </c>
      <c r="J102" s="4">
        <v>-1.7468336292722599</v>
      </c>
      <c r="K102" s="4">
        <v>-6.0450385368545998</v>
      </c>
      <c r="L102" s="4">
        <v>97.779032650423503</v>
      </c>
      <c r="M102" s="4">
        <v>11.1244084910737</v>
      </c>
      <c r="N102" s="4">
        <v>-2.5245474305402298</v>
      </c>
      <c r="O102" s="4">
        <v>1.3</v>
      </c>
      <c r="P102" s="4">
        <v>1.3</v>
      </c>
      <c r="Q102" s="4">
        <v>0.22</v>
      </c>
      <c r="R102" s="4">
        <v>0.22</v>
      </c>
      <c r="S102" s="4">
        <v>0</v>
      </c>
      <c r="T102" s="4">
        <v>0</v>
      </c>
      <c r="U102" s="4">
        <v>0.3</v>
      </c>
      <c r="V102" s="4">
        <v>0.05</v>
      </c>
      <c r="W102" s="4">
        <v>1</v>
      </c>
      <c r="X102" s="4">
        <v>19.100000000000001</v>
      </c>
      <c r="Y102" s="4">
        <v>0</v>
      </c>
      <c r="Z102" s="4">
        <v>1.5</v>
      </c>
      <c r="AA102" s="4">
        <v>139</v>
      </c>
      <c r="AB102" s="4">
        <v>12.1</v>
      </c>
      <c r="AC102" s="4">
        <v>19.5</v>
      </c>
      <c r="AD102" s="3" t="s">
        <v>42</v>
      </c>
      <c r="AE102" s="3" t="s">
        <v>61</v>
      </c>
      <c r="AF102" s="17">
        <f>HLOOKUP(AD102,Data!$B$4:$M$9,2,0)</f>
        <v>13</v>
      </c>
      <c r="AG102" s="17">
        <f>HLOOKUP(AD102,Data!$B$4:$M$9,3,0)</f>
        <v>1</v>
      </c>
      <c r="AH102" s="17">
        <f>HLOOKUP(AE102,Data!$B$13:$I$18,3,0)</f>
        <v>260</v>
      </c>
      <c r="AI102" s="18">
        <f t="shared" si="90"/>
        <v>1.69</v>
      </c>
      <c r="AJ102" s="17">
        <f t="shared" si="91"/>
        <v>0.36616666666666697</v>
      </c>
      <c r="AK102" s="17">
        <f t="shared" si="92"/>
        <v>0.36616666666666697</v>
      </c>
      <c r="AL102" s="17">
        <f t="shared" si="93"/>
        <v>0.25</v>
      </c>
      <c r="AM102" s="17">
        <f t="shared" si="94"/>
        <v>0.54</v>
      </c>
      <c r="AN102" s="17">
        <f t="shared" si="95"/>
        <v>0.54</v>
      </c>
      <c r="AO102" s="17">
        <f t="shared" si="96"/>
        <v>0.54</v>
      </c>
      <c r="AP102" s="17">
        <f t="shared" si="97"/>
        <v>0.54</v>
      </c>
      <c r="AQ102" s="17">
        <f t="shared" si="98"/>
        <v>1.88</v>
      </c>
      <c r="AR102" s="17">
        <f t="shared" si="99"/>
        <v>1.1716</v>
      </c>
      <c r="AS102" s="17">
        <f t="shared" si="100"/>
        <v>113.84382665001399</v>
      </c>
      <c r="AT102" s="17">
        <f t="shared" si="101"/>
        <v>15.5841056440022</v>
      </c>
      <c r="AU102" s="17">
        <f t="shared" si="102"/>
        <v>-3.6471732070548102</v>
      </c>
      <c r="AV102" s="17">
        <f t="shared" si="103"/>
        <v>97.779032650423503</v>
      </c>
      <c r="AW102" s="17">
        <f t="shared" si="104"/>
        <v>12.937920052130099</v>
      </c>
      <c r="AX102" s="17">
        <f t="shared" si="105"/>
        <v>-3.0485975193219099</v>
      </c>
      <c r="AY102" s="17">
        <f t="shared" si="106"/>
        <v>140.48377230375999</v>
      </c>
      <c r="AZ102" s="17">
        <f t="shared" si="107"/>
        <v>35.442649767262999</v>
      </c>
      <c r="BA102" s="17">
        <f t="shared" si="108"/>
        <v>87.963211035511407</v>
      </c>
      <c r="BB102" s="17">
        <f t="shared" si="109"/>
        <v>122.116544321467</v>
      </c>
      <c r="BC102" s="17">
        <f t="shared" si="110"/>
        <v>34.798287217495798</v>
      </c>
      <c r="BD102" s="17">
        <f t="shared" si="111"/>
        <v>78.457415769481301</v>
      </c>
      <c r="BE102" s="17" t="str">
        <f>IF(AND(BD102&lt;=AA102,BB102&lt;=AA102*MongDon!$J$44,BC102&gt;0),"Ok","FAIL")</f>
        <v>Ok</v>
      </c>
      <c r="BF102" s="17">
        <f t="shared" si="112"/>
        <v>164.59078763108499</v>
      </c>
      <c r="BG102" s="17">
        <f t="shared" si="113"/>
        <v>352.5</v>
      </c>
      <c r="BH102" s="17" t="str">
        <f t="shared" si="114"/>
        <v>Ok</v>
      </c>
      <c r="BI102" s="17">
        <f t="shared" si="115"/>
        <v>17.116956702065998</v>
      </c>
      <c r="BJ102" s="17">
        <f t="shared" si="116"/>
        <v>29.407052820579899</v>
      </c>
      <c r="BK102" s="17">
        <f t="shared" si="117"/>
        <v>49.207304418709597</v>
      </c>
      <c r="BL102" s="17">
        <f t="shared" si="118"/>
        <v>36.917208300195703</v>
      </c>
      <c r="BM102" s="17">
        <f t="shared" si="119"/>
        <v>88.125</v>
      </c>
      <c r="BN102" s="17">
        <f t="shared" si="120"/>
        <v>88.125</v>
      </c>
      <c r="BO102" s="17">
        <f t="shared" si="121"/>
        <v>88.125</v>
      </c>
      <c r="BP102" s="17">
        <f t="shared" si="122"/>
        <v>88.125</v>
      </c>
      <c r="BQ102" s="17" t="str">
        <f t="shared" si="123"/>
        <v>Ok</v>
      </c>
      <c r="BR102" s="17">
        <f t="shared" si="124"/>
        <v>57.3610016992696</v>
      </c>
      <c r="BS102" s="17">
        <f t="shared" si="125"/>
        <v>7.86295579434457</v>
      </c>
      <c r="BT102" s="16">
        <f>MongDon!$H$80</f>
        <v>1.2</v>
      </c>
      <c r="BU102" s="17" t="str">
        <f t="shared" si="126"/>
        <v>Ok</v>
      </c>
      <c r="BV102" s="17">
        <f t="shared" si="127"/>
        <v>6.0946607711854197</v>
      </c>
      <c r="BW102" s="16">
        <f>MongDon!$F$86</f>
        <v>1.5</v>
      </c>
      <c r="BX102" s="17" t="str">
        <f t="shared" si="128"/>
        <v>Ok</v>
      </c>
      <c r="BY102" s="17">
        <f t="shared" si="129"/>
        <v>55.363486583220002</v>
      </c>
      <c r="BZ102" s="17">
        <f t="shared" si="130"/>
        <v>35.442649767262999</v>
      </c>
      <c r="CA102" s="17">
        <f t="shared" si="131"/>
        <v>120.562935487803</v>
      </c>
      <c r="CB102" s="17">
        <f t="shared" si="132"/>
        <v>140.48377230375999</v>
      </c>
      <c r="CC102" s="17">
        <f t="shared" si="133"/>
        <v>93.480087481283803</v>
      </c>
      <c r="CD102" s="17">
        <f t="shared" si="134"/>
        <v>96.851306019368906</v>
      </c>
      <c r="CE102" s="17">
        <f t="shared" si="135"/>
        <v>82.446334589739095</v>
      </c>
      <c r="CF102" s="17">
        <f t="shared" si="136"/>
        <v>96.851306019368906</v>
      </c>
      <c r="CG102" s="17">
        <f t="shared" si="137"/>
        <v>18.3619961404668</v>
      </c>
      <c r="CH102" s="17">
        <f t="shared" si="138"/>
        <v>18.3619961404668</v>
      </c>
      <c r="CI102" s="17">
        <f t="shared" si="139"/>
        <v>313.88027590541498</v>
      </c>
      <c r="CJ102" s="17">
        <f t="shared" si="140"/>
        <v>313.88027590541498</v>
      </c>
    </row>
    <row r="103" spans="2:88">
      <c r="B103" s="3">
        <v>19</v>
      </c>
      <c r="C103" s="3" t="s">
        <v>32</v>
      </c>
      <c r="D103" s="4">
        <v>1.3654225596527201</v>
      </c>
      <c r="E103" s="4">
        <v>10.7591839717151</v>
      </c>
      <c r="F103" s="4">
        <v>138.75686487486601</v>
      </c>
      <c r="G103" s="4">
        <v>-16.957050763082599</v>
      </c>
      <c r="H103" s="4">
        <v>2.4366347298214999</v>
      </c>
      <c r="I103" s="4" t="s">
        <v>22</v>
      </c>
      <c r="J103" s="4">
        <v>1.13024411879042</v>
      </c>
      <c r="K103" s="4">
        <v>9.0001931127783905</v>
      </c>
      <c r="L103" s="4">
        <v>118.5398978378</v>
      </c>
      <c r="M103" s="4">
        <v>-14.169448346202399</v>
      </c>
      <c r="N103" s="4">
        <v>2.0235248323510699</v>
      </c>
      <c r="O103" s="4">
        <v>1.3</v>
      </c>
      <c r="P103" s="4">
        <v>1.3</v>
      </c>
      <c r="Q103" s="4">
        <v>0.22</v>
      </c>
      <c r="R103" s="4">
        <v>0.22</v>
      </c>
      <c r="S103" s="4">
        <v>0</v>
      </c>
      <c r="T103" s="4">
        <v>0</v>
      </c>
      <c r="U103" s="4">
        <v>0.3</v>
      </c>
      <c r="V103" s="4">
        <v>0.05</v>
      </c>
      <c r="W103" s="4">
        <v>1</v>
      </c>
      <c r="X103" s="4">
        <v>19.100000000000001</v>
      </c>
      <c r="Y103" s="4">
        <v>0</v>
      </c>
      <c r="Z103" s="4">
        <v>1.5</v>
      </c>
      <c r="AA103" s="4">
        <v>139</v>
      </c>
      <c r="AB103" s="4">
        <v>12.1</v>
      </c>
      <c r="AC103" s="4">
        <v>19.5</v>
      </c>
      <c r="AD103" s="3" t="s">
        <v>42</v>
      </c>
      <c r="AE103" s="3" t="s">
        <v>61</v>
      </c>
      <c r="AF103" s="17">
        <f>HLOOKUP(AD103,Data!$B$4:$M$9,2,0)</f>
        <v>13</v>
      </c>
      <c r="AG103" s="17">
        <f>HLOOKUP(AD103,Data!$B$4:$M$9,3,0)</f>
        <v>1</v>
      </c>
      <c r="AH103" s="17">
        <f>HLOOKUP(AE103,Data!$B$13:$I$18,3,0)</f>
        <v>260</v>
      </c>
      <c r="AI103" s="18">
        <f t="shared" si="90"/>
        <v>1.69</v>
      </c>
      <c r="AJ103" s="17">
        <f t="shared" si="91"/>
        <v>0.36616666666666697</v>
      </c>
      <c r="AK103" s="17">
        <f t="shared" si="92"/>
        <v>0.36616666666666697</v>
      </c>
      <c r="AL103" s="17">
        <f t="shared" si="93"/>
        <v>0.25</v>
      </c>
      <c r="AM103" s="17">
        <f t="shared" si="94"/>
        <v>0.54</v>
      </c>
      <c r="AN103" s="17">
        <f t="shared" si="95"/>
        <v>0.54</v>
      </c>
      <c r="AO103" s="17">
        <f t="shared" si="96"/>
        <v>0.54</v>
      </c>
      <c r="AP103" s="17">
        <f t="shared" si="97"/>
        <v>0.54</v>
      </c>
      <c r="AQ103" s="17">
        <f t="shared" si="98"/>
        <v>1.88</v>
      </c>
      <c r="AR103" s="17">
        <f t="shared" si="99"/>
        <v>1.1716</v>
      </c>
      <c r="AS103" s="17">
        <f t="shared" si="100"/>
        <v>138.75686487486601</v>
      </c>
      <c r="AT103" s="17">
        <f t="shared" si="101"/>
        <v>-20.184805954597099</v>
      </c>
      <c r="AU103" s="17">
        <f t="shared" si="102"/>
        <v>2.84626149771732</v>
      </c>
      <c r="AV103" s="17">
        <f t="shared" si="103"/>
        <v>118.5398978378</v>
      </c>
      <c r="AW103" s="17">
        <f t="shared" si="104"/>
        <v>-16.8695062800359</v>
      </c>
      <c r="AX103" s="17">
        <f t="shared" si="105"/>
        <v>2.3625980679882002</v>
      </c>
      <c r="AY103" s="17">
        <f t="shared" si="106"/>
        <v>165.60242560364699</v>
      </c>
      <c r="AZ103" s="17">
        <f t="shared" si="107"/>
        <v>39.806881940573398</v>
      </c>
      <c r="BA103" s="17">
        <f t="shared" si="108"/>
        <v>102.70465377211001</v>
      </c>
      <c r="BB103" s="17">
        <f t="shared" si="109"/>
        <v>143.26476708114899</v>
      </c>
      <c r="BC103" s="17">
        <f t="shared" si="110"/>
        <v>38.219135685478101</v>
      </c>
      <c r="BD103" s="17">
        <f t="shared" si="111"/>
        <v>90.741951383313605</v>
      </c>
      <c r="BE103" s="17" t="str">
        <f>IF(AND(BD103&lt;=AA103,BB103&lt;=AA103*MongDon!$J$44,BC103&gt;0),"Ok","FAIL")</f>
        <v>Ok</v>
      </c>
      <c r="BF103" s="17">
        <f t="shared" si="112"/>
        <v>194.01980183723299</v>
      </c>
      <c r="BG103" s="17">
        <f t="shared" si="113"/>
        <v>352.5</v>
      </c>
      <c r="BH103" s="17" t="str">
        <f t="shared" si="114"/>
        <v>Ok</v>
      </c>
      <c r="BI103" s="17">
        <f t="shared" si="115"/>
        <v>59.501644034806802</v>
      </c>
      <c r="BJ103" s="17">
        <f t="shared" si="116"/>
        <v>41.6501248898537</v>
      </c>
      <c r="BK103" s="17">
        <f t="shared" si="117"/>
        <v>17.937664909364301</v>
      </c>
      <c r="BL103" s="17">
        <f t="shared" si="118"/>
        <v>35.789184054317403</v>
      </c>
      <c r="BM103" s="17">
        <f t="shared" si="119"/>
        <v>88.125</v>
      </c>
      <c r="BN103" s="17">
        <f t="shared" si="120"/>
        <v>88.125</v>
      </c>
      <c r="BO103" s="17">
        <f t="shared" si="121"/>
        <v>88.125</v>
      </c>
      <c r="BP103" s="17">
        <f t="shared" si="122"/>
        <v>88.125</v>
      </c>
      <c r="BQ103" s="17" t="str">
        <f t="shared" si="123"/>
        <v>Ok</v>
      </c>
      <c r="BR103" s="17">
        <f t="shared" si="124"/>
        <v>62.701894316301299</v>
      </c>
      <c r="BS103" s="17">
        <f t="shared" si="125"/>
        <v>5.8277555696732204</v>
      </c>
      <c r="BT103" s="16">
        <f>MongDon!$H$80</f>
        <v>1.2</v>
      </c>
      <c r="BU103" s="17" t="str">
        <f t="shared" si="126"/>
        <v>Ok</v>
      </c>
      <c r="BV103" s="17">
        <f t="shared" si="127"/>
        <v>5.5077721539028897</v>
      </c>
      <c r="BW103" s="16">
        <f>MongDon!$F$86</f>
        <v>1.5</v>
      </c>
      <c r="BX103" s="17" t="str">
        <f t="shared" si="128"/>
        <v>Ok</v>
      </c>
      <c r="BY103" s="17">
        <f t="shared" si="129"/>
        <v>150.05616344042099</v>
      </c>
      <c r="BZ103" s="17">
        <f t="shared" si="130"/>
        <v>165.60242560364699</v>
      </c>
      <c r="CA103" s="17">
        <f t="shared" si="131"/>
        <v>55.353144103799501</v>
      </c>
      <c r="CB103" s="17">
        <f t="shared" si="132"/>
        <v>39.806881940573398</v>
      </c>
      <c r="CC103" s="17">
        <f t="shared" si="133"/>
        <v>113.348892082063</v>
      </c>
      <c r="CD103" s="17">
        <f t="shared" si="134"/>
        <v>110.71798617751701</v>
      </c>
      <c r="CE103" s="17">
        <f t="shared" si="135"/>
        <v>113.348892082063</v>
      </c>
      <c r="CF103" s="17">
        <f t="shared" si="136"/>
        <v>94.691321366703804</v>
      </c>
      <c r="CG103" s="17">
        <f t="shared" si="137"/>
        <v>21.6053119238627</v>
      </c>
      <c r="CH103" s="17">
        <f t="shared" si="138"/>
        <v>21.6053119238627</v>
      </c>
      <c r="CI103" s="17">
        <f t="shared" si="139"/>
        <v>369.32157134808102</v>
      </c>
      <c r="CJ103" s="17">
        <f t="shared" si="140"/>
        <v>369.32157134808102</v>
      </c>
    </row>
    <row r="104" spans="2:88">
      <c r="B104" s="3">
        <v>21</v>
      </c>
      <c r="C104" s="3" t="s">
        <v>23</v>
      </c>
      <c r="D104" s="4">
        <v>0.62437277733969099</v>
      </c>
      <c r="E104" s="4">
        <v>1.53205670236146</v>
      </c>
      <c r="F104" s="4">
        <v>199.806321260815</v>
      </c>
      <c r="G104" s="4">
        <v>-1.5212491571960101</v>
      </c>
      <c r="H104" s="4">
        <v>0.70190389235148898</v>
      </c>
      <c r="I104" s="4" t="s">
        <v>13</v>
      </c>
      <c r="J104" s="4">
        <v>0.51978608127407999</v>
      </c>
      <c r="K104" s="4">
        <v>1.30704616971194</v>
      </c>
      <c r="L104" s="4">
        <v>171.35224843050099</v>
      </c>
      <c r="M104" s="4">
        <v>-1.3022554889476201</v>
      </c>
      <c r="N104" s="4">
        <v>0.58506335135559595</v>
      </c>
      <c r="O104" s="4">
        <v>1.5</v>
      </c>
      <c r="P104" s="4">
        <v>1.5</v>
      </c>
      <c r="Q104" s="4">
        <v>0.22</v>
      </c>
      <c r="R104" s="4">
        <v>0.22</v>
      </c>
      <c r="S104" s="4">
        <v>0</v>
      </c>
      <c r="T104" s="4">
        <v>0</v>
      </c>
      <c r="U104" s="4">
        <v>0.4</v>
      </c>
      <c r="V104" s="4">
        <v>0.05</v>
      </c>
      <c r="W104" s="4">
        <v>1</v>
      </c>
      <c r="X104" s="4">
        <v>19.100000000000001</v>
      </c>
      <c r="Y104" s="4">
        <v>0</v>
      </c>
      <c r="Z104" s="4">
        <v>1.5</v>
      </c>
      <c r="AA104" s="4">
        <v>139</v>
      </c>
      <c r="AB104" s="4">
        <v>12.1</v>
      </c>
      <c r="AC104" s="4">
        <v>19.5</v>
      </c>
      <c r="AD104" s="3" t="s">
        <v>42</v>
      </c>
      <c r="AE104" s="3" t="s">
        <v>61</v>
      </c>
      <c r="AF104" s="17">
        <f>HLOOKUP(AD104,Data!$B$4:$M$9,2,0)</f>
        <v>13</v>
      </c>
      <c r="AG104" s="17">
        <f>HLOOKUP(AD104,Data!$B$4:$M$9,3,0)</f>
        <v>1</v>
      </c>
      <c r="AH104" s="17">
        <f>HLOOKUP(AE104,Data!$B$13:$I$18,3,0)</f>
        <v>260</v>
      </c>
      <c r="AI104" s="18">
        <f t="shared" si="90"/>
        <v>2.25</v>
      </c>
      <c r="AJ104" s="17">
        <f t="shared" si="91"/>
        <v>0.5625</v>
      </c>
      <c r="AK104" s="17">
        <f t="shared" si="92"/>
        <v>0.5625</v>
      </c>
      <c r="AL104" s="17">
        <f t="shared" si="93"/>
        <v>0.35</v>
      </c>
      <c r="AM104" s="17">
        <f t="shared" si="94"/>
        <v>0.64</v>
      </c>
      <c r="AN104" s="17">
        <f t="shared" si="95"/>
        <v>0.64</v>
      </c>
      <c r="AO104" s="17">
        <f t="shared" si="96"/>
        <v>0.64</v>
      </c>
      <c r="AP104" s="17">
        <f t="shared" si="97"/>
        <v>0.64</v>
      </c>
      <c r="AQ104" s="17">
        <f t="shared" si="98"/>
        <v>2.2799999999999998</v>
      </c>
      <c r="AR104" s="17">
        <f t="shared" si="99"/>
        <v>1.4036</v>
      </c>
      <c r="AS104" s="17">
        <f t="shared" si="100"/>
        <v>199.806321260815</v>
      </c>
      <c r="AT104" s="17">
        <f t="shared" si="101"/>
        <v>-2.1340718381405899</v>
      </c>
      <c r="AU104" s="17">
        <f t="shared" si="102"/>
        <v>0.95165300328736602</v>
      </c>
      <c r="AV104" s="17">
        <f t="shared" si="103"/>
        <v>171.35224843050099</v>
      </c>
      <c r="AW104" s="17">
        <f t="shared" si="104"/>
        <v>-1.8250739568323899</v>
      </c>
      <c r="AX104" s="17">
        <f t="shared" si="105"/>
        <v>0.79297778386522799</v>
      </c>
      <c r="AY104" s="17">
        <f t="shared" si="106"/>
        <v>114.888542500678</v>
      </c>
      <c r="AZ104" s="17">
        <f t="shared" si="107"/>
        <v>103.917076397823</v>
      </c>
      <c r="BA104" s="17">
        <f t="shared" si="108"/>
        <v>109.402809449251</v>
      </c>
      <c r="BB104" s="17">
        <f t="shared" si="109"/>
        <v>101.410869063685</v>
      </c>
      <c r="BC104" s="17">
        <f t="shared" si="110"/>
        <v>92.102240652315899</v>
      </c>
      <c r="BD104" s="17">
        <f t="shared" si="111"/>
        <v>96.756554858000598</v>
      </c>
      <c r="BE104" s="17" t="str">
        <f>IF(AND(BD104&lt;=AA104,BB104&lt;=AA104*MongDon!$J$44,BC104&gt;0),"Ok","FAIL")</f>
        <v>Ok</v>
      </c>
      <c r="BF104" s="17">
        <f t="shared" si="112"/>
        <v>161.257558253952</v>
      </c>
      <c r="BG104" s="17">
        <f t="shared" si="113"/>
        <v>598.5</v>
      </c>
      <c r="BH104" s="17" t="str">
        <f t="shared" si="114"/>
        <v>Ok</v>
      </c>
      <c r="BI104" s="17">
        <f t="shared" si="115"/>
        <v>49.2405709985862</v>
      </c>
      <c r="BJ104" s="17">
        <f t="shared" si="116"/>
        <v>48.326167099633103</v>
      </c>
      <c r="BK104" s="17">
        <f t="shared" si="117"/>
        <v>45.939873222262101</v>
      </c>
      <c r="BL104" s="17">
        <f t="shared" si="118"/>
        <v>46.854277121215297</v>
      </c>
      <c r="BM104" s="17">
        <f t="shared" si="119"/>
        <v>149.625</v>
      </c>
      <c r="BN104" s="17">
        <f t="shared" si="120"/>
        <v>149.625</v>
      </c>
      <c r="BO104" s="17">
        <f t="shared" si="121"/>
        <v>149.625</v>
      </c>
      <c r="BP104" s="17">
        <f t="shared" si="122"/>
        <v>149.625</v>
      </c>
      <c r="BQ104" s="17" t="str">
        <f t="shared" si="123"/>
        <v>Ok</v>
      </c>
      <c r="BR104" s="17">
        <f t="shared" si="124"/>
        <v>86.709763725992701</v>
      </c>
      <c r="BS104" s="17">
        <f t="shared" si="125"/>
        <v>56.596967718193099</v>
      </c>
      <c r="BT104" s="16">
        <f>MongDon!$H$80</f>
        <v>1.2</v>
      </c>
      <c r="BU104" s="17" t="str">
        <f t="shared" si="126"/>
        <v>Ok</v>
      </c>
      <c r="BV104" s="17">
        <f t="shared" si="127"/>
        <v>85.323271546594995</v>
      </c>
      <c r="BW104" s="16">
        <f>MongDon!$F$86</f>
        <v>1.5</v>
      </c>
      <c r="BX104" s="17" t="str">
        <f t="shared" si="128"/>
        <v>Ok</v>
      </c>
      <c r="BY104" s="17">
        <f t="shared" si="129"/>
        <v>111.504887377879</v>
      </c>
      <c r="BZ104" s="17">
        <f t="shared" si="130"/>
        <v>114.888542500678</v>
      </c>
      <c r="CA104" s="17">
        <f t="shared" si="131"/>
        <v>107.300731520623</v>
      </c>
      <c r="CB104" s="17">
        <f t="shared" si="132"/>
        <v>103.917076397823</v>
      </c>
      <c r="CC104" s="17">
        <f t="shared" si="133"/>
        <v>110.207383630127</v>
      </c>
      <c r="CD104" s="17">
        <f t="shared" si="134"/>
        <v>109.711114212116</v>
      </c>
      <c r="CE104" s="17">
        <f t="shared" si="135"/>
        <v>110.207383630127</v>
      </c>
      <c r="CF104" s="17">
        <f t="shared" si="136"/>
        <v>109.09450468638499</v>
      </c>
      <c r="CG104" s="17">
        <f t="shared" si="137"/>
        <v>23.209606391909301</v>
      </c>
      <c r="CH104" s="17">
        <f t="shared" si="138"/>
        <v>23.209606391909301</v>
      </c>
      <c r="CI104" s="17">
        <f t="shared" si="139"/>
        <v>350</v>
      </c>
      <c r="CJ104" s="17">
        <f t="shared" si="140"/>
        <v>350</v>
      </c>
    </row>
    <row r="105" spans="2:88">
      <c r="B105" s="3">
        <v>21</v>
      </c>
      <c r="C105" s="3" t="s">
        <v>24</v>
      </c>
      <c r="D105" s="4">
        <v>0.72958895321609696</v>
      </c>
      <c r="E105" s="4">
        <v>1.7206685337181</v>
      </c>
      <c r="F105" s="4">
        <v>222.44401723534099</v>
      </c>
      <c r="G105" s="4">
        <v>-1.6987853959032699</v>
      </c>
      <c r="H105" s="4">
        <v>0.81857230407215598</v>
      </c>
      <c r="I105" s="4" t="s">
        <v>14</v>
      </c>
      <c r="J105" s="4">
        <v>0.60746622783775195</v>
      </c>
      <c r="K105" s="4">
        <v>1.46422269584248</v>
      </c>
      <c r="L105" s="4">
        <v>190.21699507593999</v>
      </c>
      <c r="M105" s="4">
        <v>-1.450202354537</v>
      </c>
      <c r="N105" s="4">
        <v>0.68228702778948502</v>
      </c>
      <c r="O105" s="4">
        <v>1.5</v>
      </c>
      <c r="P105" s="4">
        <v>1.5</v>
      </c>
      <c r="Q105" s="4">
        <v>0.22</v>
      </c>
      <c r="R105" s="4">
        <v>0.22</v>
      </c>
      <c r="S105" s="4">
        <v>0</v>
      </c>
      <c r="T105" s="4">
        <v>0</v>
      </c>
      <c r="U105" s="4">
        <v>0.4</v>
      </c>
      <c r="V105" s="4">
        <v>0.05</v>
      </c>
      <c r="W105" s="4">
        <v>1</v>
      </c>
      <c r="X105" s="4">
        <v>19.100000000000001</v>
      </c>
      <c r="Y105" s="4">
        <v>0</v>
      </c>
      <c r="Z105" s="4">
        <v>1.5</v>
      </c>
      <c r="AA105" s="4">
        <v>139</v>
      </c>
      <c r="AB105" s="4">
        <v>12.1</v>
      </c>
      <c r="AC105" s="4">
        <v>19.5</v>
      </c>
      <c r="AD105" s="3" t="s">
        <v>42</v>
      </c>
      <c r="AE105" s="3" t="s">
        <v>61</v>
      </c>
      <c r="AF105" s="17">
        <f>HLOOKUP(AD105,Data!$B$4:$M$9,2,0)</f>
        <v>13</v>
      </c>
      <c r="AG105" s="17">
        <f>HLOOKUP(AD105,Data!$B$4:$M$9,3,0)</f>
        <v>1</v>
      </c>
      <c r="AH105" s="17">
        <f>HLOOKUP(AE105,Data!$B$13:$I$18,3,0)</f>
        <v>260</v>
      </c>
      <c r="AI105" s="18">
        <f t="shared" si="90"/>
        <v>2.25</v>
      </c>
      <c r="AJ105" s="17">
        <f t="shared" si="91"/>
        <v>0.5625</v>
      </c>
      <c r="AK105" s="17">
        <f t="shared" si="92"/>
        <v>0.5625</v>
      </c>
      <c r="AL105" s="17">
        <f t="shared" si="93"/>
        <v>0.35</v>
      </c>
      <c r="AM105" s="17">
        <f t="shared" si="94"/>
        <v>0.64</v>
      </c>
      <c r="AN105" s="17">
        <f t="shared" si="95"/>
        <v>0.64</v>
      </c>
      <c r="AO105" s="17">
        <f t="shared" si="96"/>
        <v>0.64</v>
      </c>
      <c r="AP105" s="17">
        <f t="shared" si="97"/>
        <v>0.64</v>
      </c>
      <c r="AQ105" s="17">
        <f t="shared" si="98"/>
        <v>2.2799999999999998</v>
      </c>
      <c r="AR105" s="17">
        <f t="shared" si="99"/>
        <v>1.4036</v>
      </c>
      <c r="AS105" s="17">
        <f t="shared" si="100"/>
        <v>222.44401723534099</v>
      </c>
      <c r="AT105" s="17">
        <f t="shared" si="101"/>
        <v>-2.3870528093905201</v>
      </c>
      <c r="AU105" s="17">
        <f t="shared" si="102"/>
        <v>1.1104078853585999</v>
      </c>
      <c r="AV105" s="17">
        <f t="shared" si="103"/>
        <v>190.21699507593999</v>
      </c>
      <c r="AW105" s="17">
        <f t="shared" si="104"/>
        <v>-2.0358914328739899</v>
      </c>
      <c r="AX105" s="17">
        <f t="shared" si="105"/>
        <v>0.92527351892458598</v>
      </c>
      <c r="AY105" s="17">
        <f t="shared" si="106"/>
        <v>125.681715561928</v>
      </c>
      <c r="AZ105" s="17">
        <f t="shared" si="107"/>
        <v>113.246299758375</v>
      </c>
      <c r="BA105" s="17">
        <f t="shared" si="108"/>
        <v>119.464007660151</v>
      </c>
      <c r="BB105" s="17">
        <f t="shared" si="109"/>
        <v>110.40517994806</v>
      </c>
      <c r="BC105" s="17">
        <f t="shared" si="110"/>
        <v>99.876593452775793</v>
      </c>
      <c r="BD105" s="17">
        <f t="shared" si="111"/>
        <v>105.14088670041799</v>
      </c>
      <c r="BE105" s="17" t="str">
        <f>IF(AND(BD105&lt;=AA105,BB105&lt;=AA105*MongDon!$J$44,BC105&gt;0),"Ok","FAIL")</f>
        <v>Ok</v>
      </c>
      <c r="BF105" s="17">
        <f t="shared" si="112"/>
        <v>176.40685596272201</v>
      </c>
      <c r="BG105" s="17">
        <f t="shared" si="113"/>
        <v>598.5</v>
      </c>
      <c r="BH105" s="17" t="str">
        <f t="shared" si="114"/>
        <v>Ok</v>
      </c>
      <c r="BI105" s="17">
        <f t="shared" si="115"/>
        <v>53.812830838094598</v>
      </c>
      <c r="BJ105" s="17">
        <f t="shared" si="116"/>
        <v>52.825558763509903</v>
      </c>
      <c r="BK105" s="17">
        <f t="shared" si="117"/>
        <v>50.120855826237197</v>
      </c>
      <c r="BL105" s="17">
        <f t="shared" si="118"/>
        <v>51.108127900821898</v>
      </c>
      <c r="BM105" s="17">
        <f t="shared" si="119"/>
        <v>149.625</v>
      </c>
      <c r="BN105" s="17">
        <f t="shared" si="120"/>
        <v>149.625</v>
      </c>
      <c r="BO105" s="17">
        <f t="shared" si="121"/>
        <v>149.625</v>
      </c>
      <c r="BP105" s="17">
        <f t="shared" si="122"/>
        <v>149.625</v>
      </c>
      <c r="BQ105" s="17" t="str">
        <f t="shared" si="123"/>
        <v>Ok</v>
      </c>
      <c r="BR105" s="17">
        <f t="shared" si="124"/>
        <v>91.562865230744094</v>
      </c>
      <c r="BS105" s="17">
        <f t="shared" si="125"/>
        <v>53.213540804916398</v>
      </c>
      <c r="BT105" s="16">
        <f>MongDon!$H$80</f>
        <v>1.2</v>
      </c>
      <c r="BU105" s="17" t="str">
        <f t="shared" si="126"/>
        <v>Ok</v>
      </c>
      <c r="BV105" s="17">
        <f t="shared" si="127"/>
        <v>83.393321732723905</v>
      </c>
      <c r="BW105" s="16">
        <f>MongDon!$F$86</f>
        <v>1.5</v>
      </c>
      <c r="BX105" s="17" t="str">
        <f t="shared" si="128"/>
        <v>Ok</v>
      </c>
      <c r="BY105" s="17">
        <f t="shared" si="129"/>
        <v>121.733598636208</v>
      </c>
      <c r="BZ105" s="17">
        <f t="shared" si="130"/>
        <v>125.681715561928</v>
      </c>
      <c r="CA105" s="17">
        <f t="shared" si="131"/>
        <v>117.194416684095</v>
      </c>
      <c r="CB105" s="17">
        <f t="shared" si="132"/>
        <v>113.246299758375</v>
      </c>
      <c r="CC105" s="17">
        <f t="shared" si="133"/>
        <v>120.375938152412</v>
      </c>
      <c r="CD105" s="17">
        <f t="shared" si="134"/>
        <v>119.796881003306</v>
      </c>
      <c r="CE105" s="17">
        <f t="shared" si="135"/>
        <v>120.375938152412</v>
      </c>
      <c r="CF105" s="17">
        <f t="shared" si="136"/>
        <v>119.131134316996</v>
      </c>
      <c r="CG105" s="17">
        <f t="shared" si="137"/>
        <v>25.377407609259901</v>
      </c>
      <c r="CH105" s="17">
        <f t="shared" si="138"/>
        <v>25.377407609259901</v>
      </c>
      <c r="CI105" s="17">
        <f t="shared" si="139"/>
        <v>350</v>
      </c>
      <c r="CJ105" s="17">
        <f t="shared" si="140"/>
        <v>350</v>
      </c>
    </row>
    <row r="106" spans="2:88">
      <c r="B106" s="3">
        <v>21</v>
      </c>
      <c r="C106" s="3" t="s">
        <v>25</v>
      </c>
      <c r="D106" s="4">
        <v>-3.6817119924576098</v>
      </c>
      <c r="E106" s="4">
        <v>0.53134465327608504</v>
      </c>
      <c r="F106" s="4">
        <v>218.44173929148599</v>
      </c>
      <c r="G106" s="4">
        <v>0.31261942221560302</v>
      </c>
      <c r="H106" s="4">
        <v>-6.0739167732834201</v>
      </c>
      <c r="I106" s="4" t="s">
        <v>15</v>
      </c>
      <c r="J106" s="4">
        <v>-3.0686178935570001</v>
      </c>
      <c r="K106" s="4">
        <v>0.47311946214079598</v>
      </c>
      <c r="L106" s="4">
        <v>186.88176345606101</v>
      </c>
      <c r="M106" s="4">
        <v>0.22596832722872701</v>
      </c>
      <c r="N106" s="4">
        <v>-5.0614538700068303</v>
      </c>
      <c r="O106" s="4">
        <v>1.5</v>
      </c>
      <c r="P106" s="4">
        <v>1.5</v>
      </c>
      <c r="Q106" s="4">
        <v>0.22</v>
      </c>
      <c r="R106" s="4">
        <v>0.22</v>
      </c>
      <c r="S106" s="4">
        <v>0</v>
      </c>
      <c r="T106" s="4">
        <v>0</v>
      </c>
      <c r="U106" s="4">
        <v>0.4</v>
      </c>
      <c r="V106" s="4">
        <v>0.05</v>
      </c>
      <c r="W106" s="4">
        <v>1</v>
      </c>
      <c r="X106" s="4">
        <v>19.100000000000001</v>
      </c>
      <c r="Y106" s="4">
        <v>0</v>
      </c>
      <c r="Z106" s="4">
        <v>1.5</v>
      </c>
      <c r="AA106" s="4">
        <v>139</v>
      </c>
      <c r="AB106" s="4">
        <v>12.1</v>
      </c>
      <c r="AC106" s="4">
        <v>19.5</v>
      </c>
      <c r="AD106" s="3" t="s">
        <v>42</v>
      </c>
      <c r="AE106" s="3" t="s">
        <v>61</v>
      </c>
      <c r="AF106" s="17">
        <f>HLOOKUP(AD106,Data!$B$4:$M$9,2,0)</f>
        <v>13</v>
      </c>
      <c r="AG106" s="17">
        <f>HLOOKUP(AD106,Data!$B$4:$M$9,3,0)</f>
        <v>1</v>
      </c>
      <c r="AH106" s="17">
        <f>HLOOKUP(AE106,Data!$B$13:$I$18,3,0)</f>
        <v>260</v>
      </c>
      <c r="AI106" s="18">
        <f t="shared" si="90"/>
        <v>2.25</v>
      </c>
      <c r="AJ106" s="17">
        <f t="shared" si="91"/>
        <v>0.5625</v>
      </c>
      <c r="AK106" s="17">
        <f t="shared" si="92"/>
        <v>0.5625</v>
      </c>
      <c r="AL106" s="17">
        <f t="shared" si="93"/>
        <v>0.35</v>
      </c>
      <c r="AM106" s="17">
        <f t="shared" si="94"/>
        <v>0.64</v>
      </c>
      <c r="AN106" s="17">
        <f t="shared" si="95"/>
        <v>0.64</v>
      </c>
      <c r="AO106" s="17">
        <f t="shared" si="96"/>
        <v>0.64</v>
      </c>
      <c r="AP106" s="17">
        <f t="shared" si="97"/>
        <v>0.64</v>
      </c>
      <c r="AQ106" s="17">
        <f t="shared" si="98"/>
        <v>2.2799999999999998</v>
      </c>
      <c r="AR106" s="17">
        <f t="shared" si="99"/>
        <v>1.4036</v>
      </c>
      <c r="AS106" s="17">
        <f t="shared" si="100"/>
        <v>218.44173929148599</v>
      </c>
      <c r="AT106" s="17">
        <f t="shared" si="101"/>
        <v>0.100081560905169</v>
      </c>
      <c r="AU106" s="17">
        <f t="shared" si="102"/>
        <v>-7.5466015702664597</v>
      </c>
      <c r="AV106" s="17">
        <f t="shared" si="103"/>
        <v>186.88176345606101</v>
      </c>
      <c r="AW106" s="17">
        <f t="shared" si="104"/>
        <v>3.6720542372408703E-2</v>
      </c>
      <c r="AX106" s="17">
        <f t="shared" si="105"/>
        <v>-6.2889010274296302</v>
      </c>
      <c r="AY106" s="17">
        <f t="shared" si="106"/>
        <v>131.27932080718799</v>
      </c>
      <c r="AZ106" s="17">
        <f t="shared" si="107"/>
        <v>104.09111411857801</v>
      </c>
      <c r="BA106" s="17">
        <f t="shared" si="108"/>
        <v>117.685217462883</v>
      </c>
      <c r="BB106" s="17">
        <f t="shared" si="109"/>
        <v>114.904110993453</v>
      </c>
      <c r="BC106" s="17">
        <f t="shared" si="110"/>
        <v>92.413012078601298</v>
      </c>
      <c r="BD106" s="17">
        <f t="shared" si="111"/>
        <v>103.65856153602699</v>
      </c>
      <c r="BE106" s="17" t="str">
        <f>IF(AND(BD106&lt;=AA106,BB106&lt;=AA106*MongDon!$J$44,BC106&gt;0),"Ok","FAIL")</f>
        <v>Ok</v>
      </c>
      <c r="BF106" s="17">
        <f t="shared" si="112"/>
        <v>184.263654684969</v>
      </c>
      <c r="BG106" s="17">
        <f t="shared" si="113"/>
        <v>598.5</v>
      </c>
      <c r="BH106" s="17" t="str">
        <f t="shared" si="114"/>
        <v>Ok</v>
      </c>
      <c r="BI106" s="17">
        <f t="shared" si="115"/>
        <v>51.115673189253997</v>
      </c>
      <c r="BJ106" s="17">
        <f t="shared" si="116"/>
        <v>45.3570310486813</v>
      </c>
      <c r="BK106" s="17">
        <f t="shared" si="117"/>
        <v>51.270466003453997</v>
      </c>
      <c r="BL106" s="17">
        <f t="shared" si="118"/>
        <v>57.0291081440268</v>
      </c>
      <c r="BM106" s="17">
        <f t="shared" si="119"/>
        <v>149.625</v>
      </c>
      <c r="BN106" s="17">
        <f t="shared" si="120"/>
        <v>149.625</v>
      </c>
      <c r="BO106" s="17">
        <f t="shared" si="121"/>
        <v>149.625</v>
      </c>
      <c r="BP106" s="17">
        <f t="shared" si="122"/>
        <v>149.625</v>
      </c>
      <c r="BQ106" s="17" t="str">
        <f t="shared" si="123"/>
        <v>Ok</v>
      </c>
      <c r="BR106" s="17">
        <f t="shared" si="124"/>
        <v>90.704851184897294</v>
      </c>
      <c r="BS106" s="17">
        <f t="shared" si="125"/>
        <v>24.636596064742701</v>
      </c>
      <c r="BT106" s="16">
        <f>MongDon!$H$80</f>
        <v>1.2</v>
      </c>
      <c r="BU106" s="17" t="str">
        <f t="shared" si="126"/>
        <v>Ok</v>
      </c>
      <c r="BV106" s="17">
        <f t="shared" si="127"/>
        <v>25.9802445700989</v>
      </c>
      <c r="BW106" s="16">
        <f>MongDon!$F$86</f>
        <v>1.5</v>
      </c>
      <c r="BX106" s="17" t="str">
        <f t="shared" si="128"/>
        <v>Ok</v>
      </c>
      <c r="BY106" s="17">
        <f t="shared" si="129"/>
        <v>130.92347525730301</v>
      </c>
      <c r="BZ106" s="17">
        <f t="shared" si="130"/>
        <v>104.09111411857801</v>
      </c>
      <c r="CA106" s="17">
        <f t="shared" si="131"/>
        <v>104.44695966846299</v>
      </c>
      <c r="CB106" s="17">
        <f t="shared" si="132"/>
        <v>131.27932080718799</v>
      </c>
      <c r="CC106" s="17">
        <f t="shared" si="133"/>
        <v>115.743606319701</v>
      </c>
      <c r="CD106" s="17">
        <f t="shared" si="134"/>
        <v>119.679019286714</v>
      </c>
      <c r="CE106" s="17">
        <f t="shared" si="135"/>
        <v>119.626828606064</v>
      </c>
      <c r="CF106" s="17">
        <f t="shared" si="136"/>
        <v>119.679019286714</v>
      </c>
      <c r="CG106" s="17">
        <f t="shared" si="137"/>
        <v>26.094090984181101</v>
      </c>
      <c r="CH106" s="17">
        <f t="shared" si="138"/>
        <v>26.094090984181101</v>
      </c>
      <c r="CI106" s="17">
        <f t="shared" si="139"/>
        <v>350</v>
      </c>
      <c r="CJ106" s="17">
        <f t="shared" si="140"/>
        <v>350</v>
      </c>
    </row>
    <row r="107" spans="2:88">
      <c r="B107" s="3">
        <v>21</v>
      </c>
      <c r="C107" s="3" t="s">
        <v>26</v>
      </c>
      <c r="D107" s="4">
        <v>5.1198466637145197</v>
      </c>
      <c r="E107" s="4">
        <v>2.8722700478887901</v>
      </c>
      <c r="F107" s="4">
        <v>221.91875598428999</v>
      </c>
      <c r="G107" s="4">
        <v>-3.6746829662807001</v>
      </c>
      <c r="H107" s="4">
        <v>7.6877276990835997</v>
      </c>
      <c r="I107" s="4" t="s">
        <v>16</v>
      </c>
      <c r="J107" s="4">
        <v>4.26601431991977</v>
      </c>
      <c r="K107" s="4">
        <v>2.4238906243180498</v>
      </c>
      <c r="L107" s="4">
        <v>189.77927736673101</v>
      </c>
      <c r="M107" s="4">
        <v>-3.0967836631848602</v>
      </c>
      <c r="N107" s="4">
        <v>6.4065831902990196</v>
      </c>
      <c r="O107" s="4">
        <v>1.5</v>
      </c>
      <c r="P107" s="4">
        <v>1.5</v>
      </c>
      <c r="Q107" s="4">
        <v>0.22</v>
      </c>
      <c r="R107" s="4">
        <v>0.22</v>
      </c>
      <c r="S107" s="4">
        <v>0</v>
      </c>
      <c r="T107" s="4">
        <v>0</v>
      </c>
      <c r="U107" s="4">
        <v>0.4</v>
      </c>
      <c r="V107" s="4">
        <v>0.05</v>
      </c>
      <c r="W107" s="4">
        <v>1</v>
      </c>
      <c r="X107" s="4">
        <v>19.100000000000001</v>
      </c>
      <c r="Y107" s="4">
        <v>0</v>
      </c>
      <c r="Z107" s="4">
        <v>1.5</v>
      </c>
      <c r="AA107" s="4">
        <v>139</v>
      </c>
      <c r="AB107" s="4">
        <v>12.1</v>
      </c>
      <c r="AC107" s="4">
        <v>19.5</v>
      </c>
      <c r="AD107" s="3" t="s">
        <v>42</v>
      </c>
      <c r="AE107" s="3" t="s">
        <v>61</v>
      </c>
      <c r="AF107" s="17">
        <f>HLOOKUP(AD107,Data!$B$4:$M$9,2,0)</f>
        <v>13</v>
      </c>
      <c r="AG107" s="17">
        <f>HLOOKUP(AD107,Data!$B$4:$M$9,3,0)</f>
        <v>1</v>
      </c>
      <c r="AH107" s="17">
        <f>HLOOKUP(AE107,Data!$B$13:$I$18,3,0)</f>
        <v>260</v>
      </c>
      <c r="AI107" s="18">
        <f t="shared" si="90"/>
        <v>2.25</v>
      </c>
      <c r="AJ107" s="17">
        <f t="shared" si="91"/>
        <v>0.5625</v>
      </c>
      <c r="AK107" s="17">
        <f t="shared" si="92"/>
        <v>0.5625</v>
      </c>
      <c r="AL107" s="17">
        <f t="shared" si="93"/>
        <v>0.35</v>
      </c>
      <c r="AM107" s="17">
        <f t="shared" si="94"/>
        <v>0.64</v>
      </c>
      <c r="AN107" s="17">
        <f t="shared" si="95"/>
        <v>0.64</v>
      </c>
      <c r="AO107" s="17">
        <f t="shared" si="96"/>
        <v>0.64</v>
      </c>
      <c r="AP107" s="17">
        <f t="shared" si="97"/>
        <v>0.64</v>
      </c>
      <c r="AQ107" s="17">
        <f t="shared" si="98"/>
        <v>2.2799999999999998</v>
      </c>
      <c r="AR107" s="17">
        <f t="shared" si="99"/>
        <v>1.4036</v>
      </c>
      <c r="AS107" s="17">
        <f t="shared" si="100"/>
        <v>221.91875598428999</v>
      </c>
      <c r="AT107" s="17">
        <f t="shared" si="101"/>
        <v>-4.82359098543622</v>
      </c>
      <c r="AU107" s="17">
        <f t="shared" si="102"/>
        <v>9.7356663645694095</v>
      </c>
      <c r="AV107" s="17">
        <f t="shared" si="103"/>
        <v>189.77927736673101</v>
      </c>
      <c r="AW107" s="17">
        <f t="shared" si="104"/>
        <v>-4.0663399129120803</v>
      </c>
      <c r="AX107" s="17">
        <f t="shared" si="105"/>
        <v>8.1129889182669306</v>
      </c>
      <c r="AY107" s="17">
        <f t="shared" si="106"/>
        <v>145.113682393028</v>
      </c>
      <c r="AZ107" s="17">
        <f t="shared" si="107"/>
        <v>93.347434037452203</v>
      </c>
      <c r="BA107" s="17">
        <f t="shared" si="108"/>
        <v>119.23055821523999</v>
      </c>
      <c r="BB107" s="17">
        <f t="shared" si="109"/>
        <v>126.59848564064301</v>
      </c>
      <c r="BC107" s="17">
        <f t="shared" si="110"/>
        <v>83.2942053520066</v>
      </c>
      <c r="BD107" s="17">
        <f t="shared" si="111"/>
        <v>104.94634549632499</v>
      </c>
      <c r="BE107" s="17" t="str">
        <f>IF(AND(BD107&lt;=AA107,BB107&lt;=AA107*MongDon!$J$44,BC107&gt;0),"Ok","FAIL")</f>
        <v>Ok</v>
      </c>
      <c r="BF107" s="17">
        <f t="shared" si="112"/>
        <v>203.68156460685401</v>
      </c>
      <c r="BG107" s="17">
        <f t="shared" si="113"/>
        <v>598.5</v>
      </c>
      <c r="BH107" s="17" t="str">
        <f t="shared" si="114"/>
        <v>Ok</v>
      </c>
      <c r="BI107" s="17">
        <f t="shared" si="115"/>
        <v>55.595536519033402</v>
      </c>
      <c r="BJ107" s="17">
        <f t="shared" si="116"/>
        <v>59.394208145563098</v>
      </c>
      <c r="BK107" s="17">
        <f t="shared" si="117"/>
        <v>48.135049128225397</v>
      </c>
      <c r="BL107" s="17">
        <f t="shared" si="118"/>
        <v>44.336377501695701</v>
      </c>
      <c r="BM107" s="17">
        <f t="shared" si="119"/>
        <v>149.625</v>
      </c>
      <c r="BN107" s="17">
        <f t="shared" si="120"/>
        <v>149.625</v>
      </c>
      <c r="BO107" s="17">
        <f t="shared" si="121"/>
        <v>149.625</v>
      </c>
      <c r="BP107" s="17">
        <f t="shared" si="122"/>
        <v>149.625</v>
      </c>
      <c r="BQ107" s="17" t="str">
        <f t="shared" si="123"/>
        <v>Ok</v>
      </c>
      <c r="BR107" s="17">
        <f t="shared" si="124"/>
        <v>91.450258975640594</v>
      </c>
      <c r="BS107" s="17">
        <f t="shared" si="125"/>
        <v>17.861913643580099</v>
      </c>
      <c r="BT107" s="16">
        <f>MongDon!$H$80</f>
        <v>1.2</v>
      </c>
      <c r="BU107" s="17" t="str">
        <f t="shared" si="126"/>
        <v>Ok</v>
      </c>
      <c r="BV107" s="17">
        <f t="shared" si="127"/>
        <v>20.406442615086899</v>
      </c>
      <c r="BW107" s="16">
        <f>MongDon!$F$86</f>
        <v>1.5</v>
      </c>
      <c r="BX107" s="17" t="str">
        <f t="shared" si="128"/>
        <v>Ok</v>
      </c>
      <c r="BY107" s="17">
        <f t="shared" si="129"/>
        <v>110.497979763448</v>
      </c>
      <c r="BZ107" s="17">
        <f t="shared" si="130"/>
        <v>145.113682393028</v>
      </c>
      <c r="CA107" s="17">
        <f t="shared" si="131"/>
        <v>127.963136667032</v>
      </c>
      <c r="CB107" s="17">
        <f t="shared" si="132"/>
        <v>93.347434037452203</v>
      </c>
      <c r="CC107" s="17">
        <f t="shared" si="133"/>
        <v>123.026749761315</v>
      </c>
      <c r="CD107" s="17">
        <f t="shared" si="134"/>
        <v>117.94978004231</v>
      </c>
      <c r="CE107" s="17">
        <f t="shared" si="135"/>
        <v>123.026749761315</v>
      </c>
      <c r="CF107" s="17">
        <f t="shared" si="136"/>
        <v>120.51133638816999</v>
      </c>
      <c r="CG107" s="17">
        <f t="shared" si="137"/>
        <v>28.2114808864339</v>
      </c>
      <c r="CH107" s="17">
        <f t="shared" si="138"/>
        <v>28.2114808864339</v>
      </c>
      <c r="CI107" s="17">
        <f t="shared" si="139"/>
        <v>350</v>
      </c>
      <c r="CJ107" s="17">
        <f t="shared" si="140"/>
        <v>350</v>
      </c>
    </row>
    <row r="108" spans="2:88">
      <c r="B108" s="3">
        <v>21</v>
      </c>
      <c r="C108" s="3" t="s">
        <v>27</v>
      </c>
      <c r="D108" s="4">
        <v>-0.93844859420411797</v>
      </c>
      <c r="E108" s="4">
        <v>-8.9457699778477409</v>
      </c>
      <c r="F108" s="4">
        <v>211.70791841914499</v>
      </c>
      <c r="G108" s="4">
        <v>16.379980641467998</v>
      </c>
      <c r="H108" s="4">
        <v>-1.7538877052985</v>
      </c>
      <c r="I108" s="4" t="s">
        <v>17</v>
      </c>
      <c r="J108" s="4">
        <v>-0.78256506167909401</v>
      </c>
      <c r="K108" s="4">
        <v>-7.4244760637957201</v>
      </c>
      <c r="L108" s="4">
        <v>181.27024606244299</v>
      </c>
      <c r="M108" s="4">
        <v>13.615436009939</v>
      </c>
      <c r="N108" s="4">
        <v>-1.4614296466860599</v>
      </c>
      <c r="O108" s="4">
        <v>1.5</v>
      </c>
      <c r="P108" s="4">
        <v>1.5</v>
      </c>
      <c r="Q108" s="4">
        <v>0.22</v>
      </c>
      <c r="R108" s="4">
        <v>0.22</v>
      </c>
      <c r="S108" s="4">
        <v>0</v>
      </c>
      <c r="T108" s="4">
        <v>0</v>
      </c>
      <c r="U108" s="4">
        <v>0.4</v>
      </c>
      <c r="V108" s="4">
        <v>0.05</v>
      </c>
      <c r="W108" s="4">
        <v>1</v>
      </c>
      <c r="X108" s="4">
        <v>19.100000000000001</v>
      </c>
      <c r="Y108" s="4">
        <v>0</v>
      </c>
      <c r="Z108" s="4">
        <v>1.5</v>
      </c>
      <c r="AA108" s="4">
        <v>139</v>
      </c>
      <c r="AB108" s="4">
        <v>12.1</v>
      </c>
      <c r="AC108" s="4">
        <v>19.5</v>
      </c>
      <c r="AD108" s="3" t="s">
        <v>42</v>
      </c>
      <c r="AE108" s="3" t="s">
        <v>61</v>
      </c>
      <c r="AF108" s="17">
        <f>HLOOKUP(AD108,Data!$B$4:$M$9,2,0)</f>
        <v>13</v>
      </c>
      <c r="AG108" s="17">
        <f>HLOOKUP(AD108,Data!$B$4:$M$9,3,0)</f>
        <v>1</v>
      </c>
      <c r="AH108" s="17">
        <f>HLOOKUP(AE108,Data!$B$13:$I$18,3,0)</f>
        <v>260</v>
      </c>
      <c r="AI108" s="18">
        <f t="shared" si="90"/>
        <v>2.25</v>
      </c>
      <c r="AJ108" s="17">
        <f t="shared" si="91"/>
        <v>0.5625</v>
      </c>
      <c r="AK108" s="17">
        <f t="shared" si="92"/>
        <v>0.5625</v>
      </c>
      <c r="AL108" s="17">
        <f t="shared" si="93"/>
        <v>0.35</v>
      </c>
      <c r="AM108" s="17">
        <f t="shared" si="94"/>
        <v>0.64</v>
      </c>
      <c r="AN108" s="17">
        <f t="shared" si="95"/>
        <v>0.64</v>
      </c>
      <c r="AO108" s="17">
        <f t="shared" si="96"/>
        <v>0.64</v>
      </c>
      <c r="AP108" s="17">
        <f t="shared" si="97"/>
        <v>0.64</v>
      </c>
      <c r="AQ108" s="17">
        <f t="shared" si="98"/>
        <v>2.2799999999999998</v>
      </c>
      <c r="AR108" s="17">
        <f t="shared" si="99"/>
        <v>1.4036</v>
      </c>
      <c r="AS108" s="17">
        <f t="shared" si="100"/>
        <v>211.70791841914499</v>
      </c>
      <c r="AT108" s="17">
        <f t="shared" si="101"/>
        <v>19.958288632607101</v>
      </c>
      <c r="AU108" s="17">
        <f t="shared" si="102"/>
        <v>-2.12926714298015</v>
      </c>
      <c r="AV108" s="17">
        <f t="shared" si="103"/>
        <v>181.27024606244299</v>
      </c>
      <c r="AW108" s="17">
        <f t="shared" si="104"/>
        <v>16.585226435457301</v>
      </c>
      <c r="AX108" s="17">
        <f t="shared" si="105"/>
        <v>-1.7744556713577</v>
      </c>
      <c r="AY108" s="17">
        <f t="shared" si="106"/>
        <v>153.95917400955301</v>
      </c>
      <c r="AZ108" s="17">
        <f t="shared" si="107"/>
        <v>75.425642363020302</v>
      </c>
      <c r="BA108" s="17">
        <f t="shared" si="108"/>
        <v>114.692408186286</v>
      </c>
      <c r="BB108" s="17">
        <f t="shared" si="109"/>
        <v>133.80398866209001</v>
      </c>
      <c r="BC108" s="17">
        <f t="shared" si="110"/>
        <v>68.525118948970103</v>
      </c>
      <c r="BD108" s="17">
        <f t="shared" si="111"/>
        <v>101.16455380553001</v>
      </c>
      <c r="BE108" s="17" t="str">
        <f>IF(AND(BD108&lt;=AA108,BB108&lt;=AA108*MongDon!$J$44,BC108&gt;0),"Ok","FAIL")</f>
        <v>Ok</v>
      </c>
      <c r="BF108" s="17">
        <f t="shared" si="112"/>
        <v>216.097096639808</v>
      </c>
      <c r="BG108" s="17">
        <f t="shared" si="113"/>
        <v>598.5</v>
      </c>
      <c r="BH108" s="17" t="str">
        <f t="shared" si="114"/>
        <v>Ok</v>
      </c>
      <c r="BI108" s="17">
        <f t="shared" si="115"/>
        <v>34.456787685151802</v>
      </c>
      <c r="BJ108" s="17">
        <f t="shared" si="116"/>
        <v>48.2445643037967</v>
      </c>
      <c r="BK108" s="17">
        <f t="shared" si="117"/>
        <v>65.325607436917394</v>
      </c>
      <c r="BL108" s="17">
        <f t="shared" si="118"/>
        <v>51.537830818272603</v>
      </c>
      <c r="BM108" s="17">
        <f t="shared" si="119"/>
        <v>149.625</v>
      </c>
      <c r="BN108" s="17">
        <f t="shared" si="120"/>
        <v>149.625</v>
      </c>
      <c r="BO108" s="17">
        <f t="shared" si="121"/>
        <v>149.625</v>
      </c>
      <c r="BP108" s="17">
        <f t="shared" si="122"/>
        <v>149.625</v>
      </c>
      <c r="BQ108" s="17" t="str">
        <f t="shared" si="123"/>
        <v>Ok</v>
      </c>
      <c r="BR108" s="17">
        <f t="shared" si="124"/>
        <v>89.261245075642094</v>
      </c>
      <c r="BS108" s="17">
        <f t="shared" si="125"/>
        <v>9.9780393746629095</v>
      </c>
      <c r="BT108" s="16">
        <f>MongDon!$H$80</f>
        <v>1.2</v>
      </c>
      <c r="BU108" s="17" t="str">
        <f t="shared" si="126"/>
        <v>Ok</v>
      </c>
      <c r="BV108" s="17">
        <f t="shared" si="127"/>
        <v>9.57056951778371</v>
      </c>
      <c r="BW108" s="16">
        <f>MongDon!$F$86</f>
        <v>1.5</v>
      </c>
      <c r="BX108" s="17" t="str">
        <f t="shared" si="128"/>
        <v>Ok</v>
      </c>
      <c r="BY108" s="17">
        <f t="shared" si="129"/>
        <v>82.9963699825052</v>
      </c>
      <c r="BZ108" s="17">
        <f t="shared" si="130"/>
        <v>75.425642363020302</v>
      </c>
      <c r="CA108" s="17">
        <f t="shared" si="131"/>
        <v>146.388446390068</v>
      </c>
      <c r="CB108" s="17">
        <f t="shared" si="132"/>
        <v>153.95917400955301</v>
      </c>
      <c r="CC108" s="17">
        <f t="shared" si="133"/>
        <v>119.34116045617399</v>
      </c>
      <c r="CD108" s="17">
        <f t="shared" si="134"/>
        <v>120.451533840365</v>
      </c>
      <c r="CE108" s="17">
        <f t="shared" si="135"/>
        <v>110.043655916399</v>
      </c>
      <c r="CF108" s="17">
        <f t="shared" si="136"/>
        <v>120.451533840365</v>
      </c>
      <c r="CG108" s="17">
        <f t="shared" si="137"/>
        <v>29.243383934939899</v>
      </c>
      <c r="CH108" s="17">
        <f t="shared" si="138"/>
        <v>29.243383934939899</v>
      </c>
      <c r="CI108" s="17">
        <f t="shared" si="139"/>
        <v>357.062074907691</v>
      </c>
      <c r="CJ108" s="17">
        <f t="shared" si="140"/>
        <v>357.062074907691</v>
      </c>
    </row>
    <row r="109" spans="2:88">
      <c r="B109" s="3">
        <v>21</v>
      </c>
      <c r="C109" s="3" t="s">
        <v>28</v>
      </c>
      <c r="D109" s="4">
        <v>2.3765832654610302</v>
      </c>
      <c r="E109" s="4">
        <v>12.3493846790126</v>
      </c>
      <c r="F109" s="4">
        <v>228.65257685663201</v>
      </c>
      <c r="G109" s="4">
        <v>-19.7420441855331</v>
      </c>
      <c r="H109" s="4">
        <v>3.3676986310986798</v>
      </c>
      <c r="I109" s="4" t="s">
        <v>18</v>
      </c>
      <c r="J109" s="4">
        <v>1.9799614880418599</v>
      </c>
      <c r="K109" s="4">
        <v>10.3214861502546</v>
      </c>
      <c r="L109" s="4">
        <v>195.390794760349</v>
      </c>
      <c r="M109" s="4">
        <v>-16.486251345895202</v>
      </c>
      <c r="N109" s="4">
        <v>2.8065589669782498</v>
      </c>
      <c r="O109" s="4">
        <v>1.5</v>
      </c>
      <c r="P109" s="4">
        <v>1.5</v>
      </c>
      <c r="Q109" s="4">
        <v>0.22</v>
      </c>
      <c r="R109" s="4">
        <v>0.22</v>
      </c>
      <c r="S109" s="4">
        <v>0</v>
      </c>
      <c r="T109" s="4">
        <v>0</v>
      </c>
      <c r="U109" s="4">
        <v>0.4</v>
      </c>
      <c r="V109" s="4">
        <v>0.05</v>
      </c>
      <c r="W109" s="4">
        <v>1</v>
      </c>
      <c r="X109" s="4">
        <v>19.100000000000001</v>
      </c>
      <c r="Y109" s="4">
        <v>0</v>
      </c>
      <c r="Z109" s="4">
        <v>1.5</v>
      </c>
      <c r="AA109" s="4">
        <v>139</v>
      </c>
      <c r="AB109" s="4">
        <v>12.1</v>
      </c>
      <c r="AC109" s="4">
        <v>19.5</v>
      </c>
      <c r="AD109" s="3" t="s">
        <v>42</v>
      </c>
      <c r="AE109" s="3" t="s">
        <v>61</v>
      </c>
      <c r="AF109" s="17">
        <f>HLOOKUP(AD109,Data!$B$4:$M$9,2,0)</f>
        <v>13</v>
      </c>
      <c r="AG109" s="17">
        <f>HLOOKUP(AD109,Data!$B$4:$M$9,3,0)</f>
        <v>1</v>
      </c>
      <c r="AH109" s="17">
        <f>HLOOKUP(AE109,Data!$B$13:$I$18,3,0)</f>
        <v>260</v>
      </c>
      <c r="AI109" s="18">
        <f t="shared" si="90"/>
        <v>2.25</v>
      </c>
      <c r="AJ109" s="17">
        <f t="shared" si="91"/>
        <v>0.5625</v>
      </c>
      <c r="AK109" s="17">
        <f t="shared" si="92"/>
        <v>0.5625</v>
      </c>
      <c r="AL109" s="17">
        <f t="shared" si="93"/>
        <v>0.35</v>
      </c>
      <c r="AM109" s="17">
        <f t="shared" si="94"/>
        <v>0.64</v>
      </c>
      <c r="AN109" s="17">
        <f t="shared" si="95"/>
        <v>0.64</v>
      </c>
      <c r="AO109" s="17">
        <f t="shared" si="96"/>
        <v>0.64</v>
      </c>
      <c r="AP109" s="17">
        <f t="shared" si="97"/>
        <v>0.64</v>
      </c>
      <c r="AQ109" s="17">
        <f t="shared" si="98"/>
        <v>2.2799999999999998</v>
      </c>
      <c r="AR109" s="17">
        <f t="shared" si="99"/>
        <v>1.4036</v>
      </c>
      <c r="AS109" s="17">
        <f t="shared" si="100"/>
        <v>228.65257685663201</v>
      </c>
      <c r="AT109" s="17">
        <f t="shared" si="101"/>
        <v>-24.681798057138099</v>
      </c>
      <c r="AU109" s="17">
        <f t="shared" si="102"/>
        <v>4.3183319372830899</v>
      </c>
      <c r="AV109" s="17">
        <f t="shared" si="103"/>
        <v>195.390794760349</v>
      </c>
      <c r="AW109" s="17">
        <f t="shared" si="104"/>
        <v>-20.614845805997</v>
      </c>
      <c r="AX109" s="17">
        <f t="shared" si="105"/>
        <v>3.5985435621950002</v>
      </c>
      <c r="AY109" s="17">
        <f t="shared" si="106"/>
        <v>173.77915414858501</v>
      </c>
      <c r="AZ109" s="17">
        <f t="shared" si="107"/>
        <v>70.667580835087506</v>
      </c>
      <c r="BA109" s="17">
        <f t="shared" si="108"/>
        <v>122.223367491836</v>
      </c>
      <c r="BB109" s="17">
        <f t="shared" si="109"/>
        <v>150.486378770274</v>
      </c>
      <c r="BC109" s="17">
        <f t="shared" si="110"/>
        <v>64.394327683369298</v>
      </c>
      <c r="BD109" s="17">
        <f t="shared" si="111"/>
        <v>107.440353226822</v>
      </c>
      <c r="BE109" s="17" t="str">
        <f>IF(AND(BD109&lt;=AA109,BB109&lt;=AA109*MongDon!$J$44,BC109&gt;0),"Ok","FAIL")</f>
        <v>Ok</v>
      </c>
      <c r="BF109" s="17">
        <f t="shared" si="112"/>
        <v>243.916420762954</v>
      </c>
      <c r="BG109" s="17">
        <f t="shared" si="113"/>
        <v>598.5</v>
      </c>
      <c r="BH109" s="17" t="str">
        <f t="shared" si="114"/>
        <v>Ok</v>
      </c>
      <c r="BI109" s="17">
        <f t="shared" si="115"/>
        <v>72.254422023135604</v>
      </c>
      <c r="BJ109" s="17">
        <f t="shared" si="116"/>
        <v>56.506674890447698</v>
      </c>
      <c r="BK109" s="17">
        <f t="shared" si="117"/>
        <v>34.079907694761999</v>
      </c>
      <c r="BL109" s="17">
        <f t="shared" si="118"/>
        <v>49.827654827449898</v>
      </c>
      <c r="BM109" s="17">
        <f t="shared" si="119"/>
        <v>149.625</v>
      </c>
      <c r="BN109" s="17">
        <f t="shared" si="120"/>
        <v>149.625</v>
      </c>
      <c r="BO109" s="17">
        <f t="shared" si="121"/>
        <v>149.625</v>
      </c>
      <c r="BP109" s="17">
        <f t="shared" si="122"/>
        <v>149.625</v>
      </c>
      <c r="BQ109" s="17" t="str">
        <f t="shared" si="123"/>
        <v>Ok</v>
      </c>
      <c r="BR109" s="17">
        <f t="shared" si="124"/>
        <v>92.893865084895793</v>
      </c>
      <c r="BS109" s="17">
        <f t="shared" si="125"/>
        <v>7.5221452322856202</v>
      </c>
      <c r="BT109" s="16">
        <f>MongDon!$H$80</f>
        <v>1.2</v>
      </c>
      <c r="BU109" s="17" t="str">
        <f t="shared" si="126"/>
        <v>Ok</v>
      </c>
      <c r="BV109" s="17">
        <f t="shared" si="127"/>
        <v>8.2538833747388392</v>
      </c>
      <c r="BW109" s="16">
        <f>MongDon!$F$86</f>
        <v>1.5</v>
      </c>
      <c r="BX109" s="17" t="str">
        <f t="shared" si="128"/>
        <v>Ok</v>
      </c>
      <c r="BY109" s="17">
        <f t="shared" si="129"/>
        <v>158.42508503824499</v>
      </c>
      <c r="BZ109" s="17">
        <f t="shared" si="130"/>
        <v>173.77915414858501</v>
      </c>
      <c r="CA109" s="17">
        <f t="shared" si="131"/>
        <v>86.021649945427299</v>
      </c>
      <c r="CB109" s="17">
        <f t="shared" si="132"/>
        <v>70.667580835087506</v>
      </c>
      <c r="CC109" s="17">
        <f t="shared" si="133"/>
        <v>129.784882868159</v>
      </c>
      <c r="CD109" s="17">
        <f t="shared" si="134"/>
        <v>127.532952731976</v>
      </c>
      <c r="CE109" s="17">
        <f t="shared" si="135"/>
        <v>129.784882868159</v>
      </c>
      <c r="CF109" s="17">
        <f t="shared" si="136"/>
        <v>116.91378225169601</v>
      </c>
      <c r="CG109" s="17">
        <f t="shared" si="137"/>
        <v>32.586628516886499</v>
      </c>
      <c r="CH109" s="17">
        <f t="shared" si="138"/>
        <v>32.586628516886499</v>
      </c>
      <c r="CI109" s="17">
        <f t="shared" si="139"/>
        <v>397.88313207431599</v>
      </c>
      <c r="CJ109" s="17">
        <f t="shared" si="140"/>
        <v>397.88313207431599</v>
      </c>
    </row>
    <row r="110" spans="2:88">
      <c r="B110" s="3">
        <v>21</v>
      </c>
      <c r="C110" s="3" t="s">
        <v>29</v>
      </c>
      <c r="D110" s="4">
        <v>-4.2653820316448297</v>
      </c>
      <c r="E110" s="4">
        <v>0.23154259424328599</v>
      </c>
      <c r="F110" s="4">
        <v>197.87464532036799</v>
      </c>
      <c r="G110" s="4">
        <v>0.69391883641304597</v>
      </c>
      <c r="H110" s="4">
        <v>-6.9434541478524103</v>
      </c>
      <c r="I110" s="4" t="s">
        <v>19</v>
      </c>
      <c r="J110" s="4">
        <v>-3.5550095928796899</v>
      </c>
      <c r="K110" s="4">
        <v>0.22328441294679699</v>
      </c>
      <c r="L110" s="4">
        <v>169.74251848012901</v>
      </c>
      <c r="M110" s="4">
        <v>0.54371783905992999</v>
      </c>
      <c r="N110" s="4">
        <v>-5.7860683488143199</v>
      </c>
      <c r="O110" s="4">
        <v>1.5</v>
      </c>
      <c r="P110" s="4">
        <v>1.5</v>
      </c>
      <c r="Q110" s="4">
        <v>0.22</v>
      </c>
      <c r="R110" s="4">
        <v>0.22</v>
      </c>
      <c r="S110" s="4">
        <v>0</v>
      </c>
      <c r="T110" s="4">
        <v>0</v>
      </c>
      <c r="U110" s="4">
        <v>0.4</v>
      </c>
      <c r="V110" s="4">
        <v>0.05</v>
      </c>
      <c r="W110" s="4">
        <v>1</v>
      </c>
      <c r="X110" s="4">
        <v>19.100000000000001</v>
      </c>
      <c r="Y110" s="4">
        <v>0</v>
      </c>
      <c r="Z110" s="4">
        <v>1.5</v>
      </c>
      <c r="AA110" s="4">
        <v>139</v>
      </c>
      <c r="AB110" s="4">
        <v>12.1</v>
      </c>
      <c r="AC110" s="4">
        <v>19.5</v>
      </c>
      <c r="AD110" s="3" t="s">
        <v>42</v>
      </c>
      <c r="AE110" s="3" t="s">
        <v>61</v>
      </c>
      <c r="AF110" s="17">
        <f>HLOOKUP(AD110,Data!$B$4:$M$9,2,0)</f>
        <v>13</v>
      </c>
      <c r="AG110" s="17">
        <f>HLOOKUP(AD110,Data!$B$4:$M$9,3,0)</f>
        <v>1</v>
      </c>
      <c r="AH110" s="17">
        <f>HLOOKUP(AE110,Data!$B$13:$I$18,3,0)</f>
        <v>260</v>
      </c>
      <c r="AI110" s="18">
        <f t="shared" si="90"/>
        <v>2.25</v>
      </c>
      <c r="AJ110" s="17">
        <f t="shared" si="91"/>
        <v>0.5625</v>
      </c>
      <c r="AK110" s="17">
        <f t="shared" si="92"/>
        <v>0.5625</v>
      </c>
      <c r="AL110" s="17">
        <f t="shared" si="93"/>
        <v>0.35</v>
      </c>
      <c r="AM110" s="17">
        <f t="shared" si="94"/>
        <v>0.64</v>
      </c>
      <c r="AN110" s="17">
        <f t="shared" si="95"/>
        <v>0.64</v>
      </c>
      <c r="AO110" s="17">
        <f t="shared" si="96"/>
        <v>0.64</v>
      </c>
      <c r="AP110" s="17">
        <f t="shared" si="97"/>
        <v>0.64</v>
      </c>
      <c r="AQ110" s="17">
        <f t="shared" si="98"/>
        <v>2.2799999999999998</v>
      </c>
      <c r="AR110" s="17">
        <f t="shared" si="99"/>
        <v>1.4036</v>
      </c>
      <c r="AS110" s="17">
        <f t="shared" si="100"/>
        <v>197.87464532036799</v>
      </c>
      <c r="AT110" s="17">
        <f t="shared" si="101"/>
        <v>0.60130179871573097</v>
      </c>
      <c r="AU110" s="17">
        <f t="shared" si="102"/>
        <v>-8.6496069605103401</v>
      </c>
      <c r="AV110" s="17">
        <f t="shared" si="103"/>
        <v>169.74251848012901</v>
      </c>
      <c r="AW110" s="17">
        <f t="shared" si="104"/>
        <v>0.45440407388121101</v>
      </c>
      <c r="AX110" s="17">
        <f t="shared" si="105"/>
        <v>-7.2080721859661896</v>
      </c>
      <c r="AY110" s="17">
        <f t="shared" si="106"/>
        <v>124.990346825454</v>
      </c>
      <c r="AZ110" s="17">
        <f t="shared" si="107"/>
        <v>92.098226792650493</v>
      </c>
      <c r="BA110" s="17">
        <f t="shared" si="108"/>
        <v>108.544286809052</v>
      </c>
      <c r="BB110" s="17">
        <f t="shared" si="109"/>
        <v>109.663299342008</v>
      </c>
      <c r="BC110" s="17">
        <f t="shared" si="110"/>
        <v>82.418939306995398</v>
      </c>
      <c r="BD110" s="17">
        <f t="shared" si="111"/>
        <v>96.041119324501906</v>
      </c>
      <c r="BE110" s="17" t="str">
        <f>IF(AND(BD110&lt;=AA110,BB110&lt;=AA110*MongDon!$J$44,BC110&gt;0),"Ok","FAIL")</f>
        <v>Ok</v>
      </c>
      <c r="BF110" s="17">
        <f t="shared" si="112"/>
        <v>175.43645080420799</v>
      </c>
      <c r="BG110" s="17">
        <f t="shared" si="113"/>
        <v>598.5</v>
      </c>
      <c r="BH110" s="17" t="str">
        <f t="shared" si="114"/>
        <v>Ok</v>
      </c>
      <c r="BI110" s="17">
        <f t="shared" si="115"/>
        <v>46.751758037597703</v>
      </c>
      <c r="BJ110" s="17">
        <f t="shared" si="116"/>
        <v>40.527735379143202</v>
      </c>
      <c r="BK110" s="17">
        <f t="shared" si="117"/>
        <v>47.681771486278002</v>
      </c>
      <c r="BL110" s="17">
        <f t="shared" si="118"/>
        <v>53.905794144732504</v>
      </c>
      <c r="BM110" s="17">
        <f t="shared" si="119"/>
        <v>149.625</v>
      </c>
      <c r="BN110" s="17">
        <f t="shared" si="120"/>
        <v>149.625</v>
      </c>
      <c r="BO110" s="17">
        <f t="shared" si="121"/>
        <v>149.625</v>
      </c>
      <c r="BP110" s="17">
        <f t="shared" si="122"/>
        <v>149.625</v>
      </c>
      <c r="BQ110" s="17" t="str">
        <f t="shared" si="123"/>
        <v>Ok</v>
      </c>
      <c r="BR110" s="17">
        <f t="shared" si="124"/>
        <v>86.295648286690906</v>
      </c>
      <c r="BS110" s="17">
        <f t="shared" si="125"/>
        <v>20.231634035700498</v>
      </c>
      <c r="BT110" s="16">
        <f>MongDon!$H$80</f>
        <v>1.2</v>
      </c>
      <c r="BU110" s="17" t="str">
        <f t="shared" si="126"/>
        <v>Ok</v>
      </c>
      <c r="BV110" s="17">
        <f t="shared" si="127"/>
        <v>20.8838661473259</v>
      </c>
      <c r="BW110" s="16">
        <f>MongDon!$F$86</f>
        <v>1.5</v>
      </c>
      <c r="BX110" s="17" t="str">
        <f t="shared" si="128"/>
        <v>Ok</v>
      </c>
      <c r="BY110" s="17">
        <f t="shared" si="129"/>
        <v>122.852384874465</v>
      </c>
      <c r="BZ110" s="17">
        <f t="shared" si="130"/>
        <v>92.098226792650493</v>
      </c>
      <c r="CA110" s="17">
        <f t="shared" si="131"/>
        <v>94.236188743639801</v>
      </c>
      <c r="CB110" s="17">
        <f t="shared" si="132"/>
        <v>124.990346825454</v>
      </c>
      <c r="CC110" s="17">
        <f t="shared" si="133"/>
        <v>106.44576575945899</v>
      </c>
      <c r="CD110" s="17">
        <f t="shared" si="134"/>
        <v>110.956375611458</v>
      </c>
      <c r="CE110" s="17">
        <f t="shared" si="135"/>
        <v>110.64280785864599</v>
      </c>
      <c r="CF110" s="17">
        <f t="shared" si="136"/>
        <v>110.956375611458</v>
      </c>
      <c r="CG110" s="17">
        <f t="shared" si="137"/>
        <v>24.639970594977601</v>
      </c>
      <c r="CH110" s="17">
        <f t="shared" si="138"/>
        <v>24.639970594977601</v>
      </c>
      <c r="CI110" s="17">
        <f t="shared" si="139"/>
        <v>350</v>
      </c>
      <c r="CJ110" s="17">
        <f t="shared" si="140"/>
        <v>350</v>
      </c>
    </row>
    <row r="111" spans="2:88">
      <c r="B111" s="3">
        <v>21</v>
      </c>
      <c r="C111" s="3" t="s">
        <v>30</v>
      </c>
      <c r="D111" s="4">
        <v>5.5141275863242099</v>
      </c>
      <c r="E111" s="4">
        <v>2.8325708104796301</v>
      </c>
      <c r="F111" s="4">
        <v>201.73799720126101</v>
      </c>
      <c r="G111" s="4">
        <v>-3.7364171508050701</v>
      </c>
      <c r="H111" s="4">
        <v>8.3472619325553907</v>
      </c>
      <c r="I111" s="4" t="s">
        <v>20</v>
      </c>
      <c r="J111" s="4">
        <v>4.5945817554278499</v>
      </c>
      <c r="K111" s="4">
        <v>2.3908079264770801</v>
      </c>
      <c r="L111" s="4">
        <v>172.96197838087301</v>
      </c>
      <c r="M111" s="4">
        <v>-3.14822881695516</v>
      </c>
      <c r="N111" s="4">
        <v>6.9561950515255102</v>
      </c>
      <c r="O111" s="4">
        <v>1.5</v>
      </c>
      <c r="P111" s="4">
        <v>1.5</v>
      </c>
      <c r="Q111" s="4">
        <v>0.22</v>
      </c>
      <c r="R111" s="4">
        <v>0.22</v>
      </c>
      <c r="S111" s="4">
        <v>0</v>
      </c>
      <c r="T111" s="4">
        <v>0</v>
      </c>
      <c r="U111" s="4">
        <v>0.4</v>
      </c>
      <c r="V111" s="4">
        <v>0.05</v>
      </c>
      <c r="W111" s="4">
        <v>1</v>
      </c>
      <c r="X111" s="4">
        <v>19.100000000000001</v>
      </c>
      <c r="Y111" s="4">
        <v>0</v>
      </c>
      <c r="Z111" s="4">
        <v>1.5</v>
      </c>
      <c r="AA111" s="4">
        <v>139</v>
      </c>
      <c r="AB111" s="4">
        <v>12.1</v>
      </c>
      <c r="AC111" s="4">
        <v>19.5</v>
      </c>
      <c r="AD111" s="3" t="s">
        <v>42</v>
      </c>
      <c r="AE111" s="3" t="s">
        <v>61</v>
      </c>
      <c r="AF111" s="17">
        <f>HLOOKUP(AD111,Data!$B$4:$M$9,2,0)</f>
        <v>13</v>
      </c>
      <c r="AG111" s="17">
        <f>HLOOKUP(AD111,Data!$B$4:$M$9,3,0)</f>
        <v>1</v>
      </c>
      <c r="AH111" s="17">
        <f>HLOOKUP(AE111,Data!$B$13:$I$18,3,0)</f>
        <v>260</v>
      </c>
      <c r="AI111" s="18">
        <f t="shared" si="90"/>
        <v>2.25</v>
      </c>
      <c r="AJ111" s="17">
        <f t="shared" si="91"/>
        <v>0.5625</v>
      </c>
      <c r="AK111" s="17">
        <f t="shared" si="92"/>
        <v>0.5625</v>
      </c>
      <c r="AL111" s="17">
        <f t="shared" si="93"/>
        <v>0.35</v>
      </c>
      <c r="AM111" s="17">
        <f t="shared" si="94"/>
        <v>0.64</v>
      </c>
      <c r="AN111" s="17">
        <f t="shared" si="95"/>
        <v>0.64</v>
      </c>
      <c r="AO111" s="17">
        <f t="shared" si="96"/>
        <v>0.64</v>
      </c>
      <c r="AP111" s="17">
        <f t="shared" si="97"/>
        <v>0.64</v>
      </c>
      <c r="AQ111" s="17">
        <f t="shared" si="98"/>
        <v>2.2799999999999998</v>
      </c>
      <c r="AR111" s="17">
        <f t="shared" si="99"/>
        <v>1.4036</v>
      </c>
      <c r="AS111" s="17">
        <f t="shared" si="100"/>
        <v>201.73799720126101</v>
      </c>
      <c r="AT111" s="17">
        <f t="shared" si="101"/>
        <v>-4.8694454749969198</v>
      </c>
      <c r="AU111" s="17">
        <f t="shared" si="102"/>
        <v>10.552912967085099</v>
      </c>
      <c r="AV111" s="17">
        <f t="shared" si="103"/>
        <v>172.96197838087301</v>
      </c>
      <c r="AW111" s="17">
        <f t="shared" si="104"/>
        <v>-4.1045519875460004</v>
      </c>
      <c r="AX111" s="17">
        <f t="shared" si="105"/>
        <v>8.7940277536966498</v>
      </c>
      <c r="AY111" s="17">
        <f t="shared" si="106"/>
        <v>137.678858208706</v>
      </c>
      <c r="AZ111" s="17">
        <f t="shared" si="107"/>
        <v>82.843805970192506</v>
      </c>
      <c r="BA111" s="17">
        <f t="shared" si="108"/>
        <v>110.261332089449</v>
      </c>
      <c r="BB111" s="17">
        <f t="shared" si="109"/>
        <v>120.402798820375</v>
      </c>
      <c r="BC111" s="17">
        <f t="shared" si="110"/>
        <v>74.541181962623497</v>
      </c>
      <c r="BD111" s="17">
        <f t="shared" si="111"/>
        <v>97.471990391499304</v>
      </c>
      <c r="BE111" s="17" t="str">
        <f>IF(AND(BD111&lt;=AA111,BB111&lt;=AA111*MongDon!$J$44,BC111&gt;0),"Ok","FAIL")</f>
        <v>Ok</v>
      </c>
      <c r="BF111" s="17">
        <f t="shared" si="112"/>
        <v>193.24604538174</v>
      </c>
      <c r="BG111" s="17">
        <f t="shared" si="113"/>
        <v>598.5</v>
      </c>
      <c r="BH111" s="17" t="str">
        <f t="shared" si="114"/>
        <v>Ok</v>
      </c>
      <c r="BI111" s="17">
        <f t="shared" si="115"/>
        <v>51.729383959574797</v>
      </c>
      <c r="BJ111" s="17">
        <f t="shared" si="116"/>
        <v>56.124598820122898</v>
      </c>
      <c r="BK111" s="17">
        <f t="shared" si="117"/>
        <v>44.197974958246199</v>
      </c>
      <c r="BL111" s="17">
        <f t="shared" si="118"/>
        <v>39.802760097697998</v>
      </c>
      <c r="BM111" s="17">
        <f t="shared" si="119"/>
        <v>149.625</v>
      </c>
      <c r="BN111" s="17">
        <f t="shared" si="120"/>
        <v>149.625</v>
      </c>
      <c r="BO111" s="17">
        <f t="shared" si="121"/>
        <v>149.625</v>
      </c>
      <c r="BP111" s="17">
        <f t="shared" si="122"/>
        <v>149.625</v>
      </c>
      <c r="BQ111" s="17" t="str">
        <f t="shared" si="123"/>
        <v>Ok</v>
      </c>
      <c r="BR111" s="17">
        <f t="shared" si="124"/>
        <v>87.123879165294596</v>
      </c>
      <c r="BS111" s="17">
        <f t="shared" si="125"/>
        <v>15.8001202912631</v>
      </c>
      <c r="BT111" s="16">
        <f>MongDon!$H$80</f>
        <v>1.2</v>
      </c>
      <c r="BU111" s="17" t="str">
        <f t="shared" si="126"/>
        <v>Ok</v>
      </c>
      <c r="BV111" s="17">
        <f t="shared" si="127"/>
        <v>17.391856492458299</v>
      </c>
      <c r="BW111" s="16">
        <f>MongDon!$F$86</f>
        <v>1.5</v>
      </c>
      <c r="BX111" s="17" t="str">
        <f t="shared" si="128"/>
        <v>Ok</v>
      </c>
      <c r="BY111" s="17">
        <f t="shared" si="129"/>
        <v>100.157389881293</v>
      </c>
      <c r="BZ111" s="17">
        <f t="shared" si="130"/>
        <v>137.678858208706</v>
      </c>
      <c r="CA111" s="17">
        <f t="shared" si="131"/>
        <v>120.36527429760601</v>
      </c>
      <c r="CB111" s="17">
        <f t="shared" si="132"/>
        <v>82.843805970192506</v>
      </c>
      <c r="CC111" s="17">
        <f t="shared" si="133"/>
        <v>114.28256925360699</v>
      </c>
      <c r="CD111" s="17">
        <f t="shared" si="134"/>
        <v>108.77942056558599</v>
      </c>
      <c r="CE111" s="17">
        <f t="shared" si="135"/>
        <v>114.28256925360699</v>
      </c>
      <c r="CF111" s="17">
        <f t="shared" si="136"/>
        <v>111.743243613312</v>
      </c>
      <c r="CG111" s="17">
        <f t="shared" si="137"/>
        <v>26.599443501808299</v>
      </c>
      <c r="CH111" s="17">
        <f t="shared" si="138"/>
        <v>26.599443501808299</v>
      </c>
      <c r="CI111" s="17">
        <f t="shared" si="139"/>
        <v>350</v>
      </c>
      <c r="CJ111" s="17">
        <f t="shared" si="140"/>
        <v>350</v>
      </c>
    </row>
    <row r="112" spans="2:88">
      <c r="B112" s="3">
        <v>21</v>
      </c>
      <c r="C112" s="3" t="s">
        <v>31</v>
      </c>
      <c r="D112" s="4">
        <v>-1.2173115891409501</v>
      </c>
      <c r="E112" s="4">
        <v>-10.298584773672101</v>
      </c>
      <c r="F112" s="4">
        <v>190.39262212887701</v>
      </c>
      <c r="G112" s="4">
        <v>18.5465424133601</v>
      </c>
      <c r="H112" s="4">
        <v>-2.1434218500913902</v>
      </c>
      <c r="I112" s="4" t="s">
        <v>21</v>
      </c>
      <c r="J112" s="4">
        <v>-1.01495089079312</v>
      </c>
      <c r="K112" s="4">
        <v>-8.5518217269826593</v>
      </c>
      <c r="L112" s="4">
        <v>163.50749915388701</v>
      </c>
      <c r="M112" s="4">
        <v>15.4209041531825</v>
      </c>
      <c r="N112" s="4">
        <v>-1.78604143401347</v>
      </c>
      <c r="O112" s="4">
        <v>1.5</v>
      </c>
      <c r="P112" s="4">
        <v>1.5</v>
      </c>
      <c r="Q112" s="4">
        <v>0.22</v>
      </c>
      <c r="R112" s="4">
        <v>0.22</v>
      </c>
      <c r="S112" s="4">
        <v>0</v>
      </c>
      <c r="T112" s="4">
        <v>0</v>
      </c>
      <c r="U112" s="4">
        <v>0.4</v>
      </c>
      <c r="V112" s="4">
        <v>0.05</v>
      </c>
      <c r="W112" s="4">
        <v>1</v>
      </c>
      <c r="X112" s="4">
        <v>19.100000000000001</v>
      </c>
      <c r="Y112" s="4">
        <v>0</v>
      </c>
      <c r="Z112" s="4">
        <v>1.5</v>
      </c>
      <c r="AA112" s="4">
        <v>139</v>
      </c>
      <c r="AB112" s="4">
        <v>12.1</v>
      </c>
      <c r="AC112" s="4">
        <v>19.5</v>
      </c>
      <c r="AD112" s="3" t="s">
        <v>42</v>
      </c>
      <c r="AE112" s="3" t="s">
        <v>61</v>
      </c>
      <c r="AF112" s="17">
        <f>HLOOKUP(AD112,Data!$B$4:$M$9,2,0)</f>
        <v>13</v>
      </c>
      <c r="AG112" s="17">
        <f>HLOOKUP(AD112,Data!$B$4:$M$9,3,0)</f>
        <v>1</v>
      </c>
      <c r="AH112" s="17">
        <f>HLOOKUP(AE112,Data!$B$13:$I$18,3,0)</f>
        <v>260</v>
      </c>
      <c r="AI112" s="18">
        <f t="shared" si="90"/>
        <v>2.25</v>
      </c>
      <c r="AJ112" s="17">
        <f t="shared" si="91"/>
        <v>0.5625</v>
      </c>
      <c r="AK112" s="17">
        <f t="shared" si="92"/>
        <v>0.5625</v>
      </c>
      <c r="AL112" s="17">
        <f t="shared" si="93"/>
        <v>0.35</v>
      </c>
      <c r="AM112" s="17">
        <f t="shared" si="94"/>
        <v>0.64</v>
      </c>
      <c r="AN112" s="17">
        <f t="shared" si="95"/>
        <v>0.64</v>
      </c>
      <c r="AO112" s="17">
        <f t="shared" si="96"/>
        <v>0.64</v>
      </c>
      <c r="AP112" s="17">
        <f t="shared" si="97"/>
        <v>0.64</v>
      </c>
      <c r="AQ112" s="17">
        <f t="shared" si="98"/>
        <v>2.2799999999999998</v>
      </c>
      <c r="AR112" s="17">
        <f t="shared" si="99"/>
        <v>1.4036</v>
      </c>
      <c r="AS112" s="17">
        <f t="shared" si="100"/>
        <v>190.39262212887701</v>
      </c>
      <c r="AT112" s="17">
        <f t="shared" si="101"/>
        <v>22.665976322829</v>
      </c>
      <c r="AU112" s="17">
        <f t="shared" si="102"/>
        <v>-2.6303464857477699</v>
      </c>
      <c r="AV112" s="17">
        <f t="shared" si="103"/>
        <v>163.50749915388701</v>
      </c>
      <c r="AW112" s="17">
        <f t="shared" si="104"/>
        <v>18.841632843975599</v>
      </c>
      <c r="AX112" s="17">
        <f t="shared" si="105"/>
        <v>-2.1920217903307102</v>
      </c>
      <c r="AY112" s="17">
        <f t="shared" si="106"/>
        <v>150.19018371697101</v>
      </c>
      <c r="AZ112" s="17">
        <f t="shared" si="107"/>
        <v>60.247702619808997</v>
      </c>
      <c r="BA112" s="17">
        <f t="shared" si="108"/>
        <v>105.21894316839</v>
      </c>
      <c r="BB112" s="17">
        <f t="shared" si="109"/>
        <v>130.66316341827201</v>
      </c>
      <c r="BC112" s="17">
        <f t="shared" si="110"/>
        <v>55.876835829627503</v>
      </c>
      <c r="BD112" s="17">
        <f t="shared" si="111"/>
        <v>93.269999623949701</v>
      </c>
      <c r="BE112" s="17" t="str">
        <f>IF(AND(BD112&lt;=AA112,BB112&lt;=AA112*MongDon!$J$44,BC112&gt;0),"Ok","FAIL")</f>
        <v>Ok</v>
      </c>
      <c r="BF112" s="17">
        <f t="shared" si="112"/>
        <v>210.80694186514</v>
      </c>
      <c r="BG112" s="17">
        <f t="shared" si="113"/>
        <v>598.5</v>
      </c>
      <c r="BH112" s="17" t="str">
        <f t="shared" si="114"/>
        <v>Ok</v>
      </c>
      <c r="BI112" s="17">
        <f t="shared" si="115"/>
        <v>28.241885255261899</v>
      </c>
      <c r="BJ112" s="17">
        <f t="shared" si="116"/>
        <v>43.7361056626047</v>
      </c>
      <c r="BK112" s="17">
        <f t="shared" si="117"/>
        <v>63.298595301237299</v>
      </c>
      <c r="BL112" s="17">
        <f t="shared" si="118"/>
        <v>47.804374893894597</v>
      </c>
      <c r="BM112" s="17">
        <f t="shared" si="119"/>
        <v>149.625</v>
      </c>
      <c r="BN112" s="17">
        <f t="shared" si="120"/>
        <v>149.625</v>
      </c>
      <c r="BO112" s="17">
        <f t="shared" si="121"/>
        <v>149.625</v>
      </c>
      <c r="BP112" s="17">
        <f t="shared" si="122"/>
        <v>149.625</v>
      </c>
      <c r="BQ112" s="17" t="str">
        <f t="shared" si="123"/>
        <v>Ok</v>
      </c>
      <c r="BR112" s="17">
        <f t="shared" si="124"/>
        <v>84.691641498629593</v>
      </c>
      <c r="BS112" s="17">
        <f t="shared" si="125"/>
        <v>8.2236193962436896</v>
      </c>
      <c r="BT112" s="16">
        <f>MongDon!$H$80</f>
        <v>1.2</v>
      </c>
      <c r="BU112" s="17" t="str">
        <f t="shared" si="126"/>
        <v>Ok</v>
      </c>
      <c r="BV112" s="17">
        <f t="shared" si="127"/>
        <v>7.7219579736511799</v>
      </c>
      <c r="BW112" s="16">
        <f>MongDon!$F$86</f>
        <v>1.5</v>
      </c>
      <c r="BX112" s="17" t="str">
        <f t="shared" si="128"/>
        <v>Ok</v>
      </c>
      <c r="BY112" s="17">
        <f t="shared" si="129"/>
        <v>69.600045680245501</v>
      </c>
      <c r="BZ112" s="17">
        <f t="shared" si="130"/>
        <v>60.247702619808997</v>
      </c>
      <c r="CA112" s="17">
        <f t="shared" si="131"/>
        <v>140.83784065653401</v>
      </c>
      <c r="CB112" s="17">
        <f t="shared" si="132"/>
        <v>150.19018371697101</v>
      </c>
      <c r="CC112" s="17">
        <f t="shared" si="133"/>
        <v>110.443048133318</v>
      </c>
      <c r="CD112" s="17">
        <f t="shared" si="134"/>
        <v>111.814725115515</v>
      </c>
      <c r="CE112" s="17">
        <f t="shared" si="135"/>
        <v>99.994838203461995</v>
      </c>
      <c r="CF112" s="17">
        <f t="shared" si="136"/>
        <v>111.814725115515</v>
      </c>
      <c r="CG112" s="17">
        <f t="shared" si="137"/>
        <v>28.139184984709601</v>
      </c>
      <c r="CH112" s="17">
        <f t="shared" si="138"/>
        <v>28.139184984709601</v>
      </c>
      <c r="CI112" s="17">
        <f t="shared" si="139"/>
        <v>350</v>
      </c>
      <c r="CJ112" s="17">
        <f t="shared" si="140"/>
        <v>350</v>
      </c>
    </row>
    <row r="113" spans="2:88">
      <c r="B113" s="3">
        <v>21</v>
      </c>
      <c r="C113" s="3" t="s">
        <v>32</v>
      </c>
      <c r="D113" s="4">
        <v>2.46605714382033</v>
      </c>
      <c r="E113" s="4">
        <v>13.362698178395</v>
      </c>
      <c r="F113" s="4">
        <v>209.22002039275199</v>
      </c>
      <c r="G113" s="4">
        <v>-21.589040727752199</v>
      </c>
      <c r="H113" s="4">
        <v>3.5472296347943701</v>
      </c>
      <c r="I113" s="4" t="s">
        <v>22</v>
      </c>
      <c r="J113" s="4">
        <v>2.0545230533412799</v>
      </c>
      <c r="K113" s="4">
        <v>11.165914066406501</v>
      </c>
      <c r="L113" s="4">
        <v>179.196997707116</v>
      </c>
      <c r="M113" s="4">
        <v>-18.0254151310777</v>
      </c>
      <c r="N113" s="4">
        <v>2.9561681367246599</v>
      </c>
      <c r="O113" s="4">
        <v>1.5</v>
      </c>
      <c r="P113" s="4">
        <v>1.5</v>
      </c>
      <c r="Q113" s="4">
        <v>0.22</v>
      </c>
      <c r="R113" s="4">
        <v>0.22</v>
      </c>
      <c r="S113" s="4">
        <v>0</v>
      </c>
      <c r="T113" s="4">
        <v>0</v>
      </c>
      <c r="U113" s="4">
        <v>0.4</v>
      </c>
      <c r="V113" s="4">
        <v>0.05</v>
      </c>
      <c r="W113" s="4">
        <v>1</v>
      </c>
      <c r="X113" s="4">
        <v>19.100000000000001</v>
      </c>
      <c r="Y113" s="4">
        <v>0</v>
      </c>
      <c r="Z113" s="4">
        <v>1.5</v>
      </c>
      <c r="AA113" s="4">
        <v>139</v>
      </c>
      <c r="AB113" s="4">
        <v>12.1</v>
      </c>
      <c r="AC113" s="4">
        <v>19.5</v>
      </c>
      <c r="AD113" s="3" t="s">
        <v>42</v>
      </c>
      <c r="AE113" s="3" t="s">
        <v>61</v>
      </c>
      <c r="AF113" s="17">
        <f>HLOOKUP(AD113,Data!$B$4:$M$9,2,0)</f>
        <v>13</v>
      </c>
      <c r="AG113" s="17">
        <f>HLOOKUP(AD113,Data!$B$4:$M$9,3,0)</f>
        <v>1</v>
      </c>
      <c r="AH113" s="17">
        <f>HLOOKUP(AE113,Data!$B$13:$I$18,3,0)</f>
        <v>260</v>
      </c>
      <c r="AI113" s="18">
        <f t="shared" si="90"/>
        <v>2.25</v>
      </c>
      <c r="AJ113" s="17">
        <f t="shared" si="91"/>
        <v>0.5625</v>
      </c>
      <c r="AK113" s="17">
        <f t="shared" si="92"/>
        <v>0.5625</v>
      </c>
      <c r="AL113" s="17">
        <f t="shared" si="93"/>
        <v>0.35</v>
      </c>
      <c r="AM113" s="17">
        <f t="shared" si="94"/>
        <v>0.64</v>
      </c>
      <c r="AN113" s="17">
        <f t="shared" si="95"/>
        <v>0.64</v>
      </c>
      <c r="AO113" s="17">
        <f t="shared" si="96"/>
        <v>0.64</v>
      </c>
      <c r="AP113" s="17">
        <f t="shared" si="97"/>
        <v>0.64</v>
      </c>
      <c r="AQ113" s="17">
        <f t="shared" si="98"/>
        <v>2.2799999999999998</v>
      </c>
      <c r="AR113" s="17">
        <f t="shared" si="99"/>
        <v>1.4036</v>
      </c>
      <c r="AS113" s="17">
        <f t="shared" si="100"/>
        <v>209.22002039275199</v>
      </c>
      <c r="AT113" s="17">
        <f t="shared" si="101"/>
        <v>-26.934119999110099</v>
      </c>
      <c r="AU113" s="17">
        <f t="shared" si="102"/>
        <v>4.5336524923225001</v>
      </c>
      <c r="AV113" s="17">
        <f t="shared" si="103"/>
        <v>179.196997707116</v>
      </c>
      <c r="AW113" s="17">
        <f t="shared" si="104"/>
        <v>-22.491780757640399</v>
      </c>
      <c r="AX113" s="17">
        <f t="shared" si="105"/>
        <v>3.77797735806117</v>
      </c>
      <c r="AY113" s="17">
        <f t="shared" si="106"/>
        <v>169.529382381548</v>
      </c>
      <c r="AZ113" s="17">
        <f t="shared" si="107"/>
        <v>57.643969078676101</v>
      </c>
      <c r="BA113" s="17">
        <f t="shared" si="108"/>
        <v>113.58667573011201</v>
      </c>
      <c r="BB113" s="17">
        <f t="shared" si="109"/>
        <v>146.944902297743</v>
      </c>
      <c r="BC113" s="17">
        <f t="shared" si="110"/>
        <v>53.541317886359799</v>
      </c>
      <c r="BD113" s="17">
        <f t="shared" si="111"/>
        <v>100.243110092051</v>
      </c>
      <c r="BE113" s="17" t="str">
        <f>IF(AND(BD113&lt;=AA113,BB113&lt;=AA113*MongDon!$J$44,BC113&gt;0),"Ok","FAIL")</f>
        <v>Ok</v>
      </c>
      <c r="BF113" s="17">
        <f t="shared" si="112"/>
        <v>237.95144111074001</v>
      </c>
      <c r="BG113" s="17">
        <f t="shared" si="113"/>
        <v>598.5</v>
      </c>
      <c r="BH113" s="17" t="str">
        <f t="shared" si="114"/>
        <v>Ok</v>
      </c>
      <c r="BI113" s="17">
        <f t="shared" si="115"/>
        <v>70.239256741910594</v>
      </c>
      <c r="BJ113" s="17">
        <f t="shared" si="116"/>
        <v>52.9162285366614</v>
      </c>
      <c r="BK113" s="17">
        <f t="shared" si="117"/>
        <v>28.581151143286899</v>
      </c>
      <c r="BL113" s="17">
        <f t="shared" si="118"/>
        <v>45.904179348535997</v>
      </c>
      <c r="BM113" s="17">
        <f t="shared" si="119"/>
        <v>149.625</v>
      </c>
      <c r="BN113" s="17">
        <f t="shared" si="120"/>
        <v>149.625</v>
      </c>
      <c r="BO113" s="17">
        <f t="shared" si="121"/>
        <v>149.625</v>
      </c>
      <c r="BP113" s="17">
        <f t="shared" si="122"/>
        <v>149.625</v>
      </c>
      <c r="BQ113" s="17" t="str">
        <f t="shared" si="123"/>
        <v>Ok</v>
      </c>
      <c r="BR113" s="17">
        <f t="shared" si="124"/>
        <v>88.727885953355894</v>
      </c>
      <c r="BS113" s="17">
        <f t="shared" si="125"/>
        <v>6.6399678245230804</v>
      </c>
      <c r="BT113" s="16">
        <f>MongDon!$H$80</f>
        <v>1.2</v>
      </c>
      <c r="BU113" s="17" t="str">
        <f t="shared" si="126"/>
        <v>Ok</v>
      </c>
      <c r="BV113" s="17">
        <f t="shared" si="127"/>
        <v>7.0225522608799897</v>
      </c>
      <c r="BW113" s="16">
        <f>MongDon!$F$86</f>
        <v>1.5</v>
      </c>
      <c r="BX113" s="17" t="str">
        <f t="shared" si="128"/>
        <v>Ok</v>
      </c>
      <c r="BY113" s="17">
        <f t="shared" si="129"/>
        <v>153.40972907551199</v>
      </c>
      <c r="BZ113" s="17">
        <f t="shared" si="130"/>
        <v>169.529382381548</v>
      </c>
      <c r="CA113" s="17">
        <f t="shared" si="131"/>
        <v>73.763622384711695</v>
      </c>
      <c r="CB113" s="17">
        <f t="shared" si="132"/>
        <v>57.643969078676101</v>
      </c>
      <c r="CC113" s="17">
        <f t="shared" si="133"/>
        <v>121.791606038989</v>
      </c>
      <c r="CD113" s="17">
        <f t="shared" si="134"/>
        <v>119.427390220771</v>
      </c>
      <c r="CE113" s="17">
        <f t="shared" si="135"/>
        <v>121.791606038989</v>
      </c>
      <c r="CF113" s="17">
        <f t="shared" si="136"/>
        <v>107.745961239453</v>
      </c>
      <c r="CG113" s="17">
        <f t="shared" si="137"/>
        <v>31.460718646755701</v>
      </c>
      <c r="CH113" s="17">
        <f t="shared" si="138"/>
        <v>31.460718646755701</v>
      </c>
      <c r="CI113" s="17">
        <f t="shared" si="139"/>
        <v>384.13575881264501</v>
      </c>
      <c r="CJ113" s="17">
        <f t="shared" si="140"/>
        <v>384.13575881264501</v>
      </c>
    </row>
    <row r="114" spans="2:88">
      <c r="B114" s="3">
        <v>23</v>
      </c>
      <c r="C114" s="3" t="s">
        <v>23</v>
      </c>
      <c r="D114" s="4">
        <v>0.48977139184979501</v>
      </c>
      <c r="E114" s="4">
        <v>2.90086084368424</v>
      </c>
      <c r="F114" s="4">
        <v>158.93125905623199</v>
      </c>
      <c r="G114" s="4">
        <v>-3.0708266323301601</v>
      </c>
      <c r="H114" s="4">
        <v>0.56608441595331604</v>
      </c>
      <c r="I114" s="4" t="s">
        <v>13</v>
      </c>
      <c r="J114" s="4">
        <v>0.413469535555678</v>
      </c>
      <c r="K114" s="4">
        <v>2.4696408720429801</v>
      </c>
      <c r="L114" s="4">
        <v>136.24777223350901</v>
      </c>
      <c r="M114" s="4">
        <v>-2.6160303859751699</v>
      </c>
      <c r="N114" s="4">
        <v>0.47778468167934801</v>
      </c>
      <c r="O114" s="4">
        <v>1.2</v>
      </c>
      <c r="P114" s="4">
        <v>1.2</v>
      </c>
      <c r="Q114" s="4">
        <v>0.22</v>
      </c>
      <c r="R114" s="4">
        <v>0.22</v>
      </c>
      <c r="S114" s="4">
        <v>0</v>
      </c>
      <c r="T114" s="4">
        <v>0</v>
      </c>
      <c r="U114" s="4">
        <v>0.3</v>
      </c>
      <c r="V114" s="4">
        <v>0.05</v>
      </c>
      <c r="W114" s="4">
        <v>1</v>
      </c>
      <c r="X114" s="4">
        <v>19.100000000000001</v>
      </c>
      <c r="Y114" s="4">
        <v>0</v>
      </c>
      <c r="Z114" s="4">
        <v>1.5</v>
      </c>
      <c r="AA114" s="4">
        <v>139</v>
      </c>
      <c r="AB114" s="4">
        <v>12.1</v>
      </c>
      <c r="AC114" s="4">
        <v>19.5</v>
      </c>
      <c r="AD114" s="3" t="s">
        <v>42</v>
      </c>
      <c r="AE114" s="3" t="s">
        <v>61</v>
      </c>
      <c r="AF114" s="17">
        <f>HLOOKUP(AD114,Data!$B$4:$M$9,2,0)</f>
        <v>13</v>
      </c>
      <c r="AG114" s="17">
        <f>HLOOKUP(AD114,Data!$B$4:$M$9,3,0)</f>
        <v>1</v>
      </c>
      <c r="AH114" s="17">
        <f>HLOOKUP(AE114,Data!$B$13:$I$18,3,0)</f>
        <v>260</v>
      </c>
      <c r="AI114" s="18">
        <f t="shared" si="90"/>
        <v>1.44</v>
      </c>
      <c r="AJ114" s="17">
        <f t="shared" si="91"/>
        <v>0.28799999999999998</v>
      </c>
      <c r="AK114" s="17">
        <f t="shared" si="92"/>
        <v>0.28799999999999998</v>
      </c>
      <c r="AL114" s="17">
        <f t="shared" si="93"/>
        <v>0.25</v>
      </c>
      <c r="AM114" s="17">
        <f t="shared" si="94"/>
        <v>0.49</v>
      </c>
      <c r="AN114" s="17">
        <f t="shared" si="95"/>
        <v>0.49</v>
      </c>
      <c r="AO114" s="17">
        <f t="shared" si="96"/>
        <v>0.49</v>
      </c>
      <c r="AP114" s="17">
        <f t="shared" si="97"/>
        <v>0.49</v>
      </c>
      <c r="AQ114" s="17">
        <f t="shared" si="98"/>
        <v>1.88</v>
      </c>
      <c r="AR114" s="17">
        <f t="shared" si="99"/>
        <v>0.92159999999999997</v>
      </c>
      <c r="AS114" s="17">
        <f t="shared" si="100"/>
        <v>158.93125905623199</v>
      </c>
      <c r="AT114" s="17">
        <f t="shared" si="101"/>
        <v>-3.9410848854354299</v>
      </c>
      <c r="AU114" s="17">
        <f t="shared" si="102"/>
        <v>0.71301583350825404</v>
      </c>
      <c r="AV114" s="17">
        <f t="shared" si="103"/>
        <v>136.24777223350901</v>
      </c>
      <c r="AW114" s="17">
        <f t="shared" si="104"/>
        <v>-3.35692264758806</v>
      </c>
      <c r="AX114" s="17">
        <f t="shared" si="105"/>
        <v>0.60182554234605101</v>
      </c>
      <c r="AY114" s="17">
        <f t="shared" si="106"/>
        <v>147.129001840938</v>
      </c>
      <c r="AZ114" s="17">
        <f t="shared" si="107"/>
        <v>114.808857959384</v>
      </c>
      <c r="BA114" s="17">
        <f t="shared" si="108"/>
        <v>130.96892990016099</v>
      </c>
      <c r="BB114" s="17">
        <f t="shared" si="109"/>
        <v>128.96216193276399</v>
      </c>
      <c r="BC114" s="17">
        <f t="shared" si="110"/>
        <v>101.47085505822101</v>
      </c>
      <c r="BD114" s="17">
        <f t="shared" si="111"/>
        <v>115.216508495493</v>
      </c>
      <c r="BE114" s="17" t="str">
        <f>IF(AND(BD114&lt;=AA114,BB114&lt;=AA114*MongDon!$J$44,BC114&gt;0),"Ok","FAIL")</f>
        <v>Ok</v>
      </c>
      <c r="BF114" s="17">
        <f t="shared" si="112"/>
        <v>135.594088096608</v>
      </c>
      <c r="BG114" s="17">
        <f t="shared" si="113"/>
        <v>352.5</v>
      </c>
      <c r="BH114" s="17" t="str">
        <f t="shared" si="114"/>
        <v>Ok</v>
      </c>
      <c r="BI114" s="17">
        <f t="shared" si="115"/>
        <v>41.660136696681803</v>
      </c>
      <c r="BJ114" s="17">
        <f t="shared" si="116"/>
        <v>38.432067644754603</v>
      </c>
      <c r="BK114" s="17">
        <f t="shared" si="117"/>
        <v>33.777966925811</v>
      </c>
      <c r="BL114" s="17">
        <f t="shared" si="118"/>
        <v>37.006035977738101</v>
      </c>
      <c r="BM114" s="17">
        <f t="shared" si="119"/>
        <v>88.125</v>
      </c>
      <c r="BN114" s="17">
        <f t="shared" si="120"/>
        <v>88.125</v>
      </c>
      <c r="BO114" s="17">
        <f t="shared" si="121"/>
        <v>88.125</v>
      </c>
      <c r="BP114" s="17">
        <f t="shared" si="122"/>
        <v>88.125</v>
      </c>
      <c r="BQ114" s="17" t="str">
        <f t="shared" si="123"/>
        <v>Ok</v>
      </c>
      <c r="BR114" s="17">
        <f t="shared" si="124"/>
        <v>62.151909674277903</v>
      </c>
      <c r="BS114" s="17">
        <f t="shared" si="125"/>
        <v>21.425333038499598</v>
      </c>
      <c r="BT114" s="16">
        <f>MongDon!$H$80</f>
        <v>1.2</v>
      </c>
      <c r="BU114" s="17" t="str">
        <f t="shared" si="126"/>
        <v>Ok</v>
      </c>
      <c r="BV114" s="17">
        <f t="shared" si="127"/>
        <v>28.3833408022066</v>
      </c>
      <c r="BW114" s="16">
        <f>MongDon!$F$86</f>
        <v>1.5</v>
      </c>
      <c r="BX114" s="17" t="str">
        <f t="shared" si="128"/>
        <v>Ok</v>
      </c>
      <c r="BY114" s="17">
        <f t="shared" si="129"/>
        <v>142.17750299713001</v>
      </c>
      <c r="BZ114" s="17">
        <f t="shared" si="130"/>
        <v>147.129001840938</v>
      </c>
      <c r="CA114" s="17">
        <f t="shared" si="131"/>
        <v>119.760356803192</v>
      </c>
      <c r="CB114" s="17">
        <f t="shared" si="132"/>
        <v>114.808857959384</v>
      </c>
      <c r="CC114" s="17">
        <f t="shared" si="133"/>
        <v>133.93160975596999</v>
      </c>
      <c r="CD114" s="17">
        <f t="shared" si="134"/>
        <v>133.023834967939</v>
      </c>
      <c r="CE114" s="17">
        <f t="shared" si="135"/>
        <v>133.93160975596999</v>
      </c>
      <c r="CF114" s="17">
        <f t="shared" si="136"/>
        <v>128.91402483238301</v>
      </c>
      <c r="CG114" s="17">
        <f t="shared" si="137"/>
        <v>17.134721031071098</v>
      </c>
      <c r="CH114" s="17">
        <f t="shared" si="138"/>
        <v>17.134721031071098</v>
      </c>
      <c r="CI114" s="17">
        <f t="shared" si="139"/>
        <v>292.90121420634398</v>
      </c>
      <c r="CJ114" s="17">
        <f t="shared" si="140"/>
        <v>292.90121420634398</v>
      </c>
    </row>
    <row r="115" spans="2:88">
      <c r="B115" s="3">
        <v>23</v>
      </c>
      <c r="C115" s="3" t="s">
        <v>24</v>
      </c>
      <c r="D115" s="4">
        <v>0.55968119732689603</v>
      </c>
      <c r="E115" s="4">
        <v>3.2693726125581901</v>
      </c>
      <c r="F115" s="4">
        <v>177.04867825497499</v>
      </c>
      <c r="G115" s="4">
        <v>-3.4572130478451002</v>
      </c>
      <c r="H115" s="4">
        <v>0.64712694816538296</v>
      </c>
      <c r="I115" s="4" t="s">
        <v>14</v>
      </c>
      <c r="J115" s="4">
        <v>0.47172770678659498</v>
      </c>
      <c r="K115" s="4">
        <v>2.7767340127712599</v>
      </c>
      <c r="L115" s="4">
        <v>151.345621565795</v>
      </c>
      <c r="M115" s="4">
        <v>-2.9380190655709599</v>
      </c>
      <c r="N115" s="4">
        <v>0.54532012518940398</v>
      </c>
      <c r="O115" s="4">
        <v>1.2</v>
      </c>
      <c r="P115" s="4">
        <v>1.2</v>
      </c>
      <c r="Q115" s="4">
        <v>0.22</v>
      </c>
      <c r="R115" s="4">
        <v>0.22</v>
      </c>
      <c r="S115" s="4">
        <v>0</v>
      </c>
      <c r="T115" s="4">
        <v>0</v>
      </c>
      <c r="U115" s="4">
        <v>0.3</v>
      </c>
      <c r="V115" s="4">
        <v>0.05</v>
      </c>
      <c r="W115" s="4">
        <v>1</v>
      </c>
      <c r="X115" s="4">
        <v>19.100000000000001</v>
      </c>
      <c r="Y115" s="4">
        <v>0</v>
      </c>
      <c r="Z115" s="4">
        <v>1.5</v>
      </c>
      <c r="AA115" s="4">
        <v>139</v>
      </c>
      <c r="AB115" s="4">
        <v>12.1</v>
      </c>
      <c r="AC115" s="4">
        <v>19.5</v>
      </c>
      <c r="AD115" s="3" t="s">
        <v>42</v>
      </c>
      <c r="AE115" s="3" t="s">
        <v>61</v>
      </c>
      <c r="AF115" s="17">
        <f>HLOOKUP(AD115,Data!$B$4:$M$9,2,0)</f>
        <v>13</v>
      </c>
      <c r="AG115" s="17">
        <f>HLOOKUP(AD115,Data!$B$4:$M$9,3,0)</f>
        <v>1</v>
      </c>
      <c r="AH115" s="17">
        <f>HLOOKUP(AE115,Data!$B$13:$I$18,3,0)</f>
        <v>260</v>
      </c>
      <c r="AI115" s="18">
        <f t="shared" si="90"/>
        <v>1.44</v>
      </c>
      <c r="AJ115" s="17">
        <f t="shared" si="91"/>
        <v>0.28799999999999998</v>
      </c>
      <c r="AK115" s="17">
        <f t="shared" si="92"/>
        <v>0.28799999999999998</v>
      </c>
      <c r="AL115" s="17">
        <f t="shared" si="93"/>
        <v>0.25</v>
      </c>
      <c r="AM115" s="17">
        <f t="shared" si="94"/>
        <v>0.49</v>
      </c>
      <c r="AN115" s="17">
        <f t="shared" si="95"/>
        <v>0.49</v>
      </c>
      <c r="AO115" s="17">
        <f t="shared" si="96"/>
        <v>0.49</v>
      </c>
      <c r="AP115" s="17">
        <f t="shared" si="97"/>
        <v>0.49</v>
      </c>
      <c r="AQ115" s="17">
        <f t="shared" si="98"/>
        <v>1.88</v>
      </c>
      <c r="AR115" s="17">
        <f t="shared" si="99"/>
        <v>0.92159999999999997</v>
      </c>
      <c r="AS115" s="17">
        <f t="shared" si="100"/>
        <v>177.04867825497499</v>
      </c>
      <c r="AT115" s="17">
        <f t="shared" si="101"/>
        <v>-4.4380248316125597</v>
      </c>
      <c r="AU115" s="17">
        <f t="shared" si="102"/>
        <v>0.81503130736345197</v>
      </c>
      <c r="AV115" s="17">
        <f t="shared" si="103"/>
        <v>151.345621565795</v>
      </c>
      <c r="AW115" s="17">
        <f t="shared" si="104"/>
        <v>-3.77103926940234</v>
      </c>
      <c r="AX115" s="17">
        <f t="shared" si="105"/>
        <v>0.68683843722538196</v>
      </c>
      <c r="AY115" s="17">
        <f t="shared" si="106"/>
        <v>161.790249270733</v>
      </c>
      <c r="AZ115" s="17">
        <f t="shared" si="107"/>
        <v>125.310692750066</v>
      </c>
      <c r="BA115" s="17">
        <f t="shared" si="108"/>
        <v>143.55047101039901</v>
      </c>
      <c r="BB115" s="17">
        <f t="shared" si="109"/>
        <v>141.17986812426</v>
      </c>
      <c r="BC115" s="17">
        <f t="shared" si="110"/>
        <v>110.222384050456</v>
      </c>
      <c r="BD115" s="17">
        <f t="shared" si="111"/>
        <v>125.70112608735801</v>
      </c>
      <c r="BE115" s="17" t="str">
        <f>IF(AND(BD115&lt;=AA115,BB115&lt;=AA115*MongDon!$J$44,BC115&gt;0),"Ok","FAIL")</f>
        <v>Ok</v>
      </c>
      <c r="BF115" s="17">
        <f t="shared" si="112"/>
        <v>149.10589372790699</v>
      </c>
      <c r="BG115" s="17">
        <f t="shared" si="113"/>
        <v>352.5</v>
      </c>
      <c r="BH115" s="17" t="str">
        <f t="shared" si="114"/>
        <v>Ok</v>
      </c>
      <c r="BI115" s="17">
        <f t="shared" si="115"/>
        <v>45.780560482607598</v>
      </c>
      <c r="BJ115" s="17">
        <f t="shared" si="116"/>
        <v>42.157566958358501</v>
      </c>
      <c r="BK115" s="17">
        <f t="shared" si="117"/>
        <v>36.904510819382502</v>
      </c>
      <c r="BL115" s="17">
        <f t="shared" si="118"/>
        <v>40.527504343631499</v>
      </c>
      <c r="BM115" s="17">
        <f t="shared" si="119"/>
        <v>88.125</v>
      </c>
      <c r="BN115" s="17">
        <f t="shared" si="120"/>
        <v>88.125</v>
      </c>
      <c r="BO115" s="17">
        <f t="shared" si="121"/>
        <v>88.125</v>
      </c>
      <c r="BP115" s="17">
        <f t="shared" si="122"/>
        <v>88.125</v>
      </c>
      <c r="BQ115" s="17" t="str">
        <f t="shared" si="123"/>
        <v>Ok</v>
      </c>
      <c r="BR115" s="17">
        <f t="shared" si="124"/>
        <v>66.035947805833899</v>
      </c>
      <c r="BS115" s="17">
        <f t="shared" si="125"/>
        <v>20.198354740043801</v>
      </c>
      <c r="BT115" s="16">
        <f>MongDon!$H$80</f>
        <v>1.2</v>
      </c>
      <c r="BU115" s="17" t="str">
        <f t="shared" si="126"/>
        <v>Ok</v>
      </c>
      <c r="BV115" s="17">
        <f t="shared" si="127"/>
        <v>27.654556161730699</v>
      </c>
      <c r="BW115" s="16">
        <f>MongDon!$F$86</f>
        <v>1.5</v>
      </c>
      <c r="BX115" s="17" t="str">
        <f t="shared" si="128"/>
        <v>Ok</v>
      </c>
      <c r="BY115" s="17">
        <f t="shared" si="129"/>
        <v>156.130309636264</v>
      </c>
      <c r="BZ115" s="17">
        <f t="shared" si="130"/>
        <v>161.790249270733</v>
      </c>
      <c r="CA115" s="17">
        <f t="shared" si="131"/>
        <v>130.97063238453401</v>
      </c>
      <c r="CB115" s="17">
        <f t="shared" si="132"/>
        <v>125.310692750066</v>
      </c>
      <c r="CC115" s="17">
        <f t="shared" si="133"/>
        <v>146.89443035812701</v>
      </c>
      <c r="CD115" s="17">
        <f t="shared" si="134"/>
        <v>145.85677475847501</v>
      </c>
      <c r="CE115" s="17">
        <f t="shared" si="135"/>
        <v>146.89443035812701</v>
      </c>
      <c r="CF115" s="17">
        <f t="shared" si="136"/>
        <v>141.244167262324</v>
      </c>
      <c r="CG115" s="17">
        <f t="shared" si="137"/>
        <v>18.8268384047987</v>
      </c>
      <c r="CH115" s="17">
        <f t="shared" si="138"/>
        <v>18.8268384047987</v>
      </c>
      <c r="CI115" s="17">
        <f t="shared" si="139"/>
        <v>321.82629751792598</v>
      </c>
      <c r="CJ115" s="17">
        <f t="shared" si="140"/>
        <v>321.82629751792598</v>
      </c>
    </row>
    <row r="116" spans="2:88">
      <c r="B116" s="3">
        <v>23</v>
      </c>
      <c r="C116" s="3" t="s">
        <v>25</v>
      </c>
      <c r="D116" s="4">
        <v>-3.9293128777484898</v>
      </c>
      <c r="E116" s="4">
        <v>3.4972143261168198</v>
      </c>
      <c r="F116" s="4">
        <v>176.02048017100299</v>
      </c>
      <c r="G116" s="4">
        <v>-3.9222797601244799</v>
      </c>
      <c r="H116" s="4">
        <v>-6.3237583516114197</v>
      </c>
      <c r="I116" s="4" t="s">
        <v>15</v>
      </c>
      <c r="J116" s="4">
        <v>-3.26910068910956</v>
      </c>
      <c r="K116" s="4">
        <v>2.9666021074034599</v>
      </c>
      <c r="L116" s="4">
        <v>150.48878982915201</v>
      </c>
      <c r="M116" s="4">
        <v>-3.3255746591371098</v>
      </c>
      <c r="N116" s="4">
        <v>-5.2637509579579298</v>
      </c>
      <c r="O116" s="4">
        <v>1.2</v>
      </c>
      <c r="P116" s="4">
        <v>1.2</v>
      </c>
      <c r="Q116" s="4">
        <v>0.22</v>
      </c>
      <c r="R116" s="4">
        <v>0.22</v>
      </c>
      <c r="S116" s="4">
        <v>0</v>
      </c>
      <c r="T116" s="4">
        <v>0</v>
      </c>
      <c r="U116" s="4">
        <v>0.3</v>
      </c>
      <c r="V116" s="4">
        <v>0.05</v>
      </c>
      <c r="W116" s="4">
        <v>1</v>
      </c>
      <c r="X116" s="4">
        <v>19.100000000000001</v>
      </c>
      <c r="Y116" s="4">
        <v>0</v>
      </c>
      <c r="Z116" s="4">
        <v>1.5</v>
      </c>
      <c r="AA116" s="4">
        <v>139</v>
      </c>
      <c r="AB116" s="4">
        <v>12.1</v>
      </c>
      <c r="AC116" s="4">
        <v>19.5</v>
      </c>
      <c r="AD116" s="3" t="s">
        <v>42</v>
      </c>
      <c r="AE116" s="3" t="s">
        <v>61</v>
      </c>
      <c r="AF116" s="17">
        <f>HLOOKUP(AD116,Data!$B$4:$M$9,2,0)</f>
        <v>13</v>
      </c>
      <c r="AG116" s="17">
        <f>HLOOKUP(AD116,Data!$B$4:$M$9,3,0)</f>
        <v>1</v>
      </c>
      <c r="AH116" s="17">
        <f>HLOOKUP(AE116,Data!$B$13:$I$18,3,0)</f>
        <v>260</v>
      </c>
      <c r="AI116" s="18">
        <f t="shared" si="90"/>
        <v>1.44</v>
      </c>
      <c r="AJ116" s="17">
        <f t="shared" si="91"/>
        <v>0.28799999999999998</v>
      </c>
      <c r="AK116" s="17">
        <f t="shared" si="92"/>
        <v>0.28799999999999998</v>
      </c>
      <c r="AL116" s="17">
        <f t="shared" si="93"/>
        <v>0.25</v>
      </c>
      <c r="AM116" s="17">
        <f t="shared" si="94"/>
        <v>0.49</v>
      </c>
      <c r="AN116" s="17">
        <f t="shared" si="95"/>
        <v>0.49</v>
      </c>
      <c r="AO116" s="17">
        <f t="shared" si="96"/>
        <v>0.49</v>
      </c>
      <c r="AP116" s="17">
        <f t="shared" si="97"/>
        <v>0.49</v>
      </c>
      <c r="AQ116" s="17">
        <f t="shared" si="98"/>
        <v>1.88</v>
      </c>
      <c r="AR116" s="17">
        <f t="shared" si="99"/>
        <v>0.92159999999999997</v>
      </c>
      <c r="AS116" s="17">
        <f t="shared" si="100"/>
        <v>176.02048017100299</v>
      </c>
      <c r="AT116" s="17">
        <f t="shared" si="101"/>
        <v>-4.9714440579595296</v>
      </c>
      <c r="AU116" s="17">
        <f t="shared" si="102"/>
        <v>-7.5025522149359603</v>
      </c>
      <c r="AV116" s="17">
        <f t="shared" si="103"/>
        <v>150.48878982915201</v>
      </c>
      <c r="AW116" s="17">
        <f t="shared" si="104"/>
        <v>-4.2155552913581404</v>
      </c>
      <c r="AX116" s="17">
        <f t="shared" si="105"/>
        <v>-6.2444811646908001</v>
      </c>
      <c r="AY116" s="17">
        <f t="shared" si="106"/>
        <v>186.148931621862</v>
      </c>
      <c r="AZ116" s="17">
        <f t="shared" si="107"/>
        <v>99.523957504531893</v>
      </c>
      <c r="BA116" s="17">
        <f t="shared" si="108"/>
        <v>142.83644456319701</v>
      </c>
      <c r="BB116" s="17">
        <f t="shared" si="109"/>
        <v>161.42567507596999</v>
      </c>
      <c r="BC116" s="17">
        <f t="shared" si="110"/>
        <v>88.786533020074799</v>
      </c>
      <c r="BD116" s="17">
        <f t="shared" si="111"/>
        <v>125.106104048023</v>
      </c>
      <c r="BE116" s="17" t="str">
        <f>IF(AND(BD116&lt;=AA116,BB116&lt;=AA116*MongDon!$J$44,BC116&gt;0),"Ok","FAIL")</f>
        <v>Ok</v>
      </c>
      <c r="BF116" s="17">
        <f t="shared" si="112"/>
        <v>171.55485538270801</v>
      </c>
      <c r="BG116" s="17">
        <f t="shared" si="113"/>
        <v>352.5</v>
      </c>
      <c r="BH116" s="17" t="str">
        <f t="shared" si="114"/>
        <v>Ok</v>
      </c>
      <c r="BI116" s="17">
        <f t="shared" si="115"/>
        <v>46.108340092160198</v>
      </c>
      <c r="BJ116" s="17">
        <f t="shared" si="116"/>
        <v>33.6343438192647</v>
      </c>
      <c r="BK116" s="17">
        <f t="shared" si="117"/>
        <v>36.165451976241201</v>
      </c>
      <c r="BL116" s="17">
        <f t="shared" si="118"/>
        <v>48.639448249136699</v>
      </c>
      <c r="BM116" s="17">
        <f t="shared" si="119"/>
        <v>88.125</v>
      </c>
      <c r="BN116" s="17">
        <f t="shared" si="120"/>
        <v>88.125</v>
      </c>
      <c r="BO116" s="17">
        <f t="shared" si="121"/>
        <v>88.125</v>
      </c>
      <c r="BP116" s="17">
        <f t="shared" si="122"/>
        <v>88.125</v>
      </c>
      <c r="BQ116" s="17" t="str">
        <f t="shared" si="123"/>
        <v>Ok</v>
      </c>
      <c r="BR116" s="17">
        <f t="shared" si="124"/>
        <v>65.815521236181198</v>
      </c>
      <c r="BS116" s="17">
        <f t="shared" si="125"/>
        <v>16.749880522085999</v>
      </c>
      <c r="BT116" s="16">
        <f>MongDon!$H$80</f>
        <v>1.2</v>
      </c>
      <c r="BU116" s="17" t="str">
        <f t="shared" si="126"/>
        <v>Ok</v>
      </c>
      <c r="BV116" s="17">
        <f t="shared" si="127"/>
        <v>16.276419624177802</v>
      </c>
      <c r="BW116" s="16">
        <f>MongDon!$F$86</f>
        <v>1.5</v>
      </c>
      <c r="BX116" s="17" t="str">
        <f t="shared" si="128"/>
        <v>Ok</v>
      </c>
      <c r="BY116" s="17">
        <f t="shared" si="129"/>
        <v>186.148931621862</v>
      </c>
      <c r="BZ116" s="17">
        <f t="shared" si="130"/>
        <v>134.047874573695</v>
      </c>
      <c r="CA116" s="17">
        <f t="shared" si="131"/>
        <v>99.523957504531893</v>
      </c>
      <c r="CB116" s="17">
        <f t="shared" si="132"/>
        <v>151.62501455269799</v>
      </c>
      <c r="CC116" s="17">
        <f t="shared" si="133"/>
        <v>141.22520673178801</v>
      </c>
      <c r="CD116" s="17">
        <f t="shared" si="134"/>
        <v>150.77706719061899</v>
      </c>
      <c r="CE116" s="17">
        <f t="shared" si="135"/>
        <v>150.77706719061899</v>
      </c>
      <c r="CF116" s="17">
        <f t="shared" si="136"/>
        <v>144.44768239460501</v>
      </c>
      <c r="CG116" s="17">
        <f t="shared" si="137"/>
        <v>20.9317151328809</v>
      </c>
      <c r="CH116" s="17">
        <f t="shared" si="138"/>
        <v>20.9317151328809</v>
      </c>
      <c r="CI116" s="17">
        <f t="shared" si="139"/>
        <v>357.807096288563</v>
      </c>
      <c r="CJ116" s="17">
        <f t="shared" si="140"/>
        <v>357.807096288563</v>
      </c>
    </row>
    <row r="117" spans="2:88">
      <c r="B117" s="3">
        <v>23</v>
      </c>
      <c r="C117" s="3" t="s">
        <v>26</v>
      </c>
      <c r="D117" s="4">
        <v>5.0346933113068602</v>
      </c>
      <c r="E117" s="4">
        <v>2.9678285452247599</v>
      </c>
      <c r="F117" s="4">
        <v>174.453392499198</v>
      </c>
      <c r="G117" s="4">
        <v>-2.9148690524627399</v>
      </c>
      <c r="H117" s="4">
        <v>7.6018037414997703</v>
      </c>
      <c r="I117" s="4" t="s">
        <v>16</v>
      </c>
      <c r="J117" s="4">
        <v>4.2009044684365602</v>
      </c>
      <c r="K117" s="4">
        <v>2.5254472899934099</v>
      </c>
      <c r="L117" s="4">
        <v>149.18288343598101</v>
      </c>
      <c r="M117" s="4">
        <v>-2.4860657360856502</v>
      </c>
      <c r="N117" s="4">
        <v>6.3408841196347296</v>
      </c>
      <c r="O117" s="4">
        <v>1.2</v>
      </c>
      <c r="P117" s="4">
        <v>1.2</v>
      </c>
      <c r="Q117" s="4">
        <v>0.22</v>
      </c>
      <c r="R117" s="4">
        <v>0.22</v>
      </c>
      <c r="S117" s="4">
        <v>0</v>
      </c>
      <c r="T117" s="4">
        <v>0</v>
      </c>
      <c r="U117" s="4">
        <v>0.3</v>
      </c>
      <c r="V117" s="4">
        <v>0.05</v>
      </c>
      <c r="W117" s="4">
        <v>1</v>
      </c>
      <c r="X117" s="4">
        <v>19.100000000000001</v>
      </c>
      <c r="Y117" s="4">
        <v>0</v>
      </c>
      <c r="Z117" s="4">
        <v>1.5</v>
      </c>
      <c r="AA117" s="4">
        <v>139</v>
      </c>
      <c r="AB117" s="4">
        <v>12.1</v>
      </c>
      <c r="AC117" s="4">
        <v>19.5</v>
      </c>
      <c r="AD117" s="3" t="s">
        <v>42</v>
      </c>
      <c r="AE117" s="3" t="s">
        <v>61</v>
      </c>
      <c r="AF117" s="17">
        <f>HLOOKUP(AD117,Data!$B$4:$M$9,2,0)</f>
        <v>13</v>
      </c>
      <c r="AG117" s="17">
        <f>HLOOKUP(AD117,Data!$B$4:$M$9,3,0)</f>
        <v>1</v>
      </c>
      <c r="AH117" s="17">
        <f>HLOOKUP(AE117,Data!$B$13:$I$18,3,0)</f>
        <v>260</v>
      </c>
      <c r="AI117" s="18">
        <f t="shared" si="90"/>
        <v>1.44</v>
      </c>
      <c r="AJ117" s="17">
        <f t="shared" si="91"/>
        <v>0.28799999999999998</v>
      </c>
      <c r="AK117" s="17">
        <f t="shared" si="92"/>
        <v>0.28799999999999998</v>
      </c>
      <c r="AL117" s="17">
        <f t="shared" si="93"/>
        <v>0.25</v>
      </c>
      <c r="AM117" s="17">
        <f t="shared" si="94"/>
        <v>0.49</v>
      </c>
      <c r="AN117" s="17">
        <f t="shared" si="95"/>
        <v>0.49</v>
      </c>
      <c r="AO117" s="17">
        <f t="shared" si="96"/>
        <v>0.49</v>
      </c>
      <c r="AP117" s="17">
        <f t="shared" si="97"/>
        <v>0.49</v>
      </c>
      <c r="AQ117" s="17">
        <f t="shared" si="98"/>
        <v>1.88</v>
      </c>
      <c r="AR117" s="17">
        <f t="shared" si="99"/>
        <v>0.92159999999999997</v>
      </c>
      <c r="AS117" s="17">
        <f t="shared" si="100"/>
        <v>174.453392499198</v>
      </c>
      <c r="AT117" s="17">
        <f t="shared" si="101"/>
        <v>-3.8052176160301601</v>
      </c>
      <c r="AU117" s="17">
        <f t="shared" si="102"/>
        <v>9.1122117348918295</v>
      </c>
      <c r="AV117" s="17">
        <f t="shared" si="103"/>
        <v>149.18288343598101</v>
      </c>
      <c r="AW117" s="17">
        <f t="shared" si="104"/>
        <v>-3.2436999230836698</v>
      </c>
      <c r="AX117" s="17">
        <f t="shared" si="105"/>
        <v>7.6011554601656997</v>
      </c>
      <c r="AY117" s="17">
        <f t="shared" si="106"/>
        <v>186.600374481811</v>
      </c>
      <c r="AZ117" s="17">
        <f t="shared" si="107"/>
        <v>96.896003989297199</v>
      </c>
      <c r="BA117" s="17">
        <f t="shared" si="108"/>
        <v>141.74818923555401</v>
      </c>
      <c r="BB117" s="17">
        <f t="shared" si="109"/>
        <v>161.85497246682499</v>
      </c>
      <c r="BC117" s="17">
        <f t="shared" si="110"/>
        <v>86.543476749815497</v>
      </c>
      <c r="BD117" s="17">
        <f t="shared" si="111"/>
        <v>124.19922460831999</v>
      </c>
      <c r="BE117" s="17" t="str">
        <f>IF(AND(BD117&lt;=AA117,BB117&lt;=AA117*MongDon!$J$44,BC117&gt;0),"Ok","FAIL")</f>
        <v>Ok</v>
      </c>
      <c r="BF117" s="17">
        <f t="shared" si="112"/>
        <v>171.97090512243699</v>
      </c>
      <c r="BG117" s="17">
        <f t="shared" si="113"/>
        <v>352.5</v>
      </c>
      <c r="BH117" s="17" t="str">
        <f t="shared" si="114"/>
        <v>Ok</v>
      </c>
      <c r="BI117" s="17">
        <f t="shared" si="115"/>
        <v>44.628696115869801</v>
      </c>
      <c r="BJ117" s="17">
        <f t="shared" si="116"/>
        <v>49.935690234731403</v>
      </c>
      <c r="BK117" s="17">
        <f t="shared" si="117"/>
        <v>37.018260883809397</v>
      </c>
      <c r="BL117" s="17">
        <f t="shared" si="118"/>
        <v>31.711266764947801</v>
      </c>
      <c r="BM117" s="17">
        <f t="shared" si="119"/>
        <v>88.125</v>
      </c>
      <c r="BN117" s="17">
        <f t="shared" si="120"/>
        <v>88.125</v>
      </c>
      <c r="BO117" s="17">
        <f t="shared" si="121"/>
        <v>88.125</v>
      </c>
      <c r="BP117" s="17">
        <f t="shared" si="122"/>
        <v>88.125</v>
      </c>
      <c r="BQ117" s="17" t="str">
        <f t="shared" si="123"/>
        <v>Ok</v>
      </c>
      <c r="BR117" s="17">
        <f t="shared" si="124"/>
        <v>65.479566749175405</v>
      </c>
      <c r="BS117" s="17">
        <f t="shared" si="125"/>
        <v>13.005671388587301</v>
      </c>
      <c r="BT117" s="16">
        <f>MongDon!$H$80</f>
        <v>1.2</v>
      </c>
      <c r="BU117" s="17" t="str">
        <f t="shared" si="126"/>
        <v>Ok</v>
      </c>
      <c r="BV117" s="17">
        <f t="shared" si="127"/>
        <v>13.298026760674</v>
      </c>
      <c r="BW117" s="16">
        <f>MongDon!$F$86</f>
        <v>1.5</v>
      </c>
      <c r="BX117" s="17" t="str">
        <f t="shared" si="128"/>
        <v>Ok</v>
      </c>
      <c r="BY117" s="17">
        <f t="shared" si="129"/>
        <v>123.32112632284</v>
      </c>
      <c r="BZ117" s="17">
        <f t="shared" si="130"/>
        <v>186.600374481811</v>
      </c>
      <c r="CA117" s="17">
        <f t="shared" si="131"/>
        <v>160.17525214826799</v>
      </c>
      <c r="CB117" s="17">
        <f t="shared" si="132"/>
        <v>96.896003989297199</v>
      </c>
      <c r="CC117" s="17">
        <f t="shared" si="133"/>
        <v>149.97108986403501</v>
      </c>
      <c r="CD117" s="17">
        <f t="shared" si="134"/>
        <v>138.36989436822299</v>
      </c>
      <c r="CE117" s="17">
        <f t="shared" si="135"/>
        <v>149.97108986403501</v>
      </c>
      <c r="CF117" s="17">
        <f t="shared" si="136"/>
        <v>145.126484102885</v>
      </c>
      <c r="CG117" s="17">
        <f t="shared" si="137"/>
        <v>20.9355930837534</v>
      </c>
      <c r="CH117" s="17">
        <f t="shared" si="138"/>
        <v>20.9355930837534</v>
      </c>
      <c r="CI117" s="17">
        <f t="shared" si="139"/>
        <v>357.87338604706702</v>
      </c>
      <c r="CJ117" s="17">
        <f t="shared" si="140"/>
        <v>357.87338604706702</v>
      </c>
    </row>
    <row r="118" spans="2:88">
      <c r="B118" s="3">
        <v>23</v>
      </c>
      <c r="C118" s="3" t="s">
        <v>27</v>
      </c>
      <c r="D118" s="4">
        <v>-1.0613256143321099</v>
      </c>
      <c r="E118" s="4">
        <v>0.54735983840333302</v>
      </c>
      <c r="F118" s="4">
        <v>174.45947662611201</v>
      </c>
      <c r="G118" s="4">
        <v>1.18959349314699</v>
      </c>
      <c r="H118" s="4">
        <v>-1.8778767153254701</v>
      </c>
      <c r="I118" s="4" t="s">
        <v>17</v>
      </c>
      <c r="J118" s="4">
        <v>-0.879111302929241</v>
      </c>
      <c r="K118" s="4">
        <v>0.50839003430888297</v>
      </c>
      <c r="L118" s="4">
        <v>149.18795354174301</v>
      </c>
      <c r="M118" s="4">
        <v>0.934319718589118</v>
      </c>
      <c r="N118" s="4">
        <v>-1.5588495943863101</v>
      </c>
      <c r="O118" s="4">
        <v>1.2</v>
      </c>
      <c r="P118" s="4">
        <v>1.2</v>
      </c>
      <c r="Q118" s="4">
        <v>0.22</v>
      </c>
      <c r="R118" s="4">
        <v>0.22</v>
      </c>
      <c r="S118" s="4">
        <v>0</v>
      </c>
      <c r="T118" s="4">
        <v>0</v>
      </c>
      <c r="U118" s="4">
        <v>0.3</v>
      </c>
      <c r="V118" s="4">
        <v>0.05</v>
      </c>
      <c r="W118" s="4">
        <v>1</v>
      </c>
      <c r="X118" s="4">
        <v>19.100000000000001</v>
      </c>
      <c r="Y118" s="4">
        <v>0</v>
      </c>
      <c r="Z118" s="4">
        <v>1.5</v>
      </c>
      <c r="AA118" s="4">
        <v>139</v>
      </c>
      <c r="AB118" s="4">
        <v>12.1</v>
      </c>
      <c r="AC118" s="4">
        <v>19.5</v>
      </c>
      <c r="AD118" s="3" t="s">
        <v>42</v>
      </c>
      <c r="AE118" s="3" t="s">
        <v>61</v>
      </c>
      <c r="AF118" s="17">
        <f>HLOOKUP(AD118,Data!$B$4:$M$9,2,0)</f>
        <v>13</v>
      </c>
      <c r="AG118" s="17">
        <f>HLOOKUP(AD118,Data!$B$4:$M$9,3,0)</f>
        <v>1</v>
      </c>
      <c r="AH118" s="17">
        <f>HLOOKUP(AE118,Data!$B$13:$I$18,3,0)</f>
        <v>260</v>
      </c>
      <c r="AI118" s="18">
        <f t="shared" si="90"/>
        <v>1.44</v>
      </c>
      <c r="AJ118" s="17">
        <f t="shared" si="91"/>
        <v>0.28799999999999998</v>
      </c>
      <c r="AK118" s="17">
        <f t="shared" si="92"/>
        <v>0.28799999999999998</v>
      </c>
      <c r="AL118" s="17">
        <f t="shared" si="93"/>
        <v>0.25</v>
      </c>
      <c r="AM118" s="17">
        <f t="shared" si="94"/>
        <v>0.49</v>
      </c>
      <c r="AN118" s="17">
        <f t="shared" si="95"/>
        <v>0.49</v>
      </c>
      <c r="AO118" s="17">
        <f t="shared" si="96"/>
        <v>0.49</v>
      </c>
      <c r="AP118" s="17">
        <f t="shared" si="97"/>
        <v>0.49</v>
      </c>
      <c r="AQ118" s="17">
        <f t="shared" si="98"/>
        <v>1.88</v>
      </c>
      <c r="AR118" s="17">
        <f t="shared" si="99"/>
        <v>0.92159999999999997</v>
      </c>
      <c r="AS118" s="17">
        <f t="shared" si="100"/>
        <v>174.45947662611201</v>
      </c>
      <c r="AT118" s="17">
        <f t="shared" si="101"/>
        <v>1.02538554162599</v>
      </c>
      <c r="AU118" s="17">
        <f t="shared" si="102"/>
        <v>-2.1962743996251102</v>
      </c>
      <c r="AV118" s="17">
        <f t="shared" si="103"/>
        <v>149.18795354174301</v>
      </c>
      <c r="AW118" s="17">
        <f t="shared" si="104"/>
        <v>0.78180270829645304</v>
      </c>
      <c r="AX118" s="17">
        <f t="shared" si="105"/>
        <v>-1.8225829852650799</v>
      </c>
      <c r="AY118" s="17">
        <f t="shared" si="106"/>
        <v>152.938733564144</v>
      </c>
      <c r="AZ118" s="17">
        <f t="shared" si="107"/>
        <v>130.56609508323399</v>
      </c>
      <c r="BA118" s="17">
        <f t="shared" si="108"/>
        <v>141.75241432368901</v>
      </c>
      <c r="BB118" s="17">
        <f t="shared" si="109"/>
        <v>133.24575139552101</v>
      </c>
      <c r="BC118" s="17">
        <f t="shared" si="110"/>
        <v>115.159739634677</v>
      </c>
      <c r="BD118" s="17">
        <f t="shared" si="111"/>
        <v>124.202745515099</v>
      </c>
      <c r="BE118" s="17" t="str">
        <f>IF(AND(BD118&lt;=AA118,BB118&lt;=AA118*MongDon!$J$44,BC118&gt;0),"Ok","FAIL")</f>
        <v>Ok</v>
      </c>
      <c r="BF118" s="17">
        <f t="shared" si="112"/>
        <v>140.94833685271499</v>
      </c>
      <c r="BG118" s="17">
        <f t="shared" si="113"/>
        <v>352.5</v>
      </c>
      <c r="BH118" s="17" t="str">
        <f t="shared" si="114"/>
        <v>Ok</v>
      </c>
      <c r="BI118" s="17">
        <f t="shared" si="115"/>
        <v>39.799309783596499</v>
      </c>
      <c r="BJ118" s="17">
        <f t="shared" si="116"/>
        <v>38.628420925597297</v>
      </c>
      <c r="BK118" s="17">
        <f t="shared" si="117"/>
        <v>41.850080866848401</v>
      </c>
      <c r="BL118" s="17">
        <f t="shared" si="118"/>
        <v>43.020969724847497</v>
      </c>
      <c r="BM118" s="17">
        <f t="shared" si="119"/>
        <v>88.125</v>
      </c>
      <c r="BN118" s="17">
        <f t="shared" si="120"/>
        <v>88.125</v>
      </c>
      <c r="BO118" s="17">
        <f t="shared" si="121"/>
        <v>88.125</v>
      </c>
      <c r="BP118" s="17">
        <f t="shared" si="122"/>
        <v>88.125</v>
      </c>
      <c r="BQ118" s="17" t="str">
        <f t="shared" si="123"/>
        <v>Ok</v>
      </c>
      <c r="BR118" s="17">
        <f t="shared" si="124"/>
        <v>65.480871072968597</v>
      </c>
      <c r="BS118" s="17">
        <f t="shared" si="125"/>
        <v>61.697249353748703</v>
      </c>
      <c r="BT118" s="16">
        <f>MongDon!$H$80</f>
        <v>1.2</v>
      </c>
      <c r="BU118" s="17" t="str">
        <f t="shared" si="126"/>
        <v>Ok</v>
      </c>
      <c r="BV118" s="17">
        <f t="shared" si="127"/>
        <v>55.174383490674899</v>
      </c>
      <c r="BW118" s="16">
        <f>MongDon!$F$86</f>
        <v>1.5</v>
      </c>
      <c r="BX118" s="17" t="str">
        <f t="shared" si="128"/>
        <v>Ok</v>
      </c>
      <c r="BY118" s="17">
        <f t="shared" si="129"/>
        <v>145.81800063618601</v>
      </c>
      <c r="BZ118" s="17">
        <f t="shared" si="130"/>
        <v>130.56609508323399</v>
      </c>
      <c r="CA118" s="17">
        <f t="shared" si="131"/>
        <v>137.68682801119201</v>
      </c>
      <c r="CB118" s="17">
        <f t="shared" si="132"/>
        <v>152.938733564144</v>
      </c>
      <c r="CC118" s="17">
        <f t="shared" si="133"/>
        <v>141.00705683306501</v>
      </c>
      <c r="CD118" s="17">
        <f t="shared" si="134"/>
        <v>143.803239517772</v>
      </c>
      <c r="CE118" s="17">
        <f t="shared" si="135"/>
        <v>142.49777181431301</v>
      </c>
      <c r="CF118" s="17">
        <f t="shared" si="136"/>
        <v>143.803239517772</v>
      </c>
      <c r="CG118" s="17">
        <f t="shared" si="137"/>
        <v>17.994722944286501</v>
      </c>
      <c r="CH118" s="17">
        <f t="shared" si="138"/>
        <v>17.994722944286501</v>
      </c>
      <c r="CI118" s="17">
        <f t="shared" si="139"/>
        <v>307.60210161173597</v>
      </c>
      <c r="CJ118" s="17">
        <f t="shared" si="140"/>
        <v>307.60210161173597</v>
      </c>
    </row>
    <row r="119" spans="2:88">
      <c r="B119" s="3">
        <v>23</v>
      </c>
      <c r="C119" s="3" t="s">
        <v>28</v>
      </c>
      <c r="D119" s="4">
        <v>2.16670604789048</v>
      </c>
      <c r="E119" s="4">
        <v>5.9176830329382497</v>
      </c>
      <c r="F119" s="4">
        <v>176.01439604408901</v>
      </c>
      <c r="G119" s="4">
        <v>-8.02674230573421</v>
      </c>
      <c r="H119" s="4">
        <v>3.15592210521383</v>
      </c>
      <c r="I119" s="4" t="s">
        <v>18</v>
      </c>
      <c r="J119" s="4">
        <v>1.8109150822562501</v>
      </c>
      <c r="K119" s="4">
        <v>4.9836593630879804</v>
      </c>
      <c r="L119" s="4">
        <v>150.483719723391</v>
      </c>
      <c r="M119" s="4">
        <v>-6.7459601138118801</v>
      </c>
      <c r="N119" s="4">
        <v>2.6359827560631102</v>
      </c>
      <c r="O119" s="4">
        <v>1.2</v>
      </c>
      <c r="P119" s="4">
        <v>1.2</v>
      </c>
      <c r="Q119" s="4">
        <v>0.22</v>
      </c>
      <c r="R119" s="4">
        <v>0.22</v>
      </c>
      <c r="S119" s="4">
        <v>0</v>
      </c>
      <c r="T119" s="4">
        <v>0</v>
      </c>
      <c r="U119" s="4">
        <v>0.3</v>
      </c>
      <c r="V119" s="4">
        <v>0.05</v>
      </c>
      <c r="W119" s="4">
        <v>1</v>
      </c>
      <c r="X119" s="4">
        <v>19.100000000000001</v>
      </c>
      <c r="Y119" s="4">
        <v>0</v>
      </c>
      <c r="Z119" s="4">
        <v>1.5</v>
      </c>
      <c r="AA119" s="4">
        <v>139</v>
      </c>
      <c r="AB119" s="4">
        <v>12.1</v>
      </c>
      <c r="AC119" s="4">
        <v>19.5</v>
      </c>
      <c r="AD119" s="3" t="s">
        <v>42</v>
      </c>
      <c r="AE119" s="3" t="s">
        <v>61</v>
      </c>
      <c r="AF119" s="17">
        <f>HLOOKUP(AD119,Data!$B$4:$M$9,2,0)</f>
        <v>13</v>
      </c>
      <c r="AG119" s="17">
        <f>HLOOKUP(AD119,Data!$B$4:$M$9,3,0)</f>
        <v>1</v>
      </c>
      <c r="AH119" s="17">
        <f>HLOOKUP(AE119,Data!$B$13:$I$18,3,0)</f>
        <v>260</v>
      </c>
      <c r="AI119" s="18">
        <f t="shared" si="90"/>
        <v>1.44</v>
      </c>
      <c r="AJ119" s="17">
        <f t="shared" si="91"/>
        <v>0.28799999999999998</v>
      </c>
      <c r="AK119" s="17">
        <f t="shared" si="92"/>
        <v>0.28799999999999998</v>
      </c>
      <c r="AL119" s="17">
        <f t="shared" si="93"/>
        <v>0.25</v>
      </c>
      <c r="AM119" s="17">
        <f t="shared" si="94"/>
        <v>0.49</v>
      </c>
      <c r="AN119" s="17">
        <f t="shared" si="95"/>
        <v>0.49</v>
      </c>
      <c r="AO119" s="17">
        <f t="shared" si="96"/>
        <v>0.49</v>
      </c>
      <c r="AP119" s="17">
        <f t="shared" si="97"/>
        <v>0.49</v>
      </c>
      <c r="AQ119" s="17">
        <f t="shared" si="98"/>
        <v>1.88</v>
      </c>
      <c r="AR119" s="17">
        <f t="shared" si="99"/>
        <v>0.92159999999999997</v>
      </c>
      <c r="AS119" s="17">
        <f t="shared" si="100"/>
        <v>176.01439604408901</v>
      </c>
      <c r="AT119" s="17">
        <f t="shared" si="101"/>
        <v>-9.8020472156156799</v>
      </c>
      <c r="AU119" s="17">
        <f t="shared" si="102"/>
        <v>3.80593391958097</v>
      </c>
      <c r="AV119" s="17">
        <f t="shared" si="103"/>
        <v>150.483719723391</v>
      </c>
      <c r="AW119" s="17">
        <f t="shared" si="104"/>
        <v>-8.2410579227382694</v>
      </c>
      <c r="AX119" s="17">
        <f t="shared" si="105"/>
        <v>3.1792572807399799</v>
      </c>
      <c r="AY119" s="17">
        <f t="shared" si="106"/>
        <v>190.08215397227301</v>
      </c>
      <c r="AZ119" s="17">
        <f t="shared" si="107"/>
        <v>95.582284977851401</v>
      </c>
      <c r="BA119" s="17">
        <f t="shared" si="108"/>
        <v>142.832219475062</v>
      </c>
      <c r="BB119" s="17">
        <f t="shared" si="109"/>
        <v>164.756455375543</v>
      </c>
      <c r="BC119" s="17">
        <f t="shared" si="110"/>
        <v>85.448710906943901</v>
      </c>
      <c r="BD119" s="17">
        <f t="shared" si="111"/>
        <v>125.102583141243</v>
      </c>
      <c r="BE119" s="17" t="str">
        <f>IF(AND(BD119&lt;=AA119,BB119&lt;=AA119*MongDon!$J$44,BC119&gt;0),"Ok","FAIL")</f>
        <v>Ok</v>
      </c>
      <c r="BF119" s="17">
        <f t="shared" si="112"/>
        <v>175.17971310084599</v>
      </c>
      <c r="BG119" s="17">
        <f t="shared" si="113"/>
        <v>352.5</v>
      </c>
      <c r="BH119" s="17" t="str">
        <f t="shared" si="114"/>
        <v>Ok</v>
      </c>
      <c r="BI119" s="17">
        <f t="shared" si="115"/>
        <v>50.9377264244335</v>
      </c>
      <c r="BJ119" s="17">
        <f t="shared" si="116"/>
        <v>44.941613128398799</v>
      </c>
      <c r="BK119" s="17">
        <f t="shared" si="117"/>
        <v>31.3336319932022</v>
      </c>
      <c r="BL119" s="17">
        <f t="shared" si="118"/>
        <v>37.329745289236897</v>
      </c>
      <c r="BM119" s="17">
        <f t="shared" si="119"/>
        <v>88.125</v>
      </c>
      <c r="BN119" s="17">
        <f t="shared" si="120"/>
        <v>88.125</v>
      </c>
      <c r="BO119" s="17">
        <f t="shared" si="121"/>
        <v>88.125</v>
      </c>
      <c r="BP119" s="17">
        <f t="shared" si="122"/>
        <v>88.125</v>
      </c>
      <c r="BQ119" s="17" t="str">
        <f t="shared" si="123"/>
        <v>Ok</v>
      </c>
      <c r="BR119" s="17">
        <f t="shared" si="124"/>
        <v>65.814216912388005</v>
      </c>
      <c r="BS119" s="17">
        <f t="shared" si="125"/>
        <v>11.1216191448682</v>
      </c>
      <c r="BT119" s="16">
        <f>MongDon!$H$80</f>
        <v>1.2</v>
      </c>
      <c r="BU119" s="17" t="str">
        <f t="shared" si="126"/>
        <v>Ok</v>
      </c>
      <c r="BV119" s="17">
        <f t="shared" si="127"/>
        <v>12.4577075523486</v>
      </c>
      <c r="BW119" s="16">
        <f>MongDon!$F$86</f>
        <v>1.5</v>
      </c>
      <c r="BX119" s="17" t="str">
        <f t="shared" si="128"/>
        <v>Ok</v>
      </c>
      <c r="BY119" s="17">
        <f t="shared" si="129"/>
        <v>163.65205730851599</v>
      </c>
      <c r="BZ119" s="17">
        <f t="shared" si="130"/>
        <v>190.08215397227301</v>
      </c>
      <c r="CA119" s="17">
        <f t="shared" si="131"/>
        <v>122.012381641608</v>
      </c>
      <c r="CB119" s="17">
        <f t="shared" si="132"/>
        <v>95.582284977851401</v>
      </c>
      <c r="CC119" s="17">
        <f t="shared" si="133"/>
        <v>151.49470746621699</v>
      </c>
      <c r="CD119" s="17">
        <f t="shared" si="134"/>
        <v>146.649189744529</v>
      </c>
      <c r="CE119" s="17">
        <f t="shared" si="135"/>
        <v>151.49470746621699</v>
      </c>
      <c r="CF119" s="17">
        <f t="shared" si="136"/>
        <v>139.01524920559501</v>
      </c>
      <c r="CG119" s="17">
        <f t="shared" si="137"/>
        <v>21.2752216000207</v>
      </c>
      <c r="CH119" s="17">
        <f t="shared" si="138"/>
        <v>21.2752216000207</v>
      </c>
      <c r="CI119" s="17">
        <f t="shared" si="139"/>
        <v>363.67900170975503</v>
      </c>
      <c r="CJ119" s="17">
        <f t="shared" si="140"/>
        <v>363.67900170975503</v>
      </c>
    </row>
    <row r="120" spans="2:88">
      <c r="B120" s="3">
        <v>23</v>
      </c>
      <c r="C120" s="3" t="s">
        <v>29</v>
      </c>
      <c r="D120" s="4">
        <v>-4.4902320465142802</v>
      </c>
      <c r="E120" s="4">
        <v>3.1949640552909502</v>
      </c>
      <c r="F120" s="4">
        <v>159.80186331834599</v>
      </c>
      <c r="G120" s="4">
        <v>-3.6304992476978</v>
      </c>
      <c r="H120" s="4">
        <v>-7.1703389691084496</v>
      </c>
      <c r="I120" s="4" t="s">
        <v>19</v>
      </c>
      <c r="J120" s="4">
        <v>-3.7365333297477199</v>
      </c>
      <c r="K120" s="4">
        <v>2.7147268817152299</v>
      </c>
      <c r="L120" s="4">
        <v>136.973275785271</v>
      </c>
      <c r="M120" s="4">
        <v>-3.08242423211487</v>
      </c>
      <c r="N120" s="4">
        <v>-5.9692348058721301</v>
      </c>
      <c r="O120" s="4">
        <v>1.2</v>
      </c>
      <c r="P120" s="4">
        <v>1.2</v>
      </c>
      <c r="Q120" s="4">
        <v>0.22</v>
      </c>
      <c r="R120" s="4">
        <v>0.22</v>
      </c>
      <c r="S120" s="4">
        <v>0</v>
      </c>
      <c r="T120" s="4">
        <v>0</v>
      </c>
      <c r="U120" s="4">
        <v>0.3</v>
      </c>
      <c r="V120" s="4">
        <v>0.05</v>
      </c>
      <c r="W120" s="4">
        <v>1</v>
      </c>
      <c r="X120" s="4">
        <v>19.100000000000001</v>
      </c>
      <c r="Y120" s="4">
        <v>0</v>
      </c>
      <c r="Z120" s="4">
        <v>1.5</v>
      </c>
      <c r="AA120" s="4">
        <v>139</v>
      </c>
      <c r="AB120" s="4">
        <v>12.1</v>
      </c>
      <c r="AC120" s="4">
        <v>19.5</v>
      </c>
      <c r="AD120" s="3" t="s">
        <v>42</v>
      </c>
      <c r="AE120" s="3" t="s">
        <v>61</v>
      </c>
      <c r="AF120" s="17">
        <f>HLOOKUP(AD120,Data!$B$4:$M$9,2,0)</f>
        <v>13</v>
      </c>
      <c r="AG120" s="17">
        <f>HLOOKUP(AD120,Data!$B$4:$M$9,3,0)</f>
        <v>1</v>
      </c>
      <c r="AH120" s="17">
        <f>HLOOKUP(AE120,Data!$B$13:$I$18,3,0)</f>
        <v>260</v>
      </c>
      <c r="AI120" s="18">
        <f t="shared" si="90"/>
        <v>1.44</v>
      </c>
      <c r="AJ120" s="17">
        <f t="shared" si="91"/>
        <v>0.28799999999999998</v>
      </c>
      <c r="AK120" s="17">
        <f t="shared" si="92"/>
        <v>0.28799999999999998</v>
      </c>
      <c r="AL120" s="17">
        <f t="shared" si="93"/>
        <v>0.25</v>
      </c>
      <c r="AM120" s="17">
        <f t="shared" si="94"/>
        <v>0.49</v>
      </c>
      <c r="AN120" s="17">
        <f t="shared" si="95"/>
        <v>0.49</v>
      </c>
      <c r="AO120" s="17">
        <f t="shared" si="96"/>
        <v>0.49</v>
      </c>
      <c r="AP120" s="17">
        <f t="shared" si="97"/>
        <v>0.49</v>
      </c>
      <c r="AQ120" s="17">
        <f t="shared" si="98"/>
        <v>1.88</v>
      </c>
      <c r="AR120" s="17">
        <f t="shared" si="99"/>
        <v>0.92159999999999997</v>
      </c>
      <c r="AS120" s="17">
        <f t="shared" si="100"/>
        <v>159.80186331834599</v>
      </c>
      <c r="AT120" s="17">
        <f t="shared" si="101"/>
        <v>-4.5889884642850802</v>
      </c>
      <c r="AU120" s="17">
        <f t="shared" si="102"/>
        <v>-8.5174085830627408</v>
      </c>
      <c r="AV120" s="17">
        <f t="shared" si="103"/>
        <v>136.973275785271</v>
      </c>
      <c r="AW120" s="17">
        <f t="shared" si="104"/>
        <v>-3.89684229662944</v>
      </c>
      <c r="AX120" s="17">
        <f t="shared" si="105"/>
        <v>-7.0901948047964503</v>
      </c>
      <c r="AY120" s="17">
        <f t="shared" si="106"/>
        <v>177.081839274365</v>
      </c>
      <c r="AZ120" s="17">
        <f t="shared" si="107"/>
        <v>86.065193112227107</v>
      </c>
      <c r="BA120" s="17">
        <f t="shared" si="108"/>
        <v>131.573516193296</v>
      </c>
      <c r="BB120" s="17">
        <f t="shared" si="109"/>
        <v>153.869764786389</v>
      </c>
      <c r="BC120" s="17">
        <f t="shared" si="110"/>
        <v>77.570896026487404</v>
      </c>
      <c r="BD120" s="17">
        <f t="shared" si="111"/>
        <v>115.72033040643799</v>
      </c>
      <c r="BE120" s="17" t="str">
        <f>IF(AND(BD120&lt;=AA120,BB120&lt;=AA120*MongDon!$J$44,BC120&gt;0),"Ok","FAIL")</f>
        <v>Ok</v>
      </c>
      <c r="BF120" s="17">
        <f t="shared" si="112"/>
        <v>163.198623075255</v>
      </c>
      <c r="BG120" s="17">
        <f t="shared" si="113"/>
        <v>352.5</v>
      </c>
      <c r="BH120" s="17" t="str">
        <f t="shared" si="114"/>
        <v>Ok</v>
      </c>
      <c r="BI120" s="17">
        <f t="shared" si="115"/>
        <v>42.482161127954299</v>
      </c>
      <c r="BJ120" s="17">
        <f t="shared" si="116"/>
        <v>29.375764080606501</v>
      </c>
      <c r="BK120" s="17">
        <f t="shared" si="117"/>
        <v>33.304184199384103</v>
      </c>
      <c r="BL120" s="17">
        <f t="shared" si="118"/>
        <v>46.410581246732001</v>
      </c>
      <c r="BM120" s="17">
        <f t="shared" si="119"/>
        <v>88.125</v>
      </c>
      <c r="BN120" s="17">
        <f t="shared" si="120"/>
        <v>88.125</v>
      </c>
      <c r="BO120" s="17">
        <f t="shared" si="121"/>
        <v>88.125</v>
      </c>
      <c r="BP120" s="17">
        <f t="shared" si="122"/>
        <v>88.125</v>
      </c>
      <c r="BQ120" s="17" t="str">
        <f t="shared" si="123"/>
        <v>Ok</v>
      </c>
      <c r="BR120" s="17">
        <f t="shared" si="124"/>
        <v>62.338551055947903</v>
      </c>
      <c r="BS120" s="17">
        <f t="shared" si="125"/>
        <v>13.8831468864378</v>
      </c>
      <c r="BT120" s="16">
        <f>MongDon!$H$80</f>
        <v>1.2</v>
      </c>
      <c r="BU120" s="17" t="str">
        <f t="shared" si="126"/>
        <v>Ok</v>
      </c>
      <c r="BV120" s="17">
        <f t="shared" si="127"/>
        <v>13.194566973631799</v>
      </c>
      <c r="BW120" s="16">
        <f>MongDon!$F$86</f>
        <v>1.5</v>
      </c>
      <c r="BX120" s="17" t="str">
        <f t="shared" si="128"/>
        <v>Ok</v>
      </c>
      <c r="BY120" s="17">
        <f t="shared" si="129"/>
        <v>177.081839274365</v>
      </c>
      <c r="BZ120" s="17">
        <f t="shared" si="130"/>
        <v>117.933168558651</v>
      </c>
      <c r="CA120" s="17">
        <f t="shared" si="131"/>
        <v>86.065193112227107</v>
      </c>
      <c r="CB120" s="17">
        <f t="shared" si="132"/>
        <v>145.213863827941</v>
      </c>
      <c r="CC120" s="17">
        <f t="shared" si="133"/>
        <v>129.07278579361099</v>
      </c>
      <c r="CD120" s="17">
        <f t="shared" si="134"/>
        <v>139.91670875815899</v>
      </c>
      <c r="CE120" s="17">
        <f t="shared" si="135"/>
        <v>139.91670875815899</v>
      </c>
      <c r="CF120" s="17">
        <f t="shared" si="136"/>
        <v>134.07424659298101</v>
      </c>
      <c r="CG120" s="17">
        <f t="shared" si="137"/>
        <v>19.771450165397301</v>
      </c>
      <c r="CH120" s="17">
        <f t="shared" si="138"/>
        <v>19.771450165397301</v>
      </c>
      <c r="CI120" s="17">
        <f t="shared" si="139"/>
        <v>337.973507100809</v>
      </c>
      <c r="CJ120" s="17">
        <f t="shared" si="140"/>
        <v>337.973507100809</v>
      </c>
    </row>
    <row r="121" spans="2:88">
      <c r="B121" s="3">
        <v>23</v>
      </c>
      <c r="C121" s="3" t="s">
        <v>30</v>
      </c>
      <c r="D121" s="4">
        <v>5.46977483021388</v>
      </c>
      <c r="E121" s="4">
        <v>2.6067576320775401</v>
      </c>
      <c r="F121" s="4">
        <v>158.06065479411799</v>
      </c>
      <c r="G121" s="4">
        <v>-2.5111540169625202</v>
      </c>
      <c r="H121" s="4">
        <v>8.3025078010150892</v>
      </c>
      <c r="I121" s="4" t="s">
        <v>20</v>
      </c>
      <c r="J121" s="4">
        <v>4.5634724008590801</v>
      </c>
      <c r="K121" s="4">
        <v>2.2245548623707201</v>
      </c>
      <c r="L121" s="4">
        <v>135.52226868174799</v>
      </c>
      <c r="M121" s="4">
        <v>-2.1496365398354702</v>
      </c>
      <c r="N121" s="4">
        <v>6.9248041692308204</v>
      </c>
      <c r="O121" s="4">
        <v>1.2</v>
      </c>
      <c r="P121" s="4">
        <v>1.2</v>
      </c>
      <c r="Q121" s="4">
        <v>0.22</v>
      </c>
      <c r="R121" s="4">
        <v>0.22</v>
      </c>
      <c r="S121" s="4">
        <v>0</v>
      </c>
      <c r="T121" s="4">
        <v>0</v>
      </c>
      <c r="U121" s="4">
        <v>0.3</v>
      </c>
      <c r="V121" s="4">
        <v>0.05</v>
      </c>
      <c r="W121" s="4">
        <v>1</v>
      </c>
      <c r="X121" s="4">
        <v>19.100000000000001</v>
      </c>
      <c r="Y121" s="4">
        <v>0</v>
      </c>
      <c r="Z121" s="4">
        <v>1.5</v>
      </c>
      <c r="AA121" s="4">
        <v>139</v>
      </c>
      <c r="AB121" s="4">
        <v>12.1</v>
      </c>
      <c r="AC121" s="4">
        <v>19.5</v>
      </c>
      <c r="AD121" s="3" t="s">
        <v>42</v>
      </c>
      <c r="AE121" s="3" t="s">
        <v>61</v>
      </c>
      <c r="AF121" s="17">
        <f>HLOOKUP(AD121,Data!$B$4:$M$9,2,0)</f>
        <v>13</v>
      </c>
      <c r="AG121" s="17">
        <f>HLOOKUP(AD121,Data!$B$4:$M$9,3,0)</f>
        <v>1</v>
      </c>
      <c r="AH121" s="17">
        <f>HLOOKUP(AE121,Data!$B$13:$I$18,3,0)</f>
        <v>260</v>
      </c>
      <c r="AI121" s="18">
        <f t="shared" si="90"/>
        <v>1.44</v>
      </c>
      <c r="AJ121" s="17">
        <f t="shared" si="91"/>
        <v>0.28799999999999998</v>
      </c>
      <c r="AK121" s="17">
        <f t="shared" si="92"/>
        <v>0.28799999999999998</v>
      </c>
      <c r="AL121" s="17">
        <f t="shared" si="93"/>
        <v>0.25</v>
      </c>
      <c r="AM121" s="17">
        <f t="shared" si="94"/>
        <v>0.49</v>
      </c>
      <c r="AN121" s="17">
        <f t="shared" si="95"/>
        <v>0.49</v>
      </c>
      <c r="AO121" s="17">
        <f t="shared" si="96"/>
        <v>0.49</v>
      </c>
      <c r="AP121" s="17">
        <f t="shared" si="97"/>
        <v>0.49</v>
      </c>
      <c r="AQ121" s="17">
        <f t="shared" si="98"/>
        <v>1.88</v>
      </c>
      <c r="AR121" s="17">
        <f t="shared" si="99"/>
        <v>0.92159999999999997</v>
      </c>
      <c r="AS121" s="17">
        <f t="shared" si="100"/>
        <v>158.06065479411799</v>
      </c>
      <c r="AT121" s="17">
        <f t="shared" si="101"/>
        <v>-3.2931813065857898</v>
      </c>
      <c r="AU121" s="17">
        <f t="shared" si="102"/>
        <v>9.9434402500792505</v>
      </c>
      <c r="AV121" s="17">
        <f t="shared" si="103"/>
        <v>135.52226868174799</v>
      </c>
      <c r="AW121" s="17">
        <f t="shared" si="104"/>
        <v>-2.8170029985466898</v>
      </c>
      <c r="AX121" s="17">
        <f t="shared" si="105"/>
        <v>8.2938458894885496</v>
      </c>
      <c r="AY121" s="17">
        <f t="shared" si="106"/>
        <v>176.32483512322401</v>
      </c>
      <c r="AZ121" s="17">
        <f t="shared" si="107"/>
        <v>84.403852090828195</v>
      </c>
      <c r="BA121" s="17">
        <f t="shared" si="108"/>
        <v>130.364343607026</v>
      </c>
      <c r="BB121" s="17">
        <f t="shared" si="109"/>
        <v>153.29202300133599</v>
      </c>
      <c r="BC121" s="17">
        <f t="shared" si="110"/>
        <v>76.133350167757996</v>
      </c>
      <c r="BD121" s="17">
        <f t="shared" si="111"/>
        <v>114.712686584547</v>
      </c>
      <c r="BE121" s="17" t="str">
        <f>IF(AND(BD121&lt;=AA121,BB121&lt;=AA121*MongDon!$J$44,BC121&gt;0),"Ok","FAIL")</f>
        <v>Ok</v>
      </c>
      <c r="BF121" s="17">
        <f t="shared" si="112"/>
        <v>162.50096804956399</v>
      </c>
      <c r="BG121" s="17">
        <f t="shared" si="113"/>
        <v>352.5</v>
      </c>
      <c r="BH121" s="17" t="str">
        <f t="shared" si="114"/>
        <v>Ok</v>
      </c>
      <c r="BI121" s="17">
        <f t="shared" si="115"/>
        <v>40.838112265409301</v>
      </c>
      <c r="BJ121" s="17">
        <f t="shared" si="116"/>
        <v>47.488371208902798</v>
      </c>
      <c r="BK121" s="17">
        <f t="shared" si="117"/>
        <v>34.251749652237798</v>
      </c>
      <c r="BL121" s="17">
        <f t="shared" si="118"/>
        <v>27.601490708744301</v>
      </c>
      <c r="BM121" s="17">
        <f t="shared" si="119"/>
        <v>88.125</v>
      </c>
      <c r="BN121" s="17">
        <f t="shared" si="120"/>
        <v>88.125</v>
      </c>
      <c r="BO121" s="17">
        <f t="shared" si="121"/>
        <v>88.125</v>
      </c>
      <c r="BP121" s="17">
        <f t="shared" si="122"/>
        <v>88.125</v>
      </c>
      <c r="BQ121" s="17" t="str">
        <f t="shared" si="123"/>
        <v>Ok</v>
      </c>
      <c r="BR121" s="17">
        <f t="shared" si="124"/>
        <v>61.965268292608002</v>
      </c>
      <c r="BS121" s="17">
        <f t="shared" si="125"/>
        <v>11.3286689518415</v>
      </c>
      <c r="BT121" s="16">
        <f>MongDon!$H$80</f>
        <v>1.2</v>
      </c>
      <c r="BU121" s="17" t="str">
        <f t="shared" si="126"/>
        <v>Ok</v>
      </c>
      <c r="BV121" s="17">
        <f t="shared" si="127"/>
        <v>11.1972104298191</v>
      </c>
      <c r="BW121" s="16">
        <f>MongDon!$F$86</f>
        <v>1.5</v>
      </c>
      <c r="BX121" s="17" t="str">
        <f t="shared" si="128"/>
        <v>Ok</v>
      </c>
      <c r="BY121" s="17">
        <f t="shared" si="129"/>
        <v>107.273166719896</v>
      </c>
      <c r="BZ121" s="17">
        <f t="shared" si="130"/>
        <v>176.32483512322401</v>
      </c>
      <c r="CA121" s="17">
        <f t="shared" si="131"/>
        <v>153.45552049415599</v>
      </c>
      <c r="CB121" s="17">
        <f t="shared" si="132"/>
        <v>84.403852090828195</v>
      </c>
      <c r="CC121" s="17">
        <f t="shared" si="133"/>
        <v>138.79043371832901</v>
      </c>
      <c r="CD121" s="17">
        <f t="shared" si="134"/>
        <v>126.130961177719</v>
      </c>
      <c r="CE121" s="17">
        <f t="shared" si="135"/>
        <v>138.79043371832901</v>
      </c>
      <c r="CF121" s="17">
        <f t="shared" si="136"/>
        <v>134.597726036333</v>
      </c>
      <c r="CG121" s="17">
        <f t="shared" si="137"/>
        <v>19.665794826990499</v>
      </c>
      <c r="CH121" s="17">
        <f t="shared" si="138"/>
        <v>19.665794826990499</v>
      </c>
      <c r="CI121" s="17">
        <f t="shared" si="139"/>
        <v>336.16743294000901</v>
      </c>
      <c r="CJ121" s="17">
        <f t="shared" si="140"/>
        <v>336.16743294000901</v>
      </c>
    </row>
    <row r="122" spans="2:88">
      <c r="B122" s="3">
        <v>23</v>
      </c>
      <c r="C122" s="3" t="s">
        <v>31</v>
      </c>
      <c r="D122" s="4">
        <v>-1.3035795316072001</v>
      </c>
      <c r="E122" s="4">
        <v>-8.2652042168488205E-2</v>
      </c>
      <c r="F122" s="4">
        <v>158.067414935134</v>
      </c>
      <c r="G122" s="4">
        <v>2.0493599226038302</v>
      </c>
      <c r="H122" s="4">
        <v>-2.2304704843462901</v>
      </c>
      <c r="I122" s="4" t="s">
        <v>21</v>
      </c>
      <c r="J122" s="4">
        <v>-1.0809895673251499</v>
      </c>
      <c r="K122" s="4">
        <v>-1.66198661676349E-2</v>
      </c>
      <c r="L122" s="4">
        <v>135.52790213259399</v>
      </c>
      <c r="M122" s="4">
        <v>1.65079174313649</v>
      </c>
      <c r="N122" s="4">
        <v>-1.8526777352369901</v>
      </c>
      <c r="O122" s="4">
        <v>1.2</v>
      </c>
      <c r="P122" s="4">
        <v>1.2</v>
      </c>
      <c r="Q122" s="4">
        <v>0.22</v>
      </c>
      <c r="R122" s="4">
        <v>0.22</v>
      </c>
      <c r="S122" s="4">
        <v>0</v>
      </c>
      <c r="T122" s="4">
        <v>0</v>
      </c>
      <c r="U122" s="4">
        <v>0.3</v>
      </c>
      <c r="V122" s="4">
        <v>0.05</v>
      </c>
      <c r="W122" s="4">
        <v>1</v>
      </c>
      <c r="X122" s="4">
        <v>19.100000000000001</v>
      </c>
      <c r="Y122" s="4">
        <v>0</v>
      </c>
      <c r="Z122" s="4">
        <v>1.5</v>
      </c>
      <c r="AA122" s="4">
        <v>139</v>
      </c>
      <c r="AB122" s="4">
        <v>12.1</v>
      </c>
      <c r="AC122" s="4">
        <v>19.5</v>
      </c>
      <c r="AD122" s="3" t="s">
        <v>42</v>
      </c>
      <c r="AE122" s="3" t="s">
        <v>61</v>
      </c>
      <c r="AF122" s="17">
        <f>HLOOKUP(AD122,Data!$B$4:$M$9,2,0)</f>
        <v>13</v>
      </c>
      <c r="AG122" s="17">
        <f>HLOOKUP(AD122,Data!$B$4:$M$9,3,0)</f>
        <v>1</v>
      </c>
      <c r="AH122" s="17">
        <f>HLOOKUP(AE122,Data!$B$13:$I$18,3,0)</f>
        <v>260</v>
      </c>
      <c r="AI122" s="18">
        <f t="shared" si="90"/>
        <v>1.44</v>
      </c>
      <c r="AJ122" s="17">
        <f t="shared" si="91"/>
        <v>0.28799999999999998</v>
      </c>
      <c r="AK122" s="17">
        <f t="shared" si="92"/>
        <v>0.28799999999999998</v>
      </c>
      <c r="AL122" s="17">
        <f t="shared" si="93"/>
        <v>0.25</v>
      </c>
      <c r="AM122" s="17">
        <f t="shared" si="94"/>
        <v>0.49</v>
      </c>
      <c r="AN122" s="17">
        <f t="shared" si="95"/>
        <v>0.49</v>
      </c>
      <c r="AO122" s="17">
        <f t="shared" si="96"/>
        <v>0.49</v>
      </c>
      <c r="AP122" s="17">
        <f t="shared" si="97"/>
        <v>0.49</v>
      </c>
      <c r="AQ122" s="17">
        <f t="shared" si="98"/>
        <v>1.88</v>
      </c>
      <c r="AR122" s="17">
        <f t="shared" si="99"/>
        <v>0.92159999999999997</v>
      </c>
      <c r="AS122" s="17">
        <f t="shared" si="100"/>
        <v>158.067414935134</v>
      </c>
      <c r="AT122" s="17">
        <f t="shared" si="101"/>
        <v>2.0741555352543801</v>
      </c>
      <c r="AU122" s="17">
        <f t="shared" si="102"/>
        <v>-2.6215443438284498</v>
      </c>
      <c r="AV122" s="17">
        <f t="shared" si="103"/>
        <v>135.52790213259399</v>
      </c>
      <c r="AW122" s="17">
        <f t="shared" si="104"/>
        <v>1.65577770298678</v>
      </c>
      <c r="AX122" s="17">
        <f t="shared" si="105"/>
        <v>-2.1769746054345398</v>
      </c>
      <c r="AY122" s="17">
        <f t="shared" si="106"/>
        <v>146.67355161843599</v>
      </c>
      <c r="AZ122" s="17">
        <f t="shared" si="107"/>
        <v>114.064524680361</v>
      </c>
      <c r="BA122" s="17">
        <f t="shared" si="108"/>
        <v>130.36903814939799</v>
      </c>
      <c r="BB122" s="17">
        <f t="shared" si="109"/>
        <v>128.02476644076401</v>
      </c>
      <c r="BC122" s="17">
        <f t="shared" si="110"/>
        <v>101.40843096561601</v>
      </c>
      <c r="BD122" s="17">
        <f t="shared" si="111"/>
        <v>114.71659870319</v>
      </c>
      <c r="BE122" s="17" t="str">
        <f>IF(AND(BD122&lt;=AA122,BB122&lt;=AA122*MongDon!$J$44,BC122&gt;0),"Ok","FAIL")</f>
        <v>Ok</v>
      </c>
      <c r="BF122" s="17">
        <f t="shared" si="112"/>
        <v>135.17434517155101</v>
      </c>
      <c r="BG122" s="17">
        <f t="shared" si="113"/>
        <v>352.5</v>
      </c>
      <c r="BH122" s="17" t="str">
        <f t="shared" si="114"/>
        <v>Ok</v>
      </c>
      <c r="BI122" s="17">
        <f t="shared" si="115"/>
        <v>35.472127451772302</v>
      </c>
      <c r="BJ122" s="17">
        <f t="shared" si="116"/>
        <v>34.924738643198303</v>
      </c>
      <c r="BK122" s="17">
        <f t="shared" si="117"/>
        <v>39.620438522281098</v>
      </c>
      <c r="BL122" s="17">
        <f t="shared" si="118"/>
        <v>40.167827330855197</v>
      </c>
      <c r="BM122" s="17">
        <f t="shared" si="119"/>
        <v>88.125</v>
      </c>
      <c r="BN122" s="17">
        <f t="shared" si="120"/>
        <v>88.125</v>
      </c>
      <c r="BO122" s="17">
        <f t="shared" si="121"/>
        <v>88.125</v>
      </c>
      <c r="BP122" s="17">
        <f t="shared" si="122"/>
        <v>88.125</v>
      </c>
      <c r="BQ122" s="17" t="str">
        <f t="shared" si="123"/>
        <v>Ok</v>
      </c>
      <c r="BR122" s="17">
        <f t="shared" si="124"/>
        <v>61.966717541267101</v>
      </c>
      <c r="BS122" s="17">
        <f t="shared" si="125"/>
        <v>47.535816602511197</v>
      </c>
      <c r="BT122" s="16">
        <f>MongDon!$H$80</f>
        <v>1.2</v>
      </c>
      <c r="BU122" s="17" t="str">
        <f t="shared" si="126"/>
        <v>Ok</v>
      </c>
      <c r="BV122" s="17">
        <f t="shared" si="127"/>
        <v>42.472235582510599</v>
      </c>
      <c r="BW122" s="16">
        <f>MongDon!$F$86</f>
        <v>1.5</v>
      </c>
      <c r="BX122" s="17" t="str">
        <f t="shared" si="128"/>
        <v>Ok</v>
      </c>
      <c r="BY122" s="17">
        <f t="shared" si="129"/>
        <v>132.269693734725</v>
      </c>
      <c r="BZ122" s="17">
        <f t="shared" si="130"/>
        <v>114.064524680361</v>
      </c>
      <c r="CA122" s="17">
        <f t="shared" si="131"/>
        <v>128.46838256407199</v>
      </c>
      <c r="CB122" s="17">
        <f t="shared" si="132"/>
        <v>146.67355161843599</v>
      </c>
      <c r="CC122" s="17">
        <f t="shared" si="133"/>
        <v>130.020584625422</v>
      </c>
      <c r="CD122" s="17">
        <f t="shared" si="134"/>
        <v>133.35819895205501</v>
      </c>
      <c r="CE122" s="17">
        <f t="shared" si="135"/>
        <v>130.71749167337501</v>
      </c>
      <c r="CF122" s="17">
        <f t="shared" si="136"/>
        <v>133.35819895205501</v>
      </c>
      <c r="CG122" s="17">
        <f t="shared" si="137"/>
        <v>17.075323842593601</v>
      </c>
      <c r="CH122" s="17">
        <f t="shared" si="138"/>
        <v>17.075323842593601</v>
      </c>
      <c r="CI122" s="17">
        <f t="shared" si="139"/>
        <v>291.885877651172</v>
      </c>
      <c r="CJ122" s="17">
        <f t="shared" si="140"/>
        <v>291.885877651172</v>
      </c>
    </row>
    <row r="123" spans="2:88">
      <c r="B123" s="3">
        <v>23</v>
      </c>
      <c r="C123" s="3" t="s">
        <v>32</v>
      </c>
      <c r="D123" s="4">
        <v>2.2831223153067901</v>
      </c>
      <c r="E123" s="4">
        <v>5.8843737295369802</v>
      </c>
      <c r="F123" s="4">
        <v>159.79510317732999</v>
      </c>
      <c r="G123" s="4">
        <v>-8.1910131872641596</v>
      </c>
      <c r="H123" s="4">
        <v>3.3626393162529302</v>
      </c>
      <c r="I123" s="4" t="s">
        <v>22</v>
      </c>
      <c r="J123" s="4">
        <v>1.9079286384365</v>
      </c>
      <c r="K123" s="4">
        <v>4.9559016102535898</v>
      </c>
      <c r="L123" s="4">
        <v>136.96764233442499</v>
      </c>
      <c r="M123" s="4">
        <v>-6.8828525150868396</v>
      </c>
      <c r="N123" s="4">
        <v>2.80824709859569</v>
      </c>
      <c r="O123" s="4">
        <v>1.2</v>
      </c>
      <c r="P123" s="4">
        <v>1.2</v>
      </c>
      <c r="Q123" s="4">
        <v>0.22</v>
      </c>
      <c r="R123" s="4">
        <v>0.22</v>
      </c>
      <c r="S123" s="4">
        <v>0</v>
      </c>
      <c r="T123" s="4">
        <v>0</v>
      </c>
      <c r="U123" s="4">
        <v>0.3</v>
      </c>
      <c r="V123" s="4">
        <v>0.05</v>
      </c>
      <c r="W123" s="4">
        <v>1</v>
      </c>
      <c r="X123" s="4">
        <v>19.100000000000001</v>
      </c>
      <c r="Y123" s="4">
        <v>0</v>
      </c>
      <c r="Z123" s="4">
        <v>1.5</v>
      </c>
      <c r="AA123" s="4">
        <v>139</v>
      </c>
      <c r="AB123" s="4">
        <v>12.1</v>
      </c>
      <c r="AC123" s="4">
        <v>19.5</v>
      </c>
      <c r="AD123" s="3" t="s">
        <v>42</v>
      </c>
      <c r="AE123" s="3" t="s">
        <v>61</v>
      </c>
      <c r="AF123" s="17">
        <f>HLOOKUP(AD123,Data!$B$4:$M$9,2,0)</f>
        <v>13</v>
      </c>
      <c r="AG123" s="17">
        <f>HLOOKUP(AD123,Data!$B$4:$M$9,3,0)</f>
        <v>1</v>
      </c>
      <c r="AH123" s="17">
        <f>HLOOKUP(AE123,Data!$B$13:$I$18,3,0)</f>
        <v>260</v>
      </c>
      <c r="AI123" s="18">
        <f t="shared" si="90"/>
        <v>1.44</v>
      </c>
      <c r="AJ123" s="17">
        <f t="shared" si="91"/>
        <v>0.28799999999999998</v>
      </c>
      <c r="AK123" s="17">
        <f t="shared" si="92"/>
        <v>0.28799999999999998</v>
      </c>
      <c r="AL123" s="17">
        <f t="shared" si="93"/>
        <v>0.25</v>
      </c>
      <c r="AM123" s="17">
        <f t="shared" si="94"/>
        <v>0.49</v>
      </c>
      <c r="AN123" s="17">
        <f t="shared" si="95"/>
        <v>0.49</v>
      </c>
      <c r="AO123" s="17">
        <f t="shared" si="96"/>
        <v>0.49</v>
      </c>
      <c r="AP123" s="17">
        <f t="shared" si="97"/>
        <v>0.49</v>
      </c>
      <c r="AQ123" s="17">
        <f t="shared" si="98"/>
        <v>1.88</v>
      </c>
      <c r="AR123" s="17">
        <f t="shared" si="99"/>
        <v>0.92159999999999997</v>
      </c>
      <c r="AS123" s="17">
        <f t="shared" si="100"/>
        <v>159.79510317732999</v>
      </c>
      <c r="AT123" s="17">
        <f t="shared" si="101"/>
        <v>-9.9563253061252492</v>
      </c>
      <c r="AU123" s="17">
        <f t="shared" si="102"/>
        <v>4.0475760108449599</v>
      </c>
      <c r="AV123" s="17">
        <f t="shared" si="103"/>
        <v>136.96764233442499</v>
      </c>
      <c r="AW123" s="17">
        <f t="shared" si="104"/>
        <v>-8.3696229981629102</v>
      </c>
      <c r="AX123" s="17">
        <f t="shared" si="105"/>
        <v>3.38062569012664</v>
      </c>
      <c r="AY123" s="17">
        <f t="shared" si="106"/>
        <v>180.19347900151499</v>
      </c>
      <c r="AZ123" s="17">
        <f t="shared" si="107"/>
        <v>82.944164300332801</v>
      </c>
      <c r="BA123" s="17">
        <f t="shared" si="108"/>
        <v>131.56882165092401</v>
      </c>
      <c r="BB123" s="17">
        <f t="shared" si="109"/>
        <v>156.51589289991099</v>
      </c>
      <c r="BC123" s="17">
        <f t="shared" si="110"/>
        <v>74.916943675678496</v>
      </c>
      <c r="BD123" s="17">
        <f t="shared" si="111"/>
        <v>115.71641828779499</v>
      </c>
      <c r="BE123" s="17" t="str">
        <f>IF(AND(BD123&lt;=AA123,BB123&lt;=AA123*MongDon!$J$44,BC123&gt;0),"Ok","FAIL")</f>
        <v>Ok</v>
      </c>
      <c r="BF123" s="17">
        <f t="shared" si="112"/>
        <v>166.066310247796</v>
      </c>
      <c r="BG123" s="17">
        <f t="shared" si="113"/>
        <v>352.5</v>
      </c>
      <c r="BH123" s="17" t="str">
        <f t="shared" si="114"/>
        <v>Ok</v>
      </c>
      <c r="BI123" s="17">
        <f t="shared" si="115"/>
        <v>47.848145941591298</v>
      </c>
      <c r="BJ123" s="17">
        <f t="shared" si="116"/>
        <v>41.939396646311003</v>
      </c>
      <c r="BK123" s="17">
        <f t="shared" si="117"/>
        <v>27.935495329340799</v>
      </c>
      <c r="BL123" s="17">
        <f t="shared" si="118"/>
        <v>33.844244624621098</v>
      </c>
      <c r="BM123" s="17">
        <f t="shared" si="119"/>
        <v>88.125</v>
      </c>
      <c r="BN123" s="17">
        <f t="shared" si="120"/>
        <v>88.125</v>
      </c>
      <c r="BO123" s="17">
        <f t="shared" si="121"/>
        <v>88.125</v>
      </c>
      <c r="BP123" s="17">
        <f t="shared" si="122"/>
        <v>88.125</v>
      </c>
      <c r="BQ123" s="17" t="str">
        <f t="shared" si="123"/>
        <v>Ok</v>
      </c>
      <c r="BR123" s="17">
        <f t="shared" si="124"/>
        <v>62.337101807288803</v>
      </c>
      <c r="BS123" s="17">
        <f t="shared" si="125"/>
        <v>10.593668021863399</v>
      </c>
      <c r="BT123" s="16">
        <f>MongDon!$H$80</f>
        <v>1.2</v>
      </c>
      <c r="BU123" s="17" t="str">
        <f t="shared" si="126"/>
        <v>Ok</v>
      </c>
      <c r="BV123" s="17">
        <f t="shared" si="127"/>
        <v>11.2872428783801</v>
      </c>
      <c r="BW123" s="16">
        <f>MongDon!$F$86</f>
        <v>1.5</v>
      </c>
      <c r="BX123" s="17" t="str">
        <f t="shared" si="128"/>
        <v>Ok</v>
      </c>
      <c r="BY123" s="17">
        <f t="shared" si="129"/>
        <v>152.08531225953601</v>
      </c>
      <c r="BZ123" s="17">
        <f t="shared" si="130"/>
        <v>180.19347900151499</v>
      </c>
      <c r="CA123" s="17">
        <f t="shared" si="131"/>
        <v>111.05233104231201</v>
      </c>
      <c r="CB123" s="17">
        <f t="shared" si="132"/>
        <v>82.944164300332801</v>
      </c>
      <c r="CC123" s="17">
        <f t="shared" si="133"/>
        <v>140.48334216519899</v>
      </c>
      <c r="CD123" s="17">
        <f t="shared" si="134"/>
        <v>135.33017826250301</v>
      </c>
      <c r="CE123" s="17">
        <f t="shared" si="135"/>
        <v>140.48334216519899</v>
      </c>
      <c r="CF123" s="17">
        <f t="shared" si="136"/>
        <v>127.807465039345</v>
      </c>
      <c r="CG123" s="17">
        <f t="shared" si="137"/>
        <v>20.043159845065301</v>
      </c>
      <c r="CH123" s="17">
        <f t="shared" si="138"/>
        <v>20.043159845065301</v>
      </c>
      <c r="CI123" s="17">
        <f t="shared" si="139"/>
        <v>342.61811700966302</v>
      </c>
      <c r="CJ123" s="17">
        <f t="shared" si="140"/>
        <v>342.61811700966302</v>
      </c>
    </row>
    <row r="124" spans="2:88">
      <c r="B124" s="3">
        <v>25</v>
      </c>
      <c r="C124" s="3" t="s">
        <v>23</v>
      </c>
      <c r="D124" s="4">
        <v>0.37232410163126101</v>
      </c>
      <c r="E124" s="4">
        <v>1.5579717959181401</v>
      </c>
      <c r="F124" s="4">
        <v>199.601691457134</v>
      </c>
      <c r="G124" s="4">
        <v>-1.7729727135006199</v>
      </c>
      <c r="H124" s="4">
        <v>0.44757427280874101</v>
      </c>
      <c r="I124" s="4" t="s">
        <v>13</v>
      </c>
      <c r="J124" s="4">
        <v>0.32058040283122702</v>
      </c>
      <c r="K124" s="4">
        <v>1.31322856984374</v>
      </c>
      <c r="L124" s="4">
        <v>170.88709924816399</v>
      </c>
      <c r="M124" s="4">
        <v>-1.49692403101006</v>
      </c>
      <c r="N124" s="4">
        <v>0.38405493793415901</v>
      </c>
      <c r="O124" s="4">
        <v>1.3</v>
      </c>
      <c r="P124" s="4">
        <v>1.3</v>
      </c>
      <c r="Q124" s="4">
        <v>0.22</v>
      </c>
      <c r="R124" s="4">
        <v>0.22</v>
      </c>
      <c r="S124" s="4">
        <v>0</v>
      </c>
      <c r="T124" s="4">
        <v>0</v>
      </c>
      <c r="U124" s="4">
        <v>0.3</v>
      </c>
      <c r="V124" s="4">
        <v>0.05</v>
      </c>
      <c r="W124" s="4">
        <v>1</v>
      </c>
      <c r="X124" s="4">
        <v>19.100000000000001</v>
      </c>
      <c r="Y124" s="4">
        <v>0</v>
      </c>
      <c r="Z124" s="4">
        <v>1.5</v>
      </c>
      <c r="AA124" s="4">
        <v>139</v>
      </c>
      <c r="AB124" s="4">
        <v>12.1</v>
      </c>
      <c r="AC124" s="4">
        <v>19.5</v>
      </c>
      <c r="AD124" s="3" t="s">
        <v>42</v>
      </c>
      <c r="AE124" s="3" t="s">
        <v>61</v>
      </c>
      <c r="AF124" s="17">
        <f>HLOOKUP(AD124,Data!$B$4:$M$9,2,0)</f>
        <v>13</v>
      </c>
      <c r="AG124" s="17">
        <f>HLOOKUP(AD124,Data!$B$4:$M$9,3,0)</f>
        <v>1</v>
      </c>
      <c r="AH124" s="17">
        <f>HLOOKUP(AE124,Data!$B$13:$I$18,3,0)</f>
        <v>260</v>
      </c>
      <c r="AI124" s="18">
        <f t="shared" si="90"/>
        <v>1.69</v>
      </c>
      <c r="AJ124" s="17">
        <f t="shared" si="91"/>
        <v>0.36616666666666697</v>
      </c>
      <c r="AK124" s="17">
        <f t="shared" si="92"/>
        <v>0.36616666666666697</v>
      </c>
      <c r="AL124" s="17">
        <f t="shared" si="93"/>
        <v>0.25</v>
      </c>
      <c r="AM124" s="17">
        <f t="shared" si="94"/>
        <v>0.54</v>
      </c>
      <c r="AN124" s="17">
        <f t="shared" si="95"/>
        <v>0.54</v>
      </c>
      <c r="AO124" s="17">
        <f t="shared" si="96"/>
        <v>0.54</v>
      </c>
      <c r="AP124" s="17">
        <f t="shared" si="97"/>
        <v>0.54</v>
      </c>
      <c r="AQ124" s="17">
        <f t="shared" si="98"/>
        <v>1.88</v>
      </c>
      <c r="AR124" s="17">
        <f t="shared" si="99"/>
        <v>1.1716</v>
      </c>
      <c r="AS124" s="17">
        <f t="shared" si="100"/>
        <v>199.601691457134</v>
      </c>
      <c r="AT124" s="17">
        <f t="shared" si="101"/>
        <v>-2.2403642522760601</v>
      </c>
      <c r="AU124" s="17">
        <f t="shared" si="102"/>
        <v>0.55927150329811903</v>
      </c>
      <c r="AV124" s="17">
        <f t="shared" si="103"/>
        <v>170.88709924816399</v>
      </c>
      <c r="AW124" s="17">
        <f t="shared" si="104"/>
        <v>-1.89089260196318</v>
      </c>
      <c r="AX124" s="17">
        <f t="shared" si="105"/>
        <v>0.48022905878352701</v>
      </c>
      <c r="AY124" s="17">
        <f t="shared" si="106"/>
        <v>146.35330606632601</v>
      </c>
      <c r="AZ124" s="17">
        <f t="shared" si="107"/>
        <v>131.06171340957201</v>
      </c>
      <c r="BA124" s="17">
        <f t="shared" si="108"/>
        <v>138.70750973794901</v>
      </c>
      <c r="BB124" s="17">
        <f t="shared" si="109"/>
        <v>128.19215247478101</v>
      </c>
      <c r="BC124" s="17">
        <f t="shared" si="110"/>
        <v>115.24110107334199</v>
      </c>
      <c r="BD124" s="17">
        <f t="shared" si="111"/>
        <v>121.716626774061</v>
      </c>
      <c r="BE124" s="17" t="str">
        <f>IF(AND(BD124&lt;=AA124,BB124&lt;=AA124*MongDon!$J$44,BC124&gt;0),"Ok","FAIL")</f>
        <v>Ok</v>
      </c>
      <c r="BF124" s="17">
        <f t="shared" si="112"/>
        <v>171.46753338730801</v>
      </c>
      <c r="BG124" s="17">
        <f t="shared" si="113"/>
        <v>352.5</v>
      </c>
      <c r="BH124" s="17" t="str">
        <f t="shared" si="114"/>
        <v>Ok</v>
      </c>
      <c r="BI124" s="17">
        <f t="shared" si="115"/>
        <v>54.5993783895265</v>
      </c>
      <c r="BJ124" s="17">
        <f t="shared" si="116"/>
        <v>52.868549168685298</v>
      </c>
      <c r="BK124" s="17">
        <f t="shared" si="117"/>
        <v>49.986083952887</v>
      </c>
      <c r="BL124" s="17">
        <f t="shared" si="118"/>
        <v>51.716913173728202</v>
      </c>
      <c r="BM124" s="17">
        <f t="shared" si="119"/>
        <v>88.125</v>
      </c>
      <c r="BN124" s="17">
        <f t="shared" si="120"/>
        <v>88.125</v>
      </c>
      <c r="BO124" s="17">
        <f t="shared" si="121"/>
        <v>88.125</v>
      </c>
      <c r="BP124" s="17">
        <f t="shared" si="122"/>
        <v>88.125</v>
      </c>
      <c r="BQ124" s="17" t="str">
        <f t="shared" si="123"/>
        <v>Ok</v>
      </c>
      <c r="BR124" s="17">
        <f t="shared" si="124"/>
        <v>75.745894897235701</v>
      </c>
      <c r="BS124" s="17">
        <f t="shared" si="125"/>
        <v>48.618270944113803</v>
      </c>
      <c r="BT124" s="16">
        <f>MongDon!$H$80</f>
        <v>1.2</v>
      </c>
      <c r="BU124" s="17" t="str">
        <f t="shared" si="126"/>
        <v>Ok</v>
      </c>
      <c r="BV124" s="17">
        <f t="shared" si="127"/>
        <v>67.2758678835431</v>
      </c>
      <c r="BW124" s="16">
        <f>MongDon!$F$86</f>
        <v>1.5</v>
      </c>
      <c r="BX124" s="17" t="str">
        <f t="shared" si="128"/>
        <v>Ok</v>
      </c>
      <c r="BY124" s="17">
        <f t="shared" si="129"/>
        <v>143.29856867917201</v>
      </c>
      <c r="BZ124" s="17">
        <f t="shared" si="130"/>
        <v>146.35330606632601</v>
      </c>
      <c r="CA124" s="17">
        <f t="shared" si="131"/>
        <v>134.11645079672601</v>
      </c>
      <c r="CB124" s="17">
        <f t="shared" si="132"/>
        <v>131.06171340957201</v>
      </c>
      <c r="CC124" s="17">
        <f t="shared" si="133"/>
        <v>140.00141373198201</v>
      </c>
      <c r="CD124" s="17">
        <f t="shared" si="134"/>
        <v>139.484458174156</v>
      </c>
      <c r="CE124" s="17">
        <f t="shared" si="135"/>
        <v>140.00141373198201</v>
      </c>
      <c r="CF124" s="17">
        <f t="shared" si="136"/>
        <v>137.93056130174199</v>
      </c>
      <c r="CG124" s="17">
        <f t="shared" si="137"/>
        <v>21.029610057021301</v>
      </c>
      <c r="CH124" s="17">
        <f t="shared" si="138"/>
        <v>21.029610057021301</v>
      </c>
      <c r="CI124" s="17">
        <f t="shared" si="139"/>
        <v>359.48051379523503</v>
      </c>
      <c r="CJ124" s="17">
        <f t="shared" si="140"/>
        <v>359.48051379523503</v>
      </c>
    </row>
    <row r="125" spans="2:88">
      <c r="B125" s="3">
        <v>25</v>
      </c>
      <c r="C125" s="3" t="s">
        <v>24</v>
      </c>
      <c r="D125" s="4">
        <v>0.41169541866508402</v>
      </c>
      <c r="E125" s="4">
        <v>1.78481253409818</v>
      </c>
      <c r="F125" s="4">
        <v>222.85345602544101</v>
      </c>
      <c r="G125" s="4">
        <v>-2.0256852722797198</v>
      </c>
      <c r="H125" s="4">
        <v>0.49780195497107399</v>
      </c>
      <c r="I125" s="4" t="s">
        <v>14</v>
      </c>
      <c r="J125" s="4">
        <v>0.35338983369274601</v>
      </c>
      <c r="K125" s="4">
        <v>1.5022625183271101</v>
      </c>
      <c r="L125" s="4">
        <v>190.26356972175299</v>
      </c>
      <c r="M125" s="4">
        <v>-1.7075178299926499</v>
      </c>
      <c r="N125" s="4">
        <v>0.42591133973610301</v>
      </c>
      <c r="O125" s="4">
        <v>1.3</v>
      </c>
      <c r="P125" s="4">
        <v>1.3</v>
      </c>
      <c r="Q125" s="4">
        <v>0.22</v>
      </c>
      <c r="R125" s="4">
        <v>0.22</v>
      </c>
      <c r="S125" s="4">
        <v>0</v>
      </c>
      <c r="T125" s="4">
        <v>0</v>
      </c>
      <c r="U125" s="4">
        <v>0.3</v>
      </c>
      <c r="V125" s="4">
        <v>0.05</v>
      </c>
      <c r="W125" s="4">
        <v>1</v>
      </c>
      <c r="X125" s="4">
        <v>19.100000000000001</v>
      </c>
      <c r="Y125" s="4">
        <v>0</v>
      </c>
      <c r="Z125" s="4">
        <v>1.5</v>
      </c>
      <c r="AA125" s="4">
        <v>139</v>
      </c>
      <c r="AB125" s="4">
        <v>12.1</v>
      </c>
      <c r="AC125" s="4">
        <v>19.5</v>
      </c>
      <c r="AD125" s="3" t="s">
        <v>42</v>
      </c>
      <c r="AE125" s="3" t="s">
        <v>61</v>
      </c>
      <c r="AF125" s="17">
        <f>HLOOKUP(AD125,Data!$B$4:$M$9,2,0)</f>
        <v>13</v>
      </c>
      <c r="AG125" s="17">
        <f>HLOOKUP(AD125,Data!$B$4:$M$9,3,0)</f>
        <v>1</v>
      </c>
      <c r="AH125" s="17">
        <f>HLOOKUP(AE125,Data!$B$13:$I$18,3,0)</f>
        <v>260</v>
      </c>
      <c r="AI125" s="18">
        <f t="shared" si="90"/>
        <v>1.69</v>
      </c>
      <c r="AJ125" s="17">
        <f t="shared" si="91"/>
        <v>0.36616666666666697</v>
      </c>
      <c r="AK125" s="17">
        <f t="shared" si="92"/>
        <v>0.36616666666666697</v>
      </c>
      <c r="AL125" s="17">
        <f t="shared" si="93"/>
        <v>0.25</v>
      </c>
      <c r="AM125" s="17">
        <f t="shared" si="94"/>
        <v>0.54</v>
      </c>
      <c r="AN125" s="17">
        <f t="shared" si="95"/>
        <v>0.54</v>
      </c>
      <c r="AO125" s="17">
        <f t="shared" si="96"/>
        <v>0.54</v>
      </c>
      <c r="AP125" s="17">
        <f t="shared" si="97"/>
        <v>0.54</v>
      </c>
      <c r="AQ125" s="17">
        <f t="shared" si="98"/>
        <v>1.88</v>
      </c>
      <c r="AR125" s="17">
        <f t="shared" si="99"/>
        <v>1.1716</v>
      </c>
      <c r="AS125" s="17">
        <f t="shared" si="100"/>
        <v>222.85345602544101</v>
      </c>
      <c r="AT125" s="17">
        <f t="shared" si="101"/>
        <v>-2.56112903250918</v>
      </c>
      <c r="AU125" s="17">
        <f t="shared" si="102"/>
        <v>0.62131058057059896</v>
      </c>
      <c r="AV125" s="17">
        <f t="shared" si="103"/>
        <v>190.26356972175299</v>
      </c>
      <c r="AW125" s="17">
        <f t="shared" si="104"/>
        <v>-2.1581965854907801</v>
      </c>
      <c r="AX125" s="17">
        <f t="shared" si="105"/>
        <v>0.53192828984392604</v>
      </c>
      <c r="AY125" s="17">
        <f t="shared" si="106"/>
        <v>161.15718275446099</v>
      </c>
      <c r="AZ125" s="17">
        <f t="shared" si="107"/>
        <v>143.774717867362</v>
      </c>
      <c r="BA125" s="17">
        <f t="shared" si="108"/>
        <v>152.46595031091201</v>
      </c>
      <c r="BB125" s="17">
        <f t="shared" si="109"/>
        <v>140.52871638156</v>
      </c>
      <c r="BC125" s="17">
        <f t="shared" si="110"/>
        <v>125.835271454834</v>
      </c>
      <c r="BD125" s="17">
        <f t="shared" si="111"/>
        <v>133.18199391819701</v>
      </c>
      <c r="BE125" s="17" t="str">
        <f>IF(AND(BD125&lt;=AA125,BB125&lt;=AA125*MongDon!$J$44,BC125&gt;0),"Ok","FAIL")</f>
        <v>Ok</v>
      </c>
      <c r="BF125" s="17">
        <f t="shared" si="112"/>
        <v>188.81175531512699</v>
      </c>
      <c r="BG125" s="17">
        <f t="shared" si="113"/>
        <v>352.5</v>
      </c>
      <c r="BH125" s="17" t="str">
        <f t="shared" si="114"/>
        <v>Ok</v>
      </c>
      <c r="BI125" s="17">
        <f t="shared" si="115"/>
        <v>60.116565348022</v>
      </c>
      <c r="BJ125" s="17">
        <f t="shared" si="116"/>
        <v>58.119355817623699</v>
      </c>
      <c r="BK125" s="17">
        <f t="shared" si="117"/>
        <v>54.842761186405397</v>
      </c>
      <c r="BL125" s="17">
        <f t="shared" si="118"/>
        <v>56.839970716803698</v>
      </c>
      <c r="BM125" s="17">
        <f t="shared" si="119"/>
        <v>88.125</v>
      </c>
      <c r="BN125" s="17">
        <f t="shared" si="120"/>
        <v>88.125</v>
      </c>
      <c r="BO125" s="17">
        <f t="shared" si="121"/>
        <v>88.125</v>
      </c>
      <c r="BP125" s="17">
        <f t="shared" si="122"/>
        <v>88.125</v>
      </c>
      <c r="BQ125" s="17" t="str">
        <f t="shared" si="123"/>
        <v>Ok</v>
      </c>
      <c r="BR125" s="17">
        <f t="shared" si="124"/>
        <v>80.7306413017088</v>
      </c>
      <c r="BS125" s="17">
        <f t="shared" si="125"/>
        <v>45.232000425467497</v>
      </c>
      <c r="BT125" s="16">
        <f>MongDon!$H$80</f>
        <v>1.2</v>
      </c>
      <c r="BU125" s="17" t="str">
        <f t="shared" si="126"/>
        <v>Ok</v>
      </c>
      <c r="BV125" s="17">
        <f t="shared" si="127"/>
        <v>64.751168063588096</v>
      </c>
      <c r="BW125" s="16">
        <f>MongDon!$F$86</f>
        <v>1.5</v>
      </c>
      <c r="BX125" s="17" t="str">
        <f t="shared" si="128"/>
        <v>Ok</v>
      </c>
      <c r="BY125" s="17">
        <f t="shared" si="129"/>
        <v>157.76358832257799</v>
      </c>
      <c r="BZ125" s="17">
        <f t="shared" si="130"/>
        <v>161.15718275446099</v>
      </c>
      <c r="CA125" s="17">
        <f t="shared" si="131"/>
        <v>147.168312299245</v>
      </c>
      <c r="CB125" s="17">
        <f t="shared" si="132"/>
        <v>143.774717867362</v>
      </c>
      <c r="CC125" s="17">
        <f t="shared" si="133"/>
        <v>153.93677426289699</v>
      </c>
      <c r="CD125" s="17">
        <f t="shared" si="134"/>
        <v>153.362473666732</v>
      </c>
      <c r="CE125" s="17">
        <f t="shared" si="135"/>
        <v>153.93677426289699</v>
      </c>
      <c r="CF125" s="17">
        <f t="shared" si="136"/>
        <v>151.56942695509099</v>
      </c>
      <c r="CG125" s="17">
        <f t="shared" si="137"/>
        <v>23.1458053929104</v>
      </c>
      <c r="CH125" s="17">
        <f t="shared" si="138"/>
        <v>23.1458053929104</v>
      </c>
      <c r="CI125" s="17">
        <f t="shared" si="139"/>
        <v>395.65479304120402</v>
      </c>
      <c r="CJ125" s="17">
        <f t="shared" si="140"/>
        <v>395.65479304120402</v>
      </c>
    </row>
    <row r="126" spans="2:88">
      <c r="B126" s="3">
        <v>25</v>
      </c>
      <c r="C126" s="3" t="s">
        <v>25</v>
      </c>
      <c r="D126" s="4">
        <v>-3.7652895776708402</v>
      </c>
      <c r="E126" s="4">
        <v>2.87919492890817</v>
      </c>
      <c r="F126" s="4">
        <v>223.39988587207799</v>
      </c>
      <c r="G126" s="4">
        <v>-3.7205432127131601</v>
      </c>
      <c r="H126" s="4">
        <v>-6.1582507035841303</v>
      </c>
      <c r="I126" s="4" t="s">
        <v>15</v>
      </c>
      <c r="J126" s="4">
        <v>-3.12743099658719</v>
      </c>
      <c r="K126" s="4">
        <v>2.4142478473354401</v>
      </c>
      <c r="L126" s="4">
        <v>190.718927927284</v>
      </c>
      <c r="M126" s="4">
        <v>-3.1198994470205101</v>
      </c>
      <c r="N126" s="4">
        <v>-5.1207992090598999</v>
      </c>
      <c r="O126" s="4">
        <v>1.3</v>
      </c>
      <c r="P126" s="4">
        <v>1.3</v>
      </c>
      <c r="Q126" s="4">
        <v>0.22</v>
      </c>
      <c r="R126" s="4">
        <v>0.22</v>
      </c>
      <c r="S126" s="4">
        <v>0</v>
      </c>
      <c r="T126" s="4">
        <v>0</v>
      </c>
      <c r="U126" s="4">
        <v>0.3</v>
      </c>
      <c r="V126" s="4">
        <v>0.05</v>
      </c>
      <c r="W126" s="4">
        <v>1</v>
      </c>
      <c r="X126" s="4">
        <v>19.100000000000001</v>
      </c>
      <c r="Y126" s="4">
        <v>0</v>
      </c>
      <c r="Z126" s="4">
        <v>1.5</v>
      </c>
      <c r="AA126" s="4">
        <v>139</v>
      </c>
      <c r="AB126" s="4">
        <v>12.1</v>
      </c>
      <c r="AC126" s="4">
        <v>19.5</v>
      </c>
      <c r="AD126" s="3" t="s">
        <v>42</v>
      </c>
      <c r="AE126" s="3" t="s">
        <v>61</v>
      </c>
      <c r="AF126" s="17">
        <f>HLOOKUP(AD126,Data!$B$4:$M$9,2,0)</f>
        <v>13</v>
      </c>
      <c r="AG126" s="17">
        <f>HLOOKUP(AD126,Data!$B$4:$M$9,3,0)</f>
        <v>1</v>
      </c>
      <c r="AH126" s="17">
        <f>HLOOKUP(AE126,Data!$B$13:$I$18,3,0)</f>
        <v>260</v>
      </c>
      <c r="AI126" s="18">
        <f t="shared" si="90"/>
        <v>1.69</v>
      </c>
      <c r="AJ126" s="17">
        <f t="shared" si="91"/>
        <v>0.36616666666666697</v>
      </c>
      <c r="AK126" s="17">
        <f t="shared" si="92"/>
        <v>0.36616666666666697</v>
      </c>
      <c r="AL126" s="17">
        <f t="shared" si="93"/>
        <v>0.25</v>
      </c>
      <c r="AM126" s="17">
        <f t="shared" si="94"/>
        <v>0.54</v>
      </c>
      <c r="AN126" s="17">
        <f t="shared" si="95"/>
        <v>0.54</v>
      </c>
      <c r="AO126" s="17">
        <f t="shared" si="96"/>
        <v>0.54</v>
      </c>
      <c r="AP126" s="17">
        <f t="shared" si="97"/>
        <v>0.54</v>
      </c>
      <c r="AQ126" s="17">
        <f t="shared" si="98"/>
        <v>1.88</v>
      </c>
      <c r="AR126" s="17">
        <f t="shared" si="99"/>
        <v>1.1716</v>
      </c>
      <c r="AS126" s="17">
        <f t="shared" si="100"/>
        <v>223.39988587207799</v>
      </c>
      <c r="AT126" s="17">
        <f t="shared" si="101"/>
        <v>-4.5843016913856101</v>
      </c>
      <c r="AU126" s="17">
        <f t="shared" si="102"/>
        <v>-7.28783757688538</v>
      </c>
      <c r="AV126" s="17">
        <f t="shared" si="103"/>
        <v>190.718927927284</v>
      </c>
      <c r="AW126" s="17">
        <f t="shared" si="104"/>
        <v>-3.8441738012211402</v>
      </c>
      <c r="AX126" s="17">
        <f t="shared" si="105"/>
        <v>-6.05902850803606</v>
      </c>
      <c r="AY126" s="17">
        <f t="shared" si="106"/>
        <v>185.212056096189</v>
      </c>
      <c r="AZ126" s="17">
        <f t="shared" si="107"/>
        <v>120.366507066034</v>
      </c>
      <c r="BA126" s="17">
        <f t="shared" si="108"/>
        <v>152.789281581111</v>
      </c>
      <c r="BB126" s="17">
        <f t="shared" si="109"/>
        <v>160.497050596729</v>
      </c>
      <c r="BC126" s="17">
        <f t="shared" si="110"/>
        <v>106.405822689998</v>
      </c>
      <c r="BD126" s="17">
        <f t="shared" si="111"/>
        <v>133.45143664336399</v>
      </c>
      <c r="BE126" s="17" t="str">
        <f>IF(AND(BD126&lt;=AA126,BB126&lt;=AA126*MongDon!$J$44,BC126&gt;0),"Ok","FAIL")</f>
        <v>Ok</v>
      </c>
      <c r="BF126" s="17">
        <f t="shared" si="112"/>
        <v>216.994444922295</v>
      </c>
      <c r="BG126" s="17">
        <f t="shared" si="113"/>
        <v>352.5</v>
      </c>
      <c r="BH126" s="17" t="str">
        <f t="shared" si="114"/>
        <v>Ok</v>
      </c>
      <c r="BI126" s="17">
        <f t="shared" si="115"/>
        <v>62.321491075020397</v>
      </c>
      <c r="BJ126" s="17">
        <f t="shared" si="116"/>
        <v>50.098105082836099</v>
      </c>
      <c r="BK126" s="17">
        <f t="shared" si="117"/>
        <v>52.8816272371376</v>
      </c>
      <c r="BL126" s="17">
        <f t="shared" si="118"/>
        <v>65.105013229321898</v>
      </c>
      <c r="BM126" s="17">
        <f t="shared" si="119"/>
        <v>88.125</v>
      </c>
      <c r="BN126" s="17">
        <f t="shared" si="120"/>
        <v>88.125</v>
      </c>
      <c r="BO126" s="17">
        <f t="shared" si="121"/>
        <v>88.125</v>
      </c>
      <c r="BP126" s="17">
        <f t="shared" si="122"/>
        <v>88.125</v>
      </c>
      <c r="BQ126" s="17" t="str">
        <f t="shared" si="123"/>
        <v>Ok</v>
      </c>
      <c r="BR126" s="17">
        <f t="shared" si="124"/>
        <v>80.847785710483507</v>
      </c>
      <c r="BS126" s="17">
        <f t="shared" si="125"/>
        <v>21.4718639941884</v>
      </c>
      <c r="BT126" s="16">
        <f>MongDon!$H$80</f>
        <v>1.2</v>
      </c>
      <c r="BU126" s="17" t="str">
        <f t="shared" si="126"/>
        <v>Ok</v>
      </c>
      <c r="BV126" s="17">
        <f t="shared" si="127"/>
        <v>22.803921473765399</v>
      </c>
      <c r="BW126" s="16">
        <f>MongDon!$F$86</f>
        <v>1.5</v>
      </c>
      <c r="BX126" s="17" t="str">
        <f t="shared" si="128"/>
        <v>Ok</v>
      </c>
      <c r="BY126" s="17">
        <f t="shared" si="129"/>
        <v>185.212056096189</v>
      </c>
      <c r="BZ126" s="17">
        <f t="shared" si="130"/>
        <v>145.405933691717</v>
      </c>
      <c r="CA126" s="17">
        <f t="shared" si="131"/>
        <v>120.366507066034</v>
      </c>
      <c r="CB126" s="17">
        <f t="shared" si="132"/>
        <v>160.172629470505</v>
      </c>
      <c r="CC126" s="17">
        <f t="shared" si="133"/>
        <v>151.53979193829099</v>
      </c>
      <c r="CD126" s="17">
        <f t="shared" si="134"/>
        <v>158.276212652894</v>
      </c>
      <c r="CE126" s="17">
        <f t="shared" si="135"/>
        <v>158.276212652894</v>
      </c>
      <c r="CF126" s="17">
        <f t="shared" si="136"/>
        <v>154.038771223932</v>
      </c>
      <c r="CG126" s="17">
        <f t="shared" si="137"/>
        <v>25.694835787480201</v>
      </c>
      <c r="CH126" s="17">
        <f t="shared" si="138"/>
        <v>25.694835787480201</v>
      </c>
      <c r="CI126" s="17">
        <f t="shared" si="139"/>
        <v>439.22796217914902</v>
      </c>
      <c r="CJ126" s="17">
        <f t="shared" si="140"/>
        <v>439.22796217914902</v>
      </c>
    </row>
    <row r="127" spans="2:88">
      <c r="B127" s="3">
        <v>25</v>
      </c>
      <c r="C127" s="3" t="s">
        <v>26</v>
      </c>
      <c r="D127" s="4">
        <v>4.5808061515942402</v>
      </c>
      <c r="E127" s="4">
        <v>0.64506199165218603</v>
      </c>
      <c r="F127" s="4">
        <v>217.65667326514199</v>
      </c>
      <c r="G127" s="4">
        <v>-0.28028482009046601</v>
      </c>
      <c r="H127" s="4">
        <v>7.1438090770938096</v>
      </c>
      <c r="I127" s="4" t="s">
        <v>16</v>
      </c>
      <c r="J127" s="4">
        <v>3.82764877780038</v>
      </c>
      <c r="K127" s="4">
        <v>0.55247039962211497</v>
      </c>
      <c r="L127" s="4">
        <v>185.93291742150399</v>
      </c>
      <c r="M127" s="4">
        <v>-0.25301745316826701</v>
      </c>
      <c r="N127" s="4">
        <v>5.9642506081717199</v>
      </c>
      <c r="O127" s="4">
        <v>1.3</v>
      </c>
      <c r="P127" s="4">
        <v>1.3</v>
      </c>
      <c r="Q127" s="4">
        <v>0.22</v>
      </c>
      <c r="R127" s="4">
        <v>0.22</v>
      </c>
      <c r="S127" s="4">
        <v>0</v>
      </c>
      <c r="T127" s="4">
        <v>0</v>
      </c>
      <c r="U127" s="4">
        <v>0.3</v>
      </c>
      <c r="V127" s="4">
        <v>0.05</v>
      </c>
      <c r="W127" s="4">
        <v>1</v>
      </c>
      <c r="X127" s="4">
        <v>19.100000000000001</v>
      </c>
      <c r="Y127" s="4">
        <v>0</v>
      </c>
      <c r="Z127" s="4">
        <v>1.5</v>
      </c>
      <c r="AA127" s="4">
        <v>139</v>
      </c>
      <c r="AB127" s="4">
        <v>12.1</v>
      </c>
      <c r="AC127" s="4">
        <v>19.5</v>
      </c>
      <c r="AD127" s="3" t="s">
        <v>42</v>
      </c>
      <c r="AE127" s="3" t="s">
        <v>61</v>
      </c>
      <c r="AF127" s="17">
        <f>HLOOKUP(AD127,Data!$B$4:$M$9,2,0)</f>
        <v>13</v>
      </c>
      <c r="AG127" s="17">
        <f>HLOOKUP(AD127,Data!$B$4:$M$9,3,0)</f>
        <v>1</v>
      </c>
      <c r="AH127" s="17">
        <f>HLOOKUP(AE127,Data!$B$13:$I$18,3,0)</f>
        <v>260</v>
      </c>
      <c r="AI127" s="18">
        <f t="shared" si="90"/>
        <v>1.69</v>
      </c>
      <c r="AJ127" s="17">
        <f t="shared" si="91"/>
        <v>0.36616666666666697</v>
      </c>
      <c r="AK127" s="17">
        <f t="shared" si="92"/>
        <v>0.36616666666666697</v>
      </c>
      <c r="AL127" s="17">
        <f t="shared" si="93"/>
        <v>0.25</v>
      </c>
      <c r="AM127" s="17">
        <f t="shared" si="94"/>
        <v>0.54</v>
      </c>
      <c r="AN127" s="17">
        <f t="shared" si="95"/>
        <v>0.54</v>
      </c>
      <c r="AO127" s="17">
        <f t="shared" si="96"/>
        <v>0.54</v>
      </c>
      <c r="AP127" s="17">
        <f t="shared" si="97"/>
        <v>0.54</v>
      </c>
      <c r="AQ127" s="17">
        <f t="shared" si="98"/>
        <v>1.88</v>
      </c>
      <c r="AR127" s="17">
        <f t="shared" si="99"/>
        <v>1.1716</v>
      </c>
      <c r="AS127" s="17">
        <f t="shared" si="100"/>
        <v>217.65667326514199</v>
      </c>
      <c r="AT127" s="17">
        <f t="shared" si="101"/>
        <v>-0.47380341758612199</v>
      </c>
      <c r="AU127" s="17">
        <f t="shared" si="102"/>
        <v>8.5180509225720904</v>
      </c>
      <c r="AV127" s="17">
        <f t="shared" si="103"/>
        <v>185.93291742150399</v>
      </c>
      <c r="AW127" s="17">
        <f t="shared" si="104"/>
        <v>-0.41875857305490199</v>
      </c>
      <c r="AX127" s="17">
        <f t="shared" si="105"/>
        <v>7.11254524151183</v>
      </c>
      <c r="AY127" s="17">
        <f t="shared" si="106"/>
        <v>173.947656479578</v>
      </c>
      <c r="AZ127" s="17">
        <f t="shared" si="107"/>
        <v>124.834205372661</v>
      </c>
      <c r="BA127" s="17">
        <f t="shared" si="108"/>
        <v>149.39093092611901</v>
      </c>
      <c r="BB127" s="17">
        <f t="shared" si="109"/>
        <v>151.18744448582399</v>
      </c>
      <c r="BC127" s="17">
        <f t="shared" si="110"/>
        <v>110.051511042583</v>
      </c>
      <c r="BD127" s="17">
        <f t="shared" si="111"/>
        <v>130.61947776420399</v>
      </c>
      <c r="BE127" s="17" t="str">
        <f>IF(AND(BD127&lt;=AA127,BB127&lt;=AA127*MongDon!$J$44,BC127&gt;0),"Ok","FAIL")</f>
        <v>Ok</v>
      </c>
      <c r="BF127" s="17">
        <f t="shared" si="112"/>
        <v>203.79707433147399</v>
      </c>
      <c r="BG127" s="17">
        <f t="shared" si="113"/>
        <v>352.5</v>
      </c>
      <c r="BH127" s="17" t="str">
        <f t="shared" si="114"/>
        <v>Ok</v>
      </c>
      <c r="BI127" s="17">
        <f t="shared" si="115"/>
        <v>56.8082022293245</v>
      </c>
      <c r="BJ127" s="17">
        <f t="shared" si="116"/>
        <v>65.0904452226236</v>
      </c>
      <c r="BK127" s="17">
        <f t="shared" si="117"/>
        <v>55.832559688969603</v>
      </c>
      <c r="BL127" s="17">
        <f t="shared" si="118"/>
        <v>47.550316695670503</v>
      </c>
      <c r="BM127" s="17">
        <f t="shared" si="119"/>
        <v>88.125</v>
      </c>
      <c r="BN127" s="17">
        <f t="shared" si="120"/>
        <v>88.125</v>
      </c>
      <c r="BO127" s="17">
        <f t="shared" si="121"/>
        <v>88.125</v>
      </c>
      <c r="BP127" s="17">
        <f t="shared" si="122"/>
        <v>88.125</v>
      </c>
      <c r="BQ127" s="17" t="str">
        <f t="shared" si="123"/>
        <v>Ok</v>
      </c>
      <c r="BR127" s="17">
        <f t="shared" si="124"/>
        <v>79.616547612039398</v>
      </c>
      <c r="BS127" s="17">
        <f t="shared" si="125"/>
        <v>17.380466445699899</v>
      </c>
      <c r="BT127" s="16">
        <f>MongDon!$H$80</f>
        <v>1.2</v>
      </c>
      <c r="BU127" s="17" t="str">
        <f t="shared" si="126"/>
        <v>Ok</v>
      </c>
      <c r="BV127" s="17">
        <f t="shared" si="127"/>
        <v>19.072225453811502</v>
      </c>
      <c r="BW127" s="16">
        <f>MongDon!$F$86</f>
        <v>1.5</v>
      </c>
      <c r="BX127" s="17" t="str">
        <f t="shared" si="128"/>
        <v>Ok</v>
      </c>
      <c r="BY127" s="17">
        <f t="shared" si="129"/>
        <v>127.422116620286</v>
      </c>
      <c r="BZ127" s="17">
        <f t="shared" si="130"/>
        <v>173.947656479578</v>
      </c>
      <c r="CA127" s="17">
        <f t="shared" si="131"/>
        <v>171.35974523195301</v>
      </c>
      <c r="CB127" s="17">
        <f t="shared" si="132"/>
        <v>124.834205372661</v>
      </c>
      <c r="CC127" s="17">
        <f t="shared" si="133"/>
        <v>153.54668448132</v>
      </c>
      <c r="CD127" s="17">
        <f t="shared" si="134"/>
        <v>145.67313158205499</v>
      </c>
      <c r="CE127" s="17">
        <f t="shared" si="135"/>
        <v>153.54668448132</v>
      </c>
      <c r="CF127" s="17">
        <f t="shared" si="136"/>
        <v>153.108730270184</v>
      </c>
      <c r="CG127" s="17">
        <f t="shared" si="137"/>
        <v>24.370081075607199</v>
      </c>
      <c r="CH127" s="17">
        <f t="shared" si="138"/>
        <v>24.370081075607199</v>
      </c>
      <c r="CI127" s="17">
        <f t="shared" si="139"/>
        <v>416.58258248901097</v>
      </c>
      <c r="CJ127" s="17">
        <f t="shared" si="140"/>
        <v>416.58258248901097</v>
      </c>
    </row>
    <row r="128" spans="2:88">
      <c r="B128" s="3">
        <v>25</v>
      </c>
      <c r="C128" s="3" t="s">
        <v>27</v>
      </c>
      <c r="D128" s="4">
        <v>-1.01194210599419</v>
      </c>
      <c r="E128" s="4">
        <v>1.7433541891308</v>
      </c>
      <c r="F128" s="4">
        <v>224.41452689691599</v>
      </c>
      <c r="G128" s="4">
        <v>-1.92296502835432</v>
      </c>
      <c r="H128" s="4">
        <v>-1.8280463051796201</v>
      </c>
      <c r="I128" s="4" t="s">
        <v>17</v>
      </c>
      <c r="J128" s="4">
        <v>-0.83297477018998001</v>
      </c>
      <c r="K128" s="4">
        <v>1.46771389752096</v>
      </c>
      <c r="L128" s="4">
        <v>191.56446211464899</v>
      </c>
      <c r="M128" s="4">
        <v>-1.6219176267214801</v>
      </c>
      <c r="N128" s="4">
        <v>-1.5122955437228101</v>
      </c>
      <c r="O128" s="4">
        <v>1.3</v>
      </c>
      <c r="P128" s="4">
        <v>1.3</v>
      </c>
      <c r="Q128" s="4">
        <v>0.22</v>
      </c>
      <c r="R128" s="4">
        <v>0.22</v>
      </c>
      <c r="S128" s="4">
        <v>0</v>
      </c>
      <c r="T128" s="4">
        <v>0</v>
      </c>
      <c r="U128" s="4">
        <v>0.3</v>
      </c>
      <c r="V128" s="4">
        <v>0.05</v>
      </c>
      <c r="W128" s="4">
        <v>1</v>
      </c>
      <c r="X128" s="4">
        <v>19.100000000000001</v>
      </c>
      <c r="Y128" s="4">
        <v>0</v>
      </c>
      <c r="Z128" s="4">
        <v>1.5</v>
      </c>
      <c r="AA128" s="4">
        <v>139</v>
      </c>
      <c r="AB128" s="4">
        <v>12.1</v>
      </c>
      <c r="AC128" s="4">
        <v>19.5</v>
      </c>
      <c r="AD128" s="3" t="s">
        <v>42</v>
      </c>
      <c r="AE128" s="3" t="s">
        <v>61</v>
      </c>
      <c r="AF128" s="17">
        <f>HLOOKUP(AD128,Data!$B$4:$M$9,2,0)</f>
        <v>13</v>
      </c>
      <c r="AG128" s="17">
        <f>HLOOKUP(AD128,Data!$B$4:$M$9,3,0)</f>
        <v>1</v>
      </c>
      <c r="AH128" s="17">
        <f>HLOOKUP(AE128,Data!$B$13:$I$18,3,0)</f>
        <v>260</v>
      </c>
      <c r="AI128" s="18">
        <f t="shared" si="90"/>
        <v>1.69</v>
      </c>
      <c r="AJ128" s="17">
        <f t="shared" si="91"/>
        <v>0.36616666666666697</v>
      </c>
      <c r="AK128" s="17">
        <f t="shared" si="92"/>
        <v>0.36616666666666697</v>
      </c>
      <c r="AL128" s="17">
        <f t="shared" si="93"/>
        <v>0.25</v>
      </c>
      <c r="AM128" s="17">
        <f t="shared" si="94"/>
        <v>0.54</v>
      </c>
      <c r="AN128" s="17">
        <f t="shared" si="95"/>
        <v>0.54</v>
      </c>
      <c r="AO128" s="17">
        <f t="shared" si="96"/>
        <v>0.54</v>
      </c>
      <c r="AP128" s="17">
        <f t="shared" si="97"/>
        <v>0.54</v>
      </c>
      <c r="AQ128" s="17">
        <f t="shared" si="98"/>
        <v>1.88</v>
      </c>
      <c r="AR128" s="17">
        <f t="shared" si="99"/>
        <v>1.1716</v>
      </c>
      <c r="AS128" s="17">
        <f t="shared" si="100"/>
        <v>224.41452689691599</v>
      </c>
      <c r="AT128" s="17">
        <f t="shared" si="101"/>
        <v>-2.44597128509356</v>
      </c>
      <c r="AU128" s="17">
        <f t="shared" si="102"/>
        <v>-2.1316289369778798</v>
      </c>
      <c r="AV128" s="17">
        <f t="shared" si="103"/>
        <v>191.56446211464899</v>
      </c>
      <c r="AW128" s="17">
        <f t="shared" si="104"/>
        <v>-2.0622317959777701</v>
      </c>
      <c r="AX128" s="17">
        <f t="shared" si="105"/>
        <v>-1.7621879747798099</v>
      </c>
      <c r="AY128" s="17">
        <f t="shared" si="106"/>
        <v>165.89107250724601</v>
      </c>
      <c r="AZ128" s="17">
        <f t="shared" si="107"/>
        <v>140.88824926425201</v>
      </c>
      <c r="BA128" s="17">
        <f t="shared" si="108"/>
        <v>153.38966088574901</v>
      </c>
      <c r="BB128" s="17">
        <f t="shared" si="109"/>
        <v>144.39623093927599</v>
      </c>
      <c r="BC128" s="17">
        <f t="shared" si="110"/>
        <v>123.50727452184699</v>
      </c>
      <c r="BD128" s="17">
        <f t="shared" si="111"/>
        <v>133.95175273056199</v>
      </c>
      <c r="BE128" s="17" t="str">
        <f>IF(AND(BD128&lt;=AA128,BB128&lt;=AA128*MongDon!$J$44,BC128&gt;0),"Ok","FAIL")</f>
        <v>Ok</v>
      </c>
      <c r="BF128" s="17">
        <f t="shared" si="112"/>
        <v>194.35798054948901</v>
      </c>
      <c r="BG128" s="17">
        <f t="shared" si="113"/>
        <v>352.5</v>
      </c>
      <c r="BH128" s="17" t="str">
        <f t="shared" si="114"/>
        <v>Ok</v>
      </c>
      <c r="BI128" s="17">
        <f t="shared" si="115"/>
        <v>60.346239453372803</v>
      </c>
      <c r="BJ128" s="17">
        <f t="shared" si="116"/>
        <v>55.633207272068503</v>
      </c>
      <c r="BK128" s="17">
        <f t="shared" si="117"/>
        <v>55.309564854481899</v>
      </c>
      <c r="BL128" s="17">
        <f t="shared" si="118"/>
        <v>60.022597035786298</v>
      </c>
      <c r="BM128" s="17">
        <f t="shared" si="119"/>
        <v>88.125</v>
      </c>
      <c r="BN128" s="17">
        <f t="shared" si="120"/>
        <v>88.125</v>
      </c>
      <c r="BO128" s="17">
        <f t="shared" si="121"/>
        <v>88.125</v>
      </c>
      <c r="BP128" s="17">
        <f t="shared" si="122"/>
        <v>88.125</v>
      </c>
      <c r="BQ128" s="17" t="str">
        <f t="shared" si="123"/>
        <v>Ok</v>
      </c>
      <c r="BR128" s="17">
        <f t="shared" si="124"/>
        <v>81.065305898490394</v>
      </c>
      <c r="BS128" s="17">
        <f t="shared" si="125"/>
        <v>46.499619184617899</v>
      </c>
      <c r="BT128" s="16">
        <f>MongDon!$H$80</f>
        <v>1.2</v>
      </c>
      <c r="BU128" s="17" t="str">
        <f t="shared" si="126"/>
        <v>Ok</v>
      </c>
      <c r="BV128" s="17">
        <f t="shared" si="127"/>
        <v>68.214534446839593</v>
      </c>
      <c r="BW128" s="16">
        <f>MongDon!$F$86</f>
        <v>1.5</v>
      </c>
      <c r="BX128" s="17" t="str">
        <f t="shared" si="128"/>
        <v>Ok</v>
      </c>
      <c r="BY128" s="17">
        <f t="shared" si="129"/>
        <v>165.89107250724601</v>
      </c>
      <c r="BZ128" s="17">
        <f t="shared" si="130"/>
        <v>154.248128836907</v>
      </c>
      <c r="CA128" s="17">
        <f t="shared" si="131"/>
        <v>140.88824926425201</v>
      </c>
      <c r="CB128" s="17">
        <f t="shared" si="132"/>
        <v>152.53119293459099</v>
      </c>
      <c r="CC128" s="17">
        <f t="shared" si="133"/>
        <v>153.53494007748299</v>
      </c>
      <c r="CD128" s="17">
        <f t="shared" si="134"/>
        <v>155.505284390925</v>
      </c>
      <c r="CE128" s="17">
        <f t="shared" si="135"/>
        <v>155.505284390925</v>
      </c>
      <c r="CF128" s="17">
        <f t="shared" si="136"/>
        <v>153.244381694015</v>
      </c>
      <c r="CG128" s="17">
        <f t="shared" si="137"/>
        <v>23.682169069103299</v>
      </c>
      <c r="CH128" s="17">
        <f t="shared" si="138"/>
        <v>23.682169069103299</v>
      </c>
      <c r="CI128" s="17">
        <f t="shared" si="139"/>
        <v>404.82340289065399</v>
      </c>
      <c r="CJ128" s="17">
        <f t="shared" si="140"/>
        <v>404.82340289065399</v>
      </c>
    </row>
    <row r="129" spans="2:88">
      <c r="B129" s="3">
        <v>25</v>
      </c>
      <c r="C129" s="3" t="s">
        <v>28</v>
      </c>
      <c r="D129" s="4">
        <v>1.82745867991759</v>
      </c>
      <c r="E129" s="4">
        <v>1.78090273142956</v>
      </c>
      <c r="F129" s="4">
        <v>216.64203224030399</v>
      </c>
      <c r="G129" s="4">
        <v>-2.0778630044492998</v>
      </c>
      <c r="H129" s="4">
        <v>2.8136046786893099</v>
      </c>
      <c r="I129" s="4" t="s">
        <v>18</v>
      </c>
      <c r="J129" s="4">
        <v>1.5331925514031699</v>
      </c>
      <c r="K129" s="4">
        <v>1.4990043494366001</v>
      </c>
      <c r="L129" s="4">
        <v>185.087383234139</v>
      </c>
      <c r="M129" s="4">
        <v>-1.7509992734672899</v>
      </c>
      <c r="N129" s="4">
        <v>2.3557469428346298</v>
      </c>
      <c r="O129" s="4">
        <v>1.3</v>
      </c>
      <c r="P129" s="4">
        <v>1.3</v>
      </c>
      <c r="Q129" s="4">
        <v>0.22</v>
      </c>
      <c r="R129" s="4">
        <v>0.22</v>
      </c>
      <c r="S129" s="4">
        <v>0</v>
      </c>
      <c r="T129" s="4">
        <v>0</v>
      </c>
      <c r="U129" s="4">
        <v>0.3</v>
      </c>
      <c r="V129" s="4">
        <v>0.05</v>
      </c>
      <c r="W129" s="4">
        <v>1</v>
      </c>
      <c r="X129" s="4">
        <v>19.100000000000001</v>
      </c>
      <c r="Y129" s="4">
        <v>0</v>
      </c>
      <c r="Z129" s="4">
        <v>1.5</v>
      </c>
      <c r="AA129" s="4">
        <v>139</v>
      </c>
      <c r="AB129" s="4">
        <v>12.1</v>
      </c>
      <c r="AC129" s="4">
        <v>19.5</v>
      </c>
      <c r="AD129" s="3" t="s">
        <v>42</v>
      </c>
      <c r="AE129" s="3" t="s">
        <v>61</v>
      </c>
      <c r="AF129" s="17">
        <f>HLOOKUP(AD129,Data!$B$4:$M$9,2,0)</f>
        <v>13</v>
      </c>
      <c r="AG129" s="17">
        <f>HLOOKUP(AD129,Data!$B$4:$M$9,3,0)</f>
        <v>1</v>
      </c>
      <c r="AH129" s="17">
        <f>HLOOKUP(AE129,Data!$B$13:$I$18,3,0)</f>
        <v>260</v>
      </c>
      <c r="AI129" s="18">
        <f t="shared" si="90"/>
        <v>1.69</v>
      </c>
      <c r="AJ129" s="17">
        <f t="shared" si="91"/>
        <v>0.36616666666666697</v>
      </c>
      <c r="AK129" s="17">
        <f t="shared" si="92"/>
        <v>0.36616666666666697</v>
      </c>
      <c r="AL129" s="17">
        <f t="shared" si="93"/>
        <v>0.25</v>
      </c>
      <c r="AM129" s="17">
        <f t="shared" si="94"/>
        <v>0.54</v>
      </c>
      <c r="AN129" s="17">
        <f t="shared" si="95"/>
        <v>0.54</v>
      </c>
      <c r="AO129" s="17">
        <f t="shared" si="96"/>
        <v>0.54</v>
      </c>
      <c r="AP129" s="17">
        <f t="shared" si="97"/>
        <v>0.54</v>
      </c>
      <c r="AQ129" s="17">
        <f t="shared" si="98"/>
        <v>1.88</v>
      </c>
      <c r="AR129" s="17">
        <f t="shared" si="99"/>
        <v>1.1716</v>
      </c>
      <c r="AS129" s="17">
        <f t="shared" si="100"/>
        <v>216.64203224030399</v>
      </c>
      <c r="AT129" s="17">
        <f t="shared" si="101"/>
        <v>-2.6121338238781702</v>
      </c>
      <c r="AU129" s="17">
        <f t="shared" si="102"/>
        <v>3.36184228266458</v>
      </c>
      <c r="AV129" s="17">
        <f t="shared" si="103"/>
        <v>185.087383234139</v>
      </c>
      <c r="AW129" s="17">
        <f t="shared" si="104"/>
        <v>-2.20070057829827</v>
      </c>
      <c r="AX129" s="17">
        <f t="shared" si="105"/>
        <v>2.8157047082555802</v>
      </c>
      <c r="AY129" s="17">
        <f t="shared" si="106"/>
        <v>165.10546133438899</v>
      </c>
      <c r="AZ129" s="17">
        <f t="shared" si="107"/>
        <v>132.475641908575</v>
      </c>
      <c r="BA129" s="17">
        <f t="shared" si="108"/>
        <v>148.790551621482</v>
      </c>
      <c r="BB129" s="17">
        <f t="shared" si="109"/>
        <v>143.81894853149899</v>
      </c>
      <c r="BC129" s="17">
        <f t="shared" si="110"/>
        <v>116.419374822512</v>
      </c>
      <c r="BD129" s="17">
        <f t="shared" si="111"/>
        <v>130.11916167700599</v>
      </c>
      <c r="BE129" s="17" t="str">
        <f>IF(AND(BD129&lt;=AA129,BB129&lt;=AA129*MongDon!$J$44,BC129&gt;0),"Ok","FAIL")</f>
        <v>Ok</v>
      </c>
      <c r="BF129" s="17">
        <f t="shared" si="112"/>
        <v>193.43755849937</v>
      </c>
      <c r="BG129" s="17">
        <f t="shared" si="113"/>
        <v>352.5</v>
      </c>
      <c r="BH129" s="17" t="str">
        <f t="shared" si="114"/>
        <v>Ok</v>
      </c>
      <c r="BI129" s="17">
        <f t="shared" si="115"/>
        <v>58.783453850972002</v>
      </c>
      <c r="BJ129" s="17">
        <f t="shared" si="116"/>
        <v>59.555343033391203</v>
      </c>
      <c r="BK129" s="17">
        <f t="shared" si="117"/>
        <v>53.404622071625298</v>
      </c>
      <c r="BL129" s="17">
        <f t="shared" si="118"/>
        <v>52.632732889206103</v>
      </c>
      <c r="BM129" s="17">
        <f t="shared" si="119"/>
        <v>88.125</v>
      </c>
      <c r="BN129" s="17">
        <f t="shared" si="120"/>
        <v>88.125</v>
      </c>
      <c r="BO129" s="17">
        <f t="shared" si="121"/>
        <v>88.125</v>
      </c>
      <c r="BP129" s="17">
        <f t="shared" si="122"/>
        <v>88.125</v>
      </c>
      <c r="BQ129" s="17" t="str">
        <f t="shared" si="123"/>
        <v>Ok</v>
      </c>
      <c r="BR129" s="17">
        <f t="shared" si="124"/>
        <v>79.399027424032496</v>
      </c>
      <c r="BS129" s="17">
        <f t="shared" si="125"/>
        <v>43.447782593701703</v>
      </c>
      <c r="BT129" s="16">
        <f>MongDon!$H$80</f>
        <v>1.2</v>
      </c>
      <c r="BU129" s="17" t="str">
        <f t="shared" si="126"/>
        <v>Ok</v>
      </c>
      <c r="BV129" s="17">
        <f t="shared" si="127"/>
        <v>48.127977862172898</v>
      </c>
      <c r="BW129" s="16">
        <f>MongDon!$F$86</f>
        <v>1.5</v>
      </c>
      <c r="BX129" s="17" t="str">
        <f t="shared" si="128"/>
        <v>Ok</v>
      </c>
      <c r="BY129" s="17">
        <f t="shared" si="129"/>
        <v>146.743100209229</v>
      </c>
      <c r="BZ129" s="17">
        <f t="shared" si="130"/>
        <v>165.10546133438899</v>
      </c>
      <c r="CA129" s="17">
        <f t="shared" si="131"/>
        <v>150.838003033734</v>
      </c>
      <c r="CB129" s="17">
        <f t="shared" si="132"/>
        <v>132.475641908575</v>
      </c>
      <c r="CC129" s="17">
        <f t="shared" si="133"/>
        <v>151.551536342128</v>
      </c>
      <c r="CD129" s="17">
        <f t="shared" si="134"/>
        <v>148.444059844024</v>
      </c>
      <c r="CE129" s="17">
        <f t="shared" si="135"/>
        <v>151.551536342128</v>
      </c>
      <c r="CF129" s="17">
        <f t="shared" si="136"/>
        <v>149.13704339893999</v>
      </c>
      <c r="CG129" s="17">
        <f t="shared" si="137"/>
        <v>23.413655507929999</v>
      </c>
      <c r="CH129" s="17">
        <f t="shared" si="138"/>
        <v>23.413655507929999</v>
      </c>
      <c r="CI129" s="17">
        <f t="shared" si="139"/>
        <v>400.23342748598299</v>
      </c>
      <c r="CJ129" s="17">
        <f t="shared" si="140"/>
        <v>400.23342748598299</v>
      </c>
    </row>
    <row r="130" spans="2:88">
      <c r="B130" s="3">
        <v>25</v>
      </c>
      <c r="C130" s="3" t="s">
        <v>29</v>
      </c>
      <c r="D130" s="4">
        <v>-4.2643957479604504</v>
      </c>
      <c r="E130" s="4">
        <v>2.7991567610603498</v>
      </c>
      <c r="F130" s="4">
        <v>202.79236512765399</v>
      </c>
      <c r="G130" s="4">
        <v>-3.68422737606878</v>
      </c>
      <c r="H130" s="4">
        <v>-6.9424589386789997</v>
      </c>
      <c r="I130" s="4" t="s">
        <v>19</v>
      </c>
      <c r="J130" s="4">
        <v>-3.5433528051618599</v>
      </c>
      <c r="K130" s="4">
        <v>2.3475493741289202</v>
      </c>
      <c r="L130" s="4">
        <v>173.54599397359701</v>
      </c>
      <c r="M130" s="4">
        <v>-3.0896362498168601</v>
      </c>
      <c r="N130" s="4">
        <v>-5.7743060716389598</v>
      </c>
      <c r="O130" s="4">
        <v>1.3</v>
      </c>
      <c r="P130" s="4">
        <v>1.3</v>
      </c>
      <c r="Q130" s="4">
        <v>0.22</v>
      </c>
      <c r="R130" s="4">
        <v>0.22</v>
      </c>
      <c r="S130" s="4">
        <v>0</v>
      </c>
      <c r="T130" s="4">
        <v>0</v>
      </c>
      <c r="U130" s="4">
        <v>0.3</v>
      </c>
      <c r="V130" s="4">
        <v>0.05</v>
      </c>
      <c r="W130" s="4">
        <v>1</v>
      </c>
      <c r="X130" s="4">
        <v>19.100000000000001</v>
      </c>
      <c r="Y130" s="4">
        <v>0</v>
      </c>
      <c r="Z130" s="4">
        <v>1.5</v>
      </c>
      <c r="AA130" s="4">
        <v>139</v>
      </c>
      <c r="AB130" s="4">
        <v>12.1</v>
      </c>
      <c r="AC130" s="4">
        <v>19.5</v>
      </c>
      <c r="AD130" s="3" t="s">
        <v>42</v>
      </c>
      <c r="AE130" s="3" t="s">
        <v>61</v>
      </c>
      <c r="AF130" s="17">
        <f>HLOOKUP(AD130,Data!$B$4:$M$9,2,0)</f>
        <v>13</v>
      </c>
      <c r="AG130" s="17">
        <f>HLOOKUP(AD130,Data!$B$4:$M$9,3,0)</f>
        <v>1</v>
      </c>
      <c r="AH130" s="17">
        <f>HLOOKUP(AE130,Data!$B$13:$I$18,3,0)</f>
        <v>260</v>
      </c>
      <c r="AI130" s="18">
        <f t="shared" si="90"/>
        <v>1.69</v>
      </c>
      <c r="AJ130" s="17">
        <f t="shared" si="91"/>
        <v>0.36616666666666697</v>
      </c>
      <c r="AK130" s="17">
        <f t="shared" si="92"/>
        <v>0.36616666666666697</v>
      </c>
      <c r="AL130" s="17">
        <f t="shared" si="93"/>
        <v>0.25</v>
      </c>
      <c r="AM130" s="17">
        <f t="shared" si="94"/>
        <v>0.54</v>
      </c>
      <c r="AN130" s="17">
        <f t="shared" si="95"/>
        <v>0.54</v>
      </c>
      <c r="AO130" s="17">
        <f t="shared" si="96"/>
        <v>0.54</v>
      </c>
      <c r="AP130" s="17">
        <f t="shared" si="97"/>
        <v>0.54</v>
      </c>
      <c r="AQ130" s="17">
        <f t="shared" si="98"/>
        <v>1.88</v>
      </c>
      <c r="AR130" s="17">
        <f t="shared" si="99"/>
        <v>1.1716</v>
      </c>
      <c r="AS130" s="17">
        <f t="shared" si="100"/>
        <v>202.79236512765399</v>
      </c>
      <c r="AT130" s="17">
        <f t="shared" si="101"/>
        <v>-4.5239744043868804</v>
      </c>
      <c r="AU130" s="17">
        <f t="shared" si="102"/>
        <v>-8.2217776630671402</v>
      </c>
      <c r="AV130" s="17">
        <f t="shared" si="103"/>
        <v>173.54599397359701</v>
      </c>
      <c r="AW130" s="17">
        <f t="shared" si="104"/>
        <v>-3.7939010620555398</v>
      </c>
      <c r="AX130" s="17">
        <f t="shared" si="105"/>
        <v>-6.83731191318752</v>
      </c>
      <c r="AY130" s="17">
        <f t="shared" si="106"/>
        <v>175.40409061023001</v>
      </c>
      <c r="AZ130" s="17">
        <f t="shared" si="107"/>
        <v>105.786874037882</v>
      </c>
      <c r="BA130" s="17">
        <f t="shared" si="108"/>
        <v>140.59548232405601</v>
      </c>
      <c r="BB130" s="17">
        <f t="shared" si="109"/>
        <v>152.323746025096</v>
      </c>
      <c r="BC130" s="17">
        <f t="shared" si="110"/>
        <v>94.256128499871807</v>
      </c>
      <c r="BD130" s="17">
        <f t="shared" si="111"/>
        <v>123.289937262484</v>
      </c>
      <c r="BE130" s="17" t="str">
        <f>IF(AND(BD130&lt;=AA130,BB130&lt;=AA130*MongDon!$J$44,BC130&gt;0),"Ok","FAIL")</f>
        <v>Ok</v>
      </c>
      <c r="BF130" s="17">
        <f t="shared" si="112"/>
        <v>205.50343255894501</v>
      </c>
      <c r="BG130" s="17">
        <f t="shared" si="113"/>
        <v>352.5</v>
      </c>
      <c r="BH130" s="17" t="str">
        <f t="shared" si="114"/>
        <v>Ok</v>
      </c>
      <c r="BI130" s="17">
        <f t="shared" si="115"/>
        <v>57.662316637135397</v>
      </c>
      <c r="BJ130" s="17">
        <f t="shared" si="116"/>
        <v>44.539471313247802</v>
      </c>
      <c r="BK130" s="17">
        <f t="shared" si="117"/>
        <v>48.346677035202603</v>
      </c>
      <c r="BL130" s="17">
        <f t="shared" si="118"/>
        <v>61.469522359090199</v>
      </c>
      <c r="BM130" s="17">
        <f t="shared" si="119"/>
        <v>88.125</v>
      </c>
      <c r="BN130" s="17">
        <f t="shared" si="120"/>
        <v>88.125</v>
      </c>
      <c r="BO130" s="17">
        <f t="shared" si="121"/>
        <v>88.125</v>
      </c>
      <c r="BP130" s="17">
        <f t="shared" si="122"/>
        <v>88.125</v>
      </c>
      <c r="BQ130" s="17" t="str">
        <f t="shared" si="123"/>
        <v>Ok</v>
      </c>
      <c r="BR130" s="17">
        <f t="shared" si="124"/>
        <v>76.429916063037894</v>
      </c>
      <c r="BS130" s="17">
        <f t="shared" si="125"/>
        <v>17.922800926624198</v>
      </c>
      <c r="BT130" s="16">
        <f>MongDon!$H$80</f>
        <v>1.2</v>
      </c>
      <c r="BU130" s="17" t="str">
        <f t="shared" si="126"/>
        <v>Ok</v>
      </c>
      <c r="BV130" s="17">
        <f t="shared" si="127"/>
        <v>18.584349224055099</v>
      </c>
      <c r="BW130" s="16">
        <f>MongDon!$F$86</f>
        <v>1.5</v>
      </c>
      <c r="BX130" s="17" t="str">
        <f t="shared" si="128"/>
        <v>Ok</v>
      </c>
      <c r="BY130" s="17">
        <f t="shared" si="129"/>
        <v>175.40409061023001</v>
      </c>
      <c r="BZ130" s="17">
        <f t="shared" si="130"/>
        <v>130.49679340640401</v>
      </c>
      <c r="CA130" s="17">
        <f t="shared" si="131"/>
        <v>105.786874037882</v>
      </c>
      <c r="CB130" s="17">
        <f t="shared" si="132"/>
        <v>150.69417124170801</v>
      </c>
      <c r="CC130" s="17">
        <f t="shared" si="133"/>
        <v>138.88647343029899</v>
      </c>
      <c r="CD130" s="17">
        <f t="shared" si="134"/>
        <v>146.48616988017699</v>
      </c>
      <c r="CE130" s="17">
        <f t="shared" si="135"/>
        <v>146.48616988017699</v>
      </c>
      <c r="CF130" s="17">
        <f t="shared" si="136"/>
        <v>142.304491217812</v>
      </c>
      <c r="CG130" s="17">
        <f t="shared" si="137"/>
        <v>24.168505463490899</v>
      </c>
      <c r="CH130" s="17">
        <f t="shared" si="138"/>
        <v>24.168505463490899</v>
      </c>
      <c r="CI130" s="17">
        <f t="shared" si="139"/>
        <v>413.13684552976002</v>
      </c>
      <c r="CJ130" s="17">
        <f t="shared" si="140"/>
        <v>413.13684552976002</v>
      </c>
    </row>
    <row r="131" spans="2:88">
      <c r="B131" s="3">
        <v>25</v>
      </c>
      <c r="C131" s="3" t="s">
        <v>30</v>
      </c>
      <c r="D131" s="4">
        <v>5.0090439512229699</v>
      </c>
      <c r="E131" s="4">
        <v>0.31678683077592501</v>
      </c>
      <c r="F131" s="4">
        <v>196.411017786614</v>
      </c>
      <c r="G131" s="4">
        <v>0.13828194906754299</v>
      </c>
      <c r="H131" s="4">
        <v>7.8376074842964902</v>
      </c>
      <c r="I131" s="4" t="s">
        <v>20</v>
      </c>
      <c r="J131" s="4">
        <v>4.1845136108243199</v>
      </c>
      <c r="K131" s="4">
        <v>0.278907765558564</v>
      </c>
      <c r="L131" s="4">
        <v>168.22820452273001</v>
      </c>
      <c r="M131" s="4">
        <v>9.5788187796740407E-2</v>
      </c>
      <c r="N131" s="4">
        <v>6.5424159475072798</v>
      </c>
      <c r="O131" s="4">
        <v>1.3</v>
      </c>
      <c r="P131" s="4">
        <v>1.3</v>
      </c>
      <c r="Q131" s="4">
        <v>0.22</v>
      </c>
      <c r="R131" s="4">
        <v>0.22</v>
      </c>
      <c r="S131" s="4">
        <v>0</v>
      </c>
      <c r="T131" s="4">
        <v>0</v>
      </c>
      <c r="U131" s="4">
        <v>0.3</v>
      </c>
      <c r="V131" s="4">
        <v>0.05</v>
      </c>
      <c r="W131" s="4">
        <v>1</v>
      </c>
      <c r="X131" s="4">
        <v>19.100000000000001</v>
      </c>
      <c r="Y131" s="4">
        <v>0</v>
      </c>
      <c r="Z131" s="4">
        <v>1.5</v>
      </c>
      <c r="AA131" s="4">
        <v>139</v>
      </c>
      <c r="AB131" s="4">
        <v>12.1</v>
      </c>
      <c r="AC131" s="4">
        <v>19.5</v>
      </c>
      <c r="AD131" s="3" t="s">
        <v>42</v>
      </c>
      <c r="AE131" s="3" t="s">
        <v>61</v>
      </c>
      <c r="AF131" s="17">
        <f>HLOOKUP(AD131,Data!$B$4:$M$9,2,0)</f>
        <v>13</v>
      </c>
      <c r="AG131" s="17">
        <f>HLOOKUP(AD131,Data!$B$4:$M$9,3,0)</f>
        <v>1</v>
      </c>
      <c r="AH131" s="17">
        <f>HLOOKUP(AE131,Data!$B$13:$I$18,3,0)</f>
        <v>260</v>
      </c>
      <c r="AI131" s="18">
        <f t="shared" si="90"/>
        <v>1.69</v>
      </c>
      <c r="AJ131" s="17">
        <f t="shared" si="91"/>
        <v>0.36616666666666697</v>
      </c>
      <c r="AK131" s="17">
        <f t="shared" si="92"/>
        <v>0.36616666666666697</v>
      </c>
      <c r="AL131" s="17">
        <f t="shared" si="93"/>
        <v>0.25</v>
      </c>
      <c r="AM131" s="17">
        <f t="shared" si="94"/>
        <v>0.54</v>
      </c>
      <c r="AN131" s="17">
        <f t="shared" si="95"/>
        <v>0.54</v>
      </c>
      <c r="AO131" s="17">
        <f t="shared" si="96"/>
        <v>0.54</v>
      </c>
      <c r="AP131" s="17">
        <f t="shared" si="97"/>
        <v>0.54</v>
      </c>
      <c r="AQ131" s="17">
        <f t="shared" si="98"/>
        <v>1.88</v>
      </c>
      <c r="AR131" s="17">
        <f t="shared" si="99"/>
        <v>1.1716</v>
      </c>
      <c r="AS131" s="17">
        <f t="shared" si="100"/>
        <v>196.411017786614</v>
      </c>
      <c r="AT131" s="17">
        <f t="shared" si="101"/>
        <v>4.3245899834765102E-2</v>
      </c>
      <c r="AU131" s="17">
        <f t="shared" si="102"/>
        <v>9.3403206696633791</v>
      </c>
      <c r="AV131" s="17">
        <f t="shared" si="103"/>
        <v>168.22820452273001</v>
      </c>
      <c r="AW131" s="17">
        <f t="shared" si="104"/>
        <v>1.2115858129171099E-2</v>
      </c>
      <c r="AX131" s="17">
        <f t="shared" si="105"/>
        <v>7.7977700307545801</v>
      </c>
      <c r="AY131" s="17">
        <f t="shared" si="106"/>
        <v>162.44602755557</v>
      </c>
      <c r="AZ131" s="17">
        <f t="shared" si="107"/>
        <v>111.19304674811499</v>
      </c>
      <c r="BA131" s="17">
        <f t="shared" si="108"/>
        <v>136.81953715184201</v>
      </c>
      <c r="BB131" s="17">
        <f t="shared" si="109"/>
        <v>141.47208976461201</v>
      </c>
      <c r="BC131" s="17">
        <f t="shared" si="110"/>
        <v>98.814542806666793</v>
      </c>
      <c r="BD131" s="17">
        <f t="shared" si="111"/>
        <v>120.143316285639</v>
      </c>
      <c r="BE131" s="17" t="str">
        <f>IF(AND(BD131&lt;=AA131,BB131&lt;=AA131*MongDon!$J$44,BC131&gt;0),"Ok","FAIL")</f>
        <v>Ok</v>
      </c>
      <c r="BF131" s="17">
        <f t="shared" si="112"/>
        <v>190.32176588410499</v>
      </c>
      <c r="BG131" s="17">
        <f t="shared" si="113"/>
        <v>352.5</v>
      </c>
      <c r="BH131" s="17" t="str">
        <f t="shared" si="114"/>
        <v>Ok</v>
      </c>
      <c r="BI131" s="17">
        <f t="shared" si="115"/>
        <v>51.536440141917701</v>
      </c>
      <c r="BJ131" s="17">
        <f t="shared" si="116"/>
        <v>61.197627024122802</v>
      </c>
      <c r="BK131" s="17">
        <f t="shared" si="117"/>
        <v>51.625490870571497</v>
      </c>
      <c r="BL131" s="17">
        <f t="shared" si="118"/>
        <v>41.964303988366296</v>
      </c>
      <c r="BM131" s="17">
        <f t="shared" si="119"/>
        <v>88.125</v>
      </c>
      <c r="BN131" s="17">
        <f t="shared" si="120"/>
        <v>88.125</v>
      </c>
      <c r="BO131" s="17">
        <f t="shared" si="121"/>
        <v>88.125</v>
      </c>
      <c r="BP131" s="17">
        <f t="shared" si="122"/>
        <v>88.125</v>
      </c>
      <c r="BQ131" s="17" t="str">
        <f t="shared" si="123"/>
        <v>Ok</v>
      </c>
      <c r="BR131" s="17">
        <f t="shared" si="124"/>
        <v>75.061873731433494</v>
      </c>
      <c r="BS131" s="17">
        <f t="shared" si="125"/>
        <v>14.9852695369357</v>
      </c>
      <c r="BT131" s="16">
        <f>MongDon!$H$80</f>
        <v>1.2</v>
      </c>
      <c r="BU131" s="17" t="str">
        <f t="shared" si="126"/>
        <v>Ok</v>
      </c>
      <c r="BV131" s="17">
        <f t="shared" si="127"/>
        <v>15.914711798289501</v>
      </c>
      <c r="BW131" s="16">
        <f>MongDon!$F$86</f>
        <v>1.5</v>
      </c>
      <c r="BX131" s="17" t="str">
        <f t="shared" si="128"/>
        <v>Ok</v>
      </c>
      <c r="BY131" s="17">
        <f t="shared" si="129"/>
        <v>111.19304674811499</v>
      </c>
      <c r="BZ131" s="17">
        <f t="shared" si="130"/>
        <v>162.20981872624901</v>
      </c>
      <c r="CA131" s="17">
        <f t="shared" si="131"/>
        <v>162.44602755557</v>
      </c>
      <c r="CB131" s="17">
        <f t="shared" si="132"/>
        <v>111.429255577436</v>
      </c>
      <c r="CC131" s="17">
        <f t="shared" si="133"/>
        <v>141.15632783555</v>
      </c>
      <c r="CD131" s="17">
        <f t="shared" si="134"/>
        <v>132.52272027001999</v>
      </c>
      <c r="CE131" s="17">
        <f t="shared" si="135"/>
        <v>141.116354033665</v>
      </c>
      <c r="CF131" s="17">
        <f t="shared" si="136"/>
        <v>141.15632783555</v>
      </c>
      <c r="CG131" s="17">
        <f t="shared" si="137"/>
        <v>22.649951411209098</v>
      </c>
      <c r="CH131" s="17">
        <f t="shared" si="138"/>
        <v>22.649951411209098</v>
      </c>
      <c r="CI131" s="17">
        <f t="shared" si="139"/>
        <v>387.17865660186499</v>
      </c>
      <c r="CJ131" s="17">
        <f t="shared" si="140"/>
        <v>387.17865660186499</v>
      </c>
    </row>
    <row r="132" spans="2:88">
      <c r="B132" s="3">
        <v>25</v>
      </c>
      <c r="C132" s="3" t="s">
        <v>31</v>
      </c>
      <c r="D132" s="4">
        <v>-1.2051207794308401</v>
      </c>
      <c r="E132" s="4">
        <v>1.53711149464105</v>
      </c>
      <c r="F132" s="4">
        <v>203.91974404414</v>
      </c>
      <c r="G132" s="4">
        <v>-1.6869182823367399</v>
      </c>
      <c r="H132" s="4">
        <v>-2.1311207182295502</v>
      </c>
      <c r="I132" s="4" t="s">
        <v>21</v>
      </c>
      <c r="J132" s="4">
        <v>-0.99395699805385596</v>
      </c>
      <c r="K132" s="4">
        <v>1.29584498544617</v>
      </c>
      <c r="L132" s="4">
        <v>174.48547640400301</v>
      </c>
      <c r="M132" s="4">
        <v>-1.42521200504016</v>
      </c>
      <c r="N132" s="4">
        <v>-1.7648575545977501</v>
      </c>
      <c r="O132" s="4">
        <v>1.3</v>
      </c>
      <c r="P132" s="4">
        <v>1.3</v>
      </c>
      <c r="Q132" s="4">
        <v>0.22</v>
      </c>
      <c r="R132" s="4">
        <v>0.22</v>
      </c>
      <c r="S132" s="4">
        <v>0</v>
      </c>
      <c r="T132" s="4">
        <v>0</v>
      </c>
      <c r="U132" s="4">
        <v>0.3</v>
      </c>
      <c r="V132" s="4">
        <v>0.05</v>
      </c>
      <c r="W132" s="4">
        <v>1</v>
      </c>
      <c r="X132" s="4">
        <v>19.100000000000001</v>
      </c>
      <c r="Y132" s="4">
        <v>0</v>
      </c>
      <c r="Z132" s="4">
        <v>1.5</v>
      </c>
      <c r="AA132" s="4">
        <v>139</v>
      </c>
      <c r="AB132" s="4">
        <v>12.1</v>
      </c>
      <c r="AC132" s="4">
        <v>19.5</v>
      </c>
      <c r="AD132" s="3" t="s">
        <v>42</v>
      </c>
      <c r="AE132" s="3" t="s">
        <v>61</v>
      </c>
      <c r="AF132" s="17">
        <f>HLOOKUP(AD132,Data!$B$4:$M$9,2,0)</f>
        <v>13</v>
      </c>
      <c r="AG132" s="17">
        <f>HLOOKUP(AD132,Data!$B$4:$M$9,3,0)</f>
        <v>1</v>
      </c>
      <c r="AH132" s="17">
        <f>HLOOKUP(AE132,Data!$B$13:$I$18,3,0)</f>
        <v>260</v>
      </c>
      <c r="AI132" s="18">
        <f t="shared" si="90"/>
        <v>1.69</v>
      </c>
      <c r="AJ132" s="17">
        <f t="shared" si="91"/>
        <v>0.36616666666666697</v>
      </c>
      <c r="AK132" s="17">
        <f t="shared" si="92"/>
        <v>0.36616666666666697</v>
      </c>
      <c r="AL132" s="17">
        <f t="shared" si="93"/>
        <v>0.25</v>
      </c>
      <c r="AM132" s="17">
        <f t="shared" si="94"/>
        <v>0.54</v>
      </c>
      <c r="AN132" s="17">
        <f t="shared" si="95"/>
        <v>0.54</v>
      </c>
      <c r="AO132" s="17">
        <f t="shared" si="96"/>
        <v>0.54</v>
      </c>
      <c r="AP132" s="17">
        <f t="shared" si="97"/>
        <v>0.54</v>
      </c>
      <c r="AQ132" s="17">
        <f t="shared" si="98"/>
        <v>1.88</v>
      </c>
      <c r="AR132" s="17">
        <f t="shared" si="99"/>
        <v>1.1716</v>
      </c>
      <c r="AS132" s="17">
        <f t="shared" si="100"/>
        <v>203.91974404414</v>
      </c>
      <c r="AT132" s="17">
        <f t="shared" si="101"/>
        <v>-2.1480517307290601</v>
      </c>
      <c r="AU132" s="17">
        <f t="shared" si="102"/>
        <v>-2.4926569520588</v>
      </c>
      <c r="AV132" s="17">
        <f t="shared" si="103"/>
        <v>174.48547640400301</v>
      </c>
      <c r="AW132" s="17">
        <f t="shared" si="104"/>
        <v>-1.8139655006740101</v>
      </c>
      <c r="AX132" s="17">
        <f t="shared" si="105"/>
        <v>-2.0630446540139098</v>
      </c>
      <c r="AY132" s="17">
        <f t="shared" si="106"/>
        <v>153.93633106695901</v>
      </c>
      <c r="AZ132" s="17">
        <f t="shared" si="107"/>
        <v>128.58880981368</v>
      </c>
      <c r="BA132" s="17">
        <f t="shared" si="108"/>
        <v>141.26257044031999</v>
      </c>
      <c r="BB132" s="17">
        <f t="shared" si="109"/>
        <v>134.43394640570401</v>
      </c>
      <c r="BC132" s="17">
        <f t="shared" si="110"/>
        <v>113.25774164636999</v>
      </c>
      <c r="BD132" s="17">
        <f t="shared" si="111"/>
        <v>123.845844026037</v>
      </c>
      <c r="BE132" s="17" t="str">
        <f>IF(AND(BD132&lt;=AA132,BB132&lt;=AA132*MongDon!$J$44,BC132&gt;0),"Ok","FAIL")</f>
        <v>Ok</v>
      </c>
      <c r="BF132" s="17">
        <f t="shared" si="112"/>
        <v>180.35180547804899</v>
      </c>
      <c r="BG132" s="17">
        <f t="shared" si="113"/>
        <v>352.5</v>
      </c>
      <c r="BH132" s="17" t="str">
        <f t="shared" si="114"/>
        <v>Ok</v>
      </c>
      <c r="BI132" s="17">
        <f t="shared" si="115"/>
        <v>55.467592613082502</v>
      </c>
      <c r="BJ132" s="17">
        <f t="shared" si="116"/>
        <v>50.689584856839403</v>
      </c>
      <c r="BK132" s="17">
        <f t="shared" si="117"/>
        <v>51.044385498918501</v>
      </c>
      <c r="BL132" s="17">
        <f t="shared" si="118"/>
        <v>55.8223932551617</v>
      </c>
      <c r="BM132" s="17">
        <f t="shared" si="119"/>
        <v>88.125</v>
      </c>
      <c r="BN132" s="17">
        <f t="shared" si="120"/>
        <v>88.125</v>
      </c>
      <c r="BO132" s="17">
        <f t="shared" si="121"/>
        <v>88.125</v>
      </c>
      <c r="BP132" s="17">
        <f t="shared" si="122"/>
        <v>88.125</v>
      </c>
      <c r="BQ132" s="17" t="str">
        <f t="shared" si="123"/>
        <v>Ok</v>
      </c>
      <c r="BR132" s="17">
        <f t="shared" si="124"/>
        <v>76.671605160823404</v>
      </c>
      <c r="BS132" s="17">
        <f t="shared" si="125"/>
        <v>49.880314751486601</v>
      </c>
      <c r="BT132" s="16">
        <f>MongDon!$H$80</f>
        <v>1.2</v>
      </c>
      <c r="BU132" s="17" t="str">
        <f t="shared" si="126"/>
        <v>Ok</v>
      </c>
      <c r="BV132" s="17">
        <f t="shared" si="127"/>
        <v>61.592584371421097</v>
      </c>
      <c r="BW132" s="16">
        <f>MongDon!$F$86</f>
        <v>1.5</v>
      </c>
      <c r="BX132" s="17" t="str">
        <f t="shared" si="128"/>
        <v>Ok</v>
      </c>
      <c r="BY132" s="17">
        <f t="shared" si="129"/>
        <v>153.93633106695901</v>
      </c>
      <c r="BZ132" s="17">
        <f t="shared" si="130"/>
        <v>140.321454678837</v>
      </c>
      <c r="CA132" s="17">
        <f t="shared" si="131"/>
        <v>128.58880981368</v>
      </c>
      <c r="CB132" s="17">
        <f t="shared" si="132"/>
        <v>142.20368620180301</v>
      </c>
      <c r="CC132" s="17">
        <f t="shared" si="133"/>
        <v>141.10330469606899</v>
      </c>
      <c r="CD132" s="17">
        <f t="shared" si="134"/>
        <v>143.40736070021299</v>
      </c>
      <c r="CE132" s="17">
        <f t="shared" si="135"/>
        <v>143.40736070021299</v>
      </c>
      <c r="CF132" s="17">
        <f t="shared" si="136"/>
        <v>141.42183618457099</v>
      </c>
      <c r="CG132" s="17">
        <f t="shared" si="137"/>
        <v>21.9322091097388</v>
      </c>
      <c r="CH132" s="17">
        <f t="shared" si="138"/>
        <v>21.9322091097388</v>
      </c>
      <c r="CI132" s="17">
        <f t="shared" si="139"/>
        <v>374.90955743143201</v>
      </c>
      <c r="CJ132" s="17">
        <f t="shared" si="140"/>
        <v>374.90955743143201</v>
      </c>
    </row>
    <row r="133" spans="2:88">
      <c r="B133" s="3">
        <v>25</v>
      </c>
      <c r="C133" s="3" t="s">
        <v>32</v>
      </c>
      <c r="D133" s="4">
        <v>1.94976898269336</v>
      </c>
      <c r="E133" s="4">
        <v>1.5788320971952301</v>
      </c>
      <c r="F133" s="4">
        <v>195.28363887012699</v>
      </c>
      <c r="G133" s="4">
        <v>-1.8590271446644899</v>
      </c>
      <c r="H133" s="4">
        <v>3.0262692638470301</v>
      </c>
      <c r="I133" s="4" t="s">
        <v>22</v>
      </c>
      <c r="J133" s="4">
        <v>1.6351178037163101</v>
      </c>
      <c r="K133" s="4">
        <v>1.3306121542413201</v>
      </c>
      <c r="L133" s="4">
        <v>167.288722092325</v>
      </c>
      <c r="M133" s="4">
        <v>-1.56863605697996</v>
      </c>
      <c r="N133" s="4">
        <v>2.5329674304660701</v>
      </c>
      <c r="O133" s="4">
        <v>1.3</v>
      </c>
      <c r="P133" s="4">
        <v>1.3</v>
      </c>
      <c r="Q133" s="4">
        <v>0.22</v>
      </c>
      <c r="R133" s="4">
        <v>0.22</v>
      </c>
      <c r="S133" s="4">
        <v>0</v>
      </c>
      <c r="T133" s="4">
        <v>0</v>
      </c>
      <c r="U133" s="4">
        <v>0.3</v>
      </c>
      <c r="V133" s="4">
        <v>0.05</v>
      </c>
      <c r="W133" s="4">
        <v>1</v>
      </c>
      <c r="X133" s="4">
        <v>19.100000000000001</v>
      </c>
      <c r="Y133" s="4">
        <v>0</v>
      </c>
      <c r="Z133" s="4">
        <v>1.5</v>
      </c>
      <c r="AA133" s="4">
        <v>139</v>
      </c>
      <c r="AB133" s="4">
        <v>12.1</v>
      </c>
      <c r="AC133" s="4">
        <v>19.5</v>
      </c>
      <c r="AD133" s="3" t="s">
        <v>42</v>
      </c>
      <c r="AE133" s="3" t="s">
        <v>61</v>
      </c>
      <c r="AF133" s="17">
        <f>HLOOKUP(AD133,Data!$B$4:$M$9,2,0)</f>
        <v>13</v>
      </c>
      <c r="AG133" s="17">
        <f>HLOOKUP(AD133,Data!$B$4:$M$9,3,0)</f>
        <v>1</v>
      </c>
      <c r="AH133" s="17">
        <f>HLOOKUP(AE133,Data!$B$13:$I$18,3,0)</f>
        <v>260</v>
      </c>
      <c r="AI133" s="18">
        <f t="shared" ref="AI133:AI196" si="141">O133*P133</f>
        <v>1.69</v>
      </c>
      <c r="AJ133" s="17">
        <f t="shared" ref="AJ133:AJ196" si="142">1/6*O133*P133^2</f>
        <v>0.36616666666666697</v>
      </c>
      <c r="AK133" s="17">
        <f t="shared" ref="AK133:AK196" si="143">1/6*P133*O133^2</f>
        <v>0.36616666666666697</v>
      </c>
      <c r="AL133" s="17">
        <f t="shared" ref="AL133:AL196" si="144">U133-V133</f>
        <v>0.25</v>
      </c>
      <c r="AM133" s="17">
        <f t="shared" ref="AM133:AM196" si="145">O133/2-Q133/2+S133</f>
        <v>0.54</v>
      </c>
      <c r="AN133" s="17">
        <f t="shared" ref="AN133:AN196" si="146">O133-AM133-Q133</f>
        <v>0.54</v>
      </c>
      <c r="AO133" s="17">
        <f t="shared" ref="AO133:AO196" si="147">P133/2-R133/2+T133</f>
        <v>0.54</v>
      </c>
      <c r="AP133" s="17">
        <f t="shared" ref="AP133:AP196" si="148">P133-AO133-R133</f>
        <v>0.54</v>
      </c>
      <c r="AQ133" s="17">
        <f t="shared" ref="AQ133:AQ196" si="149">(2*Q133+2*R133+2*(MIN(AM133,AL133)+Q133+MIN(AN133,AL133))+2*(MIN(AO133,AL133)+R133+MIN(AP133,AL133)))/2</f>
        <v>1.88</v>
      </c>
      <c r="AR133" s="17">
        <f t="shared" ref="AR133:AR196" si="150">O133*P133-(MIN(AM133,AL133)+Q133+MIN(AN133,AL133))*(MIN(AO133,AL133)+R133+MIN(AP133,AL133))</f>
        <v>1.1716</v>
      </c>
      <c r="AS133" s="17">
        <f t="shared" ref="AS133:AS196" si="151">F133+X133*Y133*O133*P133</f>
        <v>195.28363887012699</v>
      </c>
      <c r="AT133" s="17">
        <f t="shared" ref="AT133:AT196" si="152">G133-E133*U133-F133*T133</f>
        <v>-2.33267677382306</v>
      </c>
      <c r="AU133" s="17">
        <f t="shared" ref="AU133:AU196" si="153">H133+D133*U133+F133*S133</f>
        <v>3.6111999586550398</v>
      </c>
      <c r="AV133" s="17">
        <f t="shared" ref="AV133:AV196" si="154">L133+X133*Y133*O133*P133</f>
        <v>167.288722092325</v>
      </c>
      <c r="AW133" s="17">
        <f t="shared" ref="AW133:AW196" si="155">M133-K133*U133-L133*T133</f>
        <v>-1.9678197032523499</v>
      </c>
      <c r="AX133" s="17">
        <f t="shared" ref="AX133:AX196" si="156">N133+J133*U133+L133*S133</f>
        <v>3.0235027715809601</v>
      </c>
      <c r="AY133" s="17">
        <f t="shared" ref="AY133:AY196" si="157">AS133/AI133+ABS(AT133)/AJ133+ABS(AU133)/AK133+X133*W133+Z133</f>
        <v>152.38515745381599</v>
      </c>
      <c r="AZ133" s="17">
        <f t="shared" ref="AZ133:AZ196" si="158">AS133/AI133-ABS(AT133)/AJ133-ABS(AU133)/AK133+X133*W133+Z133</f>
        <v>119.91974061734</v>
      </c>
      <c r="BA133" s="17">
        <f t="shared" ref="BA133:BA196" si="159">AS133/AI133+X133*W133+Z133</f>
        <v>136.152449035578</v>
      </c>
      <c r="BB133" s="17">
        <f t="shared" ref="BB133:BB196" si="160">AV133/AI133+ABS(AW133)/AJ133+ABS(AX133)/AK133+X133*W133+Z133</f>
        <v>133.21869529768901</v>
      </c>
      <c r="BC133" s="17">
        <f t="shared" ref="BC133:BC196" si="161">AV133/AI133-ABS(AW133)/AJ133-ABS(AX133)/AK133+X133*W133+Z133</f>
        <v>105.956123746483</v>
      </c>
      <c r="BD133" s="17">
        <f t="shared" ref="BD133:BD196" si="162">AV133/AI133+X133*W133+Z133</f>
        <v>119.58740952208601</v>
      </c>
      <c r="BE133" s="17" t="str">
        <f>IF(AND(BD133&lt;=AA133,BB133&lt;=AA133*MongDon!$J$44,BC133&gt;0),"Ok","FAIL")</f>
        <v>Ok</v>
      </c>
      <c r="BF133" s="17">
        <f t="shared" ref="BF133:BF196" si="163">AY133*AR133</f>
        <v>178.534450472891</v>
      </c>
      <c r="BG133" s="17">
        <f t="shared" ref="BG133:BG196" si="164">0.75*AG133*1000*AQ133*AL133</f>
        <v>352.5</v>
      </c>
      <c r="BH133" s="17" t="str">
        <f t="shared" ref="BH133:BH196" si="165">IF(BF133&lt;BG133,"Ok","FAIL")</f>
        <v>Ok</v>
      </c>
      <c r="BI133" s="17">
        <f t="shared" ref="BI133:BI196" si="166">(BY133+BZ133)/2*(IF(AP133&gt;AL133,(AP133-AL133)*O133,0))</f>
        <v>53.731164165970497</v>
      </c>
      <c r="BJ133" s="17">
        <f t="shared" ref="BJ133:BJ196" si="167">(BZ133+CA133)/2*(IF(AN133&gt;AL133,(AN133-AL133)*P133,0))</f>
        <v>55.047513480531201</v>
      </c>
      <c r="BK133" s="17">
        <f t="shared" ref="BK133:BK196" si="168">(CA133+CB133)/2*(IF(AO133&gt;AL133,(AO133-AL133)*O133,0))</f>
        <v>48.927782406855599</v>
      </c>
      <c r="BL133" s="17">
        <f t="shared" ref="BL133:BL196" si="169">(CB133+BY133)/2*(IF(AM133&gt;AL133,(AM133-AL133)*P133,0))</f>
        <v>47.611433092294803</v>
      </c>
      <c r="BM133" s="17">
        <f t="shared" ref="BM133:BM196" si="170">0.75*AG133*1000*((Q133+2*MIN(AL133,AP133)+Q133)/2)*AL133</f>
        <v>88.125</v>
      </c>
      <c r="BN133" s="17">
        <f t="shared" ref="BN133:BN196" si="171">0.75*AG133*1000*((R133+2*MIN(AL133,AN133)+R133)/2)*AL133</f>
        <v>88.125</v>
      </c>
      <c r="BO133" s="17">
        <f t="shared" ref="BO133:BO196" si="172">0.75*AG133*1000*((Q133+2*MIN(AL133,AO133)+Q133)/2)*AL133</f>
        <v>88.125</v>
      </c>
      <c r="BP133" s="17">
        <f t="shared" ref="BP133:BP196" si="173">0.75*AG133*1000*((R133+2*MIN(AL133,AM133)+R133)/2)*AL133</f>
        <v>88.125</v>
      </c>
      <c r="BQ133" s="17" t="str">
        <f t="shared" ref="BQ133:BQ196" si="174">IF(AND(BI133&lt;BM133,BJ133&lt;BN133,BK133&lt;BO133,BL133&lt;BP133),"Ok","FAIL")</f>
        <v>Ok</v>
      </c>
      <c r="BR133" s="17">
        <f t="shared" ref="BR133:BR196" si="175">AS133*TAN(RADIANS(AB133))+AC133*O133*P133</f>
        <v>74.820184633647997</v>
      </c>
      <c r="BS133" s="17">
        <f t="shared" ref="BS133:BS196" si="176">ABS(BR133)/MAX(ABS(D133),ABS(E133))</f>
        <v>38.373871621597601</v>
      </c>
      <c r="BT133" s="16">
        <f>MongDon!$H$80</f>
        <v>1.2</v>
      </c>
      <c r="BU133" s="17" t="str">
        <f t="shared" ref="BU133:BU196" si="177">IF(BS133&gt;BT133,"Ok","FAIL")</f>
        <v>Ok</v>
      </c>
      <c r="BV133" s="17">
        <f t="shared" ref="BV133:BV196" si="178">MIN(ABS((F133*MIN(AM133+Q133/2,AN133+Q133/2)+O133*P133*W133*X133*O133/2)/(G133-E133*U133-F133*T133)),ABS((F133*MIN(AO133+R133/2,AP133+R133/2)+O133*P133*W133*X133*P133/2)/(H133+D133*U133+F133*S133)))</f>
        <v>40.960267212860899</v>
      </c>
      <c r="BW133" s="16">
        <f>MongDon!$F$86</f>
        <v>1.5</v>
      </c>
      <c r="BX133" s="17" t="str">
        <f t="shared" ref="BX133:BX196" si="179">IF(BV133&gt;BW133,"Ok","FAIL")</f>
        <v>Ok</v>
      </c>
      <c r="BY133" s="17">
        <f t="shared" ref="BY133:BY196" si="180">(AS133/AI133)+(AT133*-P133/2)/(P133*O133^3/12)+(AU133*-O133/2)/(O133*P133^3/12)+X133*W133+Z133</f>
        <v>132.660806291385</v>
      </c>
      <c r="BZ133" s="17">
        <f t="shared" ref="BZ133:BZ196" si="181">(AS133/AI133)+(AT133*-P133/2)/(P133*O133^3/12)+(AU133*O133/2)/(O133*P133^3/12)+X133*W133+Z133</f>
        <v>152.38515745381599</v>
      </c>
      <c r="CA133" s="17">
        <f t="shared" ref="CA133:CA196" si="182">(AS133/AI133)+(AT133*P133/2)/(P133*O133^3/12)+(AU133*O133/2)/(O133*P133^3/12)+X133*W133+Z133</f>
        <v>139.644091779771</v>
      </c>
      <c r="CB133" s="17">
        <f t="shared" ref="CB133:CB196" si="183">(AS133/AI133)+(AT133*P133/2)/(P133*O133^3/12)+(AU133*-O133/2)/(O133*P133^3/12)+X133*W133+Z133</f>
        <v>119.91974061734</v>
      </c>
      <c r="CC133" s="17">
        <f t="shared" ref="CC133:CC196" si="184">(MIN(BY133,CB133)+(MAX(BZ133,CA133)-MIN(BY133,CB133))*(AM133+Q133)/O133)</f>
        <v>138.89952276789501</v>
      </c>
      <c r="CD133" s="17">
        <f t="shared" ref="CD133:CD196" si="185">(MIN(BZ133,CA133)+(MAX(BY133,CB133)-MIN(BZ133,CA133))*(AN133+Q133)/O133)</f>
        <v>135.56155564809899</v>
      </c>
      <c r="CE133" s="17">
        <f t="shared" ref="CE133:CE196" si="186">(MIN(CA133,CB133)+(MAX(BY133,BZ133)-MIN(CA133,CB133))*(AO133+R133)/P133)</f>
        <v>138.89952276789501</v>
      </c>
      <c r="CF133" s="17">
        <f t="shared" ref="CF133:CF196" si="187">(MIN(BY133,BZ133)+(MAX(CA133,CB133)-MIN(BY133,BZ133))*(AP133+R133)/P133)</f>
        <v>136.74334242305699</v>
      </c>
      <c r="CG133" s="17">
        <f t="shared" ref="CG133:CG196" si="188">MAX(((2*MAX(BY133,BZ133)+CE133)*(AP133^2)/6),((2*MAX(CA133,CB133)+CF133)*(AO133^2)/6))</f>
        <v>21.5623541110307</v>
      </c>
      <c r="CH133" s="17">
        <f t="shared" ref="CH133:CH196" si="189">MAX(((2*MAX(BZ133,CA133)+CC133)*(AN133^2)/6),((2*MAX(BY133,CB133)+CD133)*(AM133^2)/6))</f>
        <v>21.5623541110307</v>
      </c>
      <c r="CI133" s="17">
        <f t="shared" ref="CI133:CI196" si="190">MAX(CH133*10^6/(0.9*AH133*AL133*1000),(0.1/100)*1000*AL133*1000)</f>
        <v>368.587249761208</v>
      </c>
      <c r="CJ133" s="17">
        <f t="shared" ref="CJ133:CJ196" si="191">MAX(CG133*10^6/(0.9*AH133*AL133*1000),(0.1/100)*1000*AL133*1000)</f>
        <v>368.587249761208</v>
      </c>
    </row>
    <row r="134" spans="2:88">
      <c r="B134" s="3">
        <v>103</v>
      </c>
      <c r="C134" s="3" t="s">
        <v>23</v>
      </c>
      <c r="D134" s="4">
        <v>0.68686131368681902</v>
      </c>
      <c r="E134" s="4">
        <v>-4.1665037673820802</v>
      </c>
      <c r="F134" s="4">
        <v>57.382725197117402</v>
      </c>
      <c r="G134" s="4">
        <v>4.0033071578528601</v>
      </c>
      <c r="H134" s="4">
        <v>0.70542914686632896</v>
      </c>
      <c r="I134" s="4" t="s">
        <v>13</v>
      </c>
      <c r="J134" s="4">
        <v>0.61064111613041805</v>
      </c>
      <c r="K134" s="4">
        <v>-3.5403395716876198</v>
      </c>
      <c r="L134" s="4">
        <v>49.179664454540898</v>
      </c>
      <c r="M134" s="4">
        <v>3.4005670404702601</v>
      </c>
      <c r="N134" s="4">
        <v>0.62701401499073495</v>
      </c>
      <c r="O134" s="4">
        <v>1.2</v>
      </c>
      <c r="P134" s="4">
        <v>1.2</v>
      </c>
      <c r="Q134" s="4">
        <v>0.22</v>
      </c>
      <c r="R134" s="4">
        <v>0.22</v>
      </c>
      <c r="S134" s="4">
        <v>0</v>
      </c>
      <c r="T134" s="4">
        <v>0</v>
      </c>
      <c r="U134" s="4">
        <v>0.3</v>
      </c>
      <c r="V134" s="4">
        <v>0.05</v>
      </c>
      <c r="W134" s="4">
        <v>1</v>
      </c>
      <c r="X134" s="4">
        <v>19.100000000000001</v>
      </c>
      <c r="Y134" s="4">
        <v>0</v>
      </c>
      <c r="Z134" s="4">
        <v>1.5</v>
      </c>
      <c r="AA134" s="4">
        <v>139</v>
      </c>
      <c r="AB134" s="4">
        <v>12.1</v>
      </c>
      <c r="AC134" s="4">
        <v>19.5</v>
      </c>
      <c r="AD134" s="3" t="s">
        <v>42</v>
      </c>
      <c r="AE134" s="3" t="s">
        <v>61</v>
      </c>
      <c r="AF134" s="17">
        <f>HLOOKUP(AD134,Data!$B$4:$M$9,2,0)</f>
        <v>13</v>
      </c>
      <c r="AG134" s="17">
        <f>HLOOKUP(AD134,Data!$B$4:$M$9,3,0)</f>
        <v>1</v>
      </c>
      <c r="AH134" s="17">
        <f>HLOOKUP(AE134,Data!$B$13:$I$18,3,0)</f>
        <v>260</v>
      </c>
      <c r="AI134" s="18">
        <f t="shared" si="141"/>
        <v>1.44</v>
      </c>
      <c r="AJ134" s="17">
        <f t="shared" si="142"/>
        <v>0.28799999999999998</v>
      </c>
      <c r="AK134" s="17">
        <f t="shared" si="143"/>
        <v>0.28799999999999998</v>
      </c>
      <c r="AL134" s="17">
        <f t="shared" si="144"/>
        <v>0.25</v>
      </c>
      <c r="AM134" s="17">
        <f t="shared" si="145"/>
        <v>0.49</v>
      </c>
      <c r="AN134" s="17">
        <f t="shared" si="146"/>
        <v>0.49</v>
      </c>
      <c r="AO134" s="17">
        <f t="shared" si="147"/>
        <v>0.49</v>
      </c>
      <c r="AP134" s="17">
        <f t="shared" si="148"/>
        <v>0.49</v>
      </c>
      <c r="AQ134" s="17">
        <f t="shared" si="149"/>
        <v>1.88</v>
      </c>
      <c r="AR134" s="17">
        <f t="shared" si="150"/>
        <v>0.92159999999999997</v>
      </c>
      <c r="AS134" s="17">
        <f t="shared" si="151"/>
        <v>57.382725197117402</v>
      </c>
      <c r="AT134" s="17">
        <f t="shared" si="152"/>
        <v>5.2532582880674799</v>
      </c>
      <c r="AU134" s="17">
        <f t="shared" si="153"/>
        <v>0.91148754097237505</v>
      </c>
      <c r="AV134" s="17">
        <f t="shared" si="154"/>
        <v>49.179664454540898</v>
      </c>
      <c r="AW134" s="17">
        <f t="shared" si="155"/>
        <v>4.4626689119765501</v>
      </c>
      <c r="AX134" s="17">
        <f t="shared" si="156"/>
        <v>0.81020634982986095</v>
      </c>
      <c r="AY134" s="17">
        <f t="shared" si="157"/>
        <v>81.854482182164404</v>
      </c>
      <c r="AZ134" s="17">
        <f t="shared" si="158"/>
        <v>39.043747258276497</v>
      </c>
      <c r="BA134" s="17">
        <f t="shared" si="159"/>
        <v>60.4491147202204</v>
      </c>
      <c r="BB134" s="17">
        <f t="shared" si="160"/>
        <v>73.061139419147906</v>
      </c>
      <c r="BC134" s="17">
        <f t="shared" si="161"/>
        <v>36.443950101047797</v>
      </c>
      <c r="BD134" s="17">
        <f t="shared" si="162"/>
        <v>54.752544760097898</v>
      </c>
      <c r="BE134" s="17" t="str">
        <f>IF(AND(BD134&lt;=AA134,BB134&lt;=AA134*MongDon!$J$44,BC134&gt;0),"Ok","FAIL")</f>
        <v>Ok</v>
      </c>
      <c r="BF134" s="17">
        <f t="shared" si="163"/>
        <v>75.437090779082695</v>
      </c>
      <c r="BG134" s="17">
        <f t="shared" si="164"/>
        <v>352.5</v>
      </c>
      <c r="BH134" s="17" t="str">
        <f t="shared" si="165"/>
        <v>Ok</v>
      </c>
      <c r="BI134" s="17">
        <f t="shared" si="166"/>
        <v>12.156086751356</v>
      </c>
      <c r="BJ134" s="17">
        <f t="shared" si="167"/>
        <v>18.320832580395901</v>
      </c>
      <c r="BK134" s="17">
        <f t="shared" si="168"/>
        <v>22.662603327490999</v>
      </c>
      <c r="BL134" s="17">
        <f t="shared" si="169"/>
        <v>16.497857498451101</v>
      </c>
      <c r="BM134" s="17">
        <f t="shared" si="170"/>
        <v>88.125</v>
      </c>
      <c r="BN134" s="17">
        <f t="shared" si="171"/>
        <v>88.125</v>
      </c>
      <c r="BO134" s="17">
        <f t="shared" si="172"/>
        <v>88.125</v>
      </c>
      <c r="BP134" s="17">
        <f t="shared" si="173"/>
        <v>88.125</v>
      </c>
      <c r="BQ134" s="17" t="str">
        <f t="shared" si="174"/>
        <v>Ok</v>
      </c>
      <c r="BR134" s="17">
        <f t="shared" si="175"/>
        <v>40.381790355089002</v>
      </c>
      <c r="BS134" s="17">
        <f t="shared" si="176"/>
        <v>9.6920086023255507</v>
      </c>
      <c r="BT134" s="16">
        <f>MongDon!$H$80</f>
        <v>1.2</v>
      </c>
      <c r="BU134" s="17" t="str">
        <f t="shared" si="177"/>
        <v>Ok</v>
      </c>
      <c r="BV134" s="17">
        <f t="shared" si="178"/>
        <v>9.6953228501937598</v>
      </c>
      <c r="BW134" s="16">
        <f>MongDon!$F$86</f>
        <v>1.5</v>
      </c>
      <c r="BX134" s="17" t="str">
        <f t="shared" si="179"/>
        <v>Ok</v>
      </c>
      <c r="BY134" s="17">
        <f t="shared" si="180"/>
        <v>39.043747258276497</v>
      </c>
      <c r="BZ134" s="17">
        <f t="shared" si="181"/>
        <v>45.373521848362401</v>
      </c>
      <c r="CA134" s="17">
        <f t="shared" si="182"/>
        <v>81.854482182164404</v>
      </c>
      <c r="CB134" s="17">
        <f t="shared" si="183"/>
        <v>75.524707592078499</v>
      </c>
      <c r="CC134" s="17">
        <f t="shared" si="184"/>
        <v>64.373432088243504</v>
      </c>
      <c r="CD134" s="17">
        <f t="shared" si="185"/>
        <v>63.212973413394401</v>
      </c>
      <c r="CE134" s="17">
        <f t="shared" si="186"/>
        <v>57.685256027046499</v>
      </c>
      <c r="CF134" s="17">
        <f t="shared" si="187"/>
        <v>64.373432088243504</v>
      </c>
      <c r="CG134" s="17">
        <f t="shared" si="188"/>
        <v>9.1270972313770997</v>
      </c>
      <c r="CH134" s="17">
        <f t="shared" si="189"/>
        <v>9.1270972313770997</v>
      </c>
      <c r="CI134" s="17">
        <f t="shared" si="190"/>
        <v>250</v>
      </c>
      <c r="CJ134" s="17">
        <f t="shared" si="191"/>
        <v>250</v>
      </c>
    </row>
    <row r="135" spans="2:88">
      <c r="B135" s="3">
        <v>103</v>
      </c>
      <c r="C135" s="3" t="s">
        <v>24</v>
      </c>
      <c r="D135" s="4">
        <v>0.71717348557353799</v>
      </c>
      <c r="E135" s="4">
        <v>-4.7107642444334799</v>
      </c>
      <c r="F135" s="4">
        <v>63.952913791362199</v>
      </c>
      <c r="G135" s="4">
        <v>4.5286739845239996</v>
      </c>
      <c r="H135" s="4">
        <v>0.73685660761937</v>
      </c>
      <c r="I135" s="4" t="s">
        <v>14</v>
      </c>
      <c r="J135" s="4">
        <v>0.63590125936935005</v>
      </c>
      <c r="K135" s="4">
        <v>-3.9938899692304499</v>
      </c>
      <c r="L135" s="4">
        <v>54.654821616411603</v>
      </c>
      <c r="M135" s="4">
        <v>3.83837272936288</v>
      </c>
      <c r="N135" s="4">
        <v>0.65320356561826898</v>
      </c>
      <c r="O135" s="4">
        <v>1.2</v>
      </c>
      <c r="P135" s="4">
        <v>1.2</v>
      </c>
      <c r="Q135" s="4">
        <v>0.22</v>
      </c>
      <c r="R135" s="4">
        <v>0.22</v>
      </c>
      <c r="S135" s="4">
        <v>0</v>
      </c>
      <c r="T135" s="4">
        <v>0</v>
      </c>
      <c r="U135" s="4">
        <v>0.3</v>
      </c>
      <c r="V135" s="4">
        <v>0.05</v>
      </c>
      <c r="W135" s="4">
        <v>1</v>
      </c>
      <c r="X135" s="4">
        <v>19.100000000000001</v>
      </c>
      <c r="Y135" s="4">
        <v>0</v>
      </c>
      <c r="Z135" s="4">
        <v>1.5</v>
      </c>
      <c r="AA135" s="4">
        <v>139</v>
      </c>
      <c r="AB135" s="4">
        <v>12.1</v>
      </c>
      <c r="AC135" s="4">
        <v>19.5</v>
      </c>
      <c r="AD135" s="3" t="s">
        <v>42</v>
      </c>
      <c r="AE135" s="3" t="s">
        <v>61</v>
      </c>
      <c r="AF135" s="17">
        <f>HLOOKUP(AD135,Data!$B$4:$M$9,2,0)</f>
        <v>13</v>
      </c>
      <c r="AG135" s="17">
        <f>HLOOKUP(AD135,Data!$B$4:$M$9,3,0)</f>
        <v>1</v>
      </c>
      <c r="AH135" s="17">
        <f>HLOOKUP(AE135,Data!$B$13:$I$18,3,0)</f>
        <v>260</v>
      </c>
      <c r="AI135" s="18">
        <f t="shared" si="141"/>
        <v>1.44</v>
      </c>
      <c r="AJ135" s="17">
        <f t="shared" si="142"/>
        <v>0.28799999999999998</v>
      </c>
      <c r="AK135" s="17">
        <f t="shared" si="143"/>
        <v>0.28799999999999998</v>
      </c>
      <c r="AL135" s="17">
        <f t="shared" si="144"/>
        <v>0.25</v>
      </c>
      <c r="AM135" s="17">
        <f t="shared" si="145"/>
        <v>0.49</v>
      </c>
      <c r="AN135" s="17">
        <f t="shared" si="146"/>
        <v>0.49</v>
      </c>
      <c r="AO135" s="17">
        <f t="shared" si="147"/>
        <v>0.49</v>
      </c>
      <c r="AP135" s="17">
        <f t="shared" si="148"/>
        <v>0.49</v>
      </c>
      <c r="AQ135" s="17">
        <f t="shared" si="149"/>
        <v>1.88</v>
      </c>
      <c r="AR135" s="17">
        <f t="shared" si="150"/>
        <v>0.92159999999999997</v>
      </c>
      <c r="AS135" s="17">
        <f t="shared" si="151"/>
        <v>63.952913791362199</v>
      </c>
      <c r="AT135" s="17">
        <f t="shared" si="152"/>
        <v>5.9419032578540403</v>
      </c>
      <c r="AU135" s="17">
        <f t="shared" si="153"/>
        <v>0.95200865329143103</v>
      </c>
      <c r="AV135" s="17">
        <f t="shared" si="154"/>
        <v>54.654821616411603</v>
      </c>
      <c r="AW135" s="17">
        <f t="shared" si="155"/>
        <v>5.0365397201320201</v>
      </c>
      <c r="AX135" s="17">
        <f t="shared" si="156"/>
        <v>0.84397394342907395</v>
      </c>
      <c r="AY135" s="17">
        <f t="shared" si="157"/>
        <v>88.948939824367798</v>
      </c>
      <c r="AZ135" s="17">
        <f t="shared" si="158"/>
        <v>41.074551552524198</v>
      </c>
      <c r="BA135" s="17">
        <f t="shared" si="159"/>
        <v>65.011745688445998</v>
      </c>
      <c r="BB135" s="17">
        <f t="shared" si="160"/>
        <v>78.973187454317397</v>
      </c>
      <c r="BC135" s="17">
        <f t="shared" si="161"/>
        <v>38.136287012920903</v>
      </c>
      <c r="BD135" s="17">
        <f t="shared" si="162"/>
        <v>58.5547372336192</v>
      </c>
      <c r="BE135" s="17" t="str">
        <f>IF(AND(BD135&lt;=AA135,BB135&lt;=AA135*MongDon!$J$44,BC135&gt;0),"Ok","FAIL")</f>
        <v>Ok</v>
      </c>
      <c r="BF135" s="17">
        <f t="shared" si="163"/>
        <v>81.975342942137303</v>
      </c>
      <c r="BG135" s="17">
        <f t="shared" si="164"/>
        <v>352.5</v>
      </c>
      <c r="BH135" s="17" t="str">
        <f t="shared" si="165"/>
        <v>Ok</v>
      </c>
      <c r="BI135" s="17">
        <f t="shared" si="166"/>
        <v>12.781479500418399</v>
      </c>
      <c r="BJ135" s="17">
        <f t="shared" si="167"/>
        <v>19.675391411563901</v>
      </c>
      <c r="BK135" s="17">
        <f t="shared" si="168"/>
        <v>24.665286016126501</v>
      </c>
      <c r="BL135" s="17">
        <f t="shared" si="169"/>
        <v>17.771374104981</v>
      </c>
      <c r="BM135" s="17">
        <f t="shared" si="170"/>
        <v>88.125</v>
      </c>
      <c r="BN135" s="17">
        <f t="shared" si="171"/>
        <v>88.125</v>
      </c>
      <c r="BO135" s="17">
        <f t="shared" si="172"/>
        <v>88.125</v>
      </c>
      <c r="BP135" s="17">
        <f t="shared" si="173"/>
        <v>88.125</v>
      </c>
      <c r="BQ135" s="17" t="str">
        <f t="shared" si="174"/>
        <v>Ok</v>
      </c>
      <c r="BR135" s="17">
        <f t="shared" si="175"/>
        <v>41.790316743512498</v>
      </c>
      <c r="BS135" s="17">
        <f t="shared" si="176"/>
        <v>8.8712392671517009</v>
      </c>
      <c r="BT135" s="16">
        <f>MongDon!$H$80</f>
        <v>1.2</v>
      </c>
      <c r="BU135" s="17" t="str">
        <f t="shared" si="177"/>
        <v>Ok</v>
      </c>
      <c r="BV135" s="17">
        <f t="shared" si="178"/>
        <v>9.2351130426575594</v>
      </c>
      <c r="BW135" s="16">
        <f>MongDon!$F$86</f>
        <v>1.5</v>
      </c>
      <c r="BX135" s="17" t="str">
        <f t="shared" si="179"/>
        <v>Ok</v>
      </c>
      <c r="BY135" s="17">
        <f t="shared" si="180"/>
        <v>41.074551552524198</v>
      </c>
      <c r="BZ135" s="17">
        <f t="shared" si="181"/>
        <v>47.685722755936901</v>
      </c>
      <c r="CA135" s="17">
        <f t="shared" si="182"/>
        <v>88.948939824367798</v>
      </c>
      <c r="CB135" s="17">
        <f t="shared" si="183"/>
        <v>82.337768620955003</v>
      </c>
      <c r="CC135" s="17">
        <f t="shared" si="184"/>
        <v>69.400231280031605</v>
      </c>
      <c r="CD135" s="17">
        <f t="shared" si="185"/>
        <v>68.188183226072596</v>
      </c>
      <c r="CE135" s="17">
        <f t="shared" si="186"/>
        <v>61.835308150819301</v>
      </c>
      <c r="CF135" s="17">
        <f t="shared" si="187"/>
        <v>69.400231280031605</v>
      </c>
      <c r="CG135" s="17">
        <f t="shared" si="188"/>
        <v>9.8960460723328296</v>
      </c>
      <c r="CH135" s="17">
        <f t="shared" si="189"/>
        <v>9.8960460723328296</v>
      </c>
      <c r="CI135" s="17">
        <f t="shared" si="190"/>
        <v>250</v>
      </c>
      <c r="CJ135" s="17">
        <f t="shared" si="191"/>
        <v>250</v>
      </c>
    </row>
    <row r="136" spans="2:88">
      <c r="B136" s="3">
        <v>103</v>
      </c>
      <c r="C136" s="3" t="s">
        <v>25</v>
      </c>
      <c r="D136" s="4">
        <v>-3.4505184073766499</v>
      </c>
      <c r="E136" s="4">
        <v>-3.85561054271784</v>
      </c>
      <c r="F136" s="4">
        <v>65.608987263318696</v>
      </c>
      <c r="G136" s="4">
        <v>3.0752096650940701</v>
      </c>
      <c r="H136" s="4">
        <v>-6.2797764282382804</v>
      </c>
      <c r="I136" s="4" t="s">
        <v>15</v>
      </c>
      <c r="J136" s="4">
        <v>-2.8371753180891401</v>
      </c>
      <c r="K136" s="4">
        <v>-3.28126188446742</v>
      </c>
      <c r="L136" s="4">
        <v>56.034882843041999</v>
      </c>
      <c r="M136" s="4">
        <v>2.6271524631712699</v>
      </c>
      <c r="N136" s="4">
        <v>-5.1939906309297701</v>
      </c>
      <c r="O136" s="4">
        <v>1.2</v>
      </c>
      <c r="P136" s="4">
        <v>1.2</v>
      </c>
      <c r="Q136" s="4">
        <v>0.22</v>
      </c>
      <c r="R136" s="4">
        <v>0.22</v>
      </c>
      <c r="S136" s="4">
        <v>0</v>
      </c>
      <c r="T136" s="4">
        <v>0</v>
      </c>
      <c r="U136" s="4">
        <v>0.3</v>
      </c>
      <c r="V136" s="4">
        <v>0.05</v>
      </c>
      <c r="W136" s="4">
        <v>1</v>
      </c>
      <c r="X136" s="4">
        <v>19.100000000000001</v>
      </c>
      <c r="Y136" s="4">
        <v>0</v>
      </c>
      <c r="Z136" s="4">
        <v>1.5</v>
      </c>
      <c r="AA136" s="4">
        <v>139</v>
      </c>
      <c r="AB136" s="4">
        <v>12.1</v>
      </c>
      <c r="AC136" s="4">
        <v>19.5</v>
      </c>
      <c r="AD136" s="3" t="s">
        <v>42</v>
      </c>
      <c r="AE136" s="3" t="s">
        <v>61</v>
      </c>
      <c r="AF136" s="17">
        <f>HLOOKUP(AD136,Data!$B$4:$M$9,2,0)</f>
        <v>13</v>
      </c>
      <c r="AG136" s="17">
        <f>HLOOKUP(AD136,Data!$B$4:$M$9,3,0)</f>
        <v>1</v>
      </c>
      <c r="AH136" s="17">
        <f>HLOOKUP(AE136,Data!$B$13:$I$18,3,0)</f>
        <v>260</v>
      </c>
      <c r="AI136" s="18">
        <f t="shared" si="141"/>
        <v>1.44</v>
      </c>
      <c r="AJ136" s="17">
        <f t="shared" si="142"/>
        <v>0.28799999999999998</v>
      </c>
      <c r="AK136" s="17">
        <f t="shared" si="143"/>
        <v>0.28799999999999998</v>
      </c>
      <c r="AL136" s="17">
        <f t="shared" si="144"/>
        <v>0.25</v>
      </c>
      <c r="AM136" s="17">
        <f t="shared" si="145"/>
        <v>0.49</v>
      </c>
      <c r="AN136" s="17">
        <f t="shared" si="146"/>
        <v>0.49</v>
      </c>
      <c r="AO136" s="17">
        <f t="shared" si="147"/>
        <v>0.49</v>
      </c>
      <c r="AP136" s="17">
        <f t="shared" si="148"/>
        <v>0.49</v>
      </c>
      <c r="AQ136" s="17">
        <f t="shared" si="149"/>
        <v>1.88</v>
      </c>
      <c r="AR136" s="17">
        <f t="shared" si="150"/>
        <v>0.92159999999999997</v>
      </c>
      <c r="AS136" s="17">
        <f t="shared" si="151"/>
        <v>65.608987263318696</v>
      </c>
      <c r="AT136" s="17">
        <f t="shared" si="152"/>
        <v>4.2318928279094203</v>
      </c>
      <c r="AU136" s="17">
        <f t="shared" si="153"/>
        <v>-7.3149319504512702</v>
      </c>
      <c r="AV136" s="17">
        <f t="shared" si="154"/>
        <v>56.034882843041999</v>
      </c>
      <c r="AW136" s="17">
        <f t="shared" si="155"/>
        <v>3.6115310285115001</v>
      </c>
      <c r="AX136" s="17">
        <f t="shared" si="156"/>
        <v>-6.0451432263565099</v>
      </c>
      <c r="AY136" s="17">
        <f t="shared" si="157"/>
        <v>106.254938302168</v>
      </c>
      <c r="AZ136" s="17">
        <f t="shared" si="158"/>
        <v>26.068655119107799</v>
      </c>
      <c r="BA136" s="17">
        <f t="shared" si="159"/>
        <v>66.161796710638001</v>
      </c>
      <c r="BB136" s="17">
        <f t="shared" si="160"/>
        <v>93.043232025959796</v>
      </c>
      <c r="BC136" s="17">
        <f t="shared" si="161"/>
        <v>25.982994144931901</v>
      </c>
      <c r="BD136" s="17">
        <f t="shared" si="162"/>
        <v>59.513113085445902</v>
      </c>
      <c r="BE136" s="17" t="str">
        <f>IF(AND(BD136&lt;=AA136,BB136&lt;=AA136*MongDon!$J$44,BC136&gt;0),"Ok","FAIL")</f>
        <v>Ok</v>
      </c>
      <c r="BF136" s="17">
        <f t="shared" si="163"/>
        <v>97.924551139278194</v>
      </c>
      <c r="BG136" s="17">
        <f t="shared" si="164"/>
        <v>352.5</v>
      </c>
      <c r="BH136" s="17" t="str">
        <f t="shared" si="165"/>
        <v>Ok</v>
      </c>
      <c r="BI136" s="17">
        <f t="shared" si="166"/>
        <v>14.8227046247543</v>
      </c>
      <c r="BJ136" s="17">
        <f t="shared" si="167"/>
        <v>11.7396655022125</v>
      </c>
      <c r="BK136" s="17">
        <f t="shared" si="168"/>
        <v>23.286490280573201</v>
      </c>
      <c r="BL136" s="17">
        <f t="shared" si="169"/>
        <v>26.369529403114999</v>
      </c>
      <c r="BM136" s="17">
        <f t="shared" si="170"/>
        <v>88.125</v>
      </c>
      <c r="BN136" s="17">
        <f t="shared" si="171"/>
        <v>88.125</v>
      </c>
      <c r="BO136" s="17">
        <f t="shared" si="172"/>
        <v>88.125</v>
      </c>
      <c r="BP136" s="17">
        <f t="shared" si="173"/>
        <v>88.125</v>
      </c>
      <c r="BQ136" s="17" t="str">
        <f t="shared" si="174"/>
        <v>Ok</v>
      </c>
      <c r="BR136" s="17">
        <f t="shared" si="175"/>
        <v>42.145348133092703</v>
      </c>
      <c r="BS136" s="17">
        <f t="shared" si="176"/>
        <v>10.9309142264624</v>
      </c>
      <c r="BT136" s="16">
        <f>MongDon!$H$80</f>
        <v>1.2</v>
      </c>
      <c r="BU136" s="17" t="str">
        <f t="shared" si="177"/>
        <v>Ok</v>
      </c>
      <c r="BV136" s="17">
        <f t="shared" si="178"/>
        <v>7.63749994346081</v>
      </c>
      <c r="BW136" s="16">
        <f>MongDon!$F$86</f>
        <v>1.5</v>
      </c>
      <c r="BX136" s="17" t="str">
        <f t="shared" si="179"/>
        <v>Ok</v>
      </c>
      <c r="BY136" s="17">
        <f t="shared" si="180"/>
        <v>76.866793663908297</v>
      </c>
      <c r="BZ136" s="17">
        <f t="shared" si="181"/>
        <v>26.068655119107799</v>
      </c>
      <c r="CA136" s="17">
        <f t="shared" si="182"/>
        <v>55.456799757367698</v>
      </c>
      <c r="CB136" s="17">
        <f t="shared" si="183"/>
        <v>106.254938302168</v>
      </c>
      <c r="CC136" s="17">
        <f t="shared" si="184"/>
        <v>64.199213935871796</v>
      </c>
      <c r="CD136" s="17">
        <f t="shared" si="185"/>
        <v>73.512206002418495</v>
      </c>
      <c r="CE136" s="17">
        <f t="shared" si="186"/>
        <v>68.124379485404205</v>
      </c>
      <c r="CF136" s="17">
        <f t="shared" si="187"/>
        <v>73.512206002418495</v>
      </c>
      <c r="CG136" s="17">
        <f t="shared" si="188"/>
        <v>11.4456503389803</v>
      </c>
      <c r="CH136" s="17">
        <f t="shared" si="189"/>
        <v>11.4456503389803</v>
      </c>
      <c r="CI136" s="17">
        <f t="shared" si="190"/>
        <v>250</v>
      </c>
      <c r="CJ136" s="17">
        <f t="shared" si="191"/>
        <v>250</v>
      </c>
    </row>
    <row r="137" spans="2:88">
      <c r="B137" s="3">
        <v>103</v>
      </c>
      <c r="C137" s="3" t="s">
        <v>26</v>
      </c>
      <c r="D137" s="4">
        <v>4.87880294414638</v>
      </c>
      <c r="E137" s="4">
        <v>-5.4570658507388297</v>
      </c>
      <c r="F137" s="4">
        <v>60.982802600556703</v>
      </c>
      <c r="G137" s="4">
        <v>5.8770649386197</v>
      </c>
      <c r="H137" s="4">
        <v>7.74720415132641</v>
      </c>
      <c r="I137" s="4" t="s">
        <v>16</v>
      </c>
      <c r="J137" s="4">
        <v>4.1039258081800503</v>
      </c>
      <c r="K137" s="4">
        <v>-4.6158079744849099</v>
      </c>
      <c r="L137" s="4">
        <v>52.179728957407001</v>
      </c>
      <c r="M137" s="4">
        <v>4.9620318577759699</v>
      </c>
      <c r="N137" s="4">
        <v>6.4951598520407998</v>
      </c>
      <c r="O137" s="4">
        <v>1.2</v>
      </c>
      <c r="P137" s="4">
        <v>1.2</v>
      </c>
      <c r="Q137" s="4">
        <v>0.22</v>
      </c>
      <c r="R137" s="4">
        <v>0.22</v>
      </c>
      <c r="S137" s="4">
        <v>0</v>
      </c>
      <c r="T137" s="4">
        <v>0</v>
      </c>
      <c r="U137" s="4">
        <v>0.3</v>
      </c>
      <c r="V137" s="4">
        <v>0.05</v>
      </c>
      <c r="W137" s="4">
        <v>1</v>
      </c>
      <c r="X137" s="4">
        <v>19.100000000000001</v>
      </c>
      <c r="Y137" s="4">
        <v>0</v>
      </c>
      <c r="Z137" s="4">
        <v>1.5</v>
      </c>
      <c r="AA137" s="4">
        <v>139</v>
      </c>
      <c r="AB137" s="4">
        <v>12.1</v>
      </c>
      <c r="AC137" s="4">
        <v>19.5</v>
      </c>
      <c r="AD137" s="3" t="s">
        <v>42</v>
      </c>
      <c r="AE137" s="3" t="s">
        <v>61</v>
      </c>
      <c r="AF137" s="17">
        <f>HLOOKUP(AD137,Data!$B$4:$M$9,2,0)</f>
        <v>13</v>
      </c>
      <c r="AG137" s="17">
        <f>HLOOKUP(AD137,Data!$B$4:$M$9,3,0)</f>
        <v>1</v>
      </c>
      <c r="AH137" s="17">
        <f>HLOOKUP(AE137,Data!$B$13:$I$18,3,0)</f>
        <v>260</v>
      </c>
      <c r="AI137" s="18">
        <f t="shared" si="141"/>
        <v>1.44</v>
      </c>
      <c r="AJ137" s="17">
        <f t="shared" si="142"/>
        <v>0.28799999999999998</v>
      </c>
      <c r="AK137" s="17">
        <f t="shared" si="143"/>
        <v>0.28799999999999998</v>
      </c>
      <c r="AL137" s="17">
        <f t="shared" si="144"/>
        <v>0.25</v>
      </c>
      <c r="AM137" s="17">
        <f t="shared" si="145"/>
        <v>0.49</v>
      </c>
      <c r="AN137" s="17">
        <f t="shared" si="146"/>
        <v>0.49</v>
      </c>
      <c r="AO137" s="17">
        <f t="shared" si="147"/>
        <v>0.49</v>
      </c>
      <c r="AP137" s="17">
        <f t="shared" si="148"/>
        <v>0.49</v>
      </c>
      <c r="AQ137" s="17">
        <f t="shared" si="149"/>
        <v>1.88</v>
      </c>
      <c r="AR137" s="17">
        <f t="shared" si="150"/>
        <v>0.92159999999999997</v>
      </c>
      <c r="AS137" s="17">
        <f t="shared" si="151"/>
        <v>60.982802600556703</v>
      </c>
      <c r="AT137" s="17">
        <f t="shared" si="152"/>
        <v>7.5141846938413499</v>
      </c>
      <c r="AU137" s="17">
        <f t="shared" si="153"/>
        <v>9.2108450345703208</v>
      </c>
      <c r="AV137" s="17">
        <f t="shared" si="154"/>
        <v>52.179728957407001</v>
      </c>
      <c r="AW137" s="17">
        <f t="shared" si="155"/>
        <v>6.3467742501214399</v>
      </c>
      <c r="AX137" s="17">
        <f t="shared" si="156"/>
        <v>7.7263375944948098</v>
      </c>
      <c r="AY137" s="17">
        <f t="shared" si="157"/>
        <v>121.022188362927</v>
      </c>
      <c r="AZ137" s="17">
        <f t="shared" si="158"/>
        <v>4.8761485822905399</v>
      </c>
      <c r="BA137" s="17">
        <f t="shared" si="159"/>
        <v>62.949168472608797</v>
      </c>
      <c r="BB137" s="17">
        <f t="shared" si="160"/>
        <v>105.700894569784</v>
      </c>
      <c r="BC137" s="17">
        <f t="shared" si="161"/>
        <v>7.9709512043928701</v>
      </c>
      <c r="BD137" s="17">
        <f t="shared" si="162"/>
        <v>56.835922887088202</v>
      </c>
      <c r="BE137" s="17" t="str">
        <f>IF(AND(BD137&lt;=AA137,BB137&lt;=AA137*MongDon!$J$44,BC137&gt;0),"Ok","FAIL")</f>
        <v>Ok</v>
      </c>
      <c r="BF137" s="17">
        <f t="shared" si="163"/>
        <v>111.534048795274</v>
      </c>
      <c r="BG137" s="17">
        <f t="shared" si="164"/>
        <v>352.5</v>
      </c>
      <c r="BH137" s="17" t="str">
        <f t="shared" si="165"/>
        <v>Ok</v>
      </c>
      <c r="BI137" s="17">
        <f t="shared" si="166"/>
        <v>10.615175826270001</v>
      </c>
      <c r="BJ137" s="17">
        <f t="shared" si="167"/>
        <v>27.340205554681699</v>
      </c>
      <c r="BK137" s="17">
        <f t="shared" si="168"/>
        <v>25.643545213952699</v>
      </c>
      <c r="BL137" s="17">
        <f t="shared" si="169"/>
        <v>8.91851548554102</v>
      </c>
      <c r="BM137" s="17">
        <f t="shared" si="170"/>
        <v>88.125</v>
      </c>
      <c r="BN137" s="17">
        <f t="shared" si="171"/>
        <v>88.125</v>
      </c>
      <c r="BO137" s="17">
        <f t="shared" si="172"/>
        <v>88.125</v>
      </c>
      <c r="BP137" s="17">
        <f t="shared" si="173"/>
        <v>88.125</v>
      </c>
      <c r="BQ137" s="17" t="str">
        <f t="shared" si="174"/>
        <v>Ok</v>
      </c>
      <c r="BR137" s="17">
        <f t="shared" si="175"/>
        <v>41.153580076247501</v>
      </c>
      <c r="BS137" s="17">
        <f t="shared" si="176"/>
        <v>7.5413383678842303</v>
      </c>
      <c r="BT137" s="16">
        <f>MongDon!$H$80</f>
        <v>1.2</v>
      </c>
      <c r="BU137" s="17" t="str">
        <f t="shared" si="177"/>
        <v>Ok</v>
      </c>
      <c r="BV137" s="17">
        <f t="shared" si="178"/>
        <v>5.7640836819062597</v>
      </c>
      <c r="BW137" s="16">
        <f>MongDon!$F$86</f>
        <v>1.5</v>
      </c>
      <c r="BX137" s="17" t="str">
        <f t="shared" si="179"/>
        <v>Ok</v>
      </c>
      <c r="BY137" s="17">
        <f t="shared" si="180"/>
        <v>4.8761485822905302</v>
      </c>
      <c r="BZ137" s="17">
        <f t="shared" si="181"/>
        <v>68.840350211251106</v>
      </c>
      <c r="CA137" s="17">
        <f t="shared" si="182"/>
        <v>121.022188362927</v>
      </c>
      <c r="CB137" s="17">
        <f t="shared" si="183"/>
        <v>57.057986733966601</v>
      </c>
      <c r="CC137" s="17">
        <f t="shared" si="184"/>
        <v>73.595888785833907</v>
      </c>
      <c r="CD137" s="17">
        <f t="shared" si="185"/>
        <v>61.869118487191102</v>
      </c>
      <c r="CE137" s="17">
        <f t="shared" si="186"/>
        <v>64.029218458026605</v>
      </c>
      <c r="CF137" s="17">
        <f t="shared" si="187"/>
        <v>73.595888785833907</v>
      </c>
      <c r="CG137" s="17">
        <f t="shared" si="188"/>
        <v>12.6308712915594</v>
      </c>
      <c r="CH137" s="17">
        <f t="shared" si="189"/>
        <v>12.6308712915594</v>
      </c>
      <c r="CI137" s="17">
        <f t="shared" si="190"/>
        <v>250</v>
      </c>
      <c r="CJ137" s="17">
        <f t="shared" si="191"/>
        <v>250</v>
      </c>
    </row>
    <row r="138" spans="2:88">
      <c r="B138" s="3">
        <v>103</v>
      </c>
      <c r="C138" s="3" t="s">
        <v>27</v>
      </c>
      <c r="D138" s="4">
        <v>-3.5108026326408002</v>
      </c>
      <c r="E138" s="4">
        <v>-4.8412715170619203</v>
      </c>
      <c r="F138" s="4">
        <v>66.379284800622003</v>
      </c>
      <c r="G138" s="4">
        <v>4.7212490147483903</v>
      </c>
      <c r="H138" s="4">
        <v>-6.3332742263270703</v>
      </c>
      <c r="I138" s="4" t="s">
        <v>17</v>
      </c>
      <c r="J138" s="4">
        <v>-2.8874121724759299</v>
      </c>
      <c r="K138" s="4">
        <v>-4.1026460297541503</v>
      </c>
      <c r="L138" s="4">
        <v>56.676797457461397</v>
      </c>
      <c r="M138" s="4">
        <v>3.9988519212165401</v>
      </c>
      <c r="N138" s="4">
        <v>-5.2385721293370997</v>
      </c>
      <c r="O138" s="4">
        <v>1.2</v>
      </c>
      <c r="P138" s="4">
        <v>1.2</v>
      </c>
      <c r="Q138" s="4">
        <v>0.22</v>
      </c>
      <c r="R138" s="4">
        <v>0.22</v>
      </c>
      <c r="S138" s="4">
        <v>0</v>
      </c>
      <c r="T138" s="4">
        <v>0</v>
      </c>
      <c r="U138" s="4">
        <v>0.3</v>
      </c>
      <c r="V138" s="4">
        <v>0.05</v>
      </c>
      <c r="W138" s="4">
        <v>1</v>
      </c>
      <c r="X138" s="4">
        <v>19.100000000000001</v>
      </c>
      <c r="Y138" s="4">
        <v>0</v>
      </c>
      <c r="Z138" s="4">
        <v>1.5</v>
      </c>
      <c r="AA138" s="4">
        <v>139</v>
      </c>
      <c r="AB138" s="4">
        <v>12.1</v>
      </c>
      <c r="AC138" s="4">
        <v>19.5</v>
      </c>
      <c r="AD138" s="3" t="s">
        <v>42</v>
      </c>
      <c r="AE138" s="3" t="s">
        <v>61</v>
      </c>
      <c r="AF138" s="17">
        <f>HLOOKUP(AD138,Data!$B$4:$M$9,2,0)</f>
        <v>13</v>
      </c>
      <c r="AG138" s="17">
        <f>HLOOKUP(AD138,Data!$B$4:$M$9,3,0)</f>
        <v>1</v>
      </c>
      <c r="AH138" s="17">
        <f>HLOOKUP(AE138,Data!$B$13:$I$18,3,0)</f>
        <v>260</v>
      </c>
      <c r="AI138" s="18">
        <f t="shared" si="141"/>
        <v>1.44</v>
      </c>
      <c r="AJ138" s="17">
        <f t="shared" si="142"/>
        <v>0.28799999999999998</v>
      </c>
      <c r="AK138" s="17">
        <f t="shared" si="143"/>
        <v>0.28799999999999998</v>
      </c>
      <c r="AL138" s="17">
        <f t="shared" si="144"/>
        <v>0.25</v>
      </c>
      <c r="AM138" s="17">
        <f t="shared" si="145"/>
        <v>0.49</v>
      </c>
      <c r="AN138" s="17">
        <f t="shared" si="146"/>
        <v>0.49</v>
      </c>
      <c r="AO138" s="17">
        <f t="shared" si="147"/>
        <v>0.49</v>
      </c>
      <c r="AP138" s="17">
        <f t="shared" si="148"/>
        <v>0.49</v>
      </c>
      <c r="AQ138" s="17">
        <f t="shared" si="149"/>
        <v>1.88</v>
      </c>
      <c r="AR138" s="17">
        <f t="shared" si="150"/>
        <v>0.92159999999999997</v>
      </c>
      <c r="AS138" s="17">
        <f t="shared" si="151"/>
        <v>66.379284800622003</v>
      </c>
      <c r="AT138" s="17">
        <f t="shared" si="152"/>
        <v>6.1736304698669704</v>
      </c>
      <c r="AU138" s="17">
        <f t="shared" si="153"/>
        <v>-7.3865150161193096</v>
      </c>
      <c r="AV138" s="17">
        <f t="shared" si="154"/>
        <v>56.676797457461397</v>
      </c>
      <c r="AW138" s="17">
        <f t="shared" si="155"/>
        <v>5.2296457301427903</v>
      </c>
      <c r="AX138" s="17">
        <f t="shared" si="156"/>
        <v>-6.1047957810798801</v>
      </c>
      <c r="AY138" s="17">
        <f t="shared" si="157"/>
        <v>113.780564048995</v>
      </c>
      <c r="AZ138" s="17">
        <f t="shared" si="158"/>
        <v>19.612887062979599</v>
      </c>
      <c r="BA138" s="17">
        <f t="shared" si="159"/>
        <v>66.696725555987499</v>
      </c>
      <c r="BB138" s="17">
        <f t="shared" si="160"/>
        <v>99.314586814982405</v>
      </c>
      <c r="BC138" s="17">
        <f t="shared" si="161"/>
        <v>20.603187431491701</v>
      </c>
      <c r="BD138" s="17">
        <f t="shared" si="162"/>
        <v>59.958887123237098</v>
      </c>
      <c r="BE138" s="17" t="str">
        <f>IF(AND(BD138&lt;=AA138,BB138&lt;=AA138*MongDon!$J$44,BC138&gt;0),"Ok","FAIL")</f>
        <v>Ok</v>
      </c>
      <c r="BF138" s="17">
        <f t="shared" si="163"/>
        <v>104.86016782755399</v>
      </c>
      <c r="BG138" s="17">
        <f t="shared" si="164"/>
        <v>352.5</v>
      </c>
      <c r="BH138" s="17" t="str">
        <f t="shared" si="165"/>
        <v>Ok</v>
      </c>
      <c r="BI138" s="17">
        <f t="shared" si="166"/>
        <v>13.035026490257399</v>
      </c>
      <c r="BJ138" s="17">
        <f t="shared" si="167"/>
        <v>11.8221419440051</v>
      </c>
      <c r="BK138" s="17">
        <f t="shared" si="168"/>
        <v>25.382287429991401</v>
      </c>
      <c r="BL138" s="17">
        <f t="shared" si="169"/>
        <v>26.595171976243702</v>
      </c>
      <c r="BM138" s="17">
        <f t="shared" si="170"/>
        <v>88.125</v>
      </c>
      <c r="BN138" s="17">
        <f t="shared" si="171"/>
        <v>88.125</v>
      </c>
      <c r="BO138" s="17">
        <f t="shared" si="172"/>
        <v>88.125</v>
      </c>
      <c r="BP138" s="17">
        <f t="shared" si="173"/>
        <v>88.125</v>
      </c>
      <c r="BQ138" s="17" t="str">
        <f t="shared" si="174"/>
        <v>Ok</v>
      </c>
      <c r="BR138" s="17">
        <f t="shared" si="175"/>
        <v>42.310485616235901</v>
      </c>
      <c r="BS138" s="17">
        <f t="shared" si="176"/>
        <v>8.7395399053993401</v>
      </c>
      <c r="BT138" s="16">
        <f>MongDon!$H$80</f>
        <v>1.2</v>
      </c>
      <c r="BU138" s="17" t="str">
        <f t="shared" si="177"/>
        <v>Ok</v>
      </c>
      <c r="BV138" s="17">
        <f t="shared" si="178"/>
        <v>7.6260551501549001</v>
      </c>
      <c r="BW138" s="16">
        <f>MongDon!$F$86</f>
        <v>1.5</v>
      </c>
      <c r="BX138" s="17" t="str">
        <f t="shared" si="179"/>
        <v>Ok</v>
      </c>
      <c r="BY138" s="17">
        <f t="shared" si="180"/>
        <v>70.908130230474796</v>
      </c>
      <c r="BZ138" s="17">
        <f t="shared" si="181"/>
        <v>19.612887062979599</v>
      </c>
      <c r="CA138" s="17">
        <f t="shared" si="182"/>
        <v>62.485320881500201</v>
      </c>
      <c r="CB138" s="17">
        <f t="shared" si="183"/>
        <v>113.780564048995</v>
      </c>
      <c r="CC138" s="17">
        <f t="shared" si="184"/>
        <v>65.924634698998204</v>
      </c>
      <c r="CD138" s="17">
        <f t="shared" si="185"/>
        <v>75.328762613038904</v>
      </c>
      <c r="CE138" s="17">
        <f t="shared" si="186"/>
        <v>67.468816412976807</v>
      </c>
      <c r="CF138" s="17">
        <f t="shared" si="187"/>
        <v>75.328762613038904</v>
      </c>
      <c r="CG138" s="17">
        <f t="shared" si="188"/>
        <v>12.1206437932864</v>
      </c>
      <c r="CH138" s="17">
        <f t="shared" si="189"/>
        <v>12.1206437932864</v>
      </c>
      <c r="CI138" s="17">
        <f t="shared" si="190"/>
        <v>250</v>
      </c>
      <c r="CJ138" s="17">
        <f t="shared" si="191"/>
        <v>250</v>
      </c>
    </row>
    <row r="139" spans="2:88">
      <c r="B139" s="3">
        <v>103</v>
      </c>
      <c r="C139" s="3" t="s">
        <v>28</v>
      </c>
      <c r="D139" s="4">
        <v>4.9390871694105298</v>
      </c>
      <c r="E139" s="4">
        <v>-4.4714048763947503</v>
      </c>
      <c r="F139" s="4">
        <v>60.212505063253502</v>
      </c>
      <c r="G139" s="4">
        <v>4.2310255889653803</v>
      </c>
      <c r="H139" s="4">
        <v>7.8007019494151999</v>
      </c>
      <c r="I139" s="4" t="s">
        <v>18</v>
      </c>
      <c r="J139" s="4">
        <v>4.15416266256684</v>
      </c>
      <c r="K139" s="4">
        <v>-3.79442382919818</v>
      </c>
      <c r="L139" s="4">
        <v>51.537814342987602</v>
      </c>
      <c r="M139" s="4">
        <v>3.5903323997307002</v>
      </c>
      <c r="N139" s="4">
        <v>6.5397413504481303</v>
      </c>
      <c r="O139" s="4">
        <v>1.2</v>
      </c>
      <c r="P139" s="4">
        <v>1.2</v>
      </c>
      <c r="Q139" s="4">
        <v>0.22</v>
      </c>
      <c r="R139" s="4">
        <v>0.22</v>
      </c>
      <c r="S139" s="4">
        <v>0</v>
      </c>
      <c r="T139" s="4">
        <v>0</v>
      </c>
      <c r="U139" s="4">
        <v>0.3</v>
      </c>
      <c r="V139" s="4">
        <v>0.05</v>
      </c>
      <c r="W139" s="4">
        <v>1</v>
      </c>
      <c r="X139" s="4">
        <v>19.100000000000001</v>
      </c>
      <c r="Y139" s="4">
        <v>0</v>
      </c>
      <c r="Z139" s="4">
        <v>1.5</v>
      </c>
      <c r="AA139" s="4">
        <v>139</v>
      </c>
      <c r="AB139" s="4">
        <v>12.1</v>
      </c>
      <c r="AC139" s="4">
        <v>19.5</v>
      </c>
      <c r="AD139" s="3" t="s">
        <v>42</v>
      </c>
      <c r="AE139" s="3" t="s">
        <v>61</v>
      </c>
      <c r="AF139" s="17">
        <f>HLOOKUP(AD139,Data!$B$4:$M$9,2,0)</f>
        <v>13</v>
      </c>
      <c r="AG139" s="17">
        <f>HLOOKUP(AD139,Data!$B$4:$M$9,3,0)</f>
        <v>1</v>
      </c>
      <c r="AH139" s="17">
        <f>HLOOKUP(AE139,Data!$B$13:$I$18,3,0)</f>
        <v>260</v>
      </c>
      <c r="AI139" s="18">
        <f t="shared" si="141"/>
        <v>1.44</v>
      </c>
      <c r="AJ139" s="17">
        <f t="shared" si="142"/>
        <v>0.28799999999999998</v>
      </c>
      <c r="AK139" s="17">
        <f t="shared" si="143"/>
        <v>0.28799999999999998</v>
      </c>
      <c r="AL139" s="17">
        <f t="shared" si="144"/>
        <v>0.25</v>
      </c>
      <c r="AM139" s="17">
        <f t="shared" si="145"/>
        <v>0.49</v>
      </c>
      <c r="AN139" s="17">
        <f t="shared" si="146"/>
        <v>0.49</v>
      </c>
      <c r="AO139" s="17">
        <f t="shared" si="147"/>
        <v>0.49</v>
      </c>
      <c r="AP139" s="17">
        <f t="shared" si="148"/>
        <v>0.49</v>
      </c>
      <c r="AQ139" s="17">
        <f t="shared" si="149"/>
        <v>1.88</v>
      </c>
      <c r="AR139" s="17">
        <f t="shared" si="150"/>
        <v>0.92159999999999997</v>
      </c>
      <c r="AS139" s="17">
        <f t="shared" si="151"/>
        <v>60.212505063253502</v>
      </c>
      <c r="AT139" s="17">
        <f t="shared" si="152"/>
        <v>5.5724470518838096</v>
      </c>
      <c r="AU139" s="17">
        <f t="shared" si="153"/>
        <v>9.2824281002383593</v>
      </c>
      <c r="AV139" s="17">
        <f t="shared" si="154"/>
        <v>51.537814342987602</v>
      </c>
      <c r="AW139" s="17">
        <f t="shared" si="155"/>
        <v>4.7286595484901497</v>
      </c>
      <c r="AX139" s="17">
        <f t="shared" si="156"/>
        <v>7.78599014921818</v>
      </c>
      <c r="AY139" s="17">
        <f t="shared" si="157"/>
        <v>113.993667238795</v>
      </c>
      <c r="AZ139" s="17">
        <f t="shared" si="158"/>
        <v>10.834812015724101</v>
      </c>
      <c r="BA139" s="17">
        <f t="shared" si="159"/>
        <v>62.414239627259398</v>
      </c>
      <c r="BB139" s="17">
        <f t="shared" si="160"/>
        <v>99.843793633006499</v>
      </c>
      <c r="BC139" s="17">
        <f t="shared" si="161"/>
        <v>12.936504065587499</v>
      </c>
      <c r="BD139" s="17">
        <f t="shared" si="162"/>
        <v>56.390148849296999</v>
      </c>
      <c r="BE139" s="17" t="str">
        <f>IF(AND(BD139&lt;=AA139,BB139&lt;=AA139*MongDon!$J$44,BC139&gt;0),"Ok","FAIL")</f>
        <v>Ok</v>
      </c>
      <c r="BF139" s="17">
        <f t="shared" si="163"/>
        <v>105.056563727273</v>
      </c>
      <c r="BG139" s="17">
        <f t="shared" si="164"/>
        <v>352.5</v>
      </c>
      <c r="BH139" s="17" t="str">
        <f t="shared" si="165"/>
        <v>Ok</v>
      </c>
      <c r="BI139" s="17">
        <f t="shared" si="166"/>
        <v>12.402853960766899</v>
      </c>
      <c r="BJ139" s="17">
        <f t="shared" si="167"/>
        <v>27.257729112889098</v>
      </c>
      <c r="BK139" s="17">
        <f t="shared" si="168"/>
        <v>23.547748064534499</v>
      </c>
      <c r="BL139" s="17">
        <f t="shared" si="169"/>
        <v>8.6928729124123301</v>
      </c>
      <c r="BM139" s="17">
        <f t="shared" si="170"/>
        <v>88.125</v>
      </c>
      <c r="BN139" s="17">
        <f t="shared" si="171"/>
        <v>88.125</v>
      </c>
      <c r="BO139" s="17">
        <f t="shared" si="172"/>
        <v>88.125</v>
      </c>
      <c r="BP139" s="17">
        <f t="shared" si="173"/>
        <v>88.125</v>
      </c>
      <c r="BQ139" s="17" t="str">
        <f t="shared" si="174"/>
        <v>Ok</v>
      </c>
      <c r="BR139" s="17">
        <f t="shared" si="175"/>
        <v>40.988442593104402</v>
      </c>
      <c r="BS139" s="17">
        <f t="shared" si="176"/>
        <v>8.2987890651049803</v>
      </c>
      <c r="BT139" s="16">
        <f>MongDon!$H$80</f>
        <v>1.2</v>
      </c>
      <c r="BU139" s="17" t="str">
        <f t="shared" si="177"/>
        <v>Ok</v>
      </c>
      <c r="BV139" s="17">
        <f t="shared" si="178"/>
        <v>5.6698422513609996</v>
      </c>
      <c r="BW139" s="16">
        <f>MongDon!$F$86</f>
        <v>1.5</v>
      </c>
      <c r="BX139" s="17" t="str">
        <f t="shared" si="179"/>
        <v>Ok</v>
      </c>
      <c r="BY139" s="17">
        <f t="shared" si="180"/>
        <v>10.834812015724101</v>
      </c>
      <c r="BZ139" s="17">
        <f t="shared" si="181"/>
        <v>75.296118267379399</v>
      </c>
      <c r="CA139" s="17">
        <f t="shared" si="182"/>
        <v>113.993667238795</v>
      </c>
      <c r="CB139" s="17">
        <f t="shared" si="183"/>
        <v>49.532360987139398</v>
      </c>
      <c r="CC139" s="17">
        <f t="shared" si="184"/>
        <v>71.870468022707499</v>
      </c>
      <c r="CD139" s="17">
        <f t="shared" si="185"/>
        <v>60.052561876570699</v>
      </c>
      <c r="CE139" s="17">
        <f t="shared" si="186"/>
        <v>64.775917377948005</v>
      </c>
      <c r="CF139" s="17">
        <f t="shared" si="187"/>
        <v>71.870468022707499</v>
      </c>
      <c r="CG139" s="17">
        <f t="shared" si="188"/>
        <v>11.999309730053501</v>
      </c>
      <c r="CH139" s="17">
        <f t="shared" si="189"/>
        <v>11.999309730053501</v>
      </c>
      <c r="CI139" s="17">
        <f t="shared" si="190"/>
        <v>250</v>
      </c>
      <c r="CJ139" s="17">
        <f t="shared" si="191"/>
        <v>250</v>
      </c>
    </row>
    <row r="140" spans="2:88">
      <c r="B140" s="3">
        <v>103</v>
      </c>
      <c r="C140" s="3" t="s">
        <v>29</v>
      </c>
      <c r="D140" s="4">
        <v>-3.9405394371593099</v>
      </c>
      <c r="E140" s="4">
        <v>-3.2768063740370899</v>
      </c>
      <c r="F140" s="4">
        <v>59.952827787540798</v>
      </c>
      <c r="G140" s="4">
        <v>2.4467208947830699</v>
      </c>
      <c r="H140" s="4">
        <v>-7.0873378417807098</v>
      </c>
      <c r="I140" s="4" t="s">
        <v>19</v>
      </c>
      <c r="J140" s="4">
        <v>-3.2455261762413499</v>
      </c>
      <c r="K140" s="4">
        <v>-2.7989250772334602</v>
      </c>
      <c r="L140" s="4">
        <v>51.321416613227001</v>
      </c>
      <c r="M140" s="4">
        <v>2.10341182124544</v>
      </c>
      <c r="N140" s="4">
        <v>-5.8669584755484703</v>
      </c>
      <c r="O140" s="4">
        <v>1.2</v>
      </c>
      <c r="P140" s="4">
        <v>1.2</v>
      </c>
      <c r="Q140" s="4">
        <v>0.22</v>
      </c>
      <c r="R140" s="4">
        <v>0.22</v>
      </c>
      <c r="S140" s="4">
        <v>0</v>
      </c>
      <c r="T140" s="4">
        <v>0</v>
      </c>
      <c r="U140" s="4">
        <v>0.3</v>
      </c>
      <c r="V140" s="4">
        <v>0.05</v>
      </c>
      <c r="W140" s="4">
        <v>1</v>
      </c>
      <c r="X140" s="4">
        <v>19.100000000000001</v>
      </c>
      <c r="Y140" s="4">
        <v>0</v>
      </c>
      <c r="Z140" s="4">
        <v>1.5</v>
      </c>
      <c r="AA140" s="4">
        <v>139</v>
      </c>
      <c r="AB140" s="4">
        <v>12.1</v>
      </c>
      <c r="AC140" s="4">
        <v>19.5</v>
      </c>
      <c r="AD140" s="3" t="s">
        <v>42</v>
      </c>
      <c r="AE140" s="3" t="s">
        <v>61</v>
      </c>
      <c r="AF140" s="17">
        <f>HLOOKUP(AD140,Data!$B$4:$M$9,2,0)</f>
        <v>13</v>
      </c>
      <c r="AG140" s="17">
        <f>HLOOKUP(AD140,Data!$B$4:$M$9,3,0)</f>
        <v>1</v>
      </c>
      <c r="AH140" s="17">
        <f>HLOOKUP(AE140,Data!$B$13:$I$18,3,0)</f>
        <v>260</v>
      </c>
      <c r="AI140" s="18">
        <f t="shared" si="141"/>
        <v>1.44</v>
      </c>
      <c r="AJ140" s="17">
        <f t="shared" si="142"/>
        <v>0.28799999999999998</v>
      </c>
      <c r="AK140" s="17">
        <f t="shared" si="143"/>
        <v>0.28799999999999998</v>
      </c>
      <c r="AL140" s="17">
        <f t="shared" si="144"/>
        <v>0.25</v>
      </c>
      <c r="AM140" s="17">
        <f t="shared" si="145"/>
        <v>0.49</v>
      </c>
      <c r="AN140" s="17">
        <f t="shared" si="146"/>
        <v>0.49</v>
      </c>
      <c r="AO140" s="17">
        <f t="shared" si="147"/>
        <v>0.49</v>
      </c>
      <c r="AP140" s="17">
        <f t="shared" si="148"/>
        <v>0.49</v>
      </c>
      <c r="AQ140" s="17">
        <f t="shared" si="149"/>
        <v>1.88</v>
      </c>
      <c r="AR140" s="17">
        <f t="shared" si="150"/>
        <v>0.92159999999999997</v>
      </c>
      <c r="AS140" s="17">
        <f t="shared" si="151"/>
        <v>59.952827787540798</v>
      </c>
      <c r="AT140" s="17">
        <f t="shared" si="152"/>
        <v>3.4297628069941899</v>
      </c>
      <c r="AU140" s="17">
        <f t="shared" si="153"/>
        <v>-8.2694996729285108</v>
      </c>
      <c r="AV140" s="17">
        <f t="shared" si="154"/>
        <v>51.321416613227001</v>
      </c>
      <c r="AW140" s="17">
        <f t="shared" si="155"/>
        <v>2.94308934441547</v>
      </c>
      <c r="AX140" s="17">
        <f t="shared" si="156"/>
        <v>-6.8406163284208796</v>
      </c>
      <c r="AY140" s="17">
        <f t="shared" si="157"/>
        <v>102.85634735219</v>
      </c>
      <c r="AZ140" s="17">
        <f t="shared" si="158"/>
        <v>21.611469019393901</v>
      </c>
      <c r="BA140" s="17">
        <f t="shared" si="159"/>
        <v>62.233908185792203</v>
      </c>
      <c r="BB140" s="17">
        <f t="shared" si="160"/>
        <v>90.211072900978294</v>
      </c>
      <c r="BC140" s="17">
        <f t="shared" si="161"/>
        <v>22.268672395170299</v>
      </c>
      <c r="BD140" s="17">
        <f t="shared" si="162"/>
        <v>56.239872648074297</v>
      </c>
      <c r="BE140" s="17" t="str">
        <f>IF(AND(BD140&lt;=AA140,BB140&lt;=AA140*MongDon!$J$44,BC140&gt;0),"Ok","FAIL")</f>
        <v>Ok</v>
      </c>
      <c r="BF140" s="17">
        <f t="shared" si="163"/>
        <v>94.792409719778703</v>
      </c>
      <c r="BG140" s="17">
        <f t="shared" si="164"/>
        <v>352.5</v>
      </c>
      <c r="BH140" s="17" t="str">
        <f t="shared" si="165"/>
        <v>Ok</v>
      </c>
      <c r="BI140" s="17">
        <f t="shared" si="166"/>
        <v>14.493602750514</v>
      </c>
      <c r="BJ140" s="17">
        <f t="shared" si="167"/>
        <v>9.6538658845796501</v>
      </c>
      <c r="BK140" s="17">
        <f t="shared" si="168"/>
        <v>21.3531283645023</v>
      </c>
      <c r="BL140" s="17">
        <f t="shared" si="169"/>
        <v>26.192865230436698</v>
      </c>
      <c r="BM140" s="17">
        <f t="shared" si="170"/>
        <v>88.125</v>
      </c>
      <c r="BN140" s="17">
        <f t="shared" si="171"/>
        <v>88.125</v>
      </c>
      <c r="BO140" s="17">
        <f t="shared" si="172"/>
        <v>88.125</v>
      </c>
      <c r="BP140" s="17">
        <f t="shared" si="173"/>
        <v>88.125</v>
      </c>
      <c r="BQ140" s="17" t="str">
        <f t="shared" si="174"/>
        <v>Ok</v>
      </c>
      <c r="BR140" s="17">
        <f t="shared" si="175"/>
        <v>40.932772608891803</v>
      </c>
      <c r="BS140" s="17">
        <f t="shared" si="176"/>
        <v>10.3876063827443</v>
      </c>
      <c r="BT140" s="16">
        <f>MongDon!$H$80</f>
        <v>1.2</v>
      </c>
      <c r="BU140" s="17" t="str">
        <f t="shared" si="177"/>
        <v>Ok</v>
      </c>
      <c r="BV140" s="17">
        <f t="shared" si="178"/>
        <v>6.34549836724785</v>
      </c>
      <c r="BW140" s="16">
        <f>MongDon!$F$86</f>
        <v>1.5</v>
      </c>
      <c r="BX140" s="17" t="str">
        <f t="shared" si="179"/>
        <v>Ok</v>
      </c>
      <c r="BY140" s="17">
        <f t="shared" si="180"/>
        <v>79.038550081397503</v>
      </c>
      <c r="BZ140" s="17">
        <f t="shared" si="181"/>
        <v>21.611469019393901</v>
      </c>
      <c r="CA140" s="17">
        <f t="shared" si="182"/>
        <v>45.429266290186902</v>
      </c>
      <c r="CB140" s="17">
        <f t="shared" si="183"/>
        <v>102.85634735219</v>
      </c>
      <c r="CC140" s="17">
        <f t="shared" si="184"/>
        <v>59.153057171597901</v>
      </c>
      <c r="CD140" s="17">
        <f t="shared" si="185"/>
        <v>69.681355366298604</v>
      </c>
      <c r="CE140" s="17">
        <f t="shared" si="186"/>
        <v>65.314759199986497</v>
      </c>
      <c r="CF140" s="17">
        <f t="shared" si="187"/>
        <v>69.681355366298604</v>
      </c>
      <c r="CG140" s="17">
        <f t="shared" si="188"/>
        <v>11.0203519036617</v>
      </c>
      <c r="CH140" s="17">
        <f t="shared" si="189"/>
        <v>11.0203519036617</v>
      </c>
      <c r="CI140" s="17">
        <f t="shared" si="190"/>
        <v>250</v>
      </c>
      <c r="CJ140" s="17">
        <f t="shared" si="191"/>
        <v>250</v>
      </c>
    </row>
    <row r="141" spans="2:88">
      <c r="B141" s="3">
        <v>103</v>
      </c>
      <c r="C141" s="3" t="s">
        <v>30</v>
      </c>
      <c r="D141" s="4">
        <v>5.3142620645329499</v>
      </c>
      <c r="E141" s="4">
        <v>-5.0562011607270696</v>
      </c>
      <c r="F141" s="4">
        <v>54.812622606694099</v>
      </c>
      <c r="G141" s="4">
        <v>5.5598934209226503</v>
      </c>
      <c r="H141" s="4">
        <v>8.4981961355133695</v>
      </c>
      <c r="I141" s="4" t="s">
        <v>20</v>
      </c>
      <c r="J141" s="4">
        <v>4.4668084085021897</v>
      </c>
      <c r="K141" s="4">
        <v>-4.2817540661417803</v>
      </c>
      <c r="L141" s="4">
        <v>47.037912295854802</v>
      </c>
      <c r="M141" s="4">
        <v>4.6977222596950901</v>
      </c>
      <c r="N141" s="4">
        <v>7.1209865055299399</v>
      </c>
      <c r="O141" s="4">
        <v>1.2</v>
      </c>
      <c r="P141" s="4">
        <v>1.2</v>
      </c>
      <c r="Q141" s="4">
        <v>0.22</v>
      </c>
      <c r="R141" s="4">
        <v>0.22</v>
      </c>
      <c r="S141" s="4">
        <v>0</v>
      </c>
      <c r="T141" s="4">
        <v>0</v>
      </c>
      <c r="U141" s="4">
        <v>0.3</v>
      </c>
      <c r="V141" s="4">
        <v>0.05</v>
      </c>
      <c r="W141" s="4">
        <v>1</v>
      </c>
      <c r="X141" s="4">
        <v>19.100000000000001</v>
      </c>
      <c r="Y141" s="4">
        <v>0</v>
      </c>
      <c r="Z141" s="4">
        <v>1.5</v>
      </c>
      <c r="AA141" s="4">
        <v>139</v>
      </c>
      <c r="AB141" s="4">
        <v>12.1</v>
      </c>
      <c r="AC141" s="4">
        <v>19.5</v>
      </c>
      <c r="AD141" s="3" t="s">
        <v>42</v>
      </c>
      <c r="AE141" s="3" t="s">
        <v>61</v>
      </c>
      <c r="AF141" s="17">
        <f>HLOOKUP(AD141,Data!$B$4:$M$9,2,0)</f>
        <v>13</v>
      </c>
      <c r="AG141" s="17">
        <f>HLOOKUP(AD141,Data!$B$4:$M$9,3,0)</f>
        <v>1</v>
      </c>
      <c r="AH141" s="17">
        <f>HLOOKUP(AE141,Data!$B$13:$I$18,3,0)</f>
        <v>260</v>
      </c>
      <c r="AI141" s="18">
        <f t="shared" si="141"/>
        <v>1.44</v>
      </c>
      <c r="AJ141" s="17">
        <f t="shared" si="142"/>
        <v>0.28799999999999998</v>
      </c>
      <c r="AK141" s="17">
        <f t="shared" si="143"/>
        <v>0.28799999999999998</v>
      </c>
      <c r="AL141" s="17">
        <f t="shared" si="144"/>
        <v>0.25</v>
      </c>
      <c r="AM141" s="17">
        <f t="shared" si="145"/>
        <v>0.49</v>
      </c>
      <c r="AN141" s="17">
        <f t="shared" si="146"/>
        <v>0.49</v>
      </c>
      <c r="AO141" s="17">
        <f t="shared" si="147"/>
        <v>0.49</v>
      </c>
      <c r="AP141" s="17">
        <f t="shared" si="148"/>
        <v>0.49</v>
      </c>
      <c r="AQ141" s="17">
        <f t="shared" si="149"/>
        <v>1.88</v>
      </c>
      <c r="AR141" s="17">
        <f t="shared" si="150"/>
        <v>0.92159999999999997</v>
      </c>
      <c r="AS141" s="17">
        <f t="shared" si="151"/>
        <v>54.812622606694099</v>
      </c>
      <c r="AT141" s="17">
        <f t="shared" si="152"/>
        <v>7.0767537691407796</v>
      </c>
      <c r="AU141" s="17">
        <f t="shared" si="153"/>
        <v>10.092474754873299</v>
      </c>
      <c r="AV141" s="17">
        <f t="shared" si="154"/>
        <v>47.037912295854802</v>
      </c>
      <c r="AW141" s="17">
        <f t="shared" si="155"/>
        <v>5.9822484795376303</v>
      </c>
      <c r="AX141" s="17">
        <f t="shared" si="156"/>
        <v>8.4610290280806009</v>
      </c>
      <c r="AY141" s="17">
        <f t="shared" si="157"/>
        <v>118.279698074142</v>
      </c>
      <c r="AZ141" s="17">
        <f t="shared" si="158"/>
        <v>-0.95105556484450904</v>
      </c>
      <c r="BA141" s="17">
        <f t="shared" si="159"/>
        <v>58.664321254648698</v>
      </c>
      <c r="BB141" s="17">
        <f t="shared" si="160"/>
        <v>103.415485995796</v>
      </c>
      <c r="BC141" s="17">
        <f t="shared" si="161"/>
        <v>3.1149477484470101</v>
      </c>
      <c r="BD141" s="17">
        <f t="shared" si="162"/>
        <v>53.2652168721214</v>
      </c>
      <c r="BE141" s="17" t="str">
        <f>IF(AND(BD141&lt;=AA141,BB141&lt;=AA141*MongDon!$J$44,BC141&gt;0),"Ok","FAIL")</f>
        <v>Ok</v>
      </c>
      <c r="BF141" s="17">
        <f t="shared" si="163"/>
        <v>109.006569745129</v>
      </c>
      <c r="BG141" s="17">
        <f t="shared" si="164"/>
        <v>352.5</v>
      </c>
      <c r="BH141" s="17" t="str">
        <f t="shared" si="165"/>
        <v>Ok</v>
      </c>
      <c r="BI141" s="17">
        <f t="shared" si="166"/>
        <v>9.8185707521980401</v>
      </c>
      <c r="BJ141" s="17">
        <f t="shared" si="167"/>
        <v>26.987799276212101</v>
      </c>
      <c r="BK141" s="17">
        <f t="shared" si="168"/>
        <v>23.972078290479601</v>
      </c>
      <c r="BL141" s="17">
        <f t="shared" si="169"/>
        <v>6.8028497664655596</v>
      </c>
      <c r="BM141" s="17">
        <f t="shared" si="170"/>
        <v>88.125</v>
      </c>
      <c r="BN141" s="17">
        <f t="shared" si="171"/>
        <v>88.125</v>
      </c>
      <c r="BO141" s="17">
        <f t="shared" si="172"/>
        <v>88.125</v>
      </c>
      <c r="BP141" s="17">
        <f t="shared" si="173"/>
        <v>88.125</v>
      </c>
      <c r="BQ141" s="17" t="str">
        <f t="shared" si="174"/>
        <v>Ok</v>
      </c>
      <c r="BR141" s="17">
        <f t="shared" si="175"/>
        <v>39.830808101286102</v>
      </c>
      <c r="BS141" s="17">
        <f t="shared" si="176"/>
        <v>7.49507788995097</v>
      </c>
      <c r="BT141" s="16">
        <f>MongDon!$H$80</f>
        <v>1.2</v>
      </c>
      <c r="BU141" s="17" t="str">
        <f t="shared" si="177"/>
        <v>Ok</v>
      </c>
      <c r="BV141" s="17">
        <f t="shared" si="178"/>
        <v>4.8937425917432202</v>
      </c>
      <c r="BW141" s="16">
        <f>MongDon!$F$86</f>
        <v>1.5</v>
      </c>
      <c r="BX141" s="17" t="str">
        <f t="shared" si="179"/>
        <v>Ok</v>
      </c>
      <c r="BY141" s="17">
        <f t="shared" si="180"/>
        <v>-0.95105556484451304</v>
      </c>
      <c r="BZ141" s="17">
        <f t="shared" si="181"/>
        <v>69.135574677330894</v>
      </c>
      <c r="CA141" s="17">
        <f t="shared" si="182"/>
        <v>118.279698074142</v>
      </c>
      <c r="CB141" s="17">
        <f t="shared" si="183"/>
        <v>48.193067831966502</v>
      </c>
      <c r="CC141" s="17">
        <f t="shared" si="184"/>
        <v>69.593807004889101</v>
      </c>
      <c r="CD141" s="17">
        <f t="shared" si="185"/>
        <v>56.744591460490298</v>
      </c>
      <c r="CE141" s="17">
        <f t="shared" si="186"/>
        <v>60.584051048807098</v>
      </c>
      <c r="CF141" s="17">
        <f t="shared" si="187"/>
        <v>69.593807004889101</v>
      </c>
      <c r="CG141" s="17">
        <f t="shared" si="188"/>
        <v>12.251230679512799</v>
      </c>
      <c r="CH141" s="17">
        <f t="shared" si="189"/>
        <v>12.251230679512799</v>
      </c>
      <c r="CI141" s="17">
        <f t="shared" si="190"/>
        <v>250</v>
      </c>
      <c r="CJ141" s="17">
        <f t="shared" si="191"/>
        <v>250</v>
      </c>
    </row>
    <row r="142" spans="2:88">
      <c r="B142" s="3">
        <v>103</v>
      </c>
      <c r="C142" s="3" t="s">
        <v>31</v>
      </c>
      <c r="D142" s="4">
        <v>-4.0075219096750301</v>
      </c>
      <c r="E142" s="4">
        <v>-4.3719852344193901</v>
      </c>
      <c r="F142" s="4">
        <v>60.808713940099899</v>
      </c>
      <c r="G142" s="4">
        <v>4.2756535055100899</v>
      </c>
      <c r="H142" s="4">
        <v>-7.1467798396571602</v>
      </c>
      <c r="I142" s="4" t="s">
        <v>21</v>
      </c>
      <c r="J142" s="4">
        <v>-3.3013449033377902</v>
      </c>
      <c r="K142" s="4">
        <v>-3.71157412755205</v>
      </c>
      <c r="L142" s="4">
        <v>52.034655073693003</v>
      </c>
      <c r="M142" s="4">
        <v>3.62752233018462</v>
      </c>
      <c r="N142" s="4">
        <v>-5.9164934737788402</v>
      </c>
      <c r="O142" s="4">
        <v>1.2</v>
      </c>
      <c r="P142" s="4">
        <v>1.2</v>
      </c>
      <c r="Q142" s="4">
        <v>0.22</v>
      </c>
      <c r="R142" s="4">
        <v>0.22</v>
      </c>
      <c r="S142" s="4">
        <v>0</v>
      </c>
      <c r="T142" s="4">
        <v>0</v>
      </c>
      <c r="U142" s="4">
        <v>0.3</v>
      </c>
      <c r="V142" s="4">
        <v>0.05</v>
      </c>
      <c r="W142" s="4">
        <v>1</v>
      </c>
      <c r="X142" s="4">
        <v>19.100000000000001</v>
      </c>
      <c r="Y142" s="4">
        <v>0</v>
      </c>
      <c r="Z142" s="4">
        <v>1.5</v>
      </c>
      <c r="AA142" s="4">
        <v>139</v>
      </c>
      <c r="AB142" s="4">
        <v>12.1</v>
      </c>
      <c r="AC142" s="4">
        <v>19.5</v>
      </c>
      <c r="AD142" s="3" t="s">
        <v>42</v>
      </c>
      <c r="AE142" s="3" t="s">
        <v>61</v>
      </c>
      <c r="AF142" s="17">
        <f>HLOOKUP(AD142,Data!$B$4:$M$9,2,0)</f>
        <v>13</v>
      </c>
      <c r="AG142" s="17">
        <f>HLOOKUP(AD142,Data!$B$4:$M$9,3,0)</f>
        <v>1</v>
      </c>
      <c r="AH142" s="17">
        <f>HLOOKUP(AE142,Data!$B$13:$I$18,3,0)</f>
        <v>260</v>
      </c>
      <c r="AI142" s="18">
        <f t="shared" si="141"/>
        <v>1.44</v>
      </c>
      <c r="AJ142" s="17">
        <f t="shared" si="142"/>
        <v>0.28799999999999998</v>
      </c>
      <c r="AK142" s="17">
        <f t="shared" si="143"/>
        <v>0.28799999999999998</v>
      </c>
      <c r="AL142" s="17">
        <f t="shared" si="144"/>
        <v>0.25</v>
      </c>
      <c r="AM142" s="17">
        <f t="shared" si="145"/>
        <v>0.49</v>
      </c>
      <c r="AN142" s="17">
        <f t="shared" si="146"/>
        <v>0.49</v>
      </c>
      <c r="AO142" s="17">
        <f t="shared" si="147"/>
        <v>0.49</v>
      </c>
      <c r="AP142" s="17">
        <f t="shared" si="148"/>
        <v>0.49</v>
      </c>
      <c r="AQ142" s="17">
        <f t="shared" si="149"/>
        <v>1.88</v>
      </c>
      <c r="AR142" s="17">
        <f t="shared" si="150"/>
        <v>0.92159999999999997</v>
      </c>
      <c r="AS142" s="17">
        <f t="shared" si="151"/>
        <v>60.808713940099899</v>
      </c>
      <c r="AT142" s="17">
        <f t="shared" si="152"/>
        <v>5.5872490758359099</v>
      </c>
      <c r="AU142" s="17">
        <f t="shared" si="153"/>
        <v>-8.3490364125596592</v>
      </c>
      <c r="AV142" s="17">
        <f t="shared" si="154"/>
        <v>52.034655073693003</v>
      </c>
      <c r="AW142" s="17">
        <f t="shared" si="155"/>
        <v>4.7409945684502404</v>
      </c>
      <c r="AX142" s="17">
        <f t="shared" si="156"/>
        <v>-6.9068969447801702</v>
      </c>
      <c r="AY142" s="17">
        <f t="shared" si="157"/>
        <v>111.218153737554</v>
      </c>
      <c r="AZ142" s="17">
        <f t="shared" si="158"/>
        <v>14.4383934014737</v>
      </c>
      <c r="BA142" s="17">
        <f t="shared" si="159"/>
        <v>62.828273569513797</v>
      </c>
      <c r="BB142" s="17">
        <f t="shared" si="160"/>
        <v>97.179244888781298</v>
      </c>
      <c r="BC142" s="17">
        <f t="shared" si="161"/>
        <v>16.291109380236801</v>
      </c>
      <c r="BD142" s="17">
        <f t="shared" si="162"/>
        <v>56.735177134509001</v>
      </c>
      <c r="BE142" s="17" t="str">
        <f>IF(AND(BD142&lt;=AA142,BB142&lt;=AA142*MongDon!$J$44,BC142&gt;0),"Ok","FAIL")</f>
        <v>Ok</v>
      </c>
      <c r="BF142" s="17">
        <f t="shared" si="163"/>
        <v>102.49865048453</v>
      </c>
      <c r="BG142" s="17">
        <f t="shared" si="164"/>
        <v>352.5</v>
      </c>
      <c r="BH142" s="17" t="str">
        <f t="shared" si="165"/>
        <v>Ok</v>
      </c>
      <c r="BI142" s="17">
        <f t="shared" si="166"/>
        <v>12.507293712184101</v>
      </c>
      <c r="BJ142" s="17">
        <f t="shared" si="167"/>
        <v>9.7455063754603195</v>
      </c>
      <c r="BK142" s="17">
        <f t="shared" si="168"/>
        <v>23.681791863855899</v>
      </c>
      <c r="BL142" s="17">
        <f t="shared" si="169"/>
        <v>26.443579200579599</v>
      </c>
      <c r="BM142" s="17">
        <f t="shared" si="170"/>
        <v>88.125</v>
      </c>
      <c r="BN142" s="17">
        <f t="shared" si="171"/>
        <v>88.125</v>
      </c>
      <c r="BO142" s="17">
        <f t="shared" si="172"/>
        <v>88.125</v>
      </c>
      <c r="BP142" s="17">
        <f t="shared" si="173"/>
        <v>88.125</v>
      </c>
      <c r="BQ142" s="17" t="str">
        <f t="shared" si="174"/>
        <v>Ok</v>
      </c>
      <c r="BR142" s="17">
        <f t="shared" si="175"/>
        <v>41.116258701273097</v>
      </c>
      <c r="BS142" s="17">
        <f t="shared" si="176"/>
        <v>9.4044825169070805</v>
      </c>
      <c r="BT142" s="16">
        <f>MongDon!$H$80</f>
        <v>1.2</v>
      </c>
      <c r="BU142" s="17" t="str">
        <f t="shared" si="177"/>
        <v>Ok</v>
      </c>
      <c r="BV142" s="17">
        <f t="shared" si="178"/>
        <v>6.3465561468086698</v>
      </c>
      <c r="BW142" s="16">
        <f>MongDon!$F$86</f>
        <v>1.5</v>
      </c>
      <c r="BX142" s="17" t="str">
        <f t="shared" si="179"/>
        <v>Ok</v>
      </c>
      <c r="BY142" s="17">
        <f t="shared" si="180"/>
        <v>72.417812933137995</v>
      </c>
      <c r="BZ142" s="17">
        <f t="shared" si="181"/>
        <v>14.4383934014737</v>
      </c>
      <c r="CA142" s="17">
        <f t="shared" si="182"/>
        <v>53.238734205889699</v>
      </c>
      <c r="CB142" s="17">
        <f t="shared" si="183"/>
        <v>111.218153737554</v>
      </c>
      <c r="CC142" s="17">
        <f t="shared" si="184"/>
        <v>61.070191352849399</v>
      </c>
      <c r="CD142" s="17">
        <f t="shared" si="185"/>
        <v>71.699751600321207</v>
      </c>
      <c r="CE142" s="17">
        <f t="shared" si="186"/>
        <v>64.586355786178302</v>
      </c>
      <c r="CF142" s="17">
        <f t="shared" si="187"/>
        <v>71.699751600321207</v>
      </c>
      <c r="CG142" s="17">
        <f t="shared" si="188"/>
        <v>11.770344630668401</v>
      </c>
      <c r="CH142" s="17">
        <f t="shared" si="189"/>
        <v>11.770344630668401</v>
      </c>
      <c r="CI142" s="17">
        <f t="shared" si="190"/>
        <v>250</v>
      </c>
      <c r="CJ142" s="17">
        <f t="shared" si="191"/>
        <v>250</v>
      </c>
    </row>
    <row r="143" spans="2:88">
      <c r="B143" s="3">
        <v>103</v>
      </c>
      <c r="C143" s="3" t="s">
        <v>32</v>
      </c>
      <c r="D143" s="4">
        <v>5.3812445370486603</v>
      </c>
      <c r="E143" s="4">
        <v>-3.9610223003447702</v>
      </c>
      <c r="F143" s="4">
        <v>53.956736454134898</v>
      </c>
      <c r="G143" s="4">
        <v>3.7309608101956302</v>
      </c>
      <c r="H143" s="4">
        <v>8.5576381333898102</v>
      </c>
      <c r="I143" s="4" t="s">
        <v>22</v>
      </c>
      <c r="J143" s="4">
        <v>4.5226271355986203</v>
      </c>
      <c r="K143" s="4">
        <v>-3.3691050158231901</v>
      </c>
      <c r="L143" s="4">
        <v>46.3246738353889</v>
      </c>
      <c r="M143" s="4">
        <v>3.1736117507559101</v>
      </c>
      <c r="N143" s="4">
        <v>7.1705215037603098</v>
      </c>
      <c r="O143" s="4">
        <v>1.2</v>
      </c>
      <c r="P143" s="4">
        <v>1.2</v>
      </c>
      <c r="Q143" s="4">
        <v>0.22</v>
      </c>
      <c r="R143" s="4">
        <v>0.22</v>
      </c>
      <c r="S143" s="4">
        <v>0</v>
      </c>
      <c r="T143" s="4">
        <v>0</v>
      </c>
      <c r="U143" s="4">
        <v>0.3</v>
      </c>
      <c r="V143" s="4">
        <v>0.05</v>
      </c>
      <c r="W143" s="4">
        <v>1</v>
      </c>
      <c r="X143" s="4">
        <v>19.100000000000001</v>
      </c>
      <c r="Y143" s="4">
        <v>0</v>
      </c>
      <c r="Z143" s="4">
        <v>1.5</v>
      </c>
      <c r="AA143" s="4">
        <v>139</v>
      </c>
      <c r="AB143" s="4">
        <v>12.1</v>
      </c>
      <c r="AC143" s="4">
        <v>19.5</v>
      </c>
      <c r="AD143" s="3" t="s">
        <v>42</v>
      </c>
      <c r="AE143" s="3" t="s">
        <v>61</v>
      </c>
      <c r="AF143" s="17">
        <f>HLOOKUP(AD143,Data!$B$4:$M$9,2,0)</f>
        <v>13</v>
      </c>
      <c r="AG143" s="17">
        <f>HLOOKUP(AD143,Data!$B$4:$M$9,3,0)</f>
        <v>1</v>
      </c>
      <c r="AH143" s="17">
        <f>HLOOKUP(AE143,Data!$B$13:$I$18,3,0)</f>
        <v>260</v>
      </c>
      <c r="AI143" s="18">
        <f t="shared" si="141"/>
        <v>1.44</v>
      </c>
      <c r="AJ143" s="17">
        <f t="shared" si="142"/>
        <v>0.28799999999999998</v>
      </c>
      <c r="AK143" s="17">
        <f t="shared" si="143"/>
        <v>0.28799999999999998</v>
      </c>
      <c r="AL143" s="17">
        <f t="shared" si="144"/>
        <v>0.25</v>
      </c>
      <c r="AM143" s="17">
        <f t="shared" si="145"/>
        <v>0.49</v>
      </c>
      <c r="AN143" s="17">
        <f t="shared" si="146"/>
        <v>0.49</v>
      </c>
      <c r="AO143" s="17">
        <f t="shared" si="147"/>
        <v>0.49</v>
      </c>
      <c r="AP143" s="17">
        <f t="shared" si="148"/>
        <v>0.49</v>
      </c>
      <c r="AQ143" s="17">
        <f t="shared" si="149"/>
        <v>1.88</v>
      </c>
      <c r="AR143" s="17">
        <f t="shared" si="150"/>
        <v>0.92159999999999997</v>
      </c>
      <c r="AS143" s="17">
        <f t="shared" si="151"/>
        <v>53.956736454134898</v>
      </c>
      <c r="AT143" s="17">
        <f t="shared" si="152"/>
        <v>4.9192675002990596</v>
      </c>
      <c r="AU143" s="17">
        <f t="shared" si="153"/>
        <v>10.1720114945044</v>
      </c>
      <c r="AV143" s="17">
        <f t="shared" si="154"/>
        <v>46.3246738353889</v>
      </c>
      <c r="AW143" s="17">
        <f t="shared" si="155"/>
        <v>4.1843432555028599</v>
      </c>
      <c r="AX143" s="17">
        <f t="shared" si="156"/>
        <v>8.5273096444398906</v>
      </c>
      <c r="AY143" s="17">
        <f t="shared" si="157"/>
        <v>110.47023015843899</v>
      </c>
      <c r="AZ143" s="17">
        <f t="shared" si="158"/>
        <v>5.6696815834149596</v>
      </c>
      <c r="BA143" s="17">
        <f t="shared" si="159"/>
        <v>58.069955870926997</v>
      </c>
      <c r="BB143" s="17">
        <f t="shared" si="160"/>
        <v>96.907596066043496</v>
      </c>
      <c r="BC143" s="17">
        <f t="shared" si="161"/>
        <v>8.6322287053299007</v>
      </c>
      <c r="BD143" s="17">
        <f t="shared" si="162"/>
        <v>52.769912385686702</v>
      </c>
      <c r="BE143" s="17" t="str">
        <f>IF(AND(BD143&lt;=AA143,BB143&lt;=AA143*MongDon!$J$44,BC143&gt;0),"Ok","FAIL")</f>
        <v>Ok</v>
      </c>
      <c r="BF143" s="17">
        <f t="shared" si="163"/>
        <v>101.809364114017</v>
      </c>
      <c r="BG143" s="17">
        <f t="shared" si="164"/>
        <v>352.5</v>
      </c>
      <c r="BH143" s="17" t="str">
        <f t="shared" si="165"/>
        <v>Ok</v>
      </c>
      <c r="BI143" s="17">
        <f t="shared" si="166"/>
        <v>11.804879790527901</v>
      </c>
      <c r="BJ143" s="17">
        <f t="shared" si="167"/>
        <v>26.896158785331401</v>
      </c>
      <c r="BK143" s="17">
        <f t="shared" si="168"/>
        <v>21.643414791125998</v>
      </c>
      <c r="BL143" s="17">
        <f t="shared" si="169"/>
        <v>6.5521357963225704</v>
      </c>
      <c r="BM143" s="17">
        <f t="shared" si="170"/>
        <v>88.125</v>
      </c>
      <c r="BN143" s="17">
        <f t="shared" si="171"/>
        <v>88.125</v>
      </c>
      <c r="BO143" s="17">
        <f t="shared" si="172"/>
        <v>88.125</v>
      </c>
      <c r="BP143" s="17">
        <f t="shared" si="173"/>
        <v>88.125</v>
      </c>
      <c r="BQ143" s="17" t="str">
        <f t="shared" si="174"/>
        <v>Ok</v>
      </c>
      <c r="BR143" s="17">
        <f t="shared" si="175"/>
        <v>39.647322008904801</v>
      </c>
      <c r="BS143" s="17">
        <f t="shared" si="176"/>
        <v>7.3676863662191696</v>
      </c>
      <c r="BT143" s="16">
        <f>MongDon!$H$80</f>
        <v>1.2</v>
      </c>
      <c r="BU143" s="17" t="str">
        <f t="shared" si="177"/>
        <v>Ok</v>
      </c>
      <c r="BV143" s="17">
        <f t="shared" si="178"/>
        <v>4.8049927881901402</v>
      </c>
      <c r="BW143" s="16">
        <f>MongDon!$F$86</f>
        <v>1.5</v>
      </c>
      <c r="BX143" s="17" t="str">
        <f t="shared" si="179"/>
        <v>Ok</v>
      </c>
      <c r="BY143" s="17">
        <f t="shared" si="180"/>
        <v>5.6696815834149499</v>
      </c>
      <c r="BZ143" s="17">
        <f t="shared" si="181"/>
        <v>76.308650295251198</v>
      </c>
      <c r="CA143" s="17">
        <f t="shared" si="182"/>
        <v>110.47023015843899</v>
      </c>
      <c r="CB143" s="17">
        <f t="shared" si="183"/>
        <v>39.831261446602902</v>
      </c>
      <c r="CC143" s="17">
        <f t="shared" si="184"/>
        <v>67.676672823637603</v>
      </c>
      <c r="CD143" s="17">
        <f t="shared" si="185"/>
        <v>54.726195226467603</v>
      </c>
      <c r="CE143" s="17">
        <f t="shared" si="186"/>
        <v>61.413716515386497</v>
      </c>
      <c r="CF143" s="17">
        <f t="shared" si="187"/>
        <v>67.676672823637603</v>
      </c>
      <c r="CG143" s="17">
        <f t="shared" si="188"/>
        <v>11.549495611173</v>
      </c>
      <c r="CH143" s="17">
        <f t="shared" si="189"/>
        <v>11.549495611173</v>
      </c>
      <c r="CI143" s="17">
        <f t="shared" si="190"/>
        <v>250</v>
      </c>
      <c r="CJ143" s="17">
        <f t="shared" si="191"/>
        <v>250</v>
      </c>
    </row>
    <row r="144" spans="2:88">
      <c r="B144" s="3">
        <v>123</v>
      </c>
      <c r="C144" s="3" t="s">
        <v>23</v>
      </c>
      <c r="D144" s="4">
        <v>2.0169645345455001</v>
      </c>
      <c r="E144" s="4">
        <v>-3.0238208610835402</v>
      </c>
      <c r="F144" s="4">
        <v>28.2392902288478</v>
      </c>
      <c r="G144" s="4">
        <v>2.90747116927608</v>
      </c>
      <c r="H144" s="4">
        <v>2.0475692916727199</v>
      </c>
      <c r="I144" s="4" t="s">
        <v>13</v>
      </c>
      <c r="J144" s="4">
        <v>1.7073118540369301</v>
      </c>
      <c r="K144" s="4">
        <v>-2.56850088157293</v>
      </c>
      <c r="L144" s="4">
        <v>24.2921876220291</v>
      </c>
      <c r="M144" s="4">
        <v>2.4677046179803002</v>
      </c>
      <c r="N144" s="4">
        <v>1.73360920241429</v>
      </c>
      <c r="O144" s="4">
        <v>1.4</v>
      </c>
      <c r="P144" s="4">
        <v>1.4</v>
      </c>
      <c r="Q144" s="4">
        <v>0.22</v>
      </c>
      <c r="R144" s="4">
        <v>0.22</v>
      </c>
      <c r="S144" s="4">
        <v>0</v>
      </c>
      <c r="T144" s="4">
        <v>0</v>
      </c>
      <c r="U144" s="4">
        <v>0.3</v>
      </c>
      <c r="V144" s="4">
        <v>0.05</v>
      </c>
      <c r="W144" s="4">
        <v>1</v>
      </c>
      <c r="X144" s="4">
        <v>19.100000000000001</v>
      </c>
      <c r="Y144" s="4">
        <v>0</v>
      </c>
      <c r="Z144" s="4">
        <v>1.5</v>
      </c>
      <c r="AA144" s="4">
        <v>139</v>
      </c>
      <c r="AB144" s="4">
        <v>12.1</v>
      </c>
      <c r="AC144" s="4">
        <v>19.5</v>
      </c>
      <c r="AD144" s="3" t="s">
        <v>42</v>
      </c>
      <c r="AE144" s="3" t="s">
        <v>61</v>
      </c>
      <c r="AF144" s="17">
        <f>HLOOKUP(AD144,Data!$B$4:$M$9,2,0)</f>
        <v>13</v>
      </c>
      <c r="AG144" s="17">
        <f>HLOOKUP(AD144,Data!$B$4:$M$9,3,0)</f>
        <v>1</v>
      </c>
      <c r="AH144" s="17">
        <f>HLOOKUP(AE144,Data!$B$13:$I$18,3,0)</f>
        <v>260</v>
      </c>
      <c r="AI144" s="18">
        <f t="shared" si="141"/>
        <v>1.96</v>
      </c>
      <c r="AJ144" s="17">
        <f t="shared" si="142"/>
        <v>0.45733333333333298</v>
      </c>
      <c r="AK144" s="17">
        <f t="shared" si="143"/>
        <v>0.45733333333333298</v>
      </c>
      <c r="AL144" s="17">
        <f t="shared" si="144"/>
        <v>0.25</v>
      </c>
      <c r="AM144" s="17">
        <f t="shared" si="145"/>
        <v>0.59</v>
      </c>
      <c r="AN144" s="17">
        <f t="shared" si="146"/>
        <v>0.59</v>
      </c>
      <c r="AO144" s="17">
        <f t="shared" si="147"/>
        <v>0.59</v>
      </c>
      <c r="AP144" s="17">
        <f t="shared" si="148"/>
        <v>0.59</v>
      </c>
      <c r="AQ144" s="17">
        <f t="shared" si="149"/>
        <v>1.88</v>
      </c>
      <c r="AR144" s="17">
        <f t="shared" si="150"/>
        <v>1.4416</v>
      </c>
      <c r="AS144" s="17">
        <f t="shared" si="151"/>
        <v>28.2392902288478</v>
      </c>
      <c r="AT144" s="17">
        <f t="shared" si="152"/>
        <v>3.81461742760114</v>
      </c>
      <c r="AU144" s="17">
        <f t="shared" si="153"/>
        <v>2.65265865203637</v>
      </c>
      <c r="AV144" s="17">
        <f t="shared" si="154"/>
        <v>24.2921876220291</v>
      </c>
      <c r="AW144" s="17">
        <f t="shared" si="155"/>
        <v>3.2382548824521802</v>
      </c>
      <c r="AX144" s="17">
        <f t="shared" si="156"/>
        <v>2.2458027586253699</v>
      </c>
      <c r="AY144" s="17">
        <f t="shared" si="157"/>
        <v>49.1490753637799</v>
      </c>
      <c r="AZ144" s="17">
        <f t="shared" si="158"/>
        <v>20.866526910554601</v>
      </c>
      <c r="BA144" s="17">
        <f t="shared" si="159"/>
        <v>35.007801137167199</v>
      </c>
      <c r="BB144" s="17">
        <f t="shared" si="160"/>
        <v>44.985352958201901</v>
      </c>
      <c r="BC144" s="17">
        <f t="shared" si="161"/>
        <v>21.002593594888999</v>
      </c>
      <c r="BD144" s="17">
        <f t="shared" si="162"/>
        <v>32.993973276545397</v>
      </c>
      <c r="BE144" s="17" t="str">
        <f>IF(AND(BD144&lt;=AA144,BB144&lt;=AA144*MongDon!$J$44,BC144&gt;0),"Ok","FAIL")</f>
        <v>Ok</v>
      </c>
      <c r="BF144" s="17">
        <f t="shared" si="163"/>
        <v>70.853307044425094</v>
      </c>
      <c r="BG144" s="17">
        <f t="shared" si="164"/>
        <v>352.5</v>
      </c>
      <c r="BH144" s="17" t="str">
        <f t="shared" si="165"/>
        <v>Ok</v>
      </c>
      <c r="BI144" s="17">
        <f t="shared" si="166"/>
        <v>12.693397243176101</v>
      </c>
      <c r="BJ144" s="17">
        <f t="shared" si="167"/>
        <v>19.424643775043801</v>
      </c>
      <c r="BK144" s="17">
        <f t="shared" si="168"/>
        <v>20.634029439407101</v>
      </c>
      <c r="BL144" s="17">
        <f t="shared" si="169"/>
        <v>13.9027829075395</v>
      </c>
      <c r="BM144" s="17">
        <f t="shared" si="170"/>
        <v>88.125</v>
      </c>
      <c r="BN144" s="17">
        <f t="shared" si="171"/>
        <v>88.125</v>
      </c>
      <c r="BO144" s="17">
        <f t="shared" si="172"/>
        <v>88.125</v>
      </c>
      <c r="BP144" s="17">
        <f t="shared" si="173"/>
        <v>88.125</v>
      </c>
      <c r="BQ144" s="17" t="str">
        <f t="shared" si="174"/>
        <v>Ok</v>
      </c>
      <c r="BR144" s="17">
        <f t="shared" si="175"/>
        <v>44.273979259061903</v>
      </c>
      <c r="BS144" s="17">
        <f t="shared" si="176"/>
        <v>14.6417335196229</v>
      </c>
      <c r="BT144" s="16">
        <f>MongDon!$H$80</f>
        <v>1.2</v>
      </c>
      <c r="BU144" s="17" t="str">
        <f t="shared" si="177"/>
        <v>Ok</v>
      </c>
      <c r="BV144" s="17">
        <f t="shared" si="178"/>
        <v>12.051720528394901</v>
      </c>
      <c r="BW144" s="16">
        <f>MongDon!$F$86</f>
        <v>1.5</v>
      </c>
      <c r="BX144" s="17" t="str">
        <f t="shared" si="179"/>
        <v>Ok</v>
      </c>
      <c r="BY144" s="17">
        <f t="shared" si="180"/>
        <v>20.866526910554601</v>
      </c>
      <c r="BZ144" s="17">
        <f t="shared" si="181"/>
        <v>32.467074951530002</v>
      </c>
      <c r="CA144" s="17">
        <f t="shared" si="182"/>
        <v>49.1490753637799</v>
      </c>
      <c r="CB144" s="17">
        <f t="shared" si="183"/>
        <v>37.548527322804503</v>
      </c>
      <c r="CC144" s="17">
        <f t="shared" si="184"/>
        <v>37.230001372777799</v>
      </c>
      <c r="CD144" s="17">
        <f t="shared" si="185"/>
        <v>35.407058109195901</v>
      </c>
      <c r="CE144" s="17">
        <f t="shared" si="186"/>
        <v>34.608544165138497</v>
      </c>
      <c r="CF144" s="17">
        <f t="shared" si="187"/>
        <v>37.230001372777799</v>
      </c>
      <c r="CG144" s="17">
        <f t="shared" si="188"/>
        <v>7.8628916243545799</v>
      </c>
      <c r="CH144" s="17">
        <f t="shared" si="189"/>
        <v>7.8628916243545799</v>
      </c>
      <c r="CI144" s="17">
        <f t="shared" si="190"/>
        <v>250</v>
      </c>
      <c r="CJ144" s="17">
        <f t="shared" si="191"/>
        <v>250</v>
      </c>
    </row>
    <row r="145" spans="2:88">
      <c r="B145" s="3">
        <v>123</v>
      </c>
      <c r="C145" s="3" t="s">
        <v>24</v>
      </c>
      <c r="D145" s="4">
        <v>2.29480752475525</v>
      </c>
      <c r="E145" s="4">
        <v>-3.4207606437901701</v>
      </c>
      <c r="F145" s="4">
        <v>31.275057918079401</v>
      </c>
      <c r="G145" s="4">
        <v>3.29346334827158</v>
      </c>
      <c r="H145" s="4">
        <v>2.3287676297067401</v>
      </c>
      <c r="I145" s="4" t="s">
        <v>14</v>
      </c>
      <c r="J145" s="4">
        <v>1.93884767921173</v>
      </c>
      <c r="K145" s="4">
        <v>-2.8992840338284598</v>
      </c>
      <c r="L145" s="4">
        <v>26.821994029722099</v>
      </c>
      <c r="M145" s="4">
        <v>2.78936476714322</v>
      </c>
      <c r="N145" s="4">
        <v>1.9679411507759701</v>
      </c>
      <c r="O145" s="4">
        <v>1.4</v>
      </c>
      <c r="P145" s="4">
        <v>1.4</v>
      </c>
      <c r="Q145" s="4">
        <v>0.22</v>
      </c>
      <c r="R145" s="4">
        <v>0.22</v>
      </c>
      <c r="S145" s="4">
        <v>0</v>
      </c>
      <c r="T145" s="4">
        <v>0</v>
      </c>
      <c r="U145" s="4">
        <v>0.3</v>
      </c>
      <c r="V145" s="4">
        <v>0.05</v>
      </c>
      <c r="W145" s="4">
        <v>1</v>
      </c>
      <c r="X145" s="4">
        <v>19.100000000000001</v>
      </c>
      <c r="Y145" s="4">
        <v>0</v>
      </c>
      <c r="Z145" s="4">
        <v>1.5</v>
      </c>
      <c r="AA145" s="4">
        <v>139</v>
      </c>
      <c r="AB145" s="4">
        <v>12.1</v>
      </c>
      <c r="AC145" s="4">
        <v>19.5</v>
      </c>
      <c r="AD145" s="3" t="s">
        <v>42</v>
      </c>
      <c r="AE145" s="3" t="s">
        <v>61</v>
      </c>
      <c r="AF145" s="17">
        <f>HLOOKUP(AD145,Data!$B$4:$M$9,2,0)</f>
        <v>13</v>
      </c>
      <c r="AG145" s="17">
        <f>HLOOKUP(AD145,Data!$B$4:$M$9,3,0)</f>
        <v>1</v>
      </c>
      <c r="AH145" s="17">
        <f>HLOOKUP(AE145,Data!$B$13:$I$18,3,0)</f>
        <v>260</v>
      </c>
      <c r="AI145" s="18">
        <f t="shared" si="141"/>
        <v>1.96</v>
      </c>
      <c r="AJ145" s="17">
        <f t="shared" si="142"/>
        <v>0.45733333333333298</v>
      </c>
      <c r="AK145" s="17">
        <f t="shared" si="143"/>
        <v>0.45733333333333298</v>
      </c>
      <c r="AL145" s="17">
        <f t="shared" si="144"/>
        <v>0.25</v>
      </c>
      <c r="AM145" s="17">
        <f t="shared" si="145"/>
        <v>0.59</v>
      </c>
      <c r="AN145" s="17">
        <f t="shared" si="146"/>
        <v>0.59</v>
      </c>
      <c r="AO145" s="17">
        <f t="shared" si="147"/>
        <v>0.59</v>
      </c>
      <c r="AP145" s="17">
        <f t="shared" si="148"/>
        <v>0.59</v>
      </c>
      <c r="AQ145" s="17">
        <f t="shared" si="149"/>
        <v>1.88</v>
      </c>
      <c r="AR145" s="17">
        <f t="shared" si="150"/>
        <v>1.4416</v>
      </c>
      <c r="AS145" s="17">
        <f t="shared" si="151"/>
        <v>31.275057918079401</v>
      </c>
      <c r="AT145" s="17">
        <f t="shared" si="152"/>
        <v>4.3196915414086297</v>
      </c>
      <c r="AU145" s="17">
        <f t="shared" si="153"/>
        <v>3.0172098871333102</v>
      </c>
      <c r="AV145" s="17">
        <f t="shared" si="154"/>
        <v>26.821994029722099</v>
      </c>
      <c r="AW145" s="17">
        <f t="shared" si="155"/>
        <v>3.65914997729175</v>
      </c>
      <c r="AX145" s="17">
        <f t="shared" si="156"/>
        <v>2.5495954545394799</v>
      </c>
      <c r="AY145" s="17">
        <f t="shared" si="157"/>
        <v>52.599449583295502</v>
      </c>
      <c r="AZ145" s="17">
        <f t="shared" si="158"/>
        <v>20.513874822908001</v>
      </c>
      <c r="BA145" s="17">
        <f t="shared" si="159"/>
        <v>36.556662203101702</v>
      </c>
      <c r="BB145" s="17">
        <f t="shared" si="160"/>
        <v>47.860664807798202</v>
      </c>
      <c r="BC145" s="17">
        <f t="shared" si="161"/>
        <v>20.7087168551835</v>
      </c>
      <c r="BD145" s="17">
        <f t="shared" si="162"/>
        <v>34.284690831490899</v>
      </c>
      <c r="BE145" s="17" t="str">
        <f>IF(AND(BD145&lt;=AA145,BB145&lt;=AA145*MongDon!$J$44,BC145&gt;0),"Ok","FAIL")</f>
        <v>Ok</v>
      </c>
      <c r="BF145" s="17">
        <f t="shared" si="163"/>
        <v>75.827366519278797</v>
      </c>
      <c r="BG145" s="17">
        <f t="shared" si="164"/>
        <v>352.5</v>
      </c>
      <c r="BH145" s="17" t="str">
        <f t="shared" si="165"/>
        <v>Ok</v>
      </c>
      <c r="BI145" s="17">
        <f t="shared" si="166"/>
        <v>12.9049657268021</v>
      </c>
      <c r="BJ145" s="17">
        <f t="shared" si="167"/>
        <v>20.5413325197744</v>
      </c>
      <c r="BK145" s="17">
        <f t="shared" si="168"/>
        <v>21.896976690550702</v>
      </c>
      <c r="BL145" s="17">
        <f t="shared" si="169"/>
        <v>14.260609897578499</v>
      </c>
      <c r="BM145" s="17">
        <f t="shared" si="170"/>
        <v>88.125</v>
      </c>
      <c r="BN145" s="17">
        <f t="shared" si="171"/>
        <v>88.125</v>
      </c>
      <c r="BO145" s="17">
        <f t="shared" si="172"/>
        <v>88.125</v>
      </c>
      <c r="BP145" s="17">
        <f t="shared" si="173"/>
        <v>88.125</v>
      </c>
      <c r="BQ145" s="17" t="str">
        <f t="shared" si="174"/>
        <v>Ok</v>
      </c>
      <c r="BR145" s="17">
        <f t="shared" si="175"/>
        <v>44.924791459970699</v>
      </c>
      <c r="BS145" s="17">
        <f t="shared" si="176"/>
        <v>13.132983022803501</v>
      </c>
      <c r="BT145" s="16">
        <f>MongDon!$H$80</f>
        <v>1.2</v>
      </c>
      <c r="BU145" s="17" t="str">
        <f t="shared" si="177"/>
        <v>Ok</v>
      </c>
      <c r="BV145" s="17">
        <f t="shared" si="178"/>
        <v>11.134531269557099</v>
      </c>
      <c r="BW145" s="16">
        <f>MongDon!$F$86</f>
        <v>1.5</v>
      </c>
      <c r="BX145" s="17" t="str">
        <f t="shared" si="179"/>
        <v>Ok</v>
      </c>
      <c r="BY145" s="17">
        <f t="shared" si="180"/>
        <v>20.513874822908001</v>
      </c>
      <c r="BZ145" s="17">
        <f t="shared" si="181"/>
        <v>33.708670247689199</v>
      </c>
      <c r="CA145" s="17">
        <f t="shared" si="182"/>
        <v>52.599449583295502</v>
      </c>
      <c r="CB145" s="17">
        <f t="shared" si="183"/>
        <v>39.404654158514198</v>
      </c>
      <c r="CC145" s="17">
        <f t="shared" si="184"/>
        <v>39.077671648560802</v>
      </c>
      <c r="CD145" s="17">
        <f t="shared" si="185"/>
        <v>37.004203796095098</v>
      </c>
      <c r="CE145" s="17">
        <f t="shared" si="186"/>
        <v>36.109120610108299</v>
      </c>
      <c r="CF145" s="17">
        <f t="shared" si="187"/>
        <v>39.077671648560802</v>
      </c>
      <c r="CG145" s="17">
        <f t="shared" si="188"/>
        <v>8.3704457167923891</v>
      </c>
      <c r="CH145" s="17">
        <f t="shared" si="189"/>
        <v>8.3704457167923891</v>
      </c>
      <c r="CI145" s="17">
        <f t="shared" si="190"/>
        <v>250</v>
      </c>
      <c r="CJ145" s="17">
        <f t="shared" si="191"/>
        <v>250</v>
      </c>
    </row>
    <row r="146" spans="2:88">
      <c r="B146" s="3">
        <v>123</v>
      </c>
      <c r="C146" s="3" t="s">
        <v>25</v>
      </c>
      <c r="D146" s="4">
        <v>-1.7728275334374699</v>
      </c>
      <c r="E146" s="4">
        <v>-2.93892054329848</v>
      </c>
      <c r="F146" s="4">
        <v>27.702975653040699</v>
      </c>
      <c r="G146" s="4">
        <v>2.5720996610861202</v>
      </c>
      <c r="H146" s="4">
        <v>-4.5869030954186902</v>
      </c>
      <c r="I146" s="4" t="s">
        <v>15</v>
      </c>
      <c r="J146" s="4">
        <v>-1.45084820261555</v>
      </c>
      <c r="K146" s="4">
        <v>-2.4977506167520498</v>
      </c>
      <c r="L146" s="4">
        <v>23.8452588088564</v>
      </c>
      <c r="M146" s="4">
        <v>2.1882283611553301</v>
      </c>
      <c r="N146" s="4">
        <v>-3.7951177868285599</v>
      </c>
      <c r="O146" s="4">
        <v>1.4</v>
      </c>
      <c r="P146" s="4">
        <v>1.4</v>
      </c>
      <c r="Q146" s="4">
        <v>0.22</v>
      </c>
      <c r="R146" s="4">
        <v>0.22</v>
      </c>
      <c r="S146" s="4">
        <v>0</v>
      </c>
      <c r="T146" s="4">
        <v>0</v>
      </c>
      <c r="U146" s="4">
        <v>0.3</v>
      </c>
      <c r="V146" s="4">
        <v>0.05</v>
      </c>
      <c r="W146" s="4">
        <v>1</v>
      </c>
      <c r="X146" s="4">
        <v>19.100000000000001</v>
      </c>
      <c r="Y146" s="4">
        <v>0</v>
      </c>
      <c r="Z146" s="4">
        <v>1.5</v>
      </c>
      <c r="AA146" s="4">
        <v>139</v>
      </c>
      <c r="AB146" s="4">
        <v>12.1</v>
      </c>
      <c r="AC146" s="4">
        <v>19.5</v>
      </c>
      <c r="AD146" s="3" t="s">
        <v>42</v>
      </c>
      <c r="AE146" s="3" t="s">
        <v>61</v>
      </c>
      <c r="AF146" s="17">
        <f>HLOOKUP(AD146,Data!$B$4:$M$9,2,0)</f>
        <v>13</v>
      </c>
      <c r="AG146" s="17">
        <f>HLOOKUP(AD146,Data!$B$4:$M$9,3,0)</f>
        <v>1</v>
      </c>
      <c r="AH146" s="17">
        <f>HLOOKUP(AE146,Data!$B$13:$I$18,3,0)</f>
        <v>260</v>
      </c>
      <c r="AI146" s="18">
        <f t="shared" si="141"/>
        <v>1.96</v>
      </c>
      <c r="AJ146" s="17">
        <f t="shared" si="142"/>
        <v>0.45733333333333298</v>
      </c>
      <c r="AK146" s="17">
        <f t="shared" si="143"/>
        <v>0.45733333333333298</v>
      </c>
      <c r="AL146" s="17">
        <f t="shared" si="144"/>
        <v>0.25</v>
      </c>
      <c r="AM146" s="17">
        <f t="shared" si="145"/>
        <v>0.59</v>
      </c>
      <c r="AN146" s="17">
        <f t="shared" si="146"/>
        <v>0.59</v>
      </c>
      <c r="AO146" s="17">
        <f t="shared" si="147"/>
        <v>0.59</v>
      </c>
      <c r="AP146" s="17">
        <f t="shared" si="148"/>
        <v>0.59</v>
      </c>
      <c r="AQ146" s="17">
        <f t="shared" si="149"/>
        <v>1.88</v>
      </c>
      <c r="AR146" s="17">
        <f t="shared" si="150"/>
        <v>1.4416</v>
      </c>
      <c r="AS146" s="17">
        <f t="shared" si="151"/>
        <v>27.702975653040699</v>
      </c>
      <c r="AT146" s="17">
        <f t="shared" si="152"/>
        <v>3.45377582407566</v>
      </c>
      <c r="AU146" s="17">
        <f t="shared" si="153"/>
        <v>-5.1187513554499402</v>
      </c>
      <c r="AV146" s="17">
        <f t="shared" si="154"/>
        <v>23.8452588088564</v>
      </c>
      <c r="AW146" s="17">
        <f t="shared" si="155"/>
        <v>2.9375535461809501</v>
      </c>
      <c r="AX146" s="17">
        <f t="shared" si="156"/>
        <v>-4.2303722476132197</v>
      </c>
      <c r="AY146" s="17">
        <f t="shared" si="157"/>
        <v>53.478764209697701</v>
      </c>
      <c r="AZ146" s="17">
        <f t="shared" si="158"/>
        <v>15.989578293405</v>
      </c>
      <c r="BA146" s="17">
        <f t="shared" si="159"/>
        <v>34.734171251551402</v>
      </c>
      <c r="BB146" s="17">
        <f t="shared" si="160"/>
        <v>48.439255501153099</v>
      </c>
      <c r="BC146" s="17">
        <f t="shared" si="161"/>
        <v>17.092641242578001</v>
      </c>
      <c r="BD146" s="17">
        <f t="shared" si="162"/>
        <v>32.765948371865498</v>
      </c>
      <c r="BE146" s="17" t="str">
        <f>IF(AND(BD146&lt;=AA146,BB146&lt;=AA146*MongDon!$J$44,BC146&gt;0),"Ok","FAIL")</f>
        <v>Ok</v>
      </c>
      <c r="BF146" s="17">
        <f t="shared" si="163"/>
        <v>77.0949864847002</v>
      </c>
      <c r="BG146" s="17">
        <f t="shared" si="164"/>
        <v>352.5</v>
      </c>
      <c r="BH146" s="17" t="str">
        <f t="shared" si="165"/>
        <v>Ok</v>
      </c>
      <c r="BI146" s="17">
        <f t="shared" si="166"/>
        <v>12.9387192498638</v>
      </c>
      <c r="BJ146" s="17">
        <f t="shared" si="167"/>
        <v>11.205785533535501</v>
      </c>
      <c r="BK146" s="17">
        <f t="shared" si="168"/>
        <v>20.1282117816131</v>
      </c>
      <c r="BL146" s="17">
        <f t="shared" si="169"/>
        <v>21.861145497941401</v>
      </c>
      <c r="BM146" s="17">
        <f t="shared" si="170"/>
        <v>88.125</v>
      </c>
      <c r="BN146" s="17">
        <f t="shared" si="171"/>
        <v>88.125</v>
      </c>
      <c r="BO146" s="17">
        <f t="shared" si="172"/>
        <v>88.125</v>
      </c>
      <c r="BP146" s="17">
        <f t="shared" si="173"/>
        <v>88.125</v>
      </c>
      <c r="BQ146" s="17" t="str">
        <f t="shared" si="174"/>
        <v>Ok</v>
      </c>
      <c r="BR146" s="17">
        <f t="shared" si="175"/>
        <v>44.1590033764545</v>
      </c>
      <c r="BS146" s="17">
        <f t="shared" si="176"/>
        <v>15.025586002026699</v>
      </c>
      <c r="BT146" s="16">
        <f>MongDon!$H$80</f>
        <v>1.2</v>
      </c>
      <c r="BU146" s="17" t="str">
        <f t="shared" si="177"/>
        <v>Ok</v>
      </c>
      <c r="BV146" s="17">
        <f t="shared" si="178"/>
        <v>8.9078917475804005</v>
      </c>
      <c r="BW146" s="16">
        <f>MongDon!$F$86</f>
        <v>1.5</v>
      </c>
      <c r="BX146" s="17" t="str">
        <f t="shared" si="179"/>
        <v>Ok</v>
      </c>
      <c r="BY146" s="17">
        <f t="shared" si="180"/>
        <v>38.374788302661301</v>
      </c>
      <c r="BZ146" s="17">
        <f t="shared" si="181"/>
        <v>15.989578293405</v>
      </c>
      <c r="CA146" s="17">
        <f t="shared" si="182"/>
        <v>31.0935542004414</v>
      </c>
      <c r="CB146" s="17">
        <f t="shared" si="183"/>
        <v>53.478764209697701</v>
      </c>
      <c r="CC146" s="17">
        <f t="shared" si="184"/>
        <v>34.1620742863769</v>
      </c>
      <c r="CD146" s="17">
        <f t="shared" si="185"/>
        <v>37.6797501449743</v>
      </c>
      <c r="CE146" s="17">
        <f t="shared" si="186"/>
        <v>35.306268216725798</v>
      </c>
      <c r="CF146" s="17">
        <f t="shared" si="187"/>
        <v>37.6797501449743</v>
      </c>
      <c r="CG146" s="17">
        <f t="shared" si="188"/>
        <v>8.3913727780428502</v>
      </c>
      <c r="CH146" s="17">
        <f t="shared" si="189"/>
        <v>8.3913727780428502</v>
      </c>
      <c r="CI146" s="17">
        <f t="shared" si="190"/>
        <v>250</v>
      </c>
      <c r="CJ146" s="17">
        <f t="shared" si="191"/>
        <v>250</v>
      </c>
    </row>
    <row r="147" spans="2:88">
      <c r="B147" s="3">
        <v>123</v>
      </c>
      <c r="C147" s="3" t="s">
        <v>26</v>
      </c>
      <c r="D147" s="4">
        <v>6.30687398490603</v>
      </c>
      <c r="E147" s="4">
        <v>-3.8232127877405402</v>
      </c>
      <c r="F147" s="4">
        <v>34.239986645271799</v>
      </c>
      <c r="G147" s="4">
        <v>3.9376285996579399</v>
      </c>
      <c r="H147" s="4">
        <v>9.1881986872253698</v>
      </c>
      <c r="I147" s="4" t="s">
        <v>16</v>
      </c>
      <c r="J147" s="4">
        <v>5.2822363960040404</v>
      </c>
      <c r="K147" s="4">
        <v>-3.2346608204537599</v>
      </c>
      <c r="L147" s="4">
        <v>29.292767969049098</v>
      </c>
      <c r="M147" s="4">
        <v>3.3261691432985199</v>
      </c>
      <c r="N147" s="4">
        <v>7.6841336987081599</v>
      </c>
      <c r="O147" s="4">
        <v>1.4</v>
      </c>
      <c r="P147" s="4">
        <v>1.4</v>
      </c>
      <c r="Q147" s="4">
        <v>0.22</v>
      </c>
      <c r="R147" s="4">
        <v>0.22</v>
      </c>
      <c r="S147" s="4">
        <v>0</v>
      </c>
      <c r="T147" s="4">
        <v>0</v>
      </c>
      <c r="U147" s="4">
        <v>0.3</v>
      </c>
      <c r="V147" s="4">
        <v>0.05</v>
      </c>
      <c r="W147" s="4">
        <v>1</v>
      </c>
      <c r="X147" s="4">
        <v>19.100000000000001</v>
      </c>
      <c r="Y147" s="4">
        <v>0</v>
      </c>
      <c r="Z147" s="4">
        <v>1.5</v>
      </c>
      <c r="AA147" s="4">
        <v>139</v>
      </c>
      <c r="AB147" s="4">
        <v>12.1</v>
      </c>
      <c r="AC147" s="4">
        <v>19.5</v>
      </c>
      <c r="AD147" s="3" t="s">
        <v>42</v>
      </c>
      <c r="AE147" s="3" t="s">
        <v>61</v>
      </c>
      <c r="AF147" s="17">
        <f>HLOOKUP(AD147,Data!$B$4:$M$9,2,0)</f>
        <v>13</v>
      </c>
      <c r="AG147" s="17">
        <f>HLOOKUP(AD147,Data!$B$4:$M$9,3,0)</f>
        <v>1</v>
      </c>
      <c r="AH147" s="17">
        <f>HLOOKUP(AE147,Data!$B$13:$I$18,3,0)</f>
        <v>260</v>
      </c>
      <c r="AI147" s="18">
        <f t="shared" si="141"/>
        <v>1.96</v>
      </c>
      <c r="AJ147" s="17">
        <f t="shared" si="142"/>
        <v>0.45733333333333298</v>
      </c>
      <c r="AK147" s="17">
        <f t="shared" si="143"/>
        <v>0.45733333333333298</v>
      </c>
      <c r="AL147" s="17">
        <f t="shared" si="144"/>
        <v>0.25</v>
      </c>
      <c r="AM147" s="17">
        <f t="shared" si="145"/>
        <v>0.59</v>
      </c>
      <c r="AN147" s="17">
        <f t="shared" si="146"/>
        <v>0.59</v>
      </c>
      <c r="AO147" s="17">
        <f t="shared" si="147"/>
        <v>0.59</v>
      </c>
      <c r="AP147" s="17">
        <f t="shared" si="148"/>
        <v>0.59</v>
      </c>
      <c r="AQ147" s="17">
        <f t="shared" si="149"/>
        <v>1.88</v>
      </c>
      <c r="AR147" s="17">
        <f t="shared" si="150"/>
        <v>1.4416</v>
      </c>
      <c r="AS147" s="17">
        <f t="shared" si="151"/>
        <v>34.239986645271799</v>
      </c>
      <c r="AT147" s="17">
        <f t="shared" si="152"/>
        <v>5.0845924359800998</v>
      </c>
      <c r="AU147" s="17">
        <f t="shared" si="153"/>
        <v>11.0802608826972</v>
      </c>
      <c r="AV147" s="17">
        <f t="shared" si="154"/>
        <v>29.292767969049098</v>
      </c>
      <c r="AW147" s="17">
        <f t="shared" si="155"/>
        <v>4.2965673894346503</v>
      </c>
      <c r="AX147" s="17">
        <f t="shared" si="156"/>
        <v>9.2688046175093692</v>
      </c>
      <c r="AY147" s="17">
        <f t="shared" si="157"/>
        <v>73.415270122246397</v>
      </c>
      <c r="AZ147" s="17">
        <f t="shared" si="158"/>
        <v>2.7234917606840101</v>
      </c>
      <c r="BA147" s="17">
        <f t="shared" si="159"/>
        <v>38.069380941465198</v>
      </c>
      <c r="BB147" s="17">
        <f t="shared" si="160"/>
        <v>65.207181923590696</v>
      </c>
      <c r="BC147" s="17">
        <f t="shared" si="161"/>
        <v>5.8833976366635001</v>
      </c>
      <c r="BD147" s="17">
        <f t="shared" si="162"/>
        <v>35.545289780127099</v>
      </c>
      <c r="BE147" s="17" t="str">
        <f>IF(AND(BD147&lt;=AA147,BB147&lt;=AA147*MongDon!$J$44,BC147&gt;0),"Ok","FAIL")</f>
        <v>Ok</v>
      </c>
      <c r="BF147" s="17">
        <f t="shared" si="163"/>
        <v>105.835453408231</v>
      </c>
      <c r="BG147" s="17">
        <f t="shared" si="164"/>
        <v>352.5</v>
      </c>
      <c r="BH147" s="17" t="str">
        <f t="shared" si="165"/>
        <v>Ok</v>
      </c>
      <c r="BI147" s="17">
        <f t="shared" si="166"/>
        <v>12.8288985070153</v>
      </c>
      <c r="BJ147" s="17">
        <f t="shared" si="167"/>
        <v>29.653541757067199</v>
      </c>
      <c r="BK147" s="17">
        <f t="shared" si="168"/>
        <v>23.413152149259599</v>
      </c>
      <c r="BL147" s="17">
        <f t="shared" si="169"/>
        <v>6.5885088992077296</v>
      </c>
      <c r="BM147" s="17">
        <f t="shared" si="170"/>
        <v>88.125</v>
      </c>
      <c r="BN147" s="17">
        <f t="shared" si="171"/>
        <v>88.125</v>
      </c>
      <c r="BO147" s="17">
        <f t="shared" si="172"/>
        <v>88.125</v>
      </c>
      <c r="BP147" s="17">
        <f t="shared" si="173"/>
        <v>88.125</v>
      </c>
      <c r="BQ147" s="17" t="str">
        <f t="shared" si="174"/>
        <v>Ok</v>
      </c>
      <c r="BR147" s="17">
        <f t="shared" si="175"/>
        <v>45.560417103305198</v>
      </c>
      <c r="BS147" s="17">
        <f t="shared" si="176"/>
        <v>7.2239301454798301</v>
      </c>
      <c r="BT147" s="16">
        <f>MongDon!$H$80</f>
        <v>1.2</v>
      </c>
      <c r="BU147" s="17" t="str">
        <f t="shared" si="177"/>
        <v>Ok</v>
      </c>
      <c r="BV147" s="17">
        <f t="shared" si="178"/>
        <v>4.5281596871099197</v>
      </c>
      <c r="BW147" s="16">
        <f>MongDon!$F$86</f>
        <v>1.5</v>
      </c>
      <c r="BX147" s="17" t="str">
        <f t="shared" si="179"/>
        <v>Ok</v>
      </c>
      <c r="BY147" s="17">
        <f t="shared" si="180"/>
        <v>2.7234917606840101</v>
      </c>
      <c r="BZ147" s="17">
        <f t="shared" si="181"/>
        <v>51.179443142741597</v>
      </c>
      <c r="CA147" s="17">
        <f t="shared" si="182"/>
        <v>73.415270122246397</v>
      </c>
      <c r="CB147" s="17">
        <f t="shared" si="183"/>
        <v>24.959318740188799</v>
      </c>
      <c r="CC147" s="17">
        <f t="shared" si="184"/>
        <v>43.623734955587999</v>
      </c>
      <c r="CD147" s="17">
        <f t="shared" si="185"/>
        <v>36.009228309836097</v>
      </c>
      <c r="CE147" s="17">
        <f t="shared" si="186"/>
        <v>40.129533573094399</v>
      </c>
      <c r="CF147" s="17">
        <f t="shared" si="187"/>
        <v>43.623734955587999</v>
      </c>
      <c r="CG147" s="17">
        <f t="shared" si="188"/>
        <v>11.0495221995247</v>
      </c>
      <c r="CH147" s="17">
        <f t="shared" si="189"/>
        <v>11.0495221995247</v>
      </c>
      <c r="CI147" s="17">
        <f t="shared" si="190"/>
        <v>250</v>
      </c>
      <c r="CJ147" s="17">
        <f t="shared" si="191"/>
        <v>250</v>
      </c>
    </row>
    <row r="148" spans="2:88">
      <c r="B148" s="3">
        <v>123</v>
      </c>
      <c r="C148" s="3" t="s">
        <v>27</v>
      </c>
      <c r="D148" s="4">
        <v>-1.67002272450348</v>
      </c>
      <c r="E148" s="4">
        <v>-6.0666248220273902</v>
      </c>
      <c r="F148" s="4">
        <v>30.322484176403901</v>
      </c>
      <c r="G148" s="4">
        <v>7.8634321777620597</v>
      </c>
      <c r="H148" s="4">
        <v>-4.4758359661075602</v>
      </c>
      <c r="I148" s="4" t="s">
        <v>17</v>
      </c>
      <c r="J148" s="4">
        <v>-1.3651775285038901</v>
      </c>
      <c r="K148" s="4">
        <v>-5.1041708490261399</v>
      </c>
      <c r="L148" s="4">
        <v>26.028182578325801</v>
      </c>
      <c r="M148" s="4">
        <v>6.5976721250519503</v>
      </c>
      <c r="N148" s="4">
        <v>-3.7025618457359499</v>
      </c>
      <c r="O148" s="4">
        <v>1.4</v>
      </c>
      <c r="P148" s="4">
        <v>1.4</v>
      </c>
      <c r="Q148" s="4">
        <v>0.22</v>
      </c>
      <c r="R148" s="4">
        <v>0.22</v>
      </c>
      <c r="S148" s="4">
        <v>0</v>
      </c>
      <c r="T148" s="4">
        <v>0</v>
      </c>
      <c r="U148" s="4">
        <v>0.3</v>
      </c>
      <c r="V148" s="4">
        <v>0.05</v>
      </c>
      <c r="W148" s="4">
        <v>1</v>
      </c>
      <c r="X148" s="4">
        <v>19.100000000000001</v>
      </c>
      <c r="Y148" s="4">
        <v>0</v>
      </c>
      <c r="Z148" s="4">
        <v>1.5</v>
      </c>
      <c r="AA148" s="4">
        <v>139</v>
      </c>
      <c r="AB148" s="4">
        <v>12.1</v>
      </c>
      <c r="AC148" s="4">
        <v>19.5</v>
      </c>
      <c r="AD148" s="3" t="s">
        <v>42</v>
      </c>
      <c r="AE148" s="3" t="s">
        <v>61</v>
      </c>
      <c r="AF148" s="17">
        <f>HLOOKUP(AD148,Data!$B$4:$M$9,2,0)</f>
        <v>13</v>
      </c>
      <c r="AG148" s="17">
        <f>HLOOKUP(AD148,Data!$B$4:$M$9,3,0)</f>
        <v>1</v>
      </c>
      <c r="AH148" s="17">
        <f>HLOOKUP(AE148,Data!$B$13:$I$18,3,0)</f>
        <v>260</v>
      </c>
      <c r="AI148" s="18">
        <f t="shared" si="141"/>
        <v>1.96</v>
      </c>
      <c r="AJ148" s="17">
        <f t="shared" si="142"/>
        <v>0.45733333333333298</v>
      </c>
      <c r="AK148" s="17">
        <f t="shared" si="143"/>
        <v>0.45733333333333298</v>
      </c>
      <c r="AL148" s="17">
        <f t="shared" si="144"/>
        <v>0.25</v>
      </c>
      <c r="AM148" s="17">
        <f t="shared" si="145"/>
        <v>0.59</v>
      </c>
      <c r="AN148" s="17">
        <f t="shared" si="146"/>
        <v>0.59</v>
      </c>
      <c r="AO148" s="17">
        <f t="shared" si="147"/>
        <v>0.59</v>
      </c>
      <c r="AP148" s="17">
        <f t="shared" si="148"/>
        <v>0.59</v>
      </c>
      <c r="AQ148" s="17">
        <f t="shared" si="149"/>
        <v>1.88</v>
      </c>
      <c r="AR148" s="17">
        <f t="shared" si="150"/>
        <v>1.4416</v>
      </c>
      <c r="AS148" s="17">
        <f t="shared" si="151"/>
        <v>30.322484176403901</v>
      </c>
      <c r="AT148" s="17">
        <f t="shared" si="152"/>
        <v>9.6834196243702806</v>
      </c>
      <c r="AU148" s="17">
        <f t="shared" si="153"/>
        <v>-4.9768427834586104</v>
      </c>
      <c r="AV148" s="17">
        <f t="shared" si="154"/>
        <v>26.028182578325801</v>
      </c>
      <c r="AW148" s="17">
        <f t="shared" si="155"/>
        <v>8.1289233797598008</v>
      </c>
      <c r="AX148" s="17">
        <f t="shared" si="156"/>
        <v>-4.1121151042871196</v>
      </c>
      <c r="AY148" s="17">
        <f t="shared" si="157"/>
        <v>68.126622556100102</v>
      </c>
      <c r="AZ148" s="17">
        <f t="shared" si="158"/>
        <v>4.0146878279854903</v>
      </c>
      <c r="BA148" s="17">
        <f t="shared" si="159"/>
        <v>36.0706551920428</v>
      </c>
      <c r="BB148" s="17">
        <f t="shared" si="160"/>
        <v>60.645804123155102</v>
      </c>
      <c r="BC148" s="17">
        <f t="shared" si="161"/>
        <v>7.1135658547284004</v>
      </c>
      <c r="BD148" s="17">
        <f t="shared" si="162"/>
        <v>33.879684988941797</v>
      </c>
      <c r="BE148" s="17" t="str">
        <f>IF(AND(BD148&lt;=AA148,BB148&lt;=AA148*MongDon!$J$44,BC148&gt;0),"Ok","FAIL")</f>
        <v>Ok</v>
      </c>
      <c r="BF148" s="17">
        <f t="shared" si="163"/>
        <v>98.211339076873998</v>
      </c>
      <c r="BG148" s="17">
        <f t="shared" si="164"/>
        <v>352.5</v>
      </c>
      <c r="BH148" s="17" t="str">
        <f t="shared" si="165"/>
        <v>Ok</v>
      </c>
      <c r="BI148" s="17">
        <f t="shared" si="166"/>
        <v>7.0909706297208697</v>
      </c>
      <c r="BJ148" s="17">
        <f t="shared" si="167"/>
        <v>11.9896526478126</v>
      </c>
      <c r="BK148" s="17">
        <f t="shared" si="168"/>
        <v>27.248293113103902</v>
      </c>
      <c r="BL148" s="17">
        <f t="shared" si="169"/>
        <v>22.3496110950122</v>
      </c>
      <c r="BM148" s="17">
        <f t="shared" si="170"/>
        <v>88.125</v>
      </c>
      <c r="BN148" s="17">
        <f t="shared" si="171"/>
        <v>88.125</v>
      </c>
      <c r="BO148" s="17">
        <f t="shared" si="172"/>
        <v>88.125</v>
      </c>
      <c r="BP148" s="17">
        <f t="shared" si="173"/>
        <v>88.125</v>
      </c>
      <c r="BQ148" s="17" t="str">
        <f t="shared" si="174"/>
        <v>Ok</v>
      </c>
      <c r="BR148" s="17">
        <f t="shared" si="175"/>
        <v>44.720577344527399</v>
      </c>
      <c r="BS148" s="17">
        <f t="shared" si="176"/>
        <v>7.3715745833088002</v>
      </c>
      <c r="BT148" s="16">
        <f>MongDon!$H$80</f>
        <v>1.2</v>
      </c>
      <c r="BU148" s="17" t="str">
        <f t="shared" si="177"/>
        <v>Ok</v>
      </c>
      <c r="BV148" s="17">
        <f t="shared" si="178"/>
        <v>4.8981600264552396</v>
      </c>
      <c r="BW148" s="16">
        <f>MongDon!$F$86</f>
        <v>1.5</v>
      </c>
      <c r="BX148" s="17" t="str">
        <f t="shared" si="179"/>
        <v>Ok</v>
      </c>
      <c r="BY148" s="17">
        <f t="shared" si="180"/>
        <v>25.779306414539199</v>
      </c>
      <c r="BZ148" s="17">
        <f t="shared" si="181"/>
        <v>4.0146878279854903</v>
      </c>
      <c r="CA148" s="17">
        <f t="shared" si="182"/>
        <v>46.3620039695465</v>
      </c>
      <c r="CB148" s="17">
        <f t="shared" si="183"/>
        <v>68.126622556100102</v>
      </c>
      <c r="CC148" s="17">
        <f t="shared" si="184"/>
        <v>37.687867142793401</v>
      </c>
      <c r="CD148" s="17">
        <f t="shared" si="185"/>
        <v>41.108021492109003</v>
      </c>
      <c r="CE148" s="17">
        <f t="shared" si="186"/>
        <v>34.453443241292199</v>
      </c>
      <c r="CF148" s="17">
        <f t="shared" si="187"/>
        <v>41.108021492109003</v>
      </c>
      <c r="CG148" s="17">
        <f t="shared" si="188"/>
        <v>10.289909484160001</v>
      </c>
      <c r="CH148" s="17">
        <f t="shared" si="189"/>
        <v>10.289909484160001</v>
      </c>
      <c r="CI148" s="17">
        <f t="shared" si="190"/>
        <v>250</v>
      </c>
      <c r="CJ148" s="17">
        <f t="shared" si="191"/>
        <v>250</v>
      </c>
    </row>
    <row r="149" spans="2:88">
      <c r="B149" s="3">
        <v>123</v>
      </c>
      <c r="C149" s="3" t="s">
        <v>28</v>
      </c>
      <c r="D149" s="4">
        <v>6.2040691759720401</v>
      </c>
      <c r="E149" s="4">
        <v>-0.69550850901162797</v>
      </c>
      <c r="F149" s="4">
        <v>31.620478121908601</v>
      </c>
      <c r="G149" s="4">
        <v>-1.3537039170180101</v>
      </c>
      <c r="H149" s="4">
        <v>9.0771315579142406</v>
      </c>
      <c r="I149" s="4" t="s">
        <v>18</v>
      </c>
      <c r="J149" s="4">
        <v>5.1965657218923802</v>
      </c>
      <c r="K149" s="4">
        <v>-0.62824058817966899</v>
      </c>
      <c r="L149" s="4">
        <v>27.109844199579701</v>
      </c>
      <c r="M149" s="4">
        <v>-1.0832746205981001</v>
      </c>
      <c r="N149" s="4">
        <v>7.5915777576155499</v>
      </c>
      <c r="O149" s="4">
        <v>1.4</v>
      </c>
      <c r="P149" s="4">
        <v>1.4</v>
      </c>
      <c r="Q149" s="4">
        <v>0.22</v>
      </c>
      <c r="R149" s="4">
        <v>0.22</v>
      </c>
      <c r="S149" s="4">
        <v>0</v>
      </c>
      <c r="T149" s="4">
        <v>0</v>
      </c>
      <c r="U149" s="4">
        <v>0.3</v>
      </c>
      <c r="V149" s="4">
        <v>0.05</v>
      </c>
      <c r="W149" s="4">
        <v>1</v>
      </c>
      <c r="X149" s="4">
        <v>19.100000000000001</v>
      </c>
      <c r="Y149" s="4">
        <v>0</v>
      </c>
      <c r="Z149" s="4">
        <v>1.5</v>
      </c>
      <c r="AA149" s="4">
        <v>139</v>
      </c>
      <c r="AB149" s="4">
        <v>12.1</v>
      </c>
      <c r="AC149" s="4">
        <v>19.5</v>
      </c>
      <c r="AD149" s="3" t="s">
        <v>42</v>
      </c>
      <c r="AE149" s="3" t="s">
        <v>61</v>
      </c>
      <c r="AF149" s="17">
        <f>HLOOKUP(AD149,Data!$B$4:$M$9,2,0)</f>
        <v>13</v>
      </c>
      <c r="AG149" s="17">
        <f>HLOOKUP(AD149,Data!$B$4:$M$9,3,0)</f>
        <v>1</v>
      </c>
      <c r="AH149" s="17">
        <f>HLOOKUP(AE149,Data!$B$13:$I$18,3,0)</f>
        <v>260</v>
      </c>
      <c r="AI149" s="18">
        <f t="shared" si="141"/>
        <v>1.96</v>
      </c>
      <c r="AJ149" s="17">
        <f t="shared" si="142"/>
        <v>0.45733333333333298</v>
      </c>
      <c r="AK149" s="17">
        <f t="shared" si="143"/>
        <v>0.45733333333333298</v>
      </c>
      <c r="AL149" s="17">
        <f t="shared" si="144"/>
        <v>0.25</v>
      </c>
      <c r="AM149" s="17">
        <f t="shared" si="145"/>
        <v>0.59</v>
      </c>
      <c r="AN149" s="17">
        <f t="shared" si="146"/>
        <v>0.59</v>
      </c>
      <c r="AO149" s="17">
        <f t="shared" si="147"/>
        <v>0.59</v>
      </c>
      <c r="AP149" s="17">
        <f t="shared" si="148"/>
        <v>0.59</v>
      </c>
      <c r="AQ149" s="17">
        <f t="shared" si="149"/>
        <v>1.88</v>
      </c>
      <c r="AR149" s="17">
        <f t="shared" si="150"/>
        <v>1.4416</v>
      </c>
      <c r="AS149" s="17">
        <f t="shared" si="151"/>
        <v>31.620478121908601</v>
      </c>
      <c r="AT149" s="17">
        <f t="shared" si="152"/>
        <v>-1.1450513643145199</v>
      </c>
      <c r="AU149" s="17">
        <f t="shared" si="153"/>
        <v>10.938352310705801</v>
      </c>
      <c r="AV149" s="17">
        <f t="shared" si="154"/>
        <v>27.109844199579701</v>
      </c>
      <c r="AW149" s="17">
        <f t="shared" si="155"/>
        <v>-0.89480244414420196</v>
      </c>
      <c r="AX149" s="17">
        <f t="shared" si="156"/>
        <v>9.1505474741832593</v>
      </c>
      <c r="AY149" s="17">
        <f t="shared" si="157"/>
        <v>63.154333608161103</v>
      </c>
      <c r="AZ149" s="17">
        <f t="shared" si="158"/>
        <v>10.311460393786399</v>
      </c>
      <c r="BA149" s="17">
        <f t="shared" si="159"/>
        <v>36.7328970009738</v>
      </c>
      <c r="BB149" s="17">
        <f t="shared" si="160"/>
        <v>56.396604004874803</v>
      </c>
      <c r="BC149" s="17">
        <f t="shared" si="161"/>
        <v>12.466502321227001</v>
      </c>
      <c r="BD149" s="17">
        <f t="shared" si="162"/>
        <v>34.4315531630509</v>
      </c>
      <c r="BE149" s="17" t="str">
        <f>IF(AND(BD149&lt;=AA149,BB149&lt;=AA149*MongDon!$J$44,BC149&gt;0),"Ok","FAIL")</f>
        <v>Ok</v>
      </c>
      <c r="BF149" s="17">
        <f t="shared" si="163"/>
        <v>91.0432873295251</v>
      </c>
      <c r="BG149" s="17">
        <f t="shared" si="164"/>
        <v>352.5</v>
      </c>
      <c r="BH149" s="17" t="str">
        <f t="shared" si="165"/>
        <v>Ok</v>
      </c>
      <c r="BI149" s="17">
        <f t="shared" si="166"/>
        <v>18.676647127158201</v>
      </c>
      <c r="BJ149" s="17">
        <f t="shared" si="167"/>
        <v>28.869674642789999</v>
      </c>
      <c r="BK149" s="17">
        <f t="shared" si="168"/>
        <v>16.2930708177688</v>
      </c>
      <c r="BL149" s="17">
        <f t="shared" si="169"/>
        <v>6.1000433021370197</v>
      </c>
      <c r="BM149" s="17">
        <f t="shared" si="170"/>
        <v>88.125</v>
      </c>
      <c r="BN149" s="17">
        <f t="shared" si="171"/>
        <v>88.125</v>
      </c>
      <c r="BO149" s="17">
        <f t="shared" si="172"/>
        <v>88.125</v>
      </c>
      <c r="BP149" s="17">
        <f t="shared" si="173"/>
        <v>88.125</v>
      </c>
      <c r="BQ149" s="17" t="str">
        <f t="shared" si="174"/>
        <v>Ok</v>
      </c>
      <c r="BR149" s="17">
        <f t="shared" si="175"/>
        <v>44.9988431352322</v>
      </c>
      <c r="BS149" s="17">
        <f t="shared" si="176"/>
        <v>7.2531175683065996</v>
      </c>
      <c r="BT149" s="16">
        <f>MongDon!$H$80</f>
        <v>1.2</v>
      </c>
      <c r="BU149" s="17" t="str">
        <f t="shared" si="177"/>
        <v>Ok</v>
      </c>
      <c r="BV149" s="17">
        <f t="shared" si="178"/>
        <v>4.41927022573811</v>
      </c>
      <c r="BW149" s="16">
        <f>MongDon!$F$86</f>
        <v>1.5</v>
      </c>
      <c r="BX149" s="17" t="str">
        <f t="shared" si="179"/>
        <v>Ok</v>
      </c>
      <c r="BY149" s="17">
        <f t="shared" si="180"/>
        <v>15.3189736488061</v>
      </c>
      <c r="BZ149" s="17">
        <f t="shared" si="181"/>
        <v>63.154333608161103</v>
      </c>
      <c r="CA149" s="17">
        <f t="shared" si="182"/>
        <v>58.146820353141401</v>
      </c>
      <c r="CB149" s="17">
        <f t="shared" si="183"/>
        <v>10.311460393786399</v>
      </c>
      <c r="CC149" s="17">
        <f t="shared" si="184"/>
        <v>40.884837039246101</v>
      </c>
      <c r="CD149" s="17">
        <f t="shared" si="185"/>
        <v>33.367851902776003</v>
      </c>
      <c r="CE149" s="17">
        <f t="shared" si="186"/>
        <v>40.884837039246101</v>
      </c>
      <c r="CF149" s="17">
        <f t="shared" si="187"/>
        <v>40.097942099171497</v>
      </c>
      <c r="CG149" s="17">
        <f t="shared" si="188"/>
        <v>9.7000098052272197</v>
      </c>
      <c r="CH149" s="17">
        <f t="shared" si="189"/>
        <v>9.7000098052272197</v>
      </c>
      <c r="CI149" s="17">
        <f t="shared" si="190"/>
        <v>250</v>
      </c>
      <c r="CJ149" s="17">
        <f t="shared" si="191"/>
        <v>250</v>
      </c>
    </row>
    <row r="150" spans="2:88">
      <c r="B150" s="3">
        <v>123</v>
      </c>
      <c r="C150" s="3" t="s">
        <v>29</v>
      </c>
      <c r="D150" s="4">
        <v>-2.4717585312008898</v>
      </c>
      <c r="E150" s="4">
        <v>-2.5325473919490702</v>
      </c>
      <c r="F150" s="4">
        <v>24.607617455385999</v>
      </c>
      <c r="G150" s="4">
        <v>2.1488439811806201</v>
      </c>
      <c r="H150" s="4">
        <v>-5.6052650320184201</v>
      </c>
      <c r="I150" s="4" t="s">
        <v>19</v>
      </c>
      <c r="J150" s="4">
        <v>-2.03329070075173</v>
      </c>
      <c r="K150" s="4">
        <v>-2.1591063239608701</v>
      </c>
      <c r="L150" s="4">
        <v>21.2657936441442</v>
      </c>
      <c r="M150" s="4">
        <v>1.83551529456742</v>
      </c>
      <c r="N150" s="4">
        <v>-4.643752733995</v>
      </c>
      <c r="O150" s="4">
        <v>1.4</v>
      </c>
      <c r="P150" s="4">
        <v>1.4</v>
      </c>
      <c r="Q150" s="4">
        <v>0.22</v>
      </c>
      <c r="R150" s="4">
        <v>0.22</v>
      </c>
      <c r="S150" s="4">
        <v>0</v>
      </c>
      <c r="T150" s="4">
        <v>0</v>
      </c>
      <c r="U150" s="4">
        <v>0.3</v>
      </c>
      <c r="V150" s="4">
        <v>0.05</v>
      </c>
      <c r="W150" s="4">
        <v>1</v>
      </c>
      <c r="X150" s="4">
        <v>19.100000000000001</v>
      </c>
      <c r="Y150" s="4">
        <v>0</v>
      </c>
      <c r="Z150" s="4">
        <v>1.5</v>
      </c>
      <c r="AA150" s="4">
        <v>139</v>
      </c>
      <c r="AB150" s="4">
        <v>12.1</v>
      </c>
      <c r="AC150" s="4">
        <v>19.5</v>
      </c>
      <c r="AD150" s="3" t="s">
        <v>42</v>
      </c>
      <c r="AE150" s="3" t="s">
        <v>61</v>
      </c>
      <c r="AF150" s="17">
        <f>HLOOKUP(AD150,Data!$B$4:$M$9,2,0)</f>
        <v>13</v>
      </c>
      <c r="AG150" s="17">
        <f>HLOOKUP(AD150,Data!$B$4:$M$9,3,0)</f>
        <v>1</v>
      </c>
      <c r="AH150" s="17">
        <f>HLOOKUP(AE150,Data!$B$13:$I$18,3,0)</f>
        <v>260</v>
      </c>
      <c r="AI150" s="18">
        <f t="shared" si="141"/>
        <v>1.96</v>
      </c>
      <c r="AJ150" s="17">
        <f t="shared" si="142"/>
        <v>0.45733333333333298</v>
      </c>
      <c r="AK150" s="17">
        <f t="shared" si="143"/>
        <v>0.45733333333333298</v>
      </c>
      <c r="AL150" s="17">
        <f t="shared" si="144"/>
        <v>0.25</v>
      </c>
      <c r="AM150" s="17">
        <f t="shared" si="145"/>
        <v>0.59</v>
      </c>
      <c r="AN150" s="17">
        <f t="shared" si="146"/>
        <v>0.59</v>
      </c>
      <c r="AO150" s="17">
        <f t="shared" si="147"/>
        <v>0.59</v>
      </c>
      <c r="AP150" s="17">
        <f t="shared" si="148"/>
        <v>0.59</v>
      </c>
      <c r="AQ150" s="17">
        <f t="shared" si="149"/>
        <v>1.88</v>
      </c>
      <c r="AR150" s="17">
        <f t="shared" si="150"/>
        <v>1.4416</v>
      </c>
      <c r="AS150" s="17">
        <f t="shared" si="151"/>
        <v>24.607617455385999</v>
      </c>
      <c r="AT150" s="17">
        <f t="shared" si="152"/>
        <v>2.9086081987653398</v>
      </c>
      <c r="AU150" s="17">
        <f t="shared" si="153"/>
        <v>-6.3467925913786898</v>
      </c>
      <c r="AV150" s="17">
        <f t="shared" si="154"/>
        <v>21.2657936441442</v>
      </c>
      <c r="AW150" s="17">
        <f t="shared" si="155"/>
        <v>2.4832471917556802</v>
      </c>
      <c r="AX150" s="17">
        <f t="shared" si="156"/>
        <v>-5.2537399442205199</v>
      </c>
      <c r="AY150" s="17">
        <f t="shared" si="157"/>
        <v>53.3926636947539</v>
      </c>
      <c r="AZ150" s="17">
        <f t="shared" si="158"/>
        <v>12.9171500352319</v>
      </c>
      <c r="BA150" s="17">
        <f t="shared" si="159"/>
        <v>33.154906864992903</v>
      </c>
      <c r="BB150" s="17">
        <f t="shared" si="160"/>
        <v>48.367505072033197</v>
      </c>
      <c r="BC150" s="17">
        <f t="shared" si="161"/>
        <v>14.532284360766999</v>
      </c>
      <c r="BD150" s="17">
        <f t="shared" si="162"/>
        <v>31.449894716400099</v>
      </c>
      <c r="BE150" s="17" t="str">
        <f>IF(AND(BD150&lt;=AA150,BB150&lt;=AA150*MongDon!$J$44,BC150&gt;0),"Ok","FAIL")</f>
        <v>Ok</v>
      </c>
      <c r="BF150" s="17">
        <f t="shared" si="163"/>
        <v>76.970863982357201</v>
      </c>
      <c r="BG150" s="17">
        <f t="shared" si="164"/>
        <v>352.5</v>
      </c>
      <c r="BH150" s="17" t="str">
        <f t="shared" si="165"/>
        <v>Ok</v>
      </c>
      <c r="BI150" s="17">
        <f t="shared" si="166"/>
        <v>12.7544087669808</v>
      </c>
      <c r="BJ150" s="17">
        <f t="shared" si="167"/>
        <v>9.1758903175261395</v>
      </c>
      <c r="BK150" s="17">
        <f t="shared" si="168"/>
        <v>18.809062568492401</v>
      </c>
      <c r="BL150" s="17">
        <f t="shared" si="169"/>
        <v>22.387581017947099</v>
      </c>
      <c r="BM150" s="17">
        <f t="shared" si="170"/>
        <v>88.125</v>
      </c>
      <c r="BN150" s="17">
        <f t="shared" si="171"/>
        <v>88.125</v>
      </c>
      <c r="BO150" s="17">
        <f t="shared" si="172"/>
        <v>88.125</v>
      </c>
      <c r="BP150" s="17">
        <f t="shared" si="173"/>
        <v>88.125</v>
      </c>
      <c r="BQ150" s="17" t="str">
        <f t="shared" si="174"/>
        <v>Ok</v>
      </c>
      <c r="BR150" s="17">
        <f t="shared" si="175"/>
        <v>43.495416077478197</v>
      </c>
      <c r="BS150" s="17">
        <f t="shared" si="176"/>
        <v>17.174571427863299</v>
      </c>
      <c r="BT150" s="16">
        <f>MongDon!$H$80</f>
        <v>1.2</v>
      </c>
      <c r="BU150" s="17" t="str">
        <f t="shared" si="177"/>
        <v>Ok</v>
      </c>
      <c r="BV150" s="17">
        <f t="shared" si="178"/>
        <v>6.8429102721530697</v>
      </c>
      <c r="BW150" s="16">
        <f>MongDon!$F$86</f>
        <v>1.5</v>
      </c>
      <c r="BX150" s="17" t="str">
        <f t="shared" si="179"/>
        <v>Ok</v>
      </c>
      <c r="BY150" s="17">
        <f t="shared" si="180"/>
        <v>40.672802767208601</v>
      </c>
      <c r="BZ150" s="17">
        <f t="shared" si="181"/>
        <v>12.9171500352319</v>
      </c>
      <c r="CA150" s="17">
        <f t="shared" si="182"/>
        <v>25.637010962777101</v>
      </c>
      <c r="CB150" s="17">
        <f t="shared" si="183"/>
        <v>53.3926636947538</v>
      </c>
      <c r="CC150" s="17">
        <f t="shared" si="184"/>
        <v>31.973523223216102</v>
      </c>
      <c r="CD150" s="17">
        <f t="shared" si="185"/>
        <v>36.335125795383902</v>
      </c>
      <c r="CE150" s="17">
        <f t="shared" si="186"/>
        <v>34.3362905067696</v>
      </c>
      <c r="CF150" s="17">
        <f t="shared" si="187"/>
        <v>36.335125795383902</v>
      </c>
      <c r="CG150" s="17">
        <f t="shared" si="188"/>
        <v>8.3033716256101293</v>
      </c>
      <c r="CH150" s="17">
        <f t="shared" si="189"/>
        <v>8.3033716256101293</v>
      </c>
      <c r="CI150" s="17">
        <f t="shared" si="190"/>
        <v>250</v>
      </c>
      <c r="CJ150" s="17">
        <f t="shared" si="191"/>
        <v>250</v>
      </c>
    </row>
    <row r="151" spans="2:88">
      <c r="B151" s="3">
        <v>123</v>
      </c>
      <c r="C151" s="3" t="s">
        <v>30</v>
      </c>
      <c r="D151" s="4">
        <v>6.50568760029189</v>
      </c>
      <c r="E151" s="4">
        <v>-3.5150943302180102</v>
      </c>
      <c r="F151" s="4">
        <v>31.870963002309502</v>
      </c>
      <c r="G151" s="4">
        <v>3.6660983573715402</v>
      </c>
      <c r="H151" s="4">
        <v>9.7004036153638697</v>
      </c>
      <c r="I151" s="4" t="s">
        <v>20</v>
      </c>
      <c r="J151" s="4">
        <v>5.4479144088255902</v>
      </c>
      <c r="K151" s="4">
        <v>-2.9778954391849899</v>
      </c>
      <c r="L151" s="4">
        <v>27.318581599913902</v>
      </c>
      <c r="M151" s="4">
        <v>3.0998939413931801</v>
      </c>
      <c r="N151" s="4">
        <v>8.1109711388235795</v>
      </c>
      <c r="O151" s="4">
        <v>1.4</v>
      </c>
      <c r="P151" s="4">
        <v>1.4</v>
      </c>
      <c r="Q151" s="4">
        <v>0.22</v>
      </c>
      <c r="R151" s="4">
        <v>0.22</v>
      </c>
      <c r="S151" s="4">
        <v>0</v>
      </c>
      <c r="T151" s="4">
        <v>0</v>
      </c>
      <c r="U151" s="4">
        <v>0.3</v>
      </c>
      <c r="V151" s="4">
        <v>0.05</v>
      </c>
      <c r="W151" s="4">
        <v>1</v>
      </c>
      <c r="X151" s="4">
        <v>19.100000000000001</v>
      </c>
      <c r="Y151" s="4">
        <v>0</v>
      </c>
      <c r="Z151" s="4">
        <v>1.5</v>
      </c>
      <c r="AA151" s="4">
        <v>139</v>
      </c>
      <c r="AB151" s="4">
        <v>12.1</v>
      </c>
      <c r="AC151" s="4">
        <v>19.5</v>
      </c>
      <c r="AD151" s="3" t="s">
        <v>42</v>
      </c>
      <c r="AE151" s="3" t="s">
        <v>61</v>
      </c>
      <c r="AF151" s="17">
        <f>HLOOKUP(AD151,Data!$B$4:$M$9,2,0)</f>
        <v>13</v>
      </c>
      <c r="AG151" s="17">
        <f>HLOOKUP(AD151,Data!$B$4:$M$9,3,0)</f>
        <v>1</v>
      </c>
      <c r="AH151" s="17">
        <f>HLOOKUP(AE151,Data!$B$13:$I$18,3,0)</f>
        <v>260</v>
      </c>
      <c r="AI151" s="18">
        <f t="shared" si="141"/>
        <v>1.96</v>
      </c>
      <c r="AJ151" s="17">
        <f t="shared" si="142"/>
        <v>0.45733333333333298</v>
      </c>
      <c r="AK151" s="17">
        <f t="shared" si="143"/>
        <v>0.45733333333333298</v>
      </c>
      <c r="AL151" s="17">
        <f t="shared" si="144"/>
        <v>0.25</v>
      </c>
      <c r="AM151" s="17">
        <f t="shared" si="145"/>
        <v>0.59</v>
      </c>
      <c r="AN151" s="17">
        <f t="shared" si="146"/>
        <v>0.59</v>
      </c>
      <c r="AO151" s="17">
        <f t="shared" si="147"/>
        <v>0.59</v>
      </c>
      <c r="AP151" s="17">
        <f t="shared" si="148"/>
        <v>0.59</v>
      </c>
      <c r="AQ151" s="17">
        <f t="shared" si="149"/>
        <v>1.88</v>
      </c>
      <c r="AR151" s="17">
        <f t="shared" si="150"/>
        <v>1.4416</v>
      </c>
      <c r="AS151" s="17">
        <f t="shared" si="151"/>
        <v>31.870963002309502</v>
      </c>
      <c r="AT151" s="17">
        <f t="shared" si="152"/>
        <v>4.7206266564369397</v>
      </c>
      <c r="AU151" s="17">
        <f t="shared" si="153"/>
        <v>11.6521098954514</v>
      </c>
      <c r="AV151" s="17">
        <f t="shared" si="154"/>
        <v>27.318581599913902</v>
      </c>
      <c r="AW151" s="17">
        <f t="shared" si="155"/>
        <v>3.9932625731486802</v>
      </c>
      <c r="AX151" s="17">
        <f t="shared" si="156"/>
        <v>9.7453454614712491</v>
      </c>
      <c r="AY151" s="17">
        <f t="shared" si="157"/>
        <v>72.661139764782703</v>
      </c>
      <c r="AZ151" s="17">
        <f t="shared" si="158"/>
        <v>1.0602510539005401</v>
      </c>
      <c r="BA151" s="17">
        <f t="shared" si="159"/>
        <v>36.860695409341602</v>
      </c>
      <c r="BB151" s="17">
        <f t="shared" si="160"/>
        <v>64.578739959037506</v>
      </c>
      <c r="BC151" s="17">
        <f t="shared" si="161"/>
        <v>4.4973637143439502</v>
      </c>
      <c r="BD151" s="17">
        <f t="shared" si="162"/>
        <v>34.538051836690698</v>
      </c>
      <c r="BE151" s="17" t="str">
        <f>IF(AND(BD151&lt;=AA151,BB151&lt;=AA151*MongDon!$J$44,BC151&gt;0),"Ok","FAIL")</f>
        <v>Ok</v>
      </c>
      <c r="BF151" s="17">
        <f t="shared" si="163"/>
        <v>104.748299084911</v>
      </c>
      <c r="BG151" s="17">
        <f t="shared" si="164"/>
        <v>352.5</v>
      </c>
      <c r="BH151" s="17" t="str">
        <f t="shared" si="165"/>
        <v>Ok</v>
      </c>
      <c r="BI151" s="17">
        <f t="shared" si="166"/>
        <v>12.632385719371401</v>
      </c>
      <c r="BJ151" s="17">
        <f t="shared" si="167"/>
        <v>29.673397232561399</v>
      </c>
      <c r="BK151" s="17">
        <f t="shared" si="168"/>
        <v>22.458996310321801</v>
      </c>
      <c r="BL151" s="17">
        <f t="shared" si="169"/>
        <v>5.41798479713185</v>
      </c>
      <c r="BM151" s="17">
        <f t="shared" si="170"/>
        <v>88.125</v>
      </c>
      <c r="BN151" s="17">
        <f t="shared" si="171"/>
        <v>88.125</v>
      </c>
      <c r="BO151" s="17">
        <f t="shared" si="172"/>
        <v>88.125</v>
      </c>
      <c r="BP151" s="17">
        <f t="shared" si="173"/>
        <v>88.125</v>
      </c>
      <c r="BQ151" s="17" t="str">
        <f t="shared" si="174"/>
        <v>Ok</v>
      </c>
      <c r="BR151" s="17">
        <f t="shared" si="175"/>
        <v>45.052542440645603</v>
      </c>
      <c r="BS151" s="17">
        <f t="shared" si="176"/>
        <v>6.9251008054282002</v>
      </c>
      <c r="BT151" s="16">
        <f>MongDon!$H$80</f>
        <v>1.2</v>
      </c>
      <c r="BU151" s="17" t="str">
        <f t="shared" si="177"/>
        <v>Ok</v>
      </c>
      <c r="BV151" s="17">
        <f t="shared" si="178"/>
        <v>4.1636128166414901</v>
      </c>
      <c r="BW151" s="16">
        <f>MongDon!$F$86</f>
        <v>1.5</v>
      </c>
      <c r="BX151" s="17" t="str">
        <f t="shared" si="179"/>
        <v>Ok</v>
      </c>
      <c r="BY151" s="17">
        <f t="shared" si="180"/>
        <v>1.0602510539005401</v>
      </c>
      <c r="BZ151" s="17">
        <f t="shared" si="181"/>
        <v>52.016999867828098</v>
      </c>
      <c r="CA151" s="17">
        <f t="shared" si="182"/>
        <v>72.661139764782703</v>
      </c>
      <c r="CB151" s="17">
        <f t="shared" si="183"/>
        <v>21.7043909508551</v>
      </c>
      <c r="CC151" s="17">
        <f t="shared" si="184"/>
        <v>42.486479522339501</v>
      </c>
      <c r="CD151" s="17">
        <f t="shared" si="185"/>
        <v>34.478990423008</v>
      </c>
      <c r="CE151" s="17">
        <f t="shared" si="186"/>
        <v>39.242400395675197</v>
      </c>
      <c r="CF151" s="17">
        <f t="shared" si="187"/>
        <v>42.486479522339501</v>
      </c>
      <c r="CG151" s="17">
        <f t="shared" si="188"/>
        <v>10.8960381709947</v>
      </c>
      <c r="CH151" s="17">
        <f t="shared" si="189"/>
        <v>10.8960381709947</v>
      </c>
      <c r="CI151" s="17">
        <f t="shared" si="190"/>
        <v>250</v>
      </c>
      <c r="CJ151" s="17">
        <f t="shared" si="191"/>
        <v>250</v>
      </c>
    </row>
    <row r="152" spans="2:88">
      <c r="B152" s="3">
        <v>123</v>
      </c>
      <c r="C152" s="3" t="s">
        <v>31</v>
      </c>
      <c r="D152" s="4">
        <v>-2.3575309657186798</v>
      </c>
      <c r="E152" s="4">
        <v>-6.0077743683145197</v>
      </c>
      <c r="F152" s="4">
        <v>27.5181824813452</v>
      </c>
      <c r="G152" s="4">
        <v>8.0281023330427796</v>
      </c>
      <c r="H152" s="4">
        <v>-5.4818571105616103</v>
      </c>
      <c r="I152" s="4" t="s">
        <v>21</v>
      </c>
      <c r="J152" s="4">
        <v>-1.93810106284988</v>
      </c>
      <c r="K152" s="4">
        <v>-5.0551288042654097</v>
      </c>
      <c r="L152" s="4">
        <v>23.691264499110201</v>
      </c>
      <c r="M152" s="4">
        <v>6.7348972544525596</v>
      </c>
      <c r="N152" s="4">
        <v>-4.5409127994476597</v>
      </c>
      <c r="O152" s="4">
        <v>1.4</v>
      </c>
      <c r="P152" s="4">
        <v>1.4</v>
      </c>
      <c r="Q152" s="4">
        <v>0.22</v>
      </c>
      <c r="R152" s="4">
        <v>0.22</v>
      </c>
      <c r="S152" s="4">
        <v>0</v>
      </c>
      <c r="T152" s="4">
        <v>0</v>
      </c>
      <c r="U152" s="4">
        <v>0.3</v>
      </c>
      <c r="V152" s="4">
        <v>0.05</v>
      </c>
      <c r="W152" s="4">
        <v>1</v>
      </c>
      <c r="X152" s="4">
        <v>19.100000000000001</v>
      </c>
      <c r="Y152" s="4">
        <v>0</v>
      </c>
      <c r="Z152" s="4">
        <v>1.5</v>
      </c>
      <c r="AA152" s="4">
        <v>139</v>
      </c>
      <c r="AB152" s="4">
        <v>12.1</v>
      </c>
      <c r="AC152" s="4">
        <v>19.5</v>
      </c>
      <c r="AD152" s="3" t="s">
        <v>42</v>
      </c>
      <c r="AE152" s="3" t="s">
        <v>61</v>
      </c>
      <c r="AF152" s="17">
        <f>HLOOKUP(AD152,Data!$B$4:$M$9,2,0)</f>
        <v>13</v>
      </c>
      <c r="AG152" s="17">
        <f>HLOOKUP(AD152,Data!$B$4:$M$9,3,0)</f>
        <v>1</v>
      </c>
      <c r="AH152" s="17">
        <f>HLOOKUP(AE152,Data!$B$13:$I$18,3,0)</f>
        <v>260</v>
      </c>
      <c r="AI152" s="18">
        <f t="shared" si="141"/>
        <v>1.96</v>
      </c>
      <c r="AJ152" s="17">
        <f t="shared" si="142"/>
        <v>0.45733333333333298</v>
      </c>
      <c r="AK152" s="17">
        <f t="shared" si="143"/>
        <v>0.45733333333333298</v>
      </c>
      <c r="AL152" s="17">
        <f t="shared" si="144"/>
        <v>0.25</v>
      </c>
      <c r="AM152" s="17">
        <f t="shared" si="145"/>
        <v>0.59</v>
      </c>
      <c r="AN152" s="17">
        <f t="shared" si="146"/>
        <v>0.59</v>
      </c>
      <c r="AO152" s="17">
        <f t="shared" si="147"/>
        <v>0.59</v>
      </c>
      <c r="AP152" s="17">
        <f t="shared" si="148"/>
        <v>0.59</v>
      </c>
      <c r="AQ152" s="17">
        <f t="shared" si="149"/>
        <v>1.88</v>
      </c>
      <c r="AR152" s="17">
        <f t="shared" si="150"/>
        <v>1.4416</v>
      </c>
      <c r="AS152" s="17">
        <f t="shared" si="151"/>
        <v>27.5181824813452</v>
      </c>
      <c r="AT152" s="17">
        <f t="shared" si="152"/>
        <v>9.8304346435371404</v>
      </c>
      <c r="AU152" s="17">
        <f t="shared" si="153"/>
        <v>-6.1891164002772099</v>
      </c>
      <c r="AV152" s="17">
        <f t="shared" si="154"/>
        <v>23.691264499110201</v>
      </c>
      <c r="AW152" s="17">
        <f t="shared" si="155"/>
        <v>8.2514358957321807</v>
      </c>
      <c r="AX152" s="17">
        <f t="shared" si="156"/>
        <v>-5.12234311830262</v>
      </c>
      <c r="AY152" s="17">
        <f t="shared" si="157"/>
        <v>69.668061857423197</v>
      </c>
      <c r="AZ152" s="17">
        <f t="shared" si="158"/>
        <v>-0.38828381523425998</v>
      </c>
      <c r="BA152" s="17">
        <f t="shared" si="159"/>
        <v>34.639889021094497</v>
      </c>
      <c r="BB152" s="17">
        <f t="shared" si="160"/>
        <v>61.930336874257698</v>
      </c>
      <c r="BC152" s="17">
        <f t="shared" si="161"/>
        <v>3.4444228187119301</v>
      </c>
      <c r="BD152" s="17">
        <f t="shared" si="162"/>
        <v>32.687379846484802</v>
      </c>
      <c r="BE152" s="17" t="str">
        <f>IF(AND(BD152&lt;=AA152,BB152&lt;=AA152*MongDon!$J$44,BC152&gt;0),"Ok","FAIL")</f>
        <v>Ok</v>
      </c>
      <c r="BF152" s="17">
        <f t="shared" si="163"/>
        <v>100.433477973661</v>
      </c>
      <c r="BG152" s="17">
        <f t="shared" si="164"/>
        <v>352.5</v>
      </c>
      <c r="BH152" s="17" t="str">
        <f t="shared" si="165"/>
        <v>Ok</v>
      </c>
      <c r="BI152" s="17">
        <f t="shared" si="166"/>
        <v>6.2569103001553801</v>
      </c>
      <c r="BJ152" s="17">
        <f t="shared" si="167"/>
        <v>10.0468537778341</v>
      </c>
      <c r="BK152" s="17">
        <f t="shared" si="168"/>
        <v>26.720264047926602</v>
      </c>
      <c r="BL152" s="17">
        <f t="shared" si="169"/>
        <v>22.9303205702479</v>
      </c>
      <c r="BM152" s="17">
        <f t="shared" si="170"/>
        <v>88.125</v>
      </c>
      <c r="BN152" s="17">
        <f t="shared" si="171"/>
        <v>88.125</v>
      </c>
      <c r="BO152" s="17">
        <f t="shared" si="172"/>
        <v>88.125</v>
      </c>
      <c r="BP152" s="17">
        <f t="shared" si="173"/>
        <v>88.125</v>
      </c>
      <c r="BQ152" s="17" t="str">
        <f t="shared" si="174"/>
        <v>Ok</v>
      </c>
      <c r="BR152" s="17">
        <f t="shared" si="175"/>
        <v>44.119387153114801</v>
      </c>
      <c r="BS152" s="17">
        <f t="shared" si="176"/>
        <v>7.3437157337006402</v>
      </c>
      <c r="BT152" s="16">
        <f>MongDon!$H$80</f>
        <v>1.2</v>
      </c>
      <c r="BU152" s="17" t="str">
        <f t="shared" si="177"/>
        <v>Ok</v>
      </c>
      <c r="BV152" s="17">
        <f t="shared" si="178"/>
        <v>4.6252204898014098</v>
      </c>
      <c r="BW152" s="16">
        <f>MongDon!$F$86</f>
        <v>1.5</v>
      </c>
      <c r="BX152" s="17" t="str">
        <f t="shared" si="179"/>
        <v>Ok</v>
      </c>
      <c r="BY152" s="17">
        <f t="shared" si="180"/>
        <v>26.677822891517401</v>
      </c>
      <c r="BZ152" s="17">
        <f t="shared" si="181"/>
        <v>-0.38828381523425998</v>
      </c>
      <c r="CA152" s="17">
        <f t="shared" si="182"/>
        <v>42.6019551506716</v>
      </c>
      <c r="CB152" s="17">
        <f t="shared" si="183"/>
        <v>69.668061857423197</v>
      </c>
      <c r="CC152" s="17">
        <f t="shared" si="184"/>
        <v>35.891070841456603</v>
      </c>
      <c r="CD152" s="17">
        <f t="shared" si="185"/>
        <v>40.144316181089003</v>
      </c>
      <c r="CE152" s="17">
        <f t="shared" si="186"/>
        <v>33.388707200732398</v>
      </c>
      <c r="CF152" s="17">
        <f t="shared" si="187"/>
        <v>40.144316181089003</v>
      </c>
      <c r="CG152" s="17">
        <f t="shared" si="188"/>
        <v>10.412856854629201</v>
      </c>
      <c r="CH152" s="17">
        <f t="shared" si="189"/>
        <v>10.412856854629201</v>
      </c>
      <c r="CI152" s="17">
        <f t="shared" si="190"/>
        <v>250</v>
      </c>
      <c r="CJ152" s="17">
        <f t="shared" si="191"/>
        <v>250</v>
      </c>
    </row>
    <row r="153" spans="2:88">
      <c r="B153" s="3">
        <v>123</v>
      </c>
      <c r="C153" s="3" t="s">
        <v>32</v>
      </c>
      <c r="D153" s="4">
        <v>6.3914600348096799</v>
      </c>
      <c r="E153" s="4">
        <v>-3.9867353852557998E-2</v>
      </c>
      <c r="F153" s="4">
        <v>28.9603979763504</v>
      </c>
      <c r="G153" s="4">
        <v>-2.2131599944906202</v>
      </c>
      <c r="H153" s="4">
        <v>9.57699569390706</v>
      </c>
      <c r="I153" s="4" t="s">
        <v>22</v>
      </c>
      <c r="J153" s="4">
        <v>5.35272477092375</v>
      </c>
      <c r="K153" s="4">
        <v>-8.18729588804437E-2</v>
      </c>
      <c r="L153" s="4">
        <v>24.893110744947901</v>
      </c>
      <c r="M153" s="4">
        <v>-1.7994880184919499</v>
      </c>
      <c r="N153" s="4">
        <v>8.0081312042762303</v>
      </c>
      <c r="O153" s="4">
        <v>1.4</v>
      </c>
      <c r="P153" s="4">
        <v>1.4</v>
      </c>
      <c r="Q153" s="4">
        <v>0.22</v>
      </c>
      <c r="R153" s="4">
        <v>0.22</v>
      </c>
      <c r="S153" s="4">
        <v>0</v>
      </c>
      <c r="T153" s="4">
        <v>0</v>
      </c>
      <c r="U153" s="4">
        <v>0.3</v>
      </c>
      <c r="V153" s="4">
        <v>0.05</v>
      </c>
      <c r="W153" s="4">
        <v>1</v>
      </c>
      <c r="X153" s="4">
        <v>19.100000000000001</v>
      </c>
      <c r="Y153" s="4">
        <v>0</v>
      </c>
      <c r="Z153" s="4">
        <v>1.5</v>
      </c>
      <c r="AA153" s="4">
        <v>139</v>
      </c>
      <c r="AB153" s="4">
        <v>12.1</v>
      </c>
      <c r="AC153" s="4">
        <v>19.5</v>
      </c>
      <c r="AD153" s="3" t="s">
        <v>42</v>
      </c>
      <c r="AE153" s="3" t="s">
        <v>61</v>
      </c>
      <c r="AF153" s="17">
        <f>HLOOKUP(AD153,Data!$B$4:$M$9,2,0)</f>
        <v>13</v>
      </c>
      <c r="AG153" s="17">
        <f>HLOOKUP(AD153,Data!$B$4:$M$9,3,0)</f>
        <v>1</v>
      </c>
      <c r="AH153" s="17">
        <f>HLOOKUP(AE153,Data!$B$13:$I$18,3,0)</f>
        <v>260</v>
      </c>
      <c r="AI153" s="18">
        <f t="shared" si="141"/>
        <v>1.96</v>
      </c>
      <c r="AJ153" s="17">
        <f t="shared" si="142"/>
        <v>0.45733333333333298</v>
      </c>
      <c r="AK153" s="17">
        <f t="shared" si="143"/>
        <v>0.45733333333333298</v>
      </c>
      <c r="AL153" s="17">
        <f t="shared" si="144"/>
        <v>0.25</v>
      </c>
      <c r="AM153" s="17">
        <f t="shared" si="145"/>
        <v>0.59</v>
      </c>
      <c r="AN153" s="17">
        <f t="shared" si="146"/>
        <v>0.59</v>
      </c>
      <c r="AO153" s="17">
        <f t="shared" si="147"/>
        <v>0.59</v>
      </c>
      <c r="AP153" s="17">
        <f t="shared" si="148"/>
        <v>0.59</v>
      </c>
      <c r="AQ153" s="17">
        <f t="shared" si="149"/>
        <v>1.88</v>
      </c>
      <c r="AR153" s="17">
        <f t="shared" si="150"/>
        <v>1.4416</v>
      </c>
      <c r="AS153" s="17">
        <f t="shared" si="151"/>
        <v>28.9603979763504</v>
      </c>
      <c r="AT153" s="17">
        <f t="shared" si="152"/>
        <v>-2.2011997883348502</v>
      </c>
      <c r="AU153" s="17">
        <f t="shared" si="153"/>
        <v>11.49443370435</v>
      </c>
      <c r="AV153" s="17">
        <f t="shared" si="154"/>
        <v>24.893110744947901</v>
      </c>
      <c r="AW153" s="17">
        <f t="shared" si="155"/>
        <v>-1.7749261308278199</v>
      </c>
      <c r="AX153" s="17">
        <f t="shared" si="156"/>
        <v>9.6139486355533599</v>
      </c>
      <c r="AY153" s="17">
        <f t="shared" si="157"/>
        <v>65.322433718294207</v>
      </c>
      <c r="AZ153" s="17">
        <f t="shared" si="158"/>
        <v>5.4289927881857203</v>
      </c>
      <c r="BA153" s="17">
        <f t="shared" si="159"/>
        <v>35.375713253240001</v>
      </c>
      <c r="BB153" s="17">
        <f t="shared" si="160"/>
        <v>58.203354096652298</v>
      </c>
      <c r="BC153" s="17">
        <f t="shared" si="161"/>
        <v>8.3977793165597596</v>
      </c>
      <c r="BD153" s="17">
        <f t="shared" si="162"/>
        <v>33.300566706606098</v>
      </c>
      <c r="BE153" s="17" t="str">
        <f>IF(AND(BD153&lt;=AA153,BB153&lt;=AA153*MongDon!$J$44,BC153&gt;0),"Ok","FAIL")</f>
        <v>Ok</v>
      </c>
      <c r="BF153" s="17">
        <f t="shared" si="163"/>
        <v>94.168820448293005</v>
      </c>
      <c r="BG153" s="17">
        <f t="shared" si="164"/>
        <v>352.5</v>
      </c>
      <c r="BH153" s="17" t="str">
        <f t="shared" si="165"/>
        <v>Ok</v>
      </c>
      <c r="BI153" s="17">
        <f t="shared" si="166"/>
        <v>19.1298841861969</v>
      </c>
      <c r="BJ153" s="17">
        <f t="shared" si="167"/>
        <v>28.802433772253401</v>
      </c>
      <c r="BK153" s="17">
        <f t="shared" si="168"/>
        <v>14.5477948308876</v>
      </c>
      <c r="BL153" s="17">
        <f t="shared" si="169"/>
        <v>4.8752452448310502</v>
      </c>
      <c r="BM153" s="17">
        <f t="shared" si="170"/>
        <v>88.125</v>
      </c>
      <c r="BN153" s="17">
        <f t="shared" si="171"/>
        <v>88.125</v>
      </c>
      <c r="BO153" s="17">
        <f t="shared" si="172"/>
        <v>88.125</v>
      </c>
      <c r="BP153" s="17">
        <f t="shared" si="173"/>
        <v>88.125</v>
      </c>
      <c r="BQ153" s="17" t="str">
        <f t="shared" si="174"/>
        <v>Ok</v>
      </c>
      <c r="BR153" s="17">
        <f t="shared" si="175"/>
        <v>44.428571365008999</v>
      </c>
      <c r="BS153" s="17">
        <f t="shared" si="176"/>
        <v>6.9512397985810104</v>
      </c>
      <c r="BT153" s="16">
        <f>MongDon!$H$80</f>
        <v>1.2</v>
      </c>
      <c r="BU153" s="17" t="str">
        <f t="shared" si="177"/>
        <v>Ok</v>
      </c>
      <c r="BV153" s="17">
        <f t="shared" si="178"/>
        <v>4.0434770236533097</v>
      </c>
      <c r="BW153" s="16">
        <f>MongDon!$F$86</f>
        <v>1.5</v>
      </c>
      <c r="BX153" s="17" t="str">
        <f t="shared" si="179"/>
        <v>Ok</v>
      </c>
      <c r="BY153" s="17">
        <f t="shared" si="180"/>
        <v>15.055230929591801</v>
      </c>
      <c r="BZ153" s="17">
        <f t="shared" si="181"/>
        <v>65.322433718294207</v>
      </c>
      <c r="CA153" s="17">
        <f t="shared" si="182"/>
        <v>55.696195576888201</v>
      </c>
      <c r="CB153" s="17">
        <f t="shared" si="183"/>
        <v>5.4289927881857203</v>
      </c>
      <c r="CC153" s="17">
        <f t="shared" si="184"/>
        <v>40.081626469177102</v>
      </c>
      <c r="CD153" s="17">
        <f t="shared" si="185"/>
        <v>32.182494602380999</v>
      </c>
      <c r="CE153" s="17">
        <f t="shared" si="186"/>
        <v>40.081626469177102</v>
      </c>
      <c r="CF153" s="17">
        <f t="shared" si="187"/>
        <v>38.568931904099003</v>
      </c>
      <c r="CG153" s="17">
        <f t="shared" si="188"/>
        <v>9.9049820880994996</v>
      </c>
      <c r="CH153" s="17">
        <f t="shared" si="189"/>
        <v>9.9049820880994996</v>
      </c>
      <c r="CI153" s="17">
        <f t="shared" si="190"/>
        <v>250</v>
      </c>
      <c r="CJ153" s="17">
        <f t="shared" si="191"/>
        <v>250</v>
      </c>
    </row>
    <row r="154" spans="2:88">
      <c r="B154" s="3">
        <v>158</v>
      </c>
      <c r="C154" s="3" t="s">
        <v>23</v>
      </c>
      <c r="D154" s="4">
        <v>-2.2481221400375402</v>
      </c>
      <c r="E154" s="4">
        <v>-1.6748338430757601</v>
      </c>
      <c r="F154" s="4">
        <v>26.5653009989447</v>
      </c>
      <c r="G154" s="4">
        <v>1.6569731108497501</v>
      </c>
      <c r="H154" s="4">
        <v>-2.23972764548884</v>
      </c>
      <c r="I154" s="4" t="s">
        <v>13</v>
      </c>
      <c r="J154" s="4">
        <v>-1.91275940551601</v>
      </c>
      <c r="K154" s="4">
        <v>-1.4209363889289599</v>
      </c>
      <c r="L154" s="4">
        <v>22.897787120796199</v>
      </c>
      <c r="M154" s="4">
        <v>1.4022241862903599</v>
      </c>
      <c r="N154" s="4">
        <v>-1.90553353734159</v>
      </c>
      <c r="O154" s="4">
        <v>1.7</v>
      </c>
      <c r="P154" s="4">
        <v>1.7</v>
      </c>
      <c r="Q154" s="4">
        <v>0.22</v>
      </c>
      <c r="R154" s="4">
        <v>0.22</v>
      </c>
      <c r="S154" s="4">
        <v>0</v>
      </c>
      <c r="T154" s="4">
        <v>0</v>
      </c>
      <c r="U154" s="4">
        <v>0.3</v>
      </c>
      <c r="V154" s="4">
        <v>0.05</v>
      </c>
      <c r="W154" s="4">
        <v>1</v>
      </c>
      <c r="X154" s="4">
        <v>19.100000000000001</v>
      </c>
      <c r="Y154" s="4">
        <v>0</v>
      </c>
      <c r="Z154" s="4">
        <v>1.5</v>
      </c>
      <c r="AA154" s="4">
        <v>139</v>
      </c>
      <c r="AB154" s="4">
        <v>12.1</v>
      </c>
      <c r="AC154" s="4">
        <v>19.5</v>
      </c>
      <c r="AD154" s="3" t="s">
        <v>42</v>
      </c>
      <c r="AE154" s="3" t="s">
        <v>61</v>
      </c>
      <c r="AF154" s="17">
        <f>HLOOKUP(AD154,Data!$B$4:$M$9,2,0)</f>
        <v>13</v>
      </c>
      <c r="AG154" s="17">
        <f>HLOOKUP(AD154,Data!$B$4:$M$9,3,0)</f>
        <v>1</v>
      </c>
      <c r="AH154" s="17">
        <f>HLOOKUP(AE154,Data!$B$13:$I$18,3,0)</f>
        <v>260</v>
      </c>
      <c r="AI154" s="18">
        <f t="shared" si="141"/>
        <v>2.89</v>
      </c>
      <c r="AJ154" s="17">
        <f t="shared" si="142"/>
        <v>0.81883333333333397</v>
      </c>
      <c r="AK154" s="17">
        <f t="shared" si="143"/>
        <v>0.81883333333333397</v>
      </c>
      <c r="AL154" s="17">
        <f t="shared" si="144"/>
        <v>0.25</v>
      </c>
      <c r="AM154" s="17">
        <f t="shared" si="145"/>
        <v>0.74</v>
      </c>
      <c r="AN154" s="17">
        <f t="shared" si="146"/>
        <v>0.74</v>
      </c>
      <c r="AO154" s="17">
        <f t="shared" si="147"/>
        <v>0.74</v>
      </c>
      <c r="AP154" s="17">
        <f t="shared" si="148"/>
        <v>0.74</v>
      </c>
      <c r="AQ154" s="17">
        <f t="shared" si="149"/>
        <v>1.88</v>
      </c>
      <c r="AR154" s="17">
        <f t="shared" si="150"/>
        <v>2.3715999999999999</v>
      </c>
      <c r="AS154" s="17">
        <f t="shared" si="151"/>
        <v>26.5653009989447</v>
      </c>
      <c r="AT154" s="17">
        <f t="shared" si="152"/>
        <v>2.1594232637724802</v>
      </c>
      <c r="AU154" s="17">
        <f t="shared" si="153"/>
        <v>-2.9141642875001001</v>
      </c>
      <c r="AV154" s="17">
        <f t="shared" si="154"/>
        <v>22.897787120796199</v>
      </c>
      <c r="AW154" s="17">
        <f t="shared" si="155"/>
        <v>1.82850510296905</v>
      </c>
      <c r="AX154" s="17">
        <f t="shared" si="156"/>
        <v>-2.4793613589963899</v>
      </c>
      <c r="AY154" s="17">
        <f t="shared" si="157"/>
        <v>35.988263180509101</v>
      </c>
      <c r="AZ154" s="17">
        <f t="shared" si="158"/>
        <v>23.596028168241499</v>
      </c>
      <c r="BA154" s="17">
        <f t="shared" si="159"/>
        <v>29.792145674375298</v>
      </c>
      <c r="BB154" s="17">
        <f t="shared" si="160"/>
        <v>33.784090551016902</v>
      </c>
      <c r="BC154" s="17">
        <f t="shared" si="161"/>
        <v>23.262128909741701</v>
      </c>
      <c r="BD154" s="17">
        <f t="shared" si="162"/>
        <v>28.5231097303793</v>
      </c>
      <c r="BE154" s="17" t="str">
        <f>IF(AND(BD154&lt;=AA154,BB154&lt;=AA154*MongDon!$J$44,BC154&gt;0),"Ok","FAIL")</f>
        <v>Ok</v>
      </c>
      <c r="BF154" s="17">
        <f t="shared" si="163"/>
        <v>85.349764958895506</v>
      </c>
      <c r="BG154" s="17">
        <f t="shared" si="164"/>
        <v>352.5</v>
      </c>
      <c r="BH154" s="17" t="str">
        <f t="shared" si="165"/>
        <v>Ok</v>
      </c>
      <c r="BI154" s="17">
        <f t="shared" si="166"/>
        <v>22.620073818903101</v>
      </c>
      <c r="BJ154" s="17">
        <f t="shared" si="167"/>
        <v>21.852274991996801</v>
      </c>
      <c r="BK154" s="17">
        <f t="shared" si="168"/>
        <v>27.0136408746062</v>
      </c>
      <c r="BL154" s="17">
        <f t="shared" si="169"/>
        <v>27.7814397015125</v>
      </c>
      <c r="BM154" s="17">
        <f t="shared" si="170"/>
        <v>88.125</v>
      </c>
      <c r="BN154" s="17">
        <f t="shared" si="171"/>
        <v>88.125</v>
      </c>
      <c r="BO154" s="17">
        <f t="shared" si="172"/>
        <v>88.125</v>
      </c>
      <c r="BP154" s="17">
        <f t="shared" si="173"/>
        <v>88.125</v>
      </c>
      <c r="BQ154" s="17" t="str">
        <f t="shared" si="174"/>
        <v>Ok</v>
      </c>
      <c r="BR154" s="17">
        <f t="shared" si="175"/>
        <v>62.050107063776601</v>
      </c>
      <c r="BS154" s="17">
        <f t="shared" si="176"/>
        <v>27.600861162614699</v>
      </c>
      <c r="BT154" s="16">
        <f>MongDon!$H$80</f>
        <v>1.2</v>
      </c>
      <c r="BU154" s="17" t="str">
        <f t="shared" si="177"/>
        <v>Ok</v>
      </c>
      <c r="BV154" s="17">
        <f t="shared" si="178"/>
        <v>23.848914814861999</v>
      </c>
      <c r="BW154" s="16">
        <f>MongDon!$F$86</f>
        <v>1.5</v>
      </c>
      <c r="BX154" s="17" t="str">
        <f t="shared" si="179"/>
        <v>Ok</v>
      </c>
      <c r="BY154" s="17">
        <f t="shared" si="180"/>
        <v>30.7138729575761</v>
      </c>
      <c r="BZ154" s="17">
        <f t="shared" si="181"/>
        <v>23.596028168241499</v>
      </c>
      <c r="CA154" s="17">
        <f t="shared" si="182"/>
        <v>28.8704183911745</v>
      </c>
      <c r="CB154" s="17">
        <f t="shared" si="183"/>
        <v>35.988263180509101</v>
      </c>
      <c r="CC154" s="17">
        <f t="shared" si="184"/>
        <v>29.672863320078701</v>
      </c>
      <c r="CD154" s="17">
        <f t="shared" si="185"/>
        <v>30.593996175169099</v>
      </c>
      <c r="CE154" s="17">
        <f t="shared" si="186"/>
        <v>29.911428028671899</v>
      </c>
      <c r="CF154" s="17">
        <f t="shared" si="187"/>
        <v>30.593996175169099</v>
      </c>
      <c r="CG154" s="17">
        <f t="shared" si="188"/>
        <v>9.3612696901360408</v>
      </c>
      <c r="CH154" s="17">
        <f t="shared" si="189"/>
        <v>9.3612696901360408</v>
      </c>
      <c r="CI154" s="17">
        <f t="shared" si="190"/>
        <v>250</v>
      </c>
      <c r="CJ154" s="17">
        <f t="shared" si="191"/>
        <v>250</v>
      </c>
    </row>
    <row r="155" spans="2:88">
      <c r="B155" s="3">
        <v>158</v>
      </c>
      <c r="C155" s="3" t="s">
        <v>24</v>
      </c>
      <c r="D155" s="4">
        <v>-2.5362957279774001</v>
      </c>
      <c r="E155" s="4">
        <v>-1.89844147358358</v>
      </c>
      <c r="F155" s="4">
        <v>29.320771331082302</v>
      </c>
      <c r="G155" s="4">
        <v>1.88602612271047</v>
      </c>
      <c r="H155" s="4">
        <v>-2.5270091543150199</v>
      </c>
      <c r="I155" s="4" t="s">
        <v>14</v>
      </c>
      <c r="J155" s="4">
        <v>-2.1529040621325599</v>
      </c>
      <c r="K155" s="4">
        <v>-1.60727608101881</v>
      </c>
      <c r="L155" s="4">
        <v>25.194012397577598</v>
      </c>
      <c r="M155" s="4">
        <v>1.5931016961742901</v>
      </c>
      <c r="N155" s="4">
        <v>-2.1449347946967401</v>
      </c>
      <c r="O155" s="4">
        <v>1.7</v>
      </c>
      <c r="P155" s="4">
        <v>1.7</v>
      </c>
      <c r="Q155" s="4">
        <v>0.22</v>
      </c>
      <c r="R155" s="4">
        <v>0.22</v>
      </c>
      <c r="S155" s="4">
        <v>0</v>
      </c>
      <c r="T155" s="4">
        <v>0</v>
      </c>
      <c r="U155" s="4">
        <v>0.3</v>
      </c>
      <c r="V155" s="4">
        <v>0.05</v>
      </c>
      <c r="W155" s="4">
        <v>1</v>
      </c>
      <c r="X155" s="4">
        <v>19.100000000000001</v>
      </c>
      <c r="Y155" s="4">
        <v>0</v>
      </c>
      <c r="Z155" s="4">
        <v>1.5</v>
      </c>
      <c r="AA155" s="4">
        <v>139</v>
      </c>
      <c r="AB155" s="4">
        <v>12.1</v>
      </c>
      <c r="AC155" s="4">
        <v>19.5</v>
      </c>
      <c r="AD155" s="3" t="s">
        <v>42</v>
      </c>
      <c r="AE155" s="3" t="s">
        <v>61</v>
      </c>
      <c r="AF155" s="17">
        <f>HLOOKUP(AD155,Data!$B$4:$M$9,2,0)</f>
        <v>13</v>
      </c>
      <c r="AG155" s="17">
        <f>HLOOKUP(AD155,Data!$B$4:$M$9,3,0)</f>
        <v>1</v>
      </c>
      <c r="AH155" s="17">
        <f>HLOOKUP(AE155,Data!$B$13:$I$18,3,0)</f>
        <v>260</v>
      </c>
      <c r="AI155" s="18">
        <f t="shared" si="141"/>
        <v>2.89</v>
      </c>
      <c r="AJ155" s="17">
        <f t="shared" si="142"/>
        <v>0.81883333333333397</v>
      </c>
      <c r="AK155" s="17">
        <f t="shared" si="143"/>
        <v>0.81883333333333397</v>
      </c>
      <c r="AL155" s="17">
        <f t="shared" si="144"/>
        <v>0.25</v>
      </c>
      <c r="AM155" s="17">
        <f t="shared" si="145"/>
        <v>0.74</v>
      </c>
      <c r="AN155" s="17">
        <f t="shared" si="146"/>
        <v>0.74</v>
      </c>
      <c r="AO155" s="17">
        <f t="shared" si="147"/>
        <v>0.74</v>
      </c>
      <c r="AP155" s="17">
        <f t="shared" si="148"/>
        <v>0.74</v>
      </c>
      <c r="AQ155" s="17">
        <f t="shared" si="149"/>
        <v>1.88</v>
      </c>
      <c r="AR155" s="17">
        <f t="shared" si="150"/>
        <v>2.3715999999999999</v>
      </c>
      <c r="AS155" s="17">
        <f t="shared" si="151"/>
        <v>29.320771331082302</v>
      </c>
      <c r="AT155" s="17">
        <f t="shared" si="152"/>
        <v>2.45555856478554</v>
      </c>
      <c r="AU155" s="17">
        <f t="shared" si="153"/>
        <v>-3.28789787270824</v>
      </c>
      <c r="AV155" s="17">
        <f t="shared" si="154"/>
        <v>25.194012397577598</v>
      </c>
      <c r="AW155" s="17">
        <f t="shared" si="155"/>
        <v>2.0752845204799302</v>
      </c>
      <c r="AX155" s="17">
        <f t="shared" si="156"/>
        <v>-2.79080601333651</v>
      </c>
      <c r="AY155" s="17">
        <f t="shared" si="157"/>
        <v>37.759790329290098</v>
      </c>
      <c r="AZ155" s="17">
        <f t="shared" si="158"/>
        <v>23.731400903292698</v>
      </c>
      <c r="BA155" s="17">
        <f t="shared" si="159"/>
        <v>30.7455956162914</v>
      </c>
      <c r="BB155" s="17">
        <f t="shared" si="160"/>
        <v>35.260363175001103</v>
      </c>
      <c r="BC155" s="17">
        <f t="shared" si="161"/>
        <v>23.3749395222844</v>
      </c>
      <c r="BD155" s="17">
        <f t="shared" si="162"/>
        <v>29.317651348642801</v>
      </c>
      <c r="BE155" s="17" t="str">
        <f>IF(AND(BD155&lt;=AA155,BB155&lt;=AA155*MongDon!$J$44,BC155&gt;0),"Ok","FAIL")</f>
        <v>Ok</v>
      </c>
      <c r="BF155" s="17">
        <f t="shared" si="163"/>
        <v>89.551118744944603</v>
      </c>
      <c r="BG155" s="17">
        <f t="shared" si="164"/>
        <v>352.5</v>
      </c>
      <c r="BH155" s="17" t="str">
        <f t="shared" si="165"/>
        <v>Ok</v>
      </c>
      <c r="BI155" s="17">
        <f t="shared" si="166"/>
        <v>23.113038871391701</v>
      </c>
      <c r="BJ155" s="17">
        <f t="shared" si="167"/>
        <v>22.2662992294219</v>
      </c>
      <c r="BK155" s="17">
        <f t="shared" si="168"/>
        <v>28.1091234253498</v>
      </c>
      <c r="BL155" s="17">
        <f t="shared" si="169"/>
        <v>28.955863067319601</v>
      </c>
      <c r="BM155" s="17">
        <f t="shared" si="170"/>
        <v>88.125</v>
      </c>
      <c r="BN155" s="17">
        <f t="shared" si="171"/>
        <v>88.125</v>
      </c>
      <c r="BO155" s="17">
        <f t="shared" si="172"/>
        <v>88.125</v>
      </c>
      <c r="BP155" s="17">
        <f t="shared" si="173"/>
        <v>88.125</v>
      </c>
      <c r="BQ155" s="17" t="str">
        <f t="shared" si="174"/>
        <v>Ok</v>
      </c>
      <c r="BR155" s="17">
        <f t="shared" si="175"/>
        <v>62.640828718058103</v>
      </c>
      <c r="BS155" s="17">
        <f t="shared" si="176"/>
        <v>24.697762184069799</v>
      </c>
      <c r="BT155" s="16">
        <f>MongDon!$H$80</f>
        <v>1.2</v>
      </c>
      <c r="BU155" s="17" t="str">
        <f t="shared" si="177"/>
        <v>Ok</v>
      </c>
      <c r="BV155" s="17">
        <f t="shared" si="178"/>
        <v>21.850376262521799</v>
      </c>
      <c r="BW155" s="16">
        <f>MongDon!$F$86</f>
        <v>1.5</v>
      </c>
      <c r="BX155" s="17" t="str">
        <f t="shared" si="179"/>
        <v>Ok</v>
      </c>
      <c r="BY155" s="17">
        <f t="shared" si="180"/>
        <v>31.762089784322399</v>
      </c>
      <c r="BZ155" s="17">
        <f t="shared" si="181"/>
        <v>23.731400903292698</v>
      </c>
      <c r="CA155" s="17">
        <f t="shared" si="182"/>
        <v>29.729101448260501</v>
      </c>
      <c r="CB155" s="17">
        <f t="shared" si="183"/>
        <v>37.759790329290098</v>
      </c>
      <c r="CC155" s="17">
        <f t="shared" si="184"/>
        <v>30.614049312193298</v>
      </c>
      <c r="CD155" s="17">
        <f t="shared" si="185"/>
        <v>31.653314932091298</v>
      </c>
      <c r="CE155" s="17">
        <f t="shared" si="186"/>
        <v>30.877141920389601</v>
      </c>
      <c r="CF155" s="17">
        <f t="shared" si="187"/>
        <v>31.653314932091298</v>
      </c>
      <c r="CG155" s="17">
        <f t="shared" si="188"/>
        <v>9.7813129375753007</v>
      </c>
      <c r="CH155" s="17">
        <f t="shared" si="189"/>
        <v>9.7813129375753007</v>
      </c>
      <c r="CI155" s="17">
        <f t="shared" si="190"/>
        <v>250</v>
      </c>
      <c r="CJ155" s="17">
        <f t="shared" si="191"/>
        <v>250</v>
      </c>
    </row>
    <row r="156" spans="2:88">
      <c r="B156" s="3">
        <v>158</v>
      </c>
      <c r="C156" s="3" t="s">
        <v>25</v>
      </c>
      <c r="D156" s="4">
        <v>-6.4338681906228299</v>
      </c>
      <c r="E156" s="4">
        <v>-2.6017692638946999</v>
      </c>
      <c r="F156" s="4">
        <v>32.513410100004002</v>
      </c>
      <c r="G156" s="4">
        <v>3.0485104663223401</v>
      </c>
      <c r="H156" s="4">
        <v>-9.1692360275475906</v>
      </c>
      <c r="I156" s="4" t="s">
        <v>15</v>
      </c>
      <c r="J156" s="4">
        <v>-5.4008811143370901</v>
      </c>
      <c r="K156" s="4">
        <v>-2.1933825729447398</v>
      </c>
      <c r="L156" s="4">
        <v>27.854544705012401</v>
      </c>
      <c r="M156" s="4">
        <v>2.56183864918418</v>
      </c>
      <c r="N156" s="4">
        <v>-7.68012385572389</v>
      </c>
      <c r="O156" s="4">
        <v>1.7</v>
      </c>
      <c r="P156" s="4">
        <v>1.7</v>
      </c>
      <c r="Q156" s="4">
        <v>0.22</v>
      </c>
      <c r="R156" s="4">
        <v>0.22</v>
      </c>
      <c r="S156" s="4">
        <v>0</v>
      </c>
      <c r="T156" s="4">
        <v>0</v>
      </c>
      <c r="U156" s="4">
        <v>0.3</v>
      </c>
      <c r="V156" s="4">
        <v>0.05</v>
      </c>
      <c r="W156" s="4">
        <v>1</v>
      </c>
      <c r="X156" s="4">
        <v>19.100000000000001</v>
      </c>
      <c r="Y156" s="4">
        <v>0</v>
      </c>
      <c r="Z156" s="4">
        <v>1.5</v>
      </c>
      <c r="AA156" s="4">
        <v>139</v>
      </c>
      <c r="AB156" s="4">
        <v>12.1</v>
      </c>
      <c r="AC156" s="4">
        <v>19.5</v>
      </c>
      <c r="AD156" s="3" t="s">
        <v>42</v>
      </c>
      <c r="AE156" s="3" t="s">
        <v>61</v>
      </c>
      <c r="AF156" s="17">
        <f>HLOOKUP(AD156,Data!$B$4:$M$9,2,0)</f>
        <v>13</v>
      </c>
      <c r="AG156" s="17">
        <f>HLOOKUP(AD156,Data!$B$4:$M$9,3,0)</f>
        <v>1</v>
      </c>
      <c r="AH156" s="17">
        <f>HLOOKUP(AE156,Data!$B$13:$I$18,3,0)</f>
        <v>260</v>
      </c>
      <c r="AI156" s="18">
        <f t="shared" si="141"/>
        <v>2.89</v>
      </c>
      <c r="AJ156" s="17">
        <f t="shared" si="142"/>
        <v>0.81883333333333397</v>
      </c>
      <c r="AK156" s="17">
        <f t="shared" si="143"/>
        <v>0.81883333333333397</v>
      </c>
      <c r="AL156" s="17">
        <f t="shared" si="144"/>
        <v>0.25</v>
      </c>
      <c r="AM156" s="17">
        <f t="shared" si="145"/>
        <v>0.74</v>
      </c>
      <c r="AN156" s="17">
        <f t="shared" si="146"/>
        <v>0.74</v>
      </c>
      <c r="AO156" s="17">
        <f t="shared" si="147"/>
        <v>0.74</v>
      </c>
      <c r="AP156" s="17">
        <f t="shared" si="148"/>
        <v>0.74</v>
      </c>
      <c r="AQ156" s="17">
        <f t="shared" si="149"/>
        <v>1.88</v>
      </c>
      <c r="AR156" s="17">
        <f t="shared" si="150"/>
        <v>2.3715999999999999</v>
      </c>
      <c r="AS156" s="17">
        <f t="shared" si="151"/>
        <v>32.513410100004002</v>
      </c>
      <c r="AT156" s="17">
        <f t="shared" si="152"/>
        <v>3.8290412454907501</v>
      </c>
      <c r="AU156" s="17">
        <f t="shared" si="153"/>
        <v>-11.099396484734401</v>
      </c>
      <c r="AV156" s="17">
        <f t="shared" si="154"/>
        <v>27.854544705012401</v>
      </c>
      <c r="AW156" s="17">
        <f t="shared" si="155"/>
        <v>3.2198534210676</v>
      </c>
      <c r="AX156" s="17">
        <f t="shared" si="156"/>
        <v>-9.3003881900250107</v>
      </c>
      <c r="AY156" s="17">
        <f t="shared" si="157"/>
        <v>50.081665693335601</v>
      </c>
      <c r="AZ156" s="17">
        <f t="shared" si="158"/>
        <v>13.618964133656799</v>
      </c>
      <c r="BA156" s="17">
        <f t="shared" si="159"/>
        <v>31.850314913496199</v>
      </c>
      <c r="BB156" s="17">
        <f t="shared" si="160"/>
        <v>45.528592645038998</v>
      </c>
      <c r="BC156" s="17">
        <f t="shared" si="161"/>
        <v>14.9479088809211</v>
      </c>
      <c r="BD156" s="17">
        <f t="shared" si="162"/>
        <v>30.238250762980101</v>
      </c>
      <c r="BE156" s="17" t="str">
        <f>IF(AND(BD156&lt;=AA156,BB156&lt;=AA156*MongDon!$J$44,BC156&gt;0),"Ok","FAIL")</f>
        <v>Ok</v>
      </c>
      <c r="BF156" s="17">
        <f t="shared" si="163"/>
        <v>118.773678358315</v>
      </c>
      <c r="BG156" s="17">
        <f t="shared" si="164"/>
        <v>352.5</v>
      </c>
      <c r="BH156" s="17" t="str">
        <f t="shared" si="165"/>
        <v>Ok</v>
      </c>
      <c r="BI156" s="17">
        <f t="shared" si="166"/>
        <v>22.6360246891213</v>
      </c>
      <c r="BJ156" s="17">
        <f t="shared" si="167"/>
        <v>15.2398847571571</v>
      </c>
      <c r="BK156" s="17">
        <f t="shared" si="168"/>
        <v>30.4265999567634</v>
      </c>
      <c r="BL156" s="17">
        <f t="shared" si="169"/>
        <v>37.822739888727597</v>
      </c>
      <c r="BM156" s="17">
        <f t="shared" si="170"/>
        <v>88.125</v>
      </c>
      <c r="BN156" s="17">
        <f t="shared" si="171"/>
        <v>88.125</v>
      </c>
      <c r="BO156" s="17">
        <f t="shared" si="172"/>
        <v>88.125</v>
      </c>
      <c r="BP156" s="17">
        <f t="shared" si="173"/>
        <v>88.125</v>
      </c>
      <c r="BQ156" s="17" t="str">
        <f t="shared" si="174"/>
        <v>Ok</v>
      </c>
      <c r="BR156" s="17">
        <f t="shared" si="175"/>
        <v>63.325271164454499</v>
      </c>
      <c r="BS156" s="17">
        <f t="shared" si="176"/>
        <v>9.8424881095247105</v>
      </c>
      <c r="BT156" s="16">
        <f>MongDon!$H$80</f>
        <v>1.2</v>
      </c>
      <c r="BU156" s="17" t="str">
        <f t="shared" si="177"/>
        <v>Ok</v>
      </c>
      <c r="BV156" s="17">
        <f t="shared" si="178"/>
        <v>6.71708130145125</v>
      </c>
      <c r="BW156" s="16">
        <f>MongDon!$F$86</f>
        <v>1.5</v>
      </c>
      <c r="BX156" s="17" t="str">
        <f t="shared" si="179"/>
        <v>Ok</v>
      </c>
      <c r="BY156" s="17">
        <f t="shared" si="180"/>
        <v>40.729234399647702</v>
      </c>
      <c r="BZ156" s="17">
        <f t="shared" si="181"/>
        <v>13.618964133656799</v>
      </c>
      <c r="CA156" s="17">
        <f t="shared" si="182"/>
        <v>22.971395427344699</v>
      </c>
      <c r="CB156" s="17">
        <f t="shared" si="183"/>
        <v>50.081665693335601</v>
      </c>
      <c r="CC156" s="17">
        <f t="shared" si="184"/>
        <v>30.7012782741119</v>
      </c>
      <c r="CD156" s="17">
        <f t="shared" si="185"/>
        <v>34.209666190887198</v>
      </c>
      <c r="CE156" s="17">
        <f t="shared" si="186"/>
        <v>32.999351552880498</v>
      </c>
      <c r="CF156" s="17">
        <f t="shared" si="187"/>
        <v>34.209666190887198</v>
      </c>
      <c r="CG156" s="17">
        <f t="shared" si="188"/>
        <v>12.263775578911799</v>
      </c>
      <c r="CH156" s="17">
        <f t="shared" si="189"/>
        <v>12.263775578911799</v>
      </c>
      <c r="CI156" s="17">
        <f t="shared" si="190"/>
        <v>250</v>
      </c>
      <c r="CJ156" s="17">
        <f t="shared" si="191"/>
        <v>250</v>
      </c>
    </row>
    <row r="157" spans="2:88">
      <c r="B157" s="3">
        <v>158</v>
      </c>
      <c r="C157" s="3" t="s">
        <v>26</v>
      </c>
      <c r="D157" s="4">
        <v>1.418911452256</v>
      </c>
      <c r="E157" s="4">
        <v>-1.1503921571708999</v>
      </c>
      <c r="F157" s="4">
        <v>25.577038495732999</v>
      </c>
      <c r="G157" s="4">
        <v>0.677731176726458</v>
      </c>
      <c r="H157" s="4">
        <v>4.1726740206827904</v>
      </c>
      <c r="I157" s="4" t="s">
        <v>16</v>
      </c>
      <c r="J157" s="4">
        <v>1.14310192139527</v>
      </c>
      <c r="K157" s="4">
        <v>-0.98390165067490398</v>
      </c>
      <c r="L157" s="4">
        <v>22.074235034786501</v>
      </c>
      <c r="M157" s="4">
        <v>0.58618924118761395</v>
      </c>
      <c r="N157" s="4">
        <v>3.4381345178014402</v>
      </c>
      <c r="O157" s="4">
        <v>1.7</v>
      </c>
      <c r="P157" s="4">
        <v>1.7</v>
      </c>
      <c r="Q157" s="4">
        <v>0.22</v>
      </c>
      <c r="R157" s="4">
        <v>0.22</v>
      </c>
      <c r="S157" s="4">
        <v>0</v>
      </c>
      <c r="T157" s="4">
        <v>0</v>
      </c>
      <c r="U157" s="4">
        <v>0.3</v>
      </c>
      <c r="V157" s="4">
        <v>0.05</v>
      </c>
      <c r="W157" s="4">
        <v>1</v>
      </c>
      <c r="X157" s="4">
        <v>19.100000000000001</v>
      </c>
      <c r="Y157" s="4">
        <v>0</v>
      </c>
      <c r="Z157" s="4">
        <v>1.5</v>
      </c>
      <c r="AA157" s="4">
        <v>139</v>
      </c>
      <c r="AB157" s="4">
        <v>12.1</v>
      </c>
      <c r="AC157" s="4">
        <v>19.5</v>
      </c>
      <c r="AD157" s="3" t="s">
        <v>42</v>
      </c>
      <c r="AE157" s="3" t="s">
        <v>61</v>
      </c>
      <c r="AF157" s="17">
        <f>HLOOKUP(AD157,Data!$B$4:$M$9,2,0)</f>
        <v>13</v>
      </c>
      <c r="AG157" s="17">
        <f>HLOOKUP(AD157,Data!$B$4:$M$9,3,0)</f>
        <v>1</v>
      </c>
      <c r="AH157" s="17">
        <f>HLOOKUP(AE157,Data!$B$13:$I$18,3,0)</f>
        <v>260</v>
      </c>
      <c r="AI157" s="18">
        <f t="shared" si="141"/>
        <v>2.89</v>
      </c>
      <c r="AJ157" s="17">
        <f t="shared" si="142"/>
        <v>0.81883333333333397</v>
      </c>
      <c r="AK157" s="17">
        <f t="shared" si="143"/>
        <v>0.81883333333333397</v>
      </c>
      <c r="AL157" s="17">
        <f t="shared" si="144"/>
        <v>0.25</v>
      </c>
      <c r="AM157" s="17">
        <f t="shared" si="145"/>
        <v>0.74</v>
      </c>
      <c r="AN157" s="17">
        <f t="shared" si="146"/>
        <v>0.74</v>
      </c>
      <c r="AO157" s="17">
        <f t="shared" si="147"/>
        <v>0.74</v>
      </c>
      <c r="AP157" s="17">
        <f t="shared" si="148"/>
        <v>0.74</v>
      </c>
      <c r="AQ157" s="17">
        <f t="shared" si="149"/>
        <v>1.88</v>
      </c>
      <c r="AR157" s="17">
        <f t="shared" si="150"/>
        <v>2.3715999999999999</v>
      </c>
      <c r="AS157" s="17">
        <f t="shared" si="151"/>
        <v>25.577038495732999</v>
      </c>
      <c r="AT157" s="17">
        <f t="shared" si="152"/>
        <v>1.02284882387773</v>
      </c>
      <c r="AU157" s="17">
        <f t="shared" si="153"/>
        <v>4.5983474563595896</v>
      </c>
      <c r="AV157" s="17">
        <f t="shared" si="154"/>
        <v>22.074235034786501</v>
      </c>
      <c r="AW157" s="17">
        <f t="shared" si="155"/>
        <v>0.88135973639008502</v>
      </c>
      <c r="AX157" s="17">
        <f t="shared" si="156"/>
        <v>3.7810650942200201</v>
      </c>
      <c r="AY157" s="17">
        <f t="shared" si="157"/>
        <v>36.315070857758997</v>
      </c>
      <c r="AZ157" s="17">
        <f t="shared" si="158"/>
        <v>22.585301803647901</v>
      </c>
      <c r="BA157" s="17">
        <f t="shared" si="159"/>
        <v>29.450186330703399</v>
      </c>
      <c r="BB157" s="17">
        <f t="shared" si="160"/>
        <v>33.932128748788401</v>
      </c>
      <c r="BC157" s="17">
        <f t="shared" si="161"/>
        <v>22.5441584725171</v>
      </c>
      <c r="BD157" s="17">
        <f t="shared" si="162"/>
        <v>28.238143610652799</v>
      </c>
      <c r="BE157" s="17" t="str">
        <f>IF(AND(BD157&lt;=AA157,BB157&lt;=AA157*MongDon!$J$44,BC157&gt;0),"Ok","FAIL")</f>
        <v>Ok</v>
      </c>
      <c r="BF157" s="17">
        <f t="shared" si="163"/>
        <v>86.124822046261301</v>
      </c>
      <c r="BG157" s="17">
        <f t="shared" si="164"/>
        <v>352.5</v>
      </c>
      <c r="BH157" s="17" t="str">
        <f t="shared" si="165"/>
        <v>Ok</v>
      </c>
      <c r="BI157" s="17">
        <f t="shared" si="166"/>
        <v>23.491460043164398</v>
      </c>
      <c r="BJ157" s="17">
        <f t="shared" si="167"/>
        <v>29.2099088542017</v>
      </c>
      <c r="BK157" s="17">
        <f t="shared" si="168"/>
        <v>25.5725503837876</v>
      </c>
      <c r="BL157" s="17">
        <f t="shared" si="169"/>
        <v>19.854101572750299</v>
      </c>
      <c r="BM157" s="17">
        <f t="shared" si="170"/>
        <v>88.125</v>
      </c>
      <c r="BN157" s="17">
        <f t="shared" si="171"/>
        <v>88.125</v>
      </c>
      <c r="BO157" s="17">
        <f t="shared" si="172"/>
        <v>88.125</v>
      </c>
      <c r="BP157" s="17">
        <f t="shared" si="173"/>
        <v>88.125</v>
      </c>
      <c r="BQ157" s="17" t="str">
        <f t="shared" si="174"/>
        <v>Ok</v>
      </c>
      <c r="BR157" s="17">
        <f t="shared" si="175"/>
        <v>61.838241940805503</v>
      </c>
      <c r="BS157" s="17">
        <f t="shared" si="176"/>
        <v>43.581466512575901</v>
      </c>
      <c r="BT157" s="16">
        <f>MongDon!$H$80</f>
        <v>1.2</v>
      </c>
      <c r="BU157" s="17" t="str">
        <f t="shared" si="177"/>
        <v>Ok</v>
      </c>
      <c r="BV157" s="17">
        <f t="shared" si="178"/>
        <v>14.9313711877983</v>
      </c>
      <c r="BW157" s="16">
        <f>MongDon!$F$86</f>
        <v>1.5</v>
      </c>
      <c r="BX157" s="17" t="str">
        <f t="shared" si="179"/>
        <v>Ok</v>
      </c>
      <c r="BY157" s="17">
        <f t="shared" si="180"/>
        <v>22.585301803647901</v>
      </c>
      <c r="BZ157" s="17">
        <f t="shared" si="181"/>
        <v>33.816763125918399</v>
      </c>
      <c r="CA157" s="17">
        <f t="shared" si="182"/>
        <v>36.315070857758997</v>
      </c>
      <c r="CB157" s="17">
        <f t="shared" si="183"/>
        <v>25.083609535488499</v>
      </c>
      <c r="CC157" s="17">
        <f t="shared" si="184"/>
        <v>30.3385831518518</v>
      </c>
      <c r="CD157" s="17">
        <f t="shared" si="185"/>
        <v>28.8850999219109</v>
      </c>
      <c r="CE157" s="17">
        <f t="shared" si="186"/>
        <v>30.015272739496002</v>
      </c>
      <c r="CF157" s="17">
        <f t="shared" si="187"/>
        <v>30.3385831518518</v>
      </c>
      <c r="CG157" s="17">
        <f t="shared" si="188"/>
        <v>9.3976122895619607</v>
      </c>
      <c r="CH157" s="17">
        <f t="shared" si="189"/>
        <v>9.3976122895619607</v>
      </c>
      <c r="CI157" s="17">
        <f t="shared" si="190"/>
        <v>250</v>
      </c>
      <c r="CJ157" s="17">
        <f t="shared" si="191"/>
        <v>250</v>
      </c>
    </row>
    <row r="158" spans="2:88">
      <c r="B158" s="3">
        <v>158</v>
      </c>
      <c r="C158" s="3" t="s">
        <v>27</v>
      </c>
      <c r="D158" s="4">
        <v>-6.17703759771622</v>
      </c>
      <c r="E158" s="4">
        <v>-10.264712947603799</v>
      </c>
      <c r="F158" s="4">
        <v>41.610966162097803</v>
      </c>
      <c r="G158" s="4">
        <v>15.788401633251899</v>
      </c>
      <c r="H158" s="4">
        <v>-8.4775481030031408</v>
      </c>
      <c r="I158" s="4" t="s">
        <v>17</v>
      </c>
      <c r="J158" s="4">
        <v>-5.1868556202482399</v>
      </c>
      <c r="K158" s="4">
        <v>-8.5791689760356498</v>
      </c>
      <c r="L158" s="4">
        <v>35.435841423423902</v>
      </c>
      <c r="M158" s="4">
        <v>13.1784146216254</v>
      </c>
      <c r="N158" s="4">
        <v>-7.1037172519368399</v>
      </c>
      <c r="O158" s="4">
        <v>1.7</v>
      </c>
      <c r="P158" s="4">
        <v>1.7</v>
      </c>
      <c r="Q158" s="4">
        <v>0.22</v>
      </c>
      <c r="R158" s="4">
        <v>0.22</v>
      </c>
      <c r="S158" s="4">
        <v>0</v>
      </c>
      <c r="T158" s="4">
        <v>0</v>
      </c>
      <c r="U158" s="4">
        <v>0.3</v>
      </c>
      <c r="V158" s="4">
        <v>0.05</v>
      </c>
      <c r="W158" s="4">
        <v>1</v>
      </c>
      <c r="X158" s="4">
        <v>19.100000000000001</v>
      </c>
      <c r="Y158" s="4">
        <v>0</v>
      </c>
      <c r="Z158" s="4">
        <v>1.5</v>
      </c>
      <c r="AA158" s="4">
        <v>139</v>
      </c>
      <c r="AB158" s="4">
        <v>12.1</v>
      </c>
      <c r="AC158" s="4">
        <v>19.5</v>
      </c>
      <c r="AD158" s="3" t="s">
        <v>42</v>
      </c>
      <c r="AE158" s="3" t="s">
        <v>61</v>
      </c>
      <c r="AF158" s="17">
        <f>HLOOKUP(AD158,Data!$B$4:$M$9,2,0)</f>
        <v>13</v>
      </c>
      <c r="AG158" s="17">
        <f>HLOOKUP(AD158,Data!$B$4:$M$9,3,0)</f>
        <v>1</v>
      </c>
      <c r="AH158" s="17">
        <f>HLOOKUP(AE158,Data!$B$13:$I$18,3,0)</f>
        <v>260</v>
      </c>
      <c r="AI158" s="18">
        <f t="shared" si="141"/>
        <v>2.89</v>
      </c>
      <c r="AJ158" s="17">
        <f t="shared" si="142"/>
        <v>0.81883333333333397</v>
      </c>
      <c r="AK158" s="17">
        <f t="shared" si="143"/>
        <v>0.81883333333333397</v>
      </c>
      <c r="AL158" s="17">
        <f t="shared" si="144"/>
        <v>0.25</v>
      </c>
      <c r="AM158" s="17">
        <f t="shared" si="145"/>
        <v>0.74</v>
      </c>
      <c r="AN158" s="17">
        <f t="shared" si="146"/>
        <v>0.74</v>
      </c>
      <c r="AO158" s="17">
        <f t="shared" si="147"/>
        <v>0.74</v>
      </c>
      <c r="AP158" s="17">
        <f t="shared" si="148"/>
        <v>0.74</v>
      </c>
      <c r="AQ158" s="17">
        <f t="shared" si="149"/>
        <v>1.88</v>
      </c>
      <c r="AR158" s="17">
        <f t="shared" si="150"/>
        <v>2.3715999999999999</v>
      </c>
      <c r="AS158" s="17">
        <f t="shared" si="151"/>
        <v>41.610966162097803</v>
      </c>
      <c r="AT158" s="17">
        <f t="shared" si="152"/>
        <v>18.867815517533</v>
      </c>
      <c r="AU158" s="17">
        <f t="shared" si="153"/>
        <v>-10.330659382318</v>
      </c>
      <c r="AV158" s="17">
        <f t="shared" si="154"/>
        <v>35.435841423423902</v>
      </c>
      <c r="AW158" s="17">
        <f t="shared" si="155"/>
        <v>15.7521653144361</v>
      </c>
      <c r="AX158" s="17">
        <f t="shared" si="156"/>
        <v>-8.6597739380113108</v>
      </c>
      <c r="AY158" s="17">
        <f t="shared" si="157"/>
        <v>70.656888230138804</v>
      </c>
      <c r="AZ158" s="17">
        <f t="shared" si="158"/>
        <v>-0.660371854984657</v>
      </c>
      <c r="BA158" s="17">
        <f t="shared" si="159"/>
        <v>34.9982581875771</v>
      </c>
      <c r="BB158" s="17">
        <f t="shared" si="160"/>
        <v>62.674611425708299</v>
      </c>
      <c r="BC158" s="17">
        <f t="shared" si="161"/>
        <v>3.0484622237199099</v>
      </c>
      <c r="BD158" s="17">
        <f t="shared" si="162"/>
        <v>32.861536824714101</v>
      </c>
      <c r="BE158" s="17" t="str">
        <f>IF(AND(BD158&lt;=AA158,BB158&lt;=AA158*MongDon!$J$44,BC158&gt;0),"Ok","FAIL")</f>
        <v>Ok</v>
      </c>
      <c r="BF158" s="17">
        <f t="shared" si="163"/>
        <v>167.56987612659699</v>
      </c>
      <c r="BG158" s="17">
        <f t="shared" si="164"/>
        <v>352.5</v>
      </c>
      <c r="BH158" s="17" t="str">
        <f t="shared" si="165"/>
        <v>Ok</v>
      </c>
      <c r="BI158" s="17">
        <f t="shared" si="166"/>
        <v>9.9593007582977595</v>
      </c>
      <c r="BJ158" s="17">
        <f t="shared" si="167"/>
        <v>18.644158556751801</v>
      </c>
      <c r="BK158" s="17">
        <f t="shared" si="168"/>
        <v>48.347797382205698</v>
      </c>
      <c r="BL158" s="17">
        <f t="shared" si="169"/>
        <v>39.662939583751701</v>
      </c>
      <c r="BM158" s="17">
        <f t="shared" si="170"/>
        <v>88.125</v>
      </c>
      <c r="BN158" s="17">
        <f t="shared" si="171"/>
        <v>88.125</v>
      </c>
      <c r="BO158" s="17">
        <f t="shared" si="172"/>
        <v>88.125</v>
      </c>
      <c r="BP158" s="17">
        <f t="shared" si="173"/>
        <v>88.125</v>
      </c>
      <c r="BQ158" s="17" t="str">
        <f t="shared" si="174"/>
        <v>Ok</v>
      </c>
      <c r="BR158" s="17">
        <f t="shared" si="175"/>
        <v>65.275618190237907</v>
      </c>
      <c r="BS158" s="17">
        <f t="shared" si="176"/>
        <v>6.35922490219036</v>
      </c>
      <c r="BT158" s="16">
        <f>MongDon!$H$80</f>
        <v>1.2</v>
      </c>
      <c r="BU158" s="17" t="str">
        <f t="shared" si="177"/>
        <v>Ok</v>
      </c>
      <c r="BV158" s="17">
        <f t="shared" si="178"/>
        <v>4.3613141734037102</v>
      </c>
      <c r="BW158" s="16">
        <f>MongDon!$F$86</f>
        <v>1.5</v>
      </c>
      <c r="BX158" s="17" t="str">
        <f t="shared" si="179"/>
        <v>Ok</v>
      </c>
      <c r="BY158" s="17">
        <f t="shared" si="180"/>
        <v>24.5722584295291</v>
      </c>
      <c r="BZ158" s="17">
        <f t="shared" si="181"/>
        <v>-0.66037185498464601</v>
      </c>
      <c r="CA158" s="17">
        <f t="shared" si="182"/>
        <v>45.424257945625101</v>
      </c>
      <c r="CB158" s="17">
        <f t="shared" si="183"/>
        <v>70.656888230138804</v>
      </c>
      <c r="CC158" s="17">
        <f t="shared" si="184"/>
        <v>36.3475052150892</v>
      </c>
      <c r="CD158" s="17">
        <f t="shared" si="185"/>
        <v>39.612904428379203</v>
      </c>
      <c r="CE158" s="17">
        <f t="shared" si="186"/>
        <v>33.649011160065001</v>
      </c>
      <c r="CF158" s="17">
        <f t="shared" si="187"/>
        <v>39.612904428379203</v>
      </c>
      <c r="CG158" s="17">
        <f t="shared" si="188"/>
        <v>16.512575075771402</v>
      </c>
      <c r="CH158" s="17">
        <f t="shared" si="189"/>
        <v>16.512575075771402</v>
      </c>
      <c r="CI158" s="17">
        <f t="shared" si="190"/>
        <v>282.26624061147697</v>
      </c>
      <c r="CJ158" s="17">
        <f t="shared" si="191"/>
        <v>282.26624061147697</v>
      </c>
    </row>
    <row r="159" spans="2:88">
      <c r="B159" s="3">
        <v>158</v>
      </c>
      <c r="C159" s="3" t="s">
        <v>28</v>
      </c>
      <c r="D159" s="4">
        <v>1.1620808593493901</v>
      </c>
      <c r="E159" s="4">
        <v>6.5125515265381999</v>
      </c>
      <c r="F159" s="4">
        <v>16.479482433639198</v>
      </c>
      <c r="G159" s="4">
        <v>-12.062159990203099</v>
      </c>
      <c r="H159" s="4">
        <v>3.4809860961383299</v>
      </c>
      <c r="I159" s="4" t="s">
        <v>18</v>
      </c>
      <c r="J159" s="4">
        <v>0.92907642730643003</v>
      </c>
      <c r="K159" s="4">
        <v>5.4018847524160103</v>
      </c>
      <c r="L159" s="4">
        <v>14.492938316375</v>
      </c>
      <c r="M159" s="4">
        <v>-10.0303867312536</v>
      </c>
      <c r="N159" s="4">
        <v>2.8617279140143901</v>
      </c>
      <c r="O159" s="4">
        <v>1.7</v>
      </c>
      <c r="P159" s="4">
        <v>1.7</v>
      </c>
      <c r="Q159" s="4">
        <v>0.22</v>
      </c>
      <c r="R159" s="4">
        <v>0.22</v>
      </c>
      <c r="S159" s="4">
        <v>0</v>
      </c>
      <c r="T159" s="4">
        <v>0</v>
      </c>
      <c r="U159" s="4">
        <v>0.3</v>
      </c>
      <c r="V159" s="4">
        <v>0.05</v>
      </c>
      <c r="W159" s="4">
        <v>1</v>
      </c>
      <c r="X159" s="4">
        <v>19.100000000000001</v>
      </c>
      <c r="Y159" s="4">
        <v>0</v>
      </c>
      <c r="Z159" s="4">
        <v>1.5</v>
      </c>
      <c r="AA159" s="4">
        <v>139</v>
      </c>
      <c r="AB159" s="4">
        <v>12.1</v>
      </c>
      <c r="AC159" s="4">
        <v>19.5</v>
      </c>
      <c r="AD159" s="3" t="s">
        <v>42</v>
      </c>
      <c r="AE159" s="3" t="s">
        <v>61</v>
      </c>
      <c r="AF159" s="17">
        <f>HLOOKUP(AD159,Data!$B$4:$M$9,2,0)</f>
        <v>13</v>
      </c>
      <c r="AG159" s="17">
        <f>HLOOKUP(AD159,Data!$B$4:$M$9,3,0)</f>
        <v>1</v>
      </c>
      <c r="AH159" s="17">
        <f>HLOOKUP(AE159,Data!$B$13:$I$18,3,0)</f>
        <v>260</v>
      </c>
      <c r="AI159" s="18">
        <f t="shared" si="141"/>
        <v>2.89</v>
      </c>
      <c r="AJ159" s="17">
        <f t="shared" si="142"/>
        <v>0.81883333333333397</v>
      </c>
      <c r="AK159" s="17">
        <f t="shared" si="143"/>
        <v>0.81883333333333397</v>
      </c>
      <c r="AL159" s="17">
        <f t="shared" si="144"/>
        <v>0.25</v>
      </c>
      <c r="AM159" s="17">
        <f t="shared" si="145"/>
        <v>0.74</v>
      </c>
      <c r="AN159" s="17">
        <f t="shared" si="146"/>
        <v>0.74</v>
      </c>
      <c r="AO159" s="17">
        <f t="shared" si="147"/>
        <v>0.74</v>
      </c>
      <c r="AP159" s="17">
        <f t="shared" si="148"/>
        <v>0.74</v>
      </c>
      <c r="AQ159" s="17">
        <f t="shared" si="149"/>
        <v>1.88</v>
      </c>
      <c r="AR159" s="17">
        <f t="shared" si="150"/>
        <v>2.3715999999999999</v>
      </c>
      <c r="AS159" s="17">
        <f t="shared" si="151"/>
        <v>16.479482433639198</v>
      </c>
      <c r="AT159" s="17">
        <f t="shared" si="152"/>
        <v>-14.0159254481645</v>
      </c>
      <c r="AU159" s="17">
        <f t="shared" si="153"/>
        <v>3.8296103539431501</v>
      </c>
      <c r="AV159" s="17">
        <f t="shared" si="154"/>
        <v>14.492938316375</v>
      </c>
      <c r="AW159" s="17">
        <f t="shared" si="155"/>
        <v>-11.6509521569784</v>
      </c>
      <c r="AX159" s="17">
        <f t="shared" si="156"/>
        <v>3.1404508422063202</v>
      </c>
      <c r="AY159" s="17">
        <f t="shared" si="157"/>
        <v>48.096099114559799</v>
      </c>
      <c r="AZ159" s="17">
        <f t="shared" si="158"/>
        <v>4.5083869986852596</v>
      </c>
      <c r="BA159" s="17">
        <f t="shared" si="159"/>
        <v>26.302243056622601</v>
      </c>
      <c r="BB159" s="17">
        <f t="shared" si="160"/>
        <v>43.678854698340302</v>
      </c>
      <c r="BC159" s="17">
        <f t="shared" si="161"/>
        <v>7.5508603994970498</v>
      </c>
      <c r="BD159" s="17">
        <f t="shared" si="162"/>
        <v>25.6148575489187</v>
      </c>
      <c r="BE159" s="17" t="str">
        <f>IF(AND(BD159&lt;=AA159,BB159&lt;=AA159*MongDon!$J$44,BC159&gt;0),"Ok","FAIL")</f>
        <v>Ok</v>
      </c>
      <c r="BF159" s="17">
        <f t="shared" si="163"/>
        <v>114.06470866009001</v>
      </c>
      <c r="BG159" s="17">
        <f t="shared" si="164"/>
        <v>352.5</v>
      </c>
      <c r="BH159" s="17" t="str">
        <f t="shared" si="165"/>
        <v>Ok</v>
      </c>
      <c r="BI159" s="17">
        <f t="shared" si="166"/>
        <v>36.168183973987901</v>
      </c>
      <c r="BJ159" s="17">
        <f t="shared" si="167"/>
        <v>25.805635054606999</v>
      </c>
      <c r="BK159" s="17">
        <f t="shared" si="168"/>
        <v>7.65135295834527</v>
      </c>
      <c r="BL159" s="17">
        <f t="shared" si="169"/>
        <v>18.013901877726202</v>
      </c>
      <c r="BM159" s="17">
        <f t="shared" si="170"/>
        <v>88.125</v>
      </c>
      <c r="BN159" s="17">
        <f t="shared" si="171"/>
        <v>88.125</v>
      </c>
      <c r="BO159" s="17">
        <f t="shared" si="172"/>
        <v>88.125</v>
      </c>
      <c r="BP159" s="17">
        <f t="shared" si="173"/>
        <v>88.125</v>
      </c>
      <c r="BQ159" s="17" t="str">
        <f t="shared" si="174"/>
        <v>Ok</v>
      </c>
      <c r="BR159" s="17">
        <f t="shared" si="175"/>
        <v>59.887894915022002</v>
      </c>
      <c r="BS159" s="17">
        <f t="shared" si="176"/>
        <v>9.1957652344066592</v>
      </c>
      <c r="BT159" s="16">
        <f>MongDon!$H$80</f>
        <v>1.2</v>
      </c>
      <c r="BU159" s="17" t="str">
        <f t="shared" si="177"/>
        <v>Ok</v>
      </c>
      <c r="BV159" s="17">
        <f t="shared" si="178"/>
        <v>4.3469630524163598</v>
      </c>
      <c r="BW159" s="16">
        <f>MongDon!$F$86</f>
        <v>1.5</v>
      </c>
      <c r="BX159" s="17" t="str">
        <f t="shared" si="179"/>
        <v>Ok</v>
      </c>
      <c r="BY159" s="17">
        <f t="shared" si="180"/>
        <v>38.742277773766503</v>
      </c>
      <c r="BZ159" s="17">
        <f t="shared" si="181"/>
        <v>48.096099114559799</v>
      </c>
      <c r="CA159" s="17">
        <f t="shared" si="182"/>
        <v>13.862208339478601</v>
      </c>
      <c r="CB159" s="17">
        <f t="shared" si="183"/>
        <v>4.5083869986852703</v>
      </c>
      <c r="CC159" s="17">
        <f t="shared" si="184"/>
        <v>29.1226244288262</v>
      </c>
      <c r="CD159" s="17">
        <f t="shared" si="185"/>
        <v>27.912129902370602</v>
      </c>
      <c r="CE159" s="17">
        <f t="shared" si="186"/>
        <v>29.1226244288262</v>
      </c>
      <c r="CF159" s="17">
        <f t="shared" si="187"/>
        <v>24.6923562108745</v>
      </c>
      <c r="CG159" s="17">
        <f t="shared" si="188"/>
        <v>11.4370661479152</v>
      </c>
      <c r="CH159" s="17">
        <f t="shared" si="189"/>
        <v>11.4370661479152</v>
      </c>
      <c r="CI159" s="17">
        <f t="shared" si="190"/>
        <v>250</v>
      </c>
      <c r="CJ159" s="17">
        <f t="shared" si="191"/>
        <v>250</v>
      </c>
    </row>
    <row r="160" spans="2:88">
      <c r="B160" s="3">
        <v>158</v>
      </c>
      <c r="C160" s="3" t="s">
        <v>29</v>
      </c>
      <c r="D160" s="4">
        <v>-6.6107774971924496</v>
      </c>
      <c r="E160" s="4">
        <v>-2.4811544579223201</v>
      </c>
      <c r="F160" s="4">
        <v>30.418840779095198</v>
      </c>
      <c r="G160" s="4">
        <v>2.9740727161808</v>
      </c>
      <c r="H160" s="4">
        <v>-9.6518998945057195</v>
      </c>
      <c r="I160" s="4" t="s">
        <v>19</v>
      </c>
      <c r="J160" s="4">
        <v>-5.5483055364784404</v>
      </c>
      <c r="K160" s="4">
        <v>-2.0928702346344199</v>
      </c>
      <c r="L160" s="4">
        <v>26.109070270921698</v>
      </c>
      <c r="M160" s="4">
        <v>2.4998071907328998</v>
      </c>
      <c r="N160" s="4">
        <v>-8.0823437448556597</v>
      </c>
      <c r="O160" s="4">
        <v>1.7</v>
      </c>
      <c r="P160" s="4">
        <v>1.7</v>
      </c>
      <c r="Q160" s="4">
        <v>0.22</v>
      </c>
      <c r="R160" s="4">
        <v>0.22</v>
      </c>
      <c r="S160" s="4">
        <v>0</v>
      </c>
      <c r="T160" s="4">
        <v>0</v>
      </c>
      <c r="U160" s="4">
        <v>0.3</v>
      </c>
      <c r="V160" s="4">
        <v>0.05</v>
      </c>
      <c r="W160" s="4">
        <v>1</v>
      </c>
      <c r="X160" s="4">
        <v>19.100000000000001</v>
      </c>
      <c r="Y160" s="4">
        <v>0</v>
      </c>
      <c r="Z160" s="4">
        <v>1.5</v>
      </c>
      <c r="AA160" s="4">
        <v>139</v>
      </c>
      <c r="AB160" s="4">
        <v>12.1</v>
      </c>
      <c r="AC160" s="4">
        <v>19.5</v>
      </c>
      <c r="AD160" s="3" t="s">
        <v>42</v>
      </c>
      <c r="AE160" s="3" t="s">
        <v>61</v>
      </c>
      <c r="AF160" s="17">
        <f>HLOOKUP(AD160,Data!$B$4:$M$9,2,0)</f>
        <v>13</v>
      </c>
      <c r="AG160" s="17">
        <f>HLOOKUP(AD160,Data!$B$4:$M$9,3,0)</f>
        <v>1</v>
      </c>
      <c r="AH160" s="17">
        <f>HLOOKUP(AE160,Data!$B$13:$I$18,3,0)</f>
        <v>260</v>
      </c>
      <c r="AI160" s="18">
        <f t="shared" si="141"/>
        <v>2.89</v>
      </c>
      <c r="AJ160" s="17">
        <f t="shared" si="142"/>
        <v>0.81883333333333397</v>
      </c>
      <c r="AK160" s="17">
        <f t="shared" si="143"/>
        <v>0.81883333333333397</v>
      </c>
      <c r="AL160" s="17">
        <f t="shared" si="144"/>
        <v>0.25</v>
      </c>
      <c r="AM160" s="17">
        <f t="shared" si="145"/>
        <v>0.74</v>
      </c>
      <c r="AN160" s="17">
        <f t="shared" si="146"/>
        <v>0.74</v>
      </c>
      <c r="AO160" s="17">
        <f t="shared" si="147"/>
        <v>0.74</v>
      </c>
      <c r="AP160" s="17">
        <f t="shared" si="148"/>
        <v>0.74</v>
      </c>
      <c r="AQ160" s="17">
        <f t="shared" si="149"/>
        <v>1.88</v>
      </c>
      <c r="AR160" s="17">
        <f t="shared" si="150"/>
        <v>2.3715999999999999</v>
      </c>
      <c r="AS160" s="17">
        <f t="shared" si="151"/>
        <v>30.418840779095198</v>
      </c>
      <c r="AT160" s="17">
        <f t="shared" si="152"/>
        <v>3.7184190535574899</v>
      </c>
      <c r="AU160" s="17">
        <f t="shared" si="153"/>
        <v>-11.6351331436635</v>
      </c>
      <c r="AV160" s="17">
        <f t="shared" si="154"/>
        <v>26.109070270921698</v>
      </c>
      <c r="AW160" s="17">
        <f t="shared" si="155"/>
        <v>3.1276682611232198</v>
      </c>
      <c r="AX160" s="17">
        <f t="shared" si="156"/>
        <v>-9.7468354057991906</v>
      </c>
      <c r="AY160" s="17">
        <f t="shared" si="157"/>
        <v>49.876072157090903</v>
      </c>
      <c r="AZ160" s="17">
        <f t="shared" si="158"/>
        <v>12.375028728096099</v>
      </c>
      <c r="BA160" s="17">
        <f t="shared" si="159"/>
        <v>31.1255504425935</v>
      </c>
      <c r="BB160" s="17">
        <f t="shared" si="160"/>
        <v>45.3572646981684</v>
      </c>
      <c r="BC160" s="17">
        <f t="shared" si="161"/>
        <v>13.9112960429539</v>
      </c>
      <c r="BD160" s="17">
        <f t="shared" si="162"/>
        <v>29.6342803705611</v>
      </c>
      <c r="BE160" s="17" t="str">
        <f>IF(AND(BD160&lt;=AA160,BB160&lt;=AA160*MongDon!$J$44,BC160&gt;0),"Ok","FAIL")</f>
        <v>Ok</v>
      </c>
      <c r="BF160" s="17">
        <f t="shared" si="163"/>
        <v>118.28609272775699</v>
      </c>
      <c r="BG160" s="17">
        <f t="shared" si="164"/>
        <v>352.5</v>
      </c>
      <c r="BH160" s="17" t="str">
        <f t="shared" si="165"/>
        <v>Ok</v>
      </c>
      <c r="BI160" s="17">
        <f t="shared" si="166"/>
        <v>22.144831955545801</v>
      </c>
      <c r="BJ160" s="17">
        <f t="shared" si="167"/>
        <v>14.0911504936387</v>
      </c>
      <c r="BK160" s="17">
        <f t="shared" si="168"/>
        <v>29.710335081815</v>
      </c>
      <c r="BL160" s="17">
        <f t="shared" si="169"/>
        <v>37.7640165437221</v>
      </c>
      <c r="BM160" s="17">
        <f t="shared" si="170"/>
        <v>88.125</v>
      </c>
      <c r="BN160" s="17">
        <f t="shared" si="171"/>
        <v>88.125</v>
      </c>
      <c r="BO160" s="17">
        <f t="shared" si="172"/>
        <v>88.125</v>
      </c>
      <c r="BP160" s="17">
        <f t="shared" si="173"/>
        <v>88.125</v>
      </c>
      <c r="BQ160" s="17" t="str">
        <f t="shared" si="174"/>
        <v>Ok</v>
      </c>
      <c r="BR160" s="17">
        <f t="shared" si="175"/>
        <v>62.876234410248301</v>
      </c>
      <c r="BS160" s="17">
        <f t="shared" si="176"/>
        <v>9.5111708776995307</v>
      </c>
      <c r="BT160" s="16">
        <f>MongDon!$H$80</f>
        <v>1.2</v>
      </c>
      <c r="BU160" s="17" t="str">
        <f t="shared" si="177"/>
        <v>Ok</v>
      </c>
      <c r="BV160" s="17">
        <f t="shared" si="178"/>
        <v>6.2547771274851902</v>
      </c>
      <c r="BW160" s="16">
        <f>MongDon!$F$86</f>
        <v>1.5</v>
      </c>
      <c r="BX160" s="17" t="str">
        <f t="shared" si="179"/>
        <v>Ok</v>
      </c>
      <c r="BY160" s="17">
        <f t="shared" si="180"/>
        <v>40.793835510909297</v>
      </c>
      <c r="BZ160" s="17">
        <f t="shared" si="181"/>
        <v>12.375028728096099</v>
      </c>
      <c r="CA160" s="17">
        <f t="shared" si="182"/>
        <v>21.4572653742777</v>
      </c>
      <c r="CB160" s="17">
        <f t="shared" si="183"/>
        <v>49.876072157090903</v>
      </c>
      <c r="CC160" s="17">
        <f t="shared" si="184"/>
        <v>29.874360610223199</v>
      </c>
      <c r="CD160" s="17">
        <f t="shared" si="185"/>
        <v>33.552088546822603</v>
      </c>
      <c r="CE160" s="17">
        <f t="shared" si="186"/>
        <v>32.376740274963801</v>
      </c>
      <c r="CF160" s="17">
        <f t="shared" si="187"/>
        <v>33.552088546822603</v>
      </c>
      <c r="CG160" s="17">
        <f t="shared" si="188"/>
        <v>12.166232985781001</v>
      </c>
      <c r="CH160" s="17">
        <f t="shared" si="189"/>
        <v>12.166232985781001</v>
      </c>
      <c r="CI160" s="17">
        <f t="shared" si="190"/>
        <v>250</v>
      </c>
      <c r="CJ160" s="17">
        <f t="shared" si="191"/>
        <v>250</v>
      </c>
    </row>
    <row r="161" spans="2:88">
      <c r="B161" s="3">
        <v>158</v>
      </c>
      <c r="C161" s="3" t="s">
        <v>30</v>
      </c>
      <c r="D161" s="4">
        <v>2.1145332171173599</v>
      </c>
      <c r="E161" s="4">
        <v>-0.86851322822920696</v>
      </c>
      <c r="F161" s="4">
        <v>22.711761218794098</v>
      </c>
      <c r="G161" s="4">
        <v>0.33987350551870998</v>
      </c>
      <c r="H161" s="4">
        <v>5.1724446035280396</v>
      </c>
      <c r="I161" s="4" t="s">
        <v>20</v>
      </c>
      <c r="J161" s="4">
        <v>1.72278672544641</v>
      </c>
      <c r="K161" s="4">
        <v>-0.74900254322349402</v>
      </c>
      <c r="L161" s="4">
        <v>19.686503970670699</v>
      </c>
      <c r="M161" s="4">
        <v>0.30464118184782302</v>
      </c>
      <c r="N161" s="4">
        <v>4.2712766701724796</v>
      </c>
      <c r="O161" s="4">
        <v>1.7</v>
      </c>
      <c r="P161" s="4">
        <v>1.7</v>
      </c>
      <c r="Q161" s="4">
        <v>0.22</v>
      </c>
      <c r="R161" s="4">
        <v>0.22</v>
      </c>
      <c r="S161" s="4">
        <v>0</v>
      </c>
      <c r="T161" s="4">
        <v>0</v>
      </c>
      <c r="U161" s="4">
        <v>0.3</v>
      </c>
      <c r="V161" s="4">
        <v>0.05</v>
      </c>
      <c r="W161" s="4">
        <v>1</v>
      </c>
      <c r="X161" s="4">
        <v>19.100000000000001</v>
      </c>
      <c r="Y161" s="4">
        <v>0</v>
      </c>
      <c r="Z161" s="4">
        <v>1.5</v>
      </c>
      <c r="AA161" s="4">
        <v>139</v>
      </c>
      <c r="AB161" s="4">
        <v>12.1</v>
      </c>
      <c r="AC161" s="4">
        <v>19.5</v>
      </c>
      <c r="AD161" s="3" t="s">
        <v>42</v>
      </c>
      <c r="AE161" s="3" t="s">
        <v>61</v>
      </c>
      <c r="AF161" s="17">
        <f>HLOOKUP(AD161,Data!$B$4:$M$9,2,0)</f>
        <v>13</v>
      </c>
      <c r="AG161" s="17">
        <f>HLOOKUP(AD161,Data!$B$4:$M$9,3,0)</f>
        <v>1</v>
      </c>
      <c r="AH161" s="17">
        <f>HLOOKUP(AE161,Data!$B$13:$I$18,3,0)</f>
        <v>260</v>
      </c>
      <c r="AI161" s="18">
        <f t="shared" si="141"/>
        <v>2.89</v>
      </c>
      <c r="AJ161" s="17">
        <f t="shared" si="142"/>
        <v>0.81883333333333397</v>
      </c>
      <c r="AK161" s="17">
        <f t="shared" si="143"/>
        <v>0.81883333333333397</v>
      </c>
      <c r="AL161" s="17">
        <f t="shared" si="144"/>
        <v>0.25</v>
      </c>
      <c r="AM161" s="17">
        <f t="shared" si="145"/>
        <v>0.74</v>
      </c>
      <c r="AN161" s="17">
        <f t="shared" si="146"/>
        <v>0.74</v>
      </c>
      <c r="AO161" s="17">
        <f t="shared" si="147"/>
        <v>0.74</v>
      </c>
      <c r="AP161" s="17">
        <f t="shared" si="148"/>
        <v>0.74</v>
      </c>
      <c r="AQ161" s="17">
        <f t="shared" si="149"/>
        <v>1.88</v>
      </c>
      <c r="AR161" s="17">
        <f t="shared" si="150"/>
        <v>2.3715999999999999</v>
      </c>
      <c r="AS161" s="17">
        <f t="shared" si="151"/>
        <v>22.711761218794098</v>
      </c>
      <c r="AT161" s="17">
        <f t="shared" si="152"/>
        <v>0.60042747398747198</v>
      </c>
      <c r="AU161" s="17">
        <f t="shared" si="153"/>
        <v>5.8068045686632503</v>
      </c>
      <c r="AV161" s="17">
        <f t="shared" si="154"/>
        <v>19.686503970670699</v>
      </c>
      <c r="AW161" s="17">
        <f t="shared" si="155"/>
        <v>0.52934194481487196</v>
      </c>
      <c r="AX161" s="17">
        <f t="shared" si="156"/>
        <v>4.7881126878064002</v>
      </c>
      <c r="AY161" s="17">
        <f t="shared" si="157"/>
        <v>36.283571408071303</v>
      </c>
      <c r="AZ161" s="17">
        <f t="shared" si="158"/>
        <v>20.633910404242901</v>
      </c>
      <c r="BA161" s="17">
        <f t="shared" si="159"/>
        <v>28.4587409061571</v>
      </c>
      <c r="BB161" s="17">
        <f t="shared" si="160"/>
        <v>33.905879207382</v>
      </c>
      <c r="BC161" s="17">
        <f t="shared" si="161"/>
        <v>20.917998973012999</v>
      </c>
      <c r="BD161" s="17">
        <f t="shared" si="162"/>
        <v>27.4119390901975</v>
      </c>
      <c r="BE161" s="17" t="str">
        <f>IF(AND(BD161&lt;=AA161,BB161&lt;=AA161*MongDon!$J$44,BC161&gt;0),"Ok","FAIL")</f>
        <v>Ok</v>
      </c>
      <c r="BF161" s="17">
        <f t="shared" si="163"/>
        <v>86.050117951381907</v>
      </c>
      <c r="BG161" s="17">
        <f t="shared" si="164"/>
        <v>352.5</v>
      </c>
      <c r="BH161" s="17" t="str">
        <f t="shared" si="165"/>
        <v>Ok</v>
      </c>
      <c r="BI161" s="17">
        <f t="shared" si="166"/>
        <v>23.095315682260299</v>
      </c>
      <c r="BJ161" s="17">
        <f t="shared" si="167"/>
        <v>29.613399490354801</v>
      </c>
      <c r="BK161" s="17">
        <f t="shared" si="168"/>
        <v>24.316946667397499</v>
      </c>
      <c r="BL161" s="17">
        <f t="shared" si="169"/>
        <v>17.798862859303</v>
      </c>
      <c r="BM161" s="17">
        <f t="shared" si="170"/>
        <v>88.125</v>
      </c>
      <c r="BN161" s="17">
        <f t="shared" si="171"/>
        <v>88.125</v>
      </c>
      <c r="BO161" s="17">
        <f t="shared" si="172"/>
        <v>88.125</v>
      </c>
      <c r="BP161" s="17">
        <f t="shared" si="173"/>
        <v>88.125</v>
      </c>
      <c r="BQ161" s="17" t="str">
        <f t="shared" si="174"/>
        <v>Ok</v>
      </c>
      <c r="BR161" s="17">
        <f t="shared" si="175"/>
        <v>61.2239797173049</v>
      </c>
      <c r="BS161" s="17">
        <f t="shared" si="176"/>
        <v>28.953898298542001</v>
      </c>
      <c r="BT161" s="16">
        <f>MongDon!$H$80</f>
        <v>1.2</v>
      </c>
      <c r="BU161" s="17" t="str">
        <f t="shared" si="177"/>
        <v>Ok</v>
      </c>
      <c r="BV161" s="17">
        <f t="shared" si="178"/>
        <v>11.4045765193059</v>
      </c>
      <c r="BW161" s="16">
        <f>MongDon!$F$86</f>
        <v>1.5</v>
      </c>
      <c r="BX161" s="17" t="str">
        <f t="shared" si="179"/>
        <v>Ok</v>
      </c>
      <c r="BY161" s="17">
        <f t="shared" si="180"/>
        <v>20.633910404242901</v>
      </c>
      <c r="BZ161" s="17">
        <f t="shared" si="181"/>
        <v>34.817027608386802</v>
      </c>
      <c r="CA161" s="17">
        <f t="shared" si="182"/>
        <v>36.283571408071303</v>
      </c>
      <c r="CB161" s="17">
        <f t="shared" si="183"/>
        <v>22.100454203927399</v>
      </c>
      <c r="CC161" s="17">
        <f t="shared" si="184"/>
        <v>29.471366029934199</v>
      </c>
      <c r="CD161" s="17">
        <f t="shared" si="185"/>
        <v>27.6359038035156</v>
      </c>
      <c r="CE161" s="17">
        <f t="shared" si="186"/>
        <v>29.281578008798601</v>
      </c>
      <c r="CF161" s="17">
        <f t="shared" si="187"/>
        <v>29.471366029934199</v>
      </c>
      <c r="CG161" s="17">
        <f t="shared" si="188"/>
        <v>9.3127145740186208</v>
      </c>
      <c r="CH161" s="17">
        <f t="shared" si="189"/>
        <v>9.3127145740186208</v>
      </c>
      <c r="CI161" s="17">
        <f t="shared" si="190"/>
        <v>250</v>
      </c>
      <c r="CJ161" s="17">
        <f t="shared" si="191"/>
        <v>250</v>
      </c>
    </row>
    <row r="162" spans="2:88">
      <c r="B162" s="3">
        <v>158</v>
      </c>
      <c r="C162" s="3" t="s">
        <v>31</v>
      </c>
      <c r="D162" s="4">
        <v>-6.3254101717406597</v>
      </c>
      <c r="E162" s="4">
        <v>-10.9955363287102</v>
      </c>
      <c r="F162" s="4">
        <v>40.527236403643897</v>
      </c>
      <c r="G162" s="4">
        <v>17.1295073461025</v>
      </c>
      <c r="H162" s="4">
        <v>-8.8833577561229902</v>
      </c>
      <c r="I162" s="4" t="s">
        <v>21</v>
      </c>
      <c r="J162" s="4">
        <v>-5.3104994319352796</v>
      </c>
      <c r="K162" s="4">
        <v>-9.1881884602909896</v>
      </c>
      <c r="L162" s="4">
        <v>34.532733291378896</v>
      </c>
      <c r="M162" s="4">
        <v>14.2960027156676</v>
      </c>
      <c r="N162" s="4">
        <v>-7.4418919628700504</v>
      </c>
      <c r="O162" s="4">
        <v>1.7</v>
      </c>
      <c r="P162" s="4">
        <v>1.7</v>
      </c>
      <c r="Q162" s="4">
        <v>0.22</v>
      </c>
      <c r="R162" s="4">
        <v>0.22</v>
      </c>
      <c r="S162" s="4">
        <v>0</v>
      </c>
      <c r="T162" s="4">
        <v>0</v>
      </c>
      <c r="U162" s="4">
        <v>0.3</v>
      </c>
      <c r="V162" s="4">
        <v>0.05</v>
      </c>
      <c r="W162" s="4">
        <v>1</v>
      </c>
      <c r="X162" s="4">
        <v>19.100000000000001</v>
      </c>
      <c r="Y162" s="4">
        <v>0</v>
      </c>
      <c r="Z162" s="4">
        <v>1.5</v>
      </c>
      <c r="AA162" s="4">
        <v>139</v>
      </c>
      <c r="AB162" s="4">
        <v>12.1</v>
      </c>
      <c r="AC162" s="4">
        <v>19.5</v>
      </c>
      <c r="AD162" s="3" t="s">
        <v>42</v>
      </c>
      <c r="AE162" s="3" t="s">
        <v>61</v>
      </c>
      <c r="AF162" s="17">
        <f>HLOOKUP(AD162,Data!$B$4:$M$9,2,0)</f>
        <v>13</v>
      </c>
      <c r="AG162" s="17">
        <f>HLOOKUP(AD162,Data!$B$4:$M$9,3,0)</f>
        <v>1</v>
      </c>
      <c r="AH162" s="17">
        <f>HLOOKUP(AE162,Data!$B$13:$I$18,3,0)</f>
        <v>260</v>
      </c>
      <c r="AI162" s="18">
        <f t="shared" si="141"/>
        <v>2.89</v>
      </c>
      <c r="AJ162" s="17">
        <f t="shared" si="142"/>
        <v>0.81883333333333397</v>
      </c>
      <c r="AK162" s="17">
        <f t="shared" si="143"/>
        <v>0.81883333333333397</v>
      </c>
      <c r="AL162" s="17">
        <f t="shared" si="144"/>
        <v>0.25</v>
      </c>
      <c r="AM162" s="17">
        <f t="shared" si="145"/>
        <v>0.74</v>
      </c>
      <c r="AN162" s="17">
        <f t="shared" si="146"/>
        <v>0.74</v>
      </c>
      <c r="AO162" s="17">
        <f t="shared" si="147"/>
        <v>0.74</v>
      </c>
      <c r="AP162" s="17">
        <f t="shared" si="148"/>
        <v>0.74</v>
      </c>
      <c r="AQ162" s="17">
        <f t="shared" si="149"/>
        <v>1.88</v>
      </c>
      <c r="AR162" s="17">
        <f t="shared" si="150"/>
        <v>2.3715999999999999</v>
      </c>
      <c r="AS162" s="17">
        <f t="shared" si="151"/>
        <v>40.527236403643897</v>
      </c>
      <c r="AT162" s="17">
        <f t="shared" si="152"/>
        <v>20.428168244715501</v>
      </c>
      <c r="AU162" s="17">
        <f t="shared" si="153"/>
        <v>-10.7809808076452</v>
      </c>
      <c r="AV162" s="17">
        <f t="shared" si="154"/>
        <v>34.532733291378896</v>
      </c>
      <c r="AW162" s="17">
        <f t="shared" si="155"/>
        <v>17.0524592537549</v>
      </c>
      <c r="AX162" s="17">
        <f t="shared" si="156"/>
        <v>-9.0350417924506292</v>
      </c>
      <c r="AY162" s="17">
        <f t="shared" si="157"/>
        <v>72.737430531316704</v>
      </c>
      <c r="AZ162" s="17">
        <f t="shared" si="158"/>
        <v>-3.49090014817213</v>
      </c>
      <c r="BA162" s="17">
        <f t="shared" si="159"/>
        <v>34.623265191572301</v>
      </c>
      <c r="BB162" s="17">
        <f t="shared" si="160"/>
        <v>64.408396676689904</v>
      </c>
      <c r="BC162" s="17">
        <f t="shared" si="161"/>
        <v>0.68968864606367897</v>
      </c>
      <c r="BD162" s="17">
        <f t="shared" si="162"/>
        <v>32.549042661376802</v>
      </c>
      <c r="BE162" s="17" t="str">
        <f>IF(AND(BD162&lt;=AA162,BB162&lt;=AA162*MongDon!$J$44,BC162&gt;0),"Ok","FAIL")</f>
        <v>Ok</v>
      </c>
      <c r="BF162" s="17">
        <f t="shared" si="163"/>
        <v>172.50409024807101</v>
      </c>
      <c r="BG162" s="17">
        <f t="shared" si="164"/>
        <v>352.5</v>
      </c>
      <c r="BH162" s="17" t="str">
        <f t="shared" si="165"/>
        <v>Ok</v>
      </c>
      <c r="BI162" s="17">
        <f t="shared" si="166"/>
        <v>8.0595831435196192</v>
      </c>
      <c r="BJ162" s="17">
        <f t="shared" si="167"/>
        <v>17.873676937632698</v>
      </c>
      <c r="BK162" s="17">
        <f t="shared" si="168"/>
        <v>49.622776665639797</v>
      </c>
      <c r="BL162" s="17">
        <f t="shared" si="169"/>
        <v>39.808682871526699</v>
      </c>
      <c r="BM162" s="17">
        <f t="shared" si="170"/>
        <v>88.125</v>
      </c>
      <c r="BN162" s="17">
        <f t="shared" si="171"/>
        <v>88.125</v>
      </c>
      <c r="BO162" s="17">
        <f t="shared" si="172"/>
        <v>88.125</v>
      </c>
      <c r="BP162" s="17">
        <f t="shared" si="173"/>
        <v>88.125</v>
      </c>
      <c r="BQ162" s="17" t="str">
        <f t="shared" si="174"/>
        <v>Ok</v>
      </c>
      <c r="BR162" s="17">
        <f t="shared" si="175"/>
        <v>65.043286661118699</v>
      </c>
      <c r="BS162" s="17">
        <f t="shared" si="176"/>
        <v>5.9154264709476401</v>
      </c>
      <c r="BT162" s="16">
        <f>MongDon!$H$80</f>
        <v>1.2</v>
      </c>
      <c r="BU162" s="17" t="str">
        <f t="shared" si="177"/>
        <v>Ok</v>
      </c>
      <c r="BV162" s="17">
        <f t="shared" si="178"/>
        <v>3.9830933428965598</v>
      </c>
      <c r="BW162" s="16">
        <f>MongDon!$F$86</f>
        <v>1.5</v>
      </c>
      <c r="BX162" s="17" t="str">
        <f t="shared" si="179"/>
        <v>Ok</v>
      </c>
      <c r="BY162" s="17">
        <f t="shared" si="180"/>
        <v>22.8416399885554</v>
      </c>
      <c r="BZ162" s="17">
        <f t="shared" si="181"/>
        <v>-3.4909001481721198</v>
      </c>
      <c r="CA162" s="17">
        <f t="shared" si="182"/>
        <v>46.404890394589202</v>
      </c>
      <c r="CB162" s="17">
        <f t="shared" si="183"/>
        <v>72.737430531316605</v>
      </c>
      <c r="CC162" s="17">
        <f t="shared" si="184"/>
        <v>36.147946100197998</v>
      </c>
      <c r="CD162" s="17">
        <f t="shared" si="185"/>
        <v>39.555686588480398</v>
      </c>
      <c r="CE162" s="17">
        <f t="shared" si="186"/>
        <v>33.098584282946597</v>
      </c>
      <c r="CF162" s="17">
        <f t="shared" si="187"/>
        <v>39.555686588480398</v>
      </c>
      <c r="CG162" s="17">
        <f t="shared" si="188"/>
        <v>16.887121315624999</v>
      </c>
      <c r="CH162" s="17">
        <f t="shared" si="189"/>
        <v>16.887121315624999</v>
      </c>
      <c r="CI162" s="17">
        <f t="shared" si="190"/>
        <v>288.66874043803398</v>
      </c>
      <c r="CJ162" s="17">
        <f t="shared" si="191"/>
        <v>288.66874043803398</v>
      </c>
    </row>
    <row r="163" spans="2:88">
      <c r="B163" s="3">
        <v>158</v>
      </c>
      <c r="C163" s="3" t="s">
        <v>32</v>
      </c>
      <c r="D163" s="4">
        <v>1.82916589166557</v>
      </c>
      <c r="E163" s="4">
        <v>7.6458686425586802</v>
      </c>
      <c r="F163" s="4">
        <v>12.6033655942454</v>
      </c>
      <c r="G163" s="4">
        <v>-13.815561124403001</v>
      </c>
      <c r="H163" s="4">
        <v>4.4039024651453103</v>
      </c>
      <c r="I163" s="4" t="s">
        <v>22</v>
      </c>
      <c r="J163" s="4">
        <v>1.4849806209032499</v>
      </c>
      <c r="K163" s="4">
        <v>6.3463156824330804</v>
      </c>
      <c r="L163" s="4">
        <v>11.262840950213601</v>
      </c>
      <c r="M163" s="4">
        <v>-11.4915543430869</v>
      </c>
      <c r="N163" s="4">
        <v>3.6308248881868699</v>
      </c>
      <c r="O163" s="4">
        <v>1.7</v>
      </c>
      <c r="P163" s="4">
        <v>1.7</v>
      </c>
      <c r="Q163" s="4">
        <v>0.22</v>
      </c>
      <c r="R163" s="4">
        <v>0.22</v>
      </c>
      <c r="S163" s="4">
        <v>0</v>
      </c>
      <c r="T163" s="4">
        <v>0</v>
      </c>
      <c r="U163" s="4">
        <v>0.3</v>
      </c>
      <c r="V163" s="4">
        <v>0.05</v>
      </c>
      <c r="W163" s="4">
        <v>1</v>
      </c>
      <c r="X163" s="4">
        <v>19.100000000000001</v>
      </c>
      <c r="Y163" s="4">
        <v>0</v>
      </c>
      <c r="Z163" s="4">
        <v>1.5</v>
      </c>
      <c r="AA163" s="4">
        <v>139</v>
      </c>
      <c r="AB163" s="4">
        <v>12.1</v>
      </c>
      <c r="AC163" s="4">
        <v>19.5</v>
      </c>
      <c r="AD163" s="3" t="s">
        <v>42</v>
      </c>
      <c r="AE163" s="3" t="s">
        <v>61</v>
      </c>
      <c r="AF163" s="17">
        <f>HLOOKUP(AD163,Data!$B$4:$M$9,2,0)</f>
        <v>13</v>
      </c>
      <c r="AG163" s="17">
        <f>HLOOKUP(AD163,Data!$B$4:$M$9,3,0)</f>
        <v>1</v>
      </c>
      <c r="AH163" s="17">
        <f>HLOOKUP(AE163,Data!$B$13:$I$18,3,0)</f>
        <v>260</v>
      </c>
      <c r="AI163" s="18">
        <f t="shared" si="141"/>
        <v>2.89</v>
      </c>
      <c r="AJ163" s="17">
        <f t="shared" si="142"/>
        <v>0.81883333333333397</v>
      </c>
      <c r="AK163" s="17">
        <f t="shared" si="143"/>
        <v>0.81883333333333397</v>
      </c>
      <c r="AL163" s="17">
        <f t="shared" si="144"/>
        <v>0.25</v>
      </c>
      <c r="AM163" s="17">
        <f t="shared" si="145"/>
        <v>0.74</v>
      </c>
      <c r="AN163" s="17">
        <f t="shared" si="146"/>
        <v>0.74</v>
      </c>
      <c r="AO163" s="17">
        <f t="shared" si="147"/>
        <v>0.74</v>
      </c>
      <c r="AP163" s="17">
        <f t="shared" si="148"/>
        <v>0.74</v>
      </c>
      <c r="AQ163" s="17">
        <f t="shared" si="149"/>
        <v>1.88</v>
      </c>
      <c r="AR163" s="17">
        <f t="shared" si="150"/>
        <v>2.3715999999999999</v>
      </c>
      <c r="AS163" s="17">
        <f t="shared" si="151"/>
        <v>12.6033655942454</v>
      </c>
      <c r="AT163" s="17">
        <f t="shared" si="152"/>
        <v>-16.109321717170602</v>
      </c>
      <c r="AU163" s="17">
        <f t="shared" si="153"/>
        <v>4.9526522326449802</v>
      </c>
      <c r="AV163" s="17">
        <f t="shared" si="154"/>
        <v>11.262840950213601</v>
      </c>
      <c r="AW163" s="17">
        <f t="shared" si="155"/>
        <v>-13.3954490478168</v>
      </c>
      <c r="AX163" s="17">
        <f t="shared" si="156"/>
        <v>4.0763190744578397</v>
      </c>
      <c r="AY163" s="17">
        <f t="shared" si="157"/>
        <v>50.682956484655101</v>
      </c>
      <c r="AZ163" s="17">
        <f t="shared" si="158"/>
        <v>-0.76090417029839896</v>
      </c>
      <c r="BA163" s="17">
        <f t="shared" si="159"/>
        <v>24.961026157178399</v>
      </c>
      <c r="BB163" s="17">
        <f t="shared" si="160"/>
        <v>45.834569173419702</v>
      </c>
      <c r="BC163" s="17">
        <f t="shared" si="161"/>
        <v>3.15978442534399</v>
      </c>
      <c r="BD163" s="17">
        <f t="shared" si="162"/>
        <v>24.497176799381901</v>
      </c>
      <c r="BE163" s="17" t="str">
        <f>IF(AND(BD163&lt;=AA163,BB163&lt;=AA163*MongDon!$J$44,BC163&gt;0),"Ok","FAIL")</f>
        <v>Ok</v>
      </c>
      <c r="BF163" s="17">
        <f t="shared" si="163"/>
        <v>120.199699599008</v>
      </c>
      <c r="BG163" s="17">
        <f t="shared" si="164"/>
        <v>352.5</v>
      </c>
      <c r="BH163" s="17" t="str">
        <f t="shared" si="165"/>
        <v>Ok</v>
      </c>
      <c r="BI163" s="17">
        <f t="shared" si="166"/>
        <v>37.1805644942865</v>
      </c>
      <c r="BJ163" s="17">
        <f t="shared" si="167"/>
        <v>25.8308730463608</v>
      </c>
      <c r="BK163" s="17">
        <f t="shared" si="168"/>
        <v>4.4045050835726602</v>
      </c>
      <c r="BL163" s="17">
        <f t="shared" si="169"/>
        <v>15.754196531498399</v>
      </c>
      <c r="BM163" s="17">
        <f t="shared" si="170"/>
        <v>88.125</v>
      </c>
      <c r="BN163" s="17">
        <f t="shared" si="171"/>
        <v>88.125</v>
      </c>
      <c r="BO163" s="17">
        <f t="shared" si="172"/>
        <v>88.125</v>
      </c>
      <c r="BP163" s="17">
        <f t="shared" si="173"/>
        <v>88.125</v>
      </c>
      <c r="BQ163" s="17" t="str">
        <f t="shared" si="174"/>
        <v>Ok</v>
      </c>
      <c r="BR163" s="17">
        <f t="shared" si="175"/>
        <v>59.056927466434402</v>
      </c>
      <c r="BS163" s="17">
        <f t="shared" si="176"/>
        <v>7.7240311372484003</v>
      </c>
      <c r="BT163" s="16">
        <f>MongDon!$H$80</f>
        <v>1.2</v>
      </c>
      <c r="BU163" s="17" t="str">
        <f t="shared" si="177"/>
        <v>Ok</v>
      </c>
      <c r="BV163" s="17">
        <f t="shared" si="178"/>
        <v>3.5775566325477199</v>
      </c>
      <c r="BW163" s="16">
        <f>MongDon!$F$86</f>
        <v>1.5</v>
      </c>
      <c r="BX163" s="17" t="str">
        <f t="shared" si="179"/>
        <v>Ok</v>
      </c>
      <c r="BY163" s="17">
        <f t="shared" si="180"/>
        <v>38.5861059265969</v>
      </c>
      <c r="BZ163" s="17">
        <f t="shared" si="181"/>
        <v>50.682956484655101</v>
      </c>
      <c r="CA163" s="17">
        <f t="shared" si="182"/>
        <v>11.335946387759799</v>
      </c>
      <c r="CB163" s="17">
        <f t="shared" si="183"/>
        <v>-0.76090417029839597</v>
      </c>
      <c r="CC163" s="17">
        <f t="shared" si="184"/>
        <v>28.289746552498901</v>
      </c>
      <c r="CD163" s="17">
        <f t="shared" si="185"/>
        <v>26.724271774397199</v>
      </c>
      <c r="CE163" s="17">
        <f t="shared" si="186"/>
        <v>28.289746552498901</v>
      </c>
      <c r="CF163" s="17">
        <f t="shared" si="187"/>
        <v>23.197780539959499</v>
      </c>
      <c r="CG163" s="17">
        <f t="shared" si="188"/>
        <v>11.8332398590238</v>
      </c>
      <c r="CH163" s="17">
        <f t="shared" si="189"/>
        <v>11.8332398590238</v>
      </c>
      <c r="CI163" s="17">
        <f t="shared" si="190"/>
        <v>250</v>
      </c>
      <c r="CJ163" s="17">
        <f t="shared" si="191"/>
        <v>250</v>
      </c>
    </row>
    <row r="164" spans="2:88">
      <c r="B164" s="3">
        <v>178</v>
      </c>
      <c r="C164" s="3" t="s">
        <v>23</v>
      </c>
      <c r="D164" s="4">
        <v>2.3625704440341</v>
      </c>
      <c r="E164" s="4">
        <v>-1.819200829953</v>
      </c>
      <c r="F164" s="4">
        <v>26.666840753175101</v>
      </c>
      <c r="G164" s="4">
        <v>1.8603359703103599</v>
      </c>
      <c r="H164" s="4">
        <v>2.4126899378989699</v>
      </c>
      <c r="I164" s="4" t="s">
        <v>13</v>
      </c>
      <c r="J164" s="4">
        <v>2.0100015464949501</v>
      </c>
      <c r="K164" s="4">
        <v>-1.54305931326878</v>
      </c>
      <c r="L164" s="4">
        <v>22.984349974024202</v>
      </c>
      <c r="M164" s="4">
        <v>1.5736423554104799</v>
      </c>
      <c r="N164" s="4">
        <v>2.0527268965922398</v>
      </c>
      <c r="O164" s="4">
        <v>1.9</v>
      </c>
      <c r="P164" s="4">
        <v>1.9</v>
      </c>
      <c r="Q164" s="4">
        <v>0.22</v>
      </c>
      <c r="R164" s="4">
        <v>0.22</v>
      </c>
      <c r="S164" s="4">
        <v>0</v>
      </c>
      <c r="T164" s="4">
        <v>0</v>
      </c>
      <c r="U164" s="4">
        <v>0.3</v>
      </c>
      <c r="V164" s="4">
        <v>0.05</v>
      </c>
      <c r="W164" s="4">
        <v>1</v>
      </c>
      <c r="X164" s="4">
        <v>19.100000000000001</v>
      </c>
      <c r="Y164" s="4">
        <v>0</v>
      </c>
      <c r="Z164" s="4">
        <v>1.5</v>
      </c>
      <c r="AA164" s="4">
        <v>139</v>
      </c>
      <c r="AB164" s="4">
        <v>12.1</v>
      </c>
      <c r="AC164" s="4">
        <v>19.5</v>
      </c>
      <c r="AD164" s="3" t="s">
        <v>42</v>
      </c>
      <c r="AE164" s="3" t="s">
        <v>61</v>
      </c>
      <c r="AF164" s="17">
        <f>HLOOKUP(AD164,Data!$B$4:$M$9,2,0)</f>
        <v>13</v>
      </c>
      <c r="AG164" s="17">
        <f>HLOOKUP(AD164,Data!$B$4:$M$9,3,0)</f>
        <v>1</v>
      </c>
      <c r="AH164" s="17">
        <f>HLOOKUP(AE164,Data!$B$13:$I$18,3,0)</f>
        <v>260</v>
      </c>
      <c r="AI164" s="18">
        <f t="shared" si="141"/>
        <v>3.61</v>
      </c>
      <c r="AJ164" s="17">
        <f t="shared" si="142"/>
        <v>1.14316666666667</v>
      </c>
      <c r="AK164" s="17">
        <f t="shared" si="143"/>
        <v>1.14316666666667</v>
      </c>
      <c r="AL164" s="17">
        <f t="shared" si="144"/>
        <v>0.25</v>
      </c>
      <c r="AM164" s="17">
        <f t="shared" si="145"/>
        <v>0.84</v>
      </c>
      <c r="AN164" s="17">
        <f t="shared" si="146"/>
        <v>0.84</v>
      </c>
      <c r="AO164" s="17">
        <f t="shared" si="147"/>
        <v>0.84</v>
      </c>
      <c r="AP164" s="17">
        <f t="shared" si="148"/>
        <v>0.84</v>
      </c>
      <c r="AQ164" s="17">
        <f t="shared" si="149"/>
        <v>1.88</v>
      </c>
      <c r="AR164" s="17">
        <f t="shared" si="150"/>
        <v>3.0916000000000001</v>
      </c>
      <c r="AS164" s="17">
        <f t="shared" si="151"/>
        <v>26.666840753175101</v>
      </c>
      <c r="AT164" s="17">
        <f t="shared" si="152"/>
        <v>2.4060962192962601</v>
      </c>
      <c r="AU164" s="17">
        <f t="shared" si="153"/>
        <v>3.1214610711091999</v>
      </c>
      <c r="AV164" s="17">
        <f t="shared" si="154"/>
        <v>22.984349974024202</v>
      </c>
      <c r="AW164" s="17">
        <f t="shared" si="155"/>
        <v>2.0365601493911099</v>
      </c>
      <c r="AX164" s="17">
        <f t="shared" si="156"/>
        <v>2.6557273605407201</v>
      </c>
      <c r="AY164" s="17">
        <f t="shared" si="157"/>
        <v>32.822239564581601</v>
      </c>
      <c r="AZ164" s="17">
        <f t="shared" si="158"/>
        <v>23.1516334288672</v>
      </c>
      <c r="BA164" s="17">
        <f t="shared" si="159"/>
        <v>27.9869364967244</v>
      </c>
      <c r="BB164" s="17">
        <f t="shared" si="160"/>
        <v>31.071495846367799</v>
      </c>
      <c r="BC164" s="17">
        <f t="shared" si="161"/>
        <v>22.862216050598501</v>
      </c>
      <c r="BD164" s="17">
        <f t="shared" si="162"/>
        <v>26.9668559484832</v>
      </c>
      <c r="BE164" s="17" t="str">
        <f>IF(AND(BD164&lt;=AA164,BB164&lt;=AA164*MongDon!$J$44,BC164&gt;0),"Ok","FAIL")</f>
        <v>Ok</v>
      </c>
      <c r="BF164" s="17">
        <f t="shared" si="163"/>
        <v>101.473235837861</v>
      </c>
      <c r="BG164" s="17">
        <f t="shared" si="164"/>
        <v>352.5</v>
      </c>
      <c r="BH164" s="17" t="str">
        <f t="shared" si="165"/>
        <v>Ok</v>
      </c>
      <c r="BI164" s="17">
        <f t="shared" si="166"/>
        <v>29.0139151988921</v>
      </c>
      <c r="BJ164" s="17">
        <f t="shared" si="167"/>
        <v>34.434289937960102</v>
      </c>
      <c r="BK164" s="17">
        <f t="shared" si="168"/>
        <v>33.732796426763997</v>
      </c>
      <c r="BL164" s="17">
        <f t="shared" si="169"/>
        <v>28.312421687696101</v>
      </c>
      <c r="BM164" s="17">
        <f t="shared" si="170"/>
        <v>88.125</v>
      </c>
      <c r="BN164" s="17">
        <f t="shared" si="171"/>
        <v>88.125</v>
      </c>
      <c r="BO164" s="17">
        <f t="shared" si="172"/>
        <v>88.125</v>
      </c>
      <c r="BP164" s="17">
        <f t="shared" si="173"/>
        <v>88.125</v>
      </c>
      <c r="BQ164" s="17" t="str">
        <f t="shared" si="174"/>
        <v>Ok</v>
      </c>
      <c r="BR164" s="17">
        <f t="shared" si="175"/>
        <v>76.111875300906505</v>
      </c>
      <c r="BS164" s="17">
        <f t="shared" si="176"/>
        <v>32.215706199619198</v>
      </c>
      <c r="BT164" s="16">
        <f>MongDon!$H$80</f>
        <v>1.2</v>
      </c>
      <c r="BU164" s="17" t="str">
        <f t="shared" si="177"/>
        <v>Ok</v>
      </c>
      <c r="BV164" s="17">
        <f t="shared" si="178"/>
        <v>29.100778976954501</v>
      </c>
      <c r="BW164" s="16">
        <f>MongDon!$F$86</f>
        <v>1.5</v>
      </c>
      <c r="BX164" s="17" t="str">
        <f t="shared" si="179"/>
        <v>Ok</v>
      </c>
      <c r="BY164" s="17">
        <f t="shared" si="180"/>
        <v>23.1516334288672</v>
      </c>
      <c r="BZ164" s="17">
        <f t="shared" si="181"/>
        <v>28.612711261395301</v>
      </c>
      <c r="CA164" s="17">
        <f t="shared" si="182"/>
        <v>32.822239564581601</v>
      </c>
      <c r="CB164" s="17">
        <f t="shared" si="183"/>
        <v>27.3611617320535</v>
      </c>
      <c r="CC164" s="17">
        <f t="shared" si="184"/>
        <v>28.546813694055199</v>
      </c>
      <c r="CD164" s="17">
        <f t="shared" si="185"/>
        <v>27.914478366078299</v>
      </c>
      <c r="CE164" s="17">
        <f t="shared" si="186"/>
        <v>28.059394627370501</v>
      </c>
      <c r="CF164" s="17">
        <f t="shared" si="187"/>
        <v>28.546813694055199</v>
      </c>
      <c r="CG164" s="17">
        <f t="shared" si="188"/>
        <v>11.076896036010501</v>
      </c>
      <c r="CH164" s="17">
        <f t="shared" si="189"/>
        <v>11.076896036010501</v>
      </c>
      <c r="CI164" s="17">
        <f t="shared" si="190"/>
        <v>250</v>
      </c>
      <c r="CJ164" s="17">
        <f t="shared" si="191"/>
        <v>250</v>
      </c>
    </row>
    <row r="165" spans="2:88">
      <c r="B165" s="3">
        <v>178</v>
      </c>
      <c r="C165" s="3" t="s">
        <v>24</v>
      </c>
      <c r="D165" s="4">
        <v>2.6657079298134101</v>
      </c>
      <c r="E165" s="4">
        <v>-2.0628720006676802</v>
      </c>
      <c r="F165" s="4">
        <v>29.4349523166719</v>
      </c>
      <c r="G165" s="4">
        <v>2.11899472902804</v>
      </c>
      <c r="H165" s="4">
        <v>2.7220706411939801</v>
      </c>
      <c r="I165" s="4" t="s">
        <v>14</v>
      </c>
      <c r="J165" s="4">
        <v>2.2626161179777098</v>
      </c>
      <c r="K165" s="4">
        <v>-1.7461186221976801</v>
      </c>
      <c r="L165" s="4">
        <v>25.291109610271601</v>
      </c>
      <c r="M165" s="4">
        <v>1.7891913210085399</v>
      </c>
      <c r="N165" s="4">
        <v>2.31054414933809</v>
      </c>
      <c r="O165" s="4">
        <v>1.9</v>
      </c>
      <c r="P165" s="4">
        <v>1.9</v>
      </c>
      <c r="Q165" s="4">
        <v>0.22</v>
      </c>
      <c r="R165" s="4">
        <v>0.22</v>
      </c>
      <c r="S165" s="4">
        <v>0</v>
      </c>
      <c r="T165" s="4">
        <v>0</v>
      </c>
      <c r="U165" s="4">
        <v>0.3</v>
      </c>
      <c r="V165" s="4">
        <v>0.05</v>
      </c>
      <c r="W165" s="4">
        <v>1</v>
      </c>
      <c r="X165" s="4">
        <v>19.100000000000001</v>
      </c>
      <c r="Y165" s="4">
        <v>0</v>
      </c>
      <c r="Z165" s="4">
        <v>1.5</v>
      </c>
      <c r="AA165" s="4">
        <v>139</v>
      </c>
      <c r="AB165" s="4">
        <v>12.1</v>
      </c>
      <c r="AC165" s="4">
        <v>19.5</v>
      </c>
      <c r="AD165" s="3" t="s">
        <v>42</v>
      </c>
      <c r="AE165" s="3" t="s">
        <v>61</v>
      </c>
      <c r="AF165" s="17">
        <f>HLOOKUP(AD165,Data!$B$4:$M$9,2,0)</f>
        <v>13</v>
      </c>
      <c r="AG165" s="17">
        <f>HLOOKUP(AD165,Data!$B$4:$M$9,3,0)</f>
        <v>1</v>
      </c>
      <c r="AH165" s="17">
        <f>HLOOKUP(AE165,Data!$B$13:$I$18,3,0)</f>
        <v>260</v>
      </c>
      <c r="AI165" s="18">
        <f t="shared" si="141"/>
        <v>3.61</v>
      </c>
      <c r="AJ165" s="17">
        <f t="shared" si="142"/>
        <v>1.14316666666667</v>
      </c>
      <c r="AK165" s="17">
        <f t="shared" si="143"/>
        <v>1.14316666666667</v>
      </c>
      <c r="AL165" s="17">
        <f t="shared" si="144"/>
        <v>0.25</v>
      </c>
      <c r="AM165" s="17">
        <f t="shared" si="145"/>
        <v>0.84</v>
      </c>
      <c r="AN165" s="17">
        <f t="shared" si="146"/>
        <v>0.84</v>
      </c>
      <c r="AO165" s="17">
        <f t="shared" si="147"/>
        <v>0.84</v>
      </c>
      <c r="AP165" s="17">
        <f t="shared" si="148"/>
        <v>0.84</v>
      </c>
      <c r="AQ165" s="17">
        <f t="shared" si="149"/>
        <v>1.88</v>
      </c>
      <c r="AR165" s="17">
        <f t="shared" si="150"/>
        <v>3.0916000000000001</v>
      </c>
      <c r="AS165" s="17">
        <f t="shared" si="151"/>
        <v>29.4349523166719</v>
      </c>
      <c r="AT165" s="17">
        <f t="shared" si="152"/>
        <v>2.73785632922834</v>
      </c>
      <c r="AU165" s="17">
        <f t="shared" si="153"/>
        <v>3.52178302013801</v>
      </c>
      <c r="AV165" s="17">
        <f t="shared" si="154"/>
        <v>25.291109610271601</v>
      </c>
      <c r="AW165" s="17">
        <f t="shared" si="155"/>
        <v>2.3130269076678398</v>
      </c>
      <c r="AX165" s="17">
        <f t="shared" si="156"/>
        <v>2.9893289847314</v>
      </c>
      <c r="AY165" s="17">
        <f t="shared" si="157"/>
        <v>34.229427831735599</v>
      </c>
      <c r="AZ165" s="17">
        <f t="shared" si="158"/>
        <v>23.278024975284801</v>
      </c>
      <c r="BA165" s="17">
        <f t="shared" si="159"/>
        <v>28.7537264035102</v>
      </c>
      <c r="BB165" s="17">
        <f t="shared" si="160"/>
        <v>32.244152735662801</v>
      </c>
      <c r="BC165" s="17">
        <f t="shared" si="161"/>
        <v>22.967542339279898</v>
      </c>
      <c r="BD165" s="17">
        <f t="shared" si="162"/>
        <v>27.605847537471298</v>
      </c>
      <c r="BE165" s="17" t="str">
        <f>IF(AND(BD165&lt;=AA165,BB165&lt;=AA165*MongDon!$J$44,BC165&gt;0),"Ok","FAIL")</f>
        <v>Ok</v>
      </c>
      <c r="BF165" s="17">
        <f t="shared" si="163"/>
        <v>105.823699084594</v>
      </c>
      <c r="BG165" s="17">
        <f t="shared" si="164"/>
        <v>352.5</v>
      </c>
      <c r="BH165" s="17" t="str">
        <f t="shared" si="165"/>
        <v>Ok</v>
      </c>
      <c r="BI165" s="17">
        <f t="shared" si="166"/>
        <v>29.548159595989201</v>
      </c>
      <c r="BJ165" s="17">
        <f t="shared" si="167"/>
        <v>35.686420897029898</v>
      </c>
      <c r="BK165" s="17">
        <f t="shared" si="168"/>
        <v>34.917695000680801</v>
      </c>
      <c r="BL165" s="17">
        <f t="shared" si="169"/>
        <v>28.779433699640101</v>
      </c>
      <c r="BM165" s="17">
        <f t="shared" si="170"/>
        <v>88.125</v>
      </c>
      <c r="BN165" s="17">
        <f t="shared" si="171"/>
        <v>88.125</v>
      </c>
      <c r="BO165" s="17">
        <f t="shared" si="172"/>
        <v>88.125</v>
      </c>
      <c r="BP165" s="17">
        <f t="shared" si="173"/>
        <v>88.125</v>
      </c>
      <c r="BQ165" s="17" t="str">
        <f t="shared" si="174"/>
        <v>Ok</v>
      </c>
      <c r="BR165" s="17">
        <f t="shared" si="175"/>
        <v>76.705307000371107</v>
      </c>
      <c r="BS165" s="17">
        <f t="shared" si="176"/>
        <v>28.7748354358312</v>
      </c>
      <c r="BT165" s="16">
        <f>MongDon!$H$80</f>
        <v>1.2</v>
      </c>
      <c r="BU165" s="17" t="str">
        <f t="shared" si="177"/>
        <v>Ok</v>
      </c>
      <c r="BV165" s="17">
        <f t="shared" si="178"/>
        <v>26.539583547988101</v>
      </c>
      <c r="BW165" s="16">
        <f>MongDon!$F$86</f>
        <v>1.5</v>
      </c>
      <c r="BX165" s="17" t="str">
        <f t="shared" si="179"/>
        <v>Ok</v>
      </c>
      <c r="BY165" s="17">
        <f t="shared" si="180"/>
        <v>23.278024975284801</v>
      </c>
      <c r="BZ165" s="17">
        <f t="shared" si="181"/>
        <v>29.4394765340625</v>
      </c>
      <c r="CA165" s="17">
        <f t="shared" si="182"/>
        <v>34.229427831735599</v>
      </c>
      <c r="CB165" s="17">
        <f t="shared" si="183"/>
        <v>28.0679762729579</v>
      </c>
      <c r="CC165" s="17">
        <f t="shared" si="184"/>
        <v>29.387754989936301</v>
      </c>
      <c r="CD165" s="17">
        <f t="shared" si="185"/>
        <v>28.674323756814701</v>
      </c>
      <c r="CE165" s="17">
        <f t="shared" si="186"/>
        <v>28.833129050205699</v>
      </c>
      <c r="CF165" s="17">
        <f t="shared" si="187"/>
        <v>29.387754989936301</v>
      </c>
      <c r="CG165" s="17">
        <f t="shared" si="188"/>
        <v>11.506761412840699</v>
      </c>
      <c r="CH165" s="17">
        <f t="shared" si="189"/>
        <v>11.506761412840699</v>
      </c>
      <c r="CI165" s="17">
        <f t="shared" si="190"/>
        <v>250</v>
      </c>
      <c r="CJ165" s="17">
        <f t="shared" si="191"/>
        <v>250</v>
      </c>
    </row>
    <row r="166" spans="2:88">
      <c r="B166" s="3">
        <v>178</v>
      </c>
      <c r="C166" s="3" t="s">
        <v>25</v>
      </c>
      <c r="D166" s="4">
        <v>-1.17463006065748</v>
      </c>
      <c r="E166" s="4">
        <v>-3.1948964508036002</v>
      </c>
      <c r="F166" s="4">
        <v>27.811286562396901</v>
      </c>
      <c r="G166" s="4">
        <v>4.0725815789754698</v>
      </c>
      <c r="H166" s="4">
        <v>-3.8624038098448699</v>
      </c>
      <c r="I166" s="4" t="s">
        <v>15</v>
      </c>
      <c r="J166" s="4">
        <v>-0.93766554074803199</v>
      </c>
      <c r="K166" s="4">
        <v>-2.6894723306442798</v>
      </c>
      <c r="L166" s="4">
        <v>23.938054815042399</v>
      </c>
      <c r="M166" s="4">
        <v>3.4171803626314001</v>
      </c>
      <c r="N166" s="4">
        <v>-3.1765178931942901</v>
      </c>
      <c r="O166" s="4">
        <v>1.9</v>
      </c>
      <c r="P166" s="4">
        <v>1.9</v>
      </c>
      <c r="Q166" s="4">
        <v>0.22</v>
      </c>
      <c r="R166" s="4">
        <v>0.22</v>
      </c>
      <c r="S166" s="4">
        <v>0</v>
      </c>
      <c r="T166" s="4">
        <v>0</v>
      </c>
      <c r="U166" s="4">
        <v>0.3</v>
      </c>
      <c r="V166" s="4">
        <v>0.05</v>
      </c>
      <c r="W166" s="4">
        <v>1</v>
      </c>
      <c r="X166" s="4">
        <v>19.100000000000001</v>
      </c>
      <c r="Y166" s="4">
        <v>0</v>
      </c>
      <c r="Z166" s="4">
        <v>1.5</v>
      </c>
      <c r="AA166" s="4">
        <v>139</v>
      </c>
      <c r="AB166" s="4">
        <v>12.1</v>
      </c>
      <c r="AC166" s="4">
        <v>19.5</v>
      </c>
      <c r="AD166" s="3" t="s">
        <v>42</v>
      </c>
      <c r="AE166" s="3" t="s">
        <v>61</v>
      </c>
      <c r="AF166" s="17">
        <f>HLOOKUP(AD166,Data!$B$4:$M$9,2,0)</f>
        <v>13</v>
      </c>
      <c r="AG166" s="17">
        <f>HLOOKUP(AD166,Data!$B$4:$M$9,3,0)</f>
        <v>1</v>
      </c>
      <c r="AH166" s="17">
        <f>HLOOKUP(AE166,Data!$B$13:$I$18,3,0)</f>
        <v>260</v>
      </c>
      <c r="AI166" s="18">
        <f t="shared" si="141"/>
        <v>3.61</v>
      </c>
      <c r="AJ166" s="17">
        <f t="shared" si="142"/>
        <v>1.14316666666667</v>
      </c>
      <c r="AK166" s="17">
        <f t="shared" si="143"/>
        <v>1.14316666666667</v>
      </c>
      <c r="AL166" s="17">
        <f t="shared" si="144"/>
        <v>0.25</v>
      </c>
      <c r="AM166" s="17">
        <f t="shared" si="145"/>
        <v>0.84</v>
      </c>
      <c r="AN166" s="17">
        <f t="shared" si="146"/>
        <v>0.84</v>
      </c>
      <c r="AO166" s="17">
        <f t="shared" si="147"/>
        <v>0.84</v>
      </c>
      <c r="AP166" s="17">
        <f t="shared" si="148"/>
        <v>0.84</v>
      </c>
      <c r="AQ166" s="17">
        <f t="shared" si="149"/>
        <v>1.88</v>
      </c>
      <c r="AR166" s="17">
        <f t="shared" si="150"/>
        <v>3.0916000000000001</v>
      </c>
      <c r="AS166" s="17">
        <f t="shared" si="151"/>
        <v>27.811286562396901</v>
      </c>
      <c r="AT166" s="17">
        <f t="shared" si="152"/>
        <v>5.0310505142165498</v>
      </c>
      <c r="AU166" s="17">
        <f t="shared" si="153"/>
        <v>-4.2147928280421096</v>
      </c>
      <c r="AV166" s="17">
        <f t="shared" si="154"/>
        <v>23.938054815042399</v>
      </c>
      <c r="AW166" s="17">
        <f t="shared" si="155"/>
        <v>4.22402206182469</v>
      </c>
      <c r="AX166" s="17">
        <f t="shared" si="156"/>
        <v>-3.4578175554186998</v>
      </c>
      <c r="AY166" s="17">
        <f t="shared" si="157"/>
        <v>36.391879941989501</v>
      </c>
      <c r="AZ166" s="17">
        <f t="shared" si="158"/>
        <v>20.2160350510282</v>
      </c>
      <c r="BA166" s="17">
        <f t="shared" si="159"/>
        <v>28.303957496508801</v>
      </c>
      <c r="BB166" s="17">
        <f t="shared" si="160"/>
        <v>33.950829837008399</v>
      </c>
      <c r="BC166" s="17">
        <f t="shared" si="161"/>
        <v>20.511250392931998</v>
      </c>
      <c r="BD166" s="17">
        <f t="shared" si="162"/>
        <v>27.231040114970199</v>
      </c>
      <c r="BE166" s="17" t="str">
        <f>IF(AND(BD166&lt;=AA166,BB166&lt;=AA166*MongDon!$J$44,BC166&gt;0),"Ok","FAIL")</f>
        <v>Ok</v>
      </c>
      <c r="BF166" s="17">
        <f t="shared" si="163"/>
        <v>112.50913602865501</v>
      </c>
      <c r="BG166" s="17">
        <f t="shared" si="164"/>
        <v>352.5</v>
      </c>
      <c r="BH166" s="17" t="str">
        <f t="shared" si="165"/>
        <v>Ok</v>
      </c>
      <c r="BI166" s="17">
        <f t="shared" si="166"/>
        <v>26.7952408354904</v>
      </c>
      <c r="BJ166" s="17">
        <f t="shared" si="167"/>
        <v>27.5956708102986</v>
      </c>
      <c r="BK166" s="17">
        <f t="shared" si="168"/>
        <v>36.662231871682401</v>
      </c>
      <c r="BL166" s="17">
        <f t="shared" si="169"/>
        <v>35.861801896874297</v>
      </c>
      <c r="BM166" s="17">
        <f t="shared" si="170"/>
        <v>88.125</v>
      </c>
      <c r="BN166" s="17">
        <f t="shared" si="171"/>
        <v>88.125</v>
      </c>
      <c r="BO166" s="17">
        <f t="shared" si="172"/>
        <v>88.125</v>
      </c>
      <c r="BP166" s="17">
        <f t="shared" si="173"/>
        <v>88.125</v>
      </c>
      <c r="BQ166" s="17" t="str">
        <f t="shared" si="174"/>
        <v>Ok</v>
      </c>
      <c r="BR166" s="17">
        <f t="shared" si="175"/>
        <v>76.357223223464104</v>
      </c>
      <c r="BS166" s="17">
        <f t="shared" si="176"/>
        <v>23.8997489900676</v>
      </c>
      <c r="BT166" s="16">
        <f>MongDon!$H$80</f>
        <v>1.2</v>
      </c>
      <c r="BU166" s="17" t="str">
        <f t="shared" si="177"/>
        <v>Ok</v>
      </c>
      <c r="BV166" s="17">
        <f t="shared" si="178"/>
        <v>18.271367376360299</v>
      </c>
      <c r="BW166" s="16">
        <f>MongDon!$F$86</f>
        <v>1.5</v>
      </c>
      <c r="BX166" s="17" t="str">
        <f t="shared" si="179"/>
        <v>Ok</v>
      </c>
      <c r="BY166" s="17">
        <f t="shared" si="180"/>
        <v>27.5899254047977</v>
      </c>
      <c r="BZ166" s="17">
        <f t="shared" si="181"/>
        <v>20.2160350510282</v>
      </c>
      <c r="CA166" s="17">
        <f t="shared" si="182"/>
        <v>29.017989588220001</v>
      </c>
      <c r="CB166" s="17">
        <f t="shared" si="183"/>
        <v>36.391879941989501</v>
      </c>
      <c r="CC166" s="17">
        <f t="shared" si="184"/>
        <v>28.386634896601699</v>
      </c>
      <c r="CD166" s="17">
        <f t="shared" si="185"/>
        <v>29.240453779669799</v>
      </c>
      <c r="CE166" s="17">
        <f t="shared" si="186"/>
        <v>28.221280096415999</v>
      </c>
      <c r="CF166" s="17">
        <f t="shared" si="187"/>
        <v>29.240453779669799</v>
      </c>
      <c r="CG166" s="17">
        <f t="shared" si="188"/>
        <v>11.998047526845101</v>
      </c>
      <c r="CH166" s="17">
        <f t="shared" si="189"/>
        <v>11.998047526845101</v>
      </c>
      <c r="CI166" s="17">
        <f t="shared" si="190"/>
        <v>250</v>
      </c>
      <c r="CJ166" s="17">
        <f t="shared" si="191"/>
        <v>250</v>
      </c>
    </row>
    <row r="167" spans="2:88">
      <c r="B167" s="3">
        <v>178</v>
      </c>
      <c r="C167" s="3" t="s">
        <v>26</v>
      </c>
      <c r="D167" s="4">
        <v>6.4454184231284302</v>
      </c>
      <c r="E167" s="4">
        <v>-0.88211331638881296</v>
      </c>
      <c r="F167" s="4">
        <v>30.5049957582475</v>
      </c>
      <c r="G167" s="4">
        <v>0.11367612733707</v>
      </c>
      <c r="H167" s="4">
        <v>9.2446689515738392</v>
      </c>
      <c r="I167" s="4" t="s">
        <v>16</v>
      </c>
      <c r="J167" s="4">
        <v>5.4123748624068897</v>
      </c>
      <c r="K167" s="4">
        <v>-0.76215305196529204</v>
      </c>
      <c r="L167" s="4">
        <v>26.182812478251201</v>
      </c>
      <c r="M167" s="4">
        <v>0.118092486266067</v>
      </c>
      <c r="N167" s="4">
        <v>7.7460427413212898</v>
      </c>
      <c r="O167" s="4">
        <v>1.9</v>
      </c>
      <c r="P167" s="4">
        <v>1.9</v>
      </c>
      <c r="Q167" s="4">
        <v>0.22</v>
      </c>
      <c r="R167" s="4">
        <v>0.22</v>
      </c>
      <c r="S167" s="4">
        <v>0</v>
      </c>
      <c r="T167" s="4">
        <v>0</v>
      </c>
      <c r="U167" s="4">
        <v>0.3</v>
      </c>
      <c r="V167" s="4">
        <v>0.05</v>
      </c>
      <c r="W167" s="4">
        <v>1</v>
      </c>
      <c r="X167" s="4">
        <v>19.100000000000001</v>
      </c>
      <c r="Y167" s="4">
        <v>0</v>
      </c>
      <c r="Z167" s="4">
        <v>1.5</v>
      </c>
      <c r="AA167" s="4">
        <v>139</v>
      </c>
      <c r="AB167" s="4">
        <v>12.1</v>
      </c>
      <c r="AC167" s="4">
        <v>19.5</v>
      </c>
      <c r="AD167" s="3" t="s">
        <v>42</v>
      </c>
      <c r="AE167" s="3" t="s">
        <v>61</v>
      </c>
      <c r="AF167" s="17">
        <f>HLOOKUP(AD167,Data!$B$4:$M$9,2,0)</f>
        <v>13</v>
      </c>
      <c r="AG167" s="17">
        <f>HLOOKUP(AD167,Data!$B$4:$M$9,3,0)</f>
        <v>1</v>
      </c>
      <c r="AH167" s="17">
        <f>HLOOKUP(AE167,Data!$B$13:$I$18,3,0)</f>
        <v>260</v>
      </c>
      <c r="AI167" s="18">
        <f t="shared" si="141"/>
        <v>3.61</v>
      </c>
      <c r="AJ167" s="17">
        <f t="shared" si="142"/>
        <v>1.14316666666667</v>
      </c>
      <c r="AK167" s="17">
        <f t="shared" si="143"/>
        <v>1.14316666666667</v>
      </c>
      <c r="AL167" s="17">
        <f t="shared" si="144"/>
        <v>0.25</v>
      </c>
      <c r="AM167" s="17">
        <f t="shared" si="145"/>
        <v>0.84</v>
      </c>
      <c r="AN167" s="17">
        <f t="shared" si="146"/>
        <v>0.84</v>
      </c>
      <c r="AO167" s="17">
        <f t="shared" si="147"/>
        <v>0.84</v>
      </c>
      <c r="AP167" s="17">
        <f t="shared" si="148"/>
        <v>0.84</v>
      </c>
      <c r="AQ167" s="17">
        <f t="shared" si="149"/>
        <v>1.88</v>
      </c>
      <c r="AR167" s="17">
        <f t="shared" si="150"/>
        <v>3.0916000000000001</v>
      </c>
      <c r="AS167" s="17">
        <f t="shared" si="151"/>
        <v>30.5049957582475</v>
      </c>
      <c r="AT167" s="17">
        <f t="shared" si="152"/>
        <v>0.37831012225371302</v>
      </c>
      <c r="AU167" s="17">
        <f t="shared" si="153"/>
        <v>11.178294478512401</v>
      </c>
      <c r="AV167" s="17">
        <f t="shared" si="154"/>
        <v>26.182812478251201</v>
      </c>
      <c r="AW167" s="17">
        <f t="shared" si="155"/>
        <v>0.34673840185565502</v>
      </c>
      <c r="AX167" s="17">
        <f t="shared" si="156"/>
        <v>9.3697552000433593</v>
      </c>
      <c r="AY167" s="17">
        <f t="shared" si="157"/>
        <v>39.1594284218205</v>
      </c>
      <c r="AZ167" s="17">
        <f t="shared" si="158"/>
        <v>18.940846236488401</v>
      </c>
      <c r="BA167" s="17">
        <f t="shared" si="159"/>
        <v>29.050137329154399</v>
      </c>
      <c r="BB167" s="17">
        <f t="shared" si="160"/>
        <v>36.352486560733503</v>
      </c>
      <c r="BC167" s="17">
        <f t="shared" si="161"/>
        <v>19.353226723616199</v>
      </c>
      <c r="BD167" s="17">
        <f t="shared" si="162"/>
        <v>27.852856642174899</v>
      </c>
      <c r="BE167" s="17" t="str">
        <f>IF(AND(BD167&lt;=AA167,BB167&lt;=AA167*MongDon!$J$44,BC167&gt;0),"Ok","FAIL")</f>
        <v>Ok</v>
      </c>
      <c r="BF167" s="17">
        <f t="shared" si="163"/>
        <v>121.0652889089</v>
      </c>
      <c r="BG167" s="17">
        <f t="shared" si="164"/>
        <v>352.5</v>
      </c>
      <c r="BH167" s="17" t="str">
        <f t="shared" si="165"/>
        <v>Ok</v>
      </c>
      <c r="BI167" s="17">
        <f t="shared" si="166"/>
        <v>32.194229477068497</v>
      </c>
      <c r="BJ167" s="17">
        <f t="shared" si="167"/>
        <v>43.526744791947202</v>
      </c>
      <c r="BK167" s="17">
        <f t="shared" si="168"/>
        <v>32.9361784148957</v>
      </c>
      <c r="BL167" s="17">
        <f t="shared" si="169"/>
        <v>21.603663100017101</v>
      </c>
      <c r="BM167" s="17">
        <f t="shared" si="170"/>
        <v>88.125</v>
      </c>
      <c r="BN167" s="17">
        <f t="shared" si="171"/>
        <v>88.125</v>
      </c>
      <c r="BO167" s="17">
        <f t="shared" si="172"/>
        <v>88.125</v>
      </c>
      <c r="BP167" s="17">
        <f t="shared" si="173"/>
        <v>88.125</v>
      </c>
      <c r="BQ167" s="17" t="str">
        <f t="shared" si="174"/>
        <v>Ok</v>
      </c>
      <c r="BR167" s="17">
        <f t="shared" si="175"/>
        <v>76.934704437385093</v>
      </c>
      <c r="BS167" s="17">
        <f t="shared" si="176"/>
        <v>11.9363397977882</v>
      </c>
      <c r="BT167" s="16">
        <f>MongDon!$H$80</f>
        <v>1.2</v>
      </c>
      <c r="BU167" s="17" t="str">
        <f t="shared" si="177"/>
        <v>Ok</v>
      </c>
      <c r="BV167" s="17">
        <f t="shared" si="178"/>
        <v>8.4523802939667405</v>
      </c>
      <c r="BW167" s="16">
        <f>MongDon!$F$86</f>
        <v>1.5</v>
      </c>
      <c r="BX167" s="17" t="str">
        <f t="shared" si="179"/>
        <v>Ok</v>
      </c>
      <c r="BY167" s="17">
        <f t="shared" si="180"/>
        <v>18.940846236488401</v>
      </c>
      <c r="BZ167" s="17">
        <f t="shared" si="181"/>
        <v>38.497564962563402</v>
      </c>
      <c r="CA167" s="17">
        <f t="shared" si="182"/>
        <v>39.1594284218205</v>
      </c>
      <c r="CB167" s="17">
        <f t="shared" si="183"/>
        <v>19.602709695745499</v>
      </c>
      <c r="CC167" s="17">
        <f t="shared" si="184"/>
        <v>30.220686824094699</v>
      </c>
      <c r="CD167" s="17">
        <f t="shared" si="185"/>
        <v>27.956224655812299</v>
      </c>
      <c r="CE167" s="17">
        <f t="shared" si="186"/>
        <v>30.144050002496499</v>
      </c>
      <c r="CF167" s="17">
        <f t="shared" si="187"/>
        <v>30.220686824094699</v>
      </c>
      <c r="CG167" s="17">
        <f t="shared" si="188"/>
        <v>12.7642503353257</v>
      </c>
      <c r="CH167" s="17">
        <f t="shared" si="189"/>
        <v>12.7642503353257</v>
      </c>
      <c r="CI167" s="17">
        <f t="shared" si="190"/>
        <v>250</v>
      </c>
      <c r="CJ167" s="17">
        <f t="shared" si="191"/>
        <v>250</v>
      </c>
    </row>
    <row r="168" spans="2:88">
      <c r="B168" s="3">
        <v>178</v>
      </c>
      <c r="C168" s="3" t="s">
        <v>27</v>
      </c>
      <c r="D168" s="4">
        <v>-0.15944913495489299</v>
      </c>
      <c r="E168" s="4">
        <v>-13.0354937141525</v>
      </c>
      <c r="F168" s="4">
        <v>39.335816303455303</v>
      </c>
      <c r="G168" s="4">
        <v>20.5067148088499</v>
      </c>
      <c r="H168" s="4">
        <v>-2.4055027728806899</v>
      </c>
      <c r="I168" s="4" t="s">
        <v>17</v>
      </c>
      <c r="J168" s="4">
        <v>-9.1681435995878399E-2</v>
      </c>
      <c r="K168" s="4">
        <v>-10.8899700501017</v>
      </c>
      <c r="L168" s="4">
        <v>33.541829599257703</v>
      </c>
      <c r="M168" s="4">
        <v>17.1122913875267</v>
      </c>
      <c r="N168" s="4">
        <v>-1.9624336957241399</v>
      </c>
      <c r="O168" s="4">
        <v>1.9</v>
      </c>
      <c r="P168" s="4">
        <v>1.9</v>
      </c>
      <c r="Q168" s="4">
        <v>0.22</v>
      </c>
      <c r="R168" s="4">
        <v>0.22</v>
      </c>
      <c r="S168" s="4">
        <v>0</v>
      </c>
      <c r="T168" s="4">
        <v>0</v>
      </c>
      <c r="U168" s="4">
        <v>0.3</v>
      </c>
      <c r="V168" s="4">
        <v>0.05</v>
      </c>
      <c r="W168" s="4">
        <v>1</v>
      </c>
      <c r="X168" s="4">
        <v>19.100000000000001</v>
      </c>
      <c r="Y168" s="4">
        <v>0</v>
      </c>
      <c r="Z168" s="4">
        <v>1.5</v>
      </c>
      <c r="AA168" s="4">
        <v>139</v>
      </c>
      <c r="AB168" s="4">
        <v>12.1</v>
      </c>
      <c r="AC168" s="4">
        <v>19.5</v>
      </c>
      <c r="AD168" s="3" t="s">
        <v>42</v>
      </c>
      <c r="AE168" s="3" t="s">
        <v>61</v>
      </c>
      <c r="AF168" s="17">
        <f>HLOOKUP(AD168,Data!$B$4:$M$9,2,0)</f>
        <v>13</v>
      </c>
      <c r="AG168" s="17">
        <f>HLOOKUP(AD168,Data!$B$4:$M$9,3,0)</f>
        <v>1</v>
      </c>
      <c r="AH168" s="17">
        <f>HLOOKUP(AE168,Data!$B$13:$I$18,3,0)</f>
        <v>260</v>
      </c>
      <c r="AI168" s="18">
        <f t="shared" si="141"/>
        <v>3.61</v>
      </c>
      <c r="AJ168" s="17">
        <f t="shared" si="142"/>
        <v>1.14316666666667</v>
      </c>
      <c r="AK168" s="17">
        <f t="shared" si="143"/>
        <v>1.14316666666667</v>
      </c>
      <c r="AL168" s="17">
        <f t="shared" si="144"/>
        <v>0.25</v>
      </c>
      <c r="AM168" s="17">
        <f t="shared" si="145"/>
        <v>0.84</v>
      </c>
      <c r="AN168" s="17">
        <f t="shared" si="146"/>
        <v>0.84</v>
      </c>
      <c r="AO168" s="17">
        <f t="shared" si="147"/>
        <v>0.84</v>
      </c>
      <c r="AP168" s="17">
        <f t="shared" si="148"/>
        <v>0.84</v>
      </c>
      <c r="AQ168" s="17">
        <f t="shared" si="149"/>
        <v>1.88</v>
      </c>
      <c r="AR168" s="17">
        <f t="shared" si="150"/>
        <v>3.0916000000000001</v>
      </c>
      <c r="AS168" s="17">
        <f t="shared" si="151"/>
        <v>39.335816303455303</v>
      </c>
      <c r="AT168" s="17">
        <f t="shared" si="152"/>
        <v>24.417362923095599</v>
      </c>
      <c r="AU168" s="17">
        <f t="shared" si="153"/>
        <v>-2.4533375133671602</v>
      </c>
      <c r="AV168" s="17">
        <f t="shared" si="154"/>
        <v>33.541829599257703</v>
      </c>
      <c r="AW168" s="17">
        <f t="shared" si="155"/>
        <v>20.379282402557202</v>
      </c>
      <c r="AX168" s="17">
        <f t="shared" si="156"/>
        <v>-1.9899381265229099</v>
      </c>
      <c r="AY168" s="17">
        <f t="shared" si="157"/>
        <v>55.001844816349497</v>
      </c>
      <c r="AZ168" s="17">
        <f t="shared" si="158"/>
        <v>7.9908511966450799</v>
      </c>
      <c r="BA168" s="17">
        <f t="shared" si="159"/>
        <v>31.4963480064973</v>
      </c>
      <c r="BB168" s="17">
        <f t="shared" si="160"/>
        <v>49.459133898975097</v>
      </c>
      <c r="BC168" s="17">
        <f t="shared" si="161"/>
        <v>10.3235971809461</v>
      </c>
      <c r="BD168" s="17">
        <f t="shared" si="162"/>
        <v>29.891365539960599</v>
      </c>
      <c r="BE168" s="17" t="str">
        <f>IF(AND(BD168&lt;=AA168,BB168&lt;=AA168*MongDon!$J$44,BC168&gt;0),"Ok","FAIL")</f>
        <v>Ok</v>
      </c>
      <c r="BF168" s="17">
        <f t="shared" si="163"/>
        <v>170.04370343422599</v>
      </c>
      <c r="BG168" s="17">
        <f t="shared" si="164"/>
        <v>352.5</v>
      </c>
      <c r="BH168" s="17" t="str">
        <f t="shared" si="165"/>
        <v>Ok</v>
      </c>
      <c r="BI168" s="17">
        <f t="shared" si="166"/>
        <v>11.3635100632729</v>
      </c>
      <c r="BJ168" s="17">
        <f t="shared" si="167"/>
        <v>32.901640243449798</v>
      </c>
      <c r="BK168" s="17">
        <f t="shared" si="168"/>
        <v>59.251302167294099</v>
      </c>
      <c r="BL168" s="17">
        <f t="shared" si="169"/>
        <v>37.7131719871172</v>
      </c>
      <c r="BM168" s="17">
        <f t="shared" si="170"/>
        <v>88.125</v>
      </c>
      <c r="BN168" s="17">
        <f t="shared" si="171"/>
        <v>88.125</v>
      </c>
      <c r="BO168" s="17">
        <f t="shared" si="172"/>
        <v>88.125</v>
      </c>
      <c r="BP168" s="17">
        <f t="shared" si="173"/>
        <v>88.125</v>
      </c>
      <c r="BQ168" s="17" t="str">
        <f t="shared" si="174"/>
        <v>Ok</v>
      </c>
      <c r="BR168" s="17">
        <f t="shared" si="175"/>
        <v>78.827868323160601</v>
      </c>
      <c r="BS168" s="17">
        <f t="shared" si="176"/>
        <v>6.0471716723378197</v>
      </c>
      <c r="BT168" s="16">
        <f>MongDon!$H$80</f>
        <v>1.2</v>
      </c>
      <c r="BU168" s="17" t="str">
        <f t="shared" si="177"/>
        <v>Ok</v>
      </c>
      <c r="BV168" s="17">
        <f t="shared" si="178"/>
        <v>4.2130870484371101</v>
      </c>
      <c r="BW168" s="16">
        <f>MongDon!$F$86</f>
        <v>1.5</v>
      </c>
      <c r="BX168" s="17" t="str">
        <f t="shared" si="179"/>
        <v>Ok</v>
      </c>
      <c r="BY168" s="17">
        <f t="shared" si="180"/>
        <v>12.2830293801129</v>
      </c>
      <c r="BZ168" s="17">
        <f t="shared" si="181"/>
        <v>7.9908511966450799</v>
      </c>
      <c r="CA168" s="17">
        <f t="shared" si="182"/>
        <v>50.709666632881699</v>
      </c>
      <c r="CB168" s="17">
        <f t="shared" si="183"/>
        <v>55.001844816349497</v>
      </c>
      <c r="CC168" s="17">
        <f t="shared" si="184"/>
        <v>33.721048057973398</v>
      </c>
      <c r="CD168" s="17">
        <f t="shared" si="185"/>
        <v>34.218037110795997</v>
      </c>
      <c r="CE168" s="17">
        <f t="shared" si="186"/>
        <v>29.271647955021201</v>
      </c>
      <c r="CF168" s="17">
        <f t="shared" si="187"/>
        <v>34.218037110795997</v>
      </c>
      <c r="CG168" s="17">
        <f t="shared" si="188"/>
        <v>16.960475065034998</v>
      </c>
      <c r="CH168" s="17">
        <f t="shared" si="189"/>
        <v>16.960475065034998</v>
      </c>
      <c r="CI168" s="17">
        <f t="shared" si="190"/>
        <v>289.92265068435898</v>
      </c>
      <c r="CJ168" s="17">
        <f t="shared" si="191"/>
        <v>289.92265068435898</v>
      </c>
    </row>
    <row r="169" spans="2:88">
      <c r="B169" s="3">
        <v>178</v>
      </c>
      <c r="C169" s="3" t="s">
        <v>28</v>
      </c>
      <c r="D169" s="4">
        <v>5.4302374974258498</v>
      </c>
      <c r="E169" s="4">
        <v>8.9584839469600599</v>
      </c>
      <c r="F169" s="4">
        <v>18.980466017189102</v>
      </c>
      <c r="G169" s="4">
        <v>-16.320457102537301</v>
      </c>
      <c r="H169" s="4">
        <v>7.7877679146096597</v>
      </c>
      <c r="I169" s="4" t="s">
        <v>18</v>
      </c>
      <c r="J169" s="4">
        <v>4.56639075765474</v>
      </c>
      <c r="K169" s="4">
        <v>7.4383446674920997</v>
      </c>
      <c r="L169" s="4">
        <v>16.5790376940359</v>
      </c>
      <c r="M169" s="4">
        <v>-13.5770185386293</v>
      </c>
      <c r="N169" s="4">
        <v>6.5319585438511503</v>
      </c>
      <c r="O169" s="4">
        <v>1.9</v>
      </c>
      <c r="P169" s="4">
        <v>1.9</v>
      </c>
      <c r="Q169" s="4">
        <v>0.22</v>
      </c>
      <c r="R169" s="4">
        <v>0.22</v>
      </c>
      <c r="S169" s="4">
        <v>0</v>
      </c>
      <c r="T169" s="4">
        <v>0</v>
      </c>
      <c r="U169" s="4">
        <v>0.3</v>
      </c>
      <c r="V169" s="4">
        <v>0.05</v>
      </c>
      <c r="W169" s="4">
        <v>1</v>
      </c>
      <c r="X169" s="4">
        <v>19.100000000000001</v>
      </c>
      <c r="Y169" s="4">
        <v>0</v>
      </c>
      <c r="Z169" s="4">
        <v>1.5</v>
      </c>
      <c r="AA169" s="4">
        <v>139</v>
      </c>
      <c r="AB169" s="4">
        <v>12.1</v>
      </c>
      <c r="AC169" s="4">
        <v>19.5</v>
      </c>
      <c r="AD169" s="3" t="s">
        <v>42</v>
      </c>
      <c r="AE169" s="3" t="s">
        <v>61</v>
      </c>
      <c r="AF169" s="17">
        <f>HLOOKUP(AD169,Data!$B$4:$M$9,2,0)</f>
        <v>13</v>
      </c>
      <c r="AG169" s="17">
        <f>HLOOKUP(AD169,Data!$B$4:$M$9,3,0)</f>
        <v>1</v>
      </c>
      <c r="AH169" s="17">
        <f>HLOOKUP(AE169,Data!$B$13:$I$18,3,0)</f>
        <v>260</v>
      </c>
      <c r="AI169" s="18">
        <f t="shared" si="141"/>
        <v>3.61</v>
      </c>
      <c r="AJ169" s="17">
        <f t="shared" si="142"/>
        <v>1.14316666666667</v>
      </c>
      <c r="AK169" s="17">
        <f t="shared" si="143"/>
        <v>1.14316666666667</v>
      </c>
      <c r="AL169" s="17">
        <f t="shared" si="144"/>
        <v>0.25</v>
      </c>
      <c r="AM169" s="17">
        <f t="shared" si="145"/>
        <v>0.84</v>
      </c>
      <c r="AN169" s="17">
        <f t="shared" si="146"/>
        <v>0.84</v>
      </c>
      <c r="AO169" s="17">
        <f t="shared" si="147"/>
        <v>0.84</v>
      </c>
      <c r="AP169" s="17">
        <f t="shared" si="148"/>
        <v>0.84</v>
      </c>
      <c r="AQ169" s="17">
        <f t="shared" si="149"/>
        <v>1.88</v>
      </c>
      <c r="AR169" s="17">
        <f t="shared" si="150"/>
        <v>3.0916000000000001</v>
      </c>
      <c r="AS169" s="17">
        <f t="shared" si="151"/>
        <v>18.980466017189102</v>
      </c>
      <c r="AT169" s="17">
        <f t="shared" si="152"/>
        <v>-19.008002286625299</v>
      </c>
      <c r="AU169" s="17">
        <f t="shared" si="153"/>
        <v>9.4168391638374107</v>
      </c>
      <c r="AV169" s="17">
        <f t="shared" si="154"/>
        <v>16.5790376940359</v>
      </c>
      <c r="AW169" s="17">
        <f t="shared" si="155"/>
        <v>-15.8085219388769</v>
      </c>
      <c r="AX169" s="17">
        <f t="shared" si="156"/>
        <v>7.9018757711475702</v>
      </c>
      <c r="AY169" s="17">
        <f t="shared" si="157"/>
        <v>50.7227488169464</v>
      </c>
      <c r="AZ169" s="17">
        <f t="shared" si="158"/>
        <v>0.99274482138548603</v>
      </c>
      <c r="BA169" s="17">
        <f t="shared" si="159"/>
        <v>25.857746819166</v>
      </c>
      <c r="BB169" s="17">
        <f t="shared" si="160"/>
        <v>45.933511864530502</v>
      </c>
      <c r="BC169" s="17">
        <f t="shared" si="161"/>
        <v>4.4515505698384201</v>
      </c>
      <c r="BD169" s="17">
        <f t="shared" si="162"/>
        <v>25.192531217184499</v>
      </c>
      <c r="BE169" s="17" t="str">
        <f>IF(AND(BD169&lt;=AA169,BB169&lt;=AA169*MongDon!$J$44,BC169&gt;0),"Ok","FAIL")</f>
        <v>Ok</v>
      </c>
      <c r="BF169" s="17">
        <f t="shared" si="163"/>
        <v>156.81445024247199</v>
      </c>
      <c r="BG169" s="17">
        <f t="shared" si="164"/>
        <v>352.5</v>
      </c>
      <c r="BH169" s="17" t="str">
        <f t="shared" si="165"/>
        <v>Ok</v>
      </c>
      <c r="BI169" s="17">
        <f t="shared" si="166"/>
        <v>47.625960249286102</v>
      </c>
      <c r="BJ169" s="17">
        <f t="shared" si="167"/>
        <v>38.220775358795997</v>
      </c>
      <c r="BK169" s="17">
        <f t="shared" si="168"/>
        <v>10.347108119284099</v>
      </c>
      <c r="BL169" s="17">
        <f t="shared" si="169"/>
        <v>19.7522930097741</v>
      </c>
      <c r="BM169" s="17">
        <f t="shared" si="170"/>
        <v>88.125</v>
      </c>
      <c r="BN169" s="17">
        <f t="shared" si="171"/>
        <v>88.125</v>
      </c>
      <c r="BO169" s="17">
        <f t="shared" si="172"/>
        <v>88.125</v>
      </c>
      <c r="BP169" s="17">
        <f t="shared" si="173"/>
        <v>88.125</v>
      </c>
      <c r="BQ169" s="17" t="str">
        <f t="shared" si="174"/>
        <v>Ok</v>
      </c>
      <c r="BR169" s="17">
        <f t="shared" si="175"/>
        <v>74.464059337688695</v>
      </c>
      <c r="BS169" s="17">
        <f t="shared" si="176"/>
        <v>8.3121273396886597</v>
      </c>
      <c r="BT169" s="16">
        <f>MongDon!$H$80</f>
        <v>1.2</v>
      </c>
      <c r="BU169" s="17" t="str">
        <f t="shared" si="177"/>
        <v>Ok</v>
      </c>
      <c r="BV169" s="17">
        <f t="shared" si="178"/>
        <v>4.3947223625445204</v>
      </c>
      <c r="BW169" s="16">
        <f>MongDon!$F$86</f>
        <v>1.5</v>
      </c>
      <c r="BX169" s="17" t="str">
        <f t="shared" si="179"/>
        <v>Ok</v>
      </c>
      <c r="BY169" s="17">
        <f t="shared" si="180"/>
        <v>34.247742261173201</v>
      </c>
      <c r="BZ169" s="17">
        <f t="shared" si="181"/>
        <v>50.7227488169464</v>
      </c>
      <c r="CA169" s="17">
        <f t="shared" si="182"/>
        <v>17.467751377158802</v>
      </c>
      <c r="CB169" s="17">
        <f t="shared" si="183"/>
        <v>0.99274482138548603</v>
      </c>
      <c r="CC169" s="17">
        <f t="shared" si="184"/>
        <v>28.736852313645802</v>
      </c>
      <c r="CD169" s="17">
        <f t="shared" si="185"/>
        <v>26.8292199756089</v>
      </c>
      <c r="CE169" s="17">
        <f t="shared" si="186"/>
        <v>28.736852313645802</v>
      </c>
      <c r="CF169" s="17">
        <f t="shared" si="187"/>
        <v>24.886273662722999</v>
      </c>
      <c r="CG169" s="17">
        <f t="shared" si="188"/>
        <v>15.3094443538306</v>
      </c>
      <c r="CH169" s="17">
        <f t="shared" si="189"/>
        <v>15.3094443538306</v>
      </c>
      <c r="CI169" s="17">
        <f t="shared" si="190"/>
        <v>261.69990348428303</v>
      </c>
      <c r="CJ169" s="17">
        <f t="shared" si="191"/>
        <v>261.69990348428303</v>
      </c>
    </row>
    <row r="170" spans="2:88">
      <c r="B170" s="3">
        <v>178</v>
      </c>
      <c r="C170" s="3" t="s">
        <v>29</v>
      </c>
      <c r="D170" s="4">
        <v>-1.8707898247358501</v>
      </c>
      <c r="E170" s="4">
        <v>-3.1040803490723201</v>
      </c>
      <c r="F170" s="4">
        <v>25.170335644369199</v>
      </c>
      <c r="G170" s="4">
        <v>4.0597278878872496</v>
      </c>
      <c r="H170" s="4">
        <v>-4.86901715177809</v>
      </c>
      <c r="I170" s="4" t="s">
        <v>19</v>
      </c>
      <c r="J170" s="4">
        <v>-1.5177986774800101</v>
      </c>
      <c r="K170" s="4">
        <v>-2.6137922458682201</v>
      </c>
      <c r="L170" s="4">
        <v>21.7372623833527</v>
      </c>
      <c r="M170" s="4">
        <v>3.40646895339122</v>
      </c>
      <c r="N170" s="4">
        <v>-4.0153623448053102</v>
      </c>
      <c r="O170" s="4">
        <v>1.9</v>
      </c>
      <c r="P170" s="4">
        <v>1.9</v>
      </c>
      <c r="Q170" s="4">
        <v>0.22</v>
      </c>
      <c r="R170" s="4">
        <v>0.22</v>
      </c>
      <c r="S170" s="4">
        <v>0</v>
      </c>
      <c r="T170" s="4">
        <v>0</v>
      </c>
      <c r="U170" s="4">
        <v>0.3</v>
      </c>
      <c r="V170" s="4">
        <v>0.05</v>
      </c>
      <c r="W170" s="4">
        <v>1</v>
      </c>
      <c r="X170" s="4">
        <v>19.100000000000001</v>
      </c>
      <c r="Y170" s="4">
        <v>0</v>
      </c>
      <c r="Z170" s="4">
        <v>1.5</v>
      </c>
      <c r="AA170" s="4">
        <v>139</v>
      </c>
      <c r="AB170" s="4">
        <v>12.1</v>
      </c>
      <c r="AC170" s="4">
        <v>19.5</v>
      </c>
      <c r="AD170" s="3" t="s">
        <v>42</v>
      </c>
      <c r="AE170" s="3" t="s">
        <v>61</v>
      </c>
      <c r="AF170" s="17">
        <f>HLOOKUP(AD170,Data!$B$4:$M$9,2,0)</f>
        <v>13</v>
      </c>
      <c r="AG170" s="17">
        <f>HLOOKUP(AD170,Data!$B$4:$M$9,3,0)</f>
        <v>1</v>
      </c>
      <c r="AH170" s="17">
        <f>HLOOKUP(AE170,Data!$B$13:$I$18,3,0)</f>
        <v>260</v>
      </c>
      <c r="AI170" s="18">
        <f t="shared" si="141"/>
        <v>3.61</v>
      </c>
      <c r="AJ170" s="17">
        <f t="shared" si="142"/>
        <v>1.14316666666667</v>
      </c>
      <c r="AK170" s="17">
        <f t="shared" si="143"/>
        <v>1.14316666666667</v>
      </c>
      <c r="AL170" s="17">
        <f t="shared" si="144"/>
        <v>0.25</v>
      </c>
      <c r="AM170" s="17">
        <f t="shared" si="145"/>
        <v>0.84</v>
      </c>
      <c r="AN170" s="17">
        <f t="shared" si="146"/>
        <v>0.84</v>
      </c>
      <c r="AO170" s="17">
        <f t="shared" si="147"/>
        <v>0.84</v>
      </c>
      <c r="AP170" s="17">
        <f t="shared" si="148"/>
        <v>0.84</v>
      </c>
      <c r="AQ170" s="17">
        <f t="shared" si="149"/>
        <v>1.88</v>
      </c>
      <c r="AR170" s="17">
        <f t="shared" si="150"/>
        <v>3.0916000000000001</v>
      </c>
      <c r="AS170" s="17">
        <f t="shared" si="151"/>
        <v>25.170335644369199</v>
      </c>
      <c r="AT170" s="17">
        <f t="shared" si="152"/>
        <v>4.9909519926089496</v>
      </c>
      <c r="AU170" s="17">
        <f t="shared" si="153"/>
        <v>-5.4302540991988399</v>
      </c>
      <c r="AV170" s="17">
        <f t="shared" si="154"/>
        <v>21.7372623833527</v>
      </c>
      <c r="AW170" s="17">
        <f t="shared" si="155"/>
        <v>4.1906066271516798</v>
      </c>
      <c r="AX170" s="17">
        <f t="shared" si="156"/>
        <v>-4.4707019480493102</v>
      </c>
      <c r="AY170" s="17">
        <f t="shared" si="157"/>
        <v>36.6884785355224</v>
      </c>
      <c r="AZ170" s="17">
        <f t="shared" si="158"/>
        <v>18.456305754986801</v>
      </c>
      <c r="BA170" s="17">
        <f t="shared" si="159"/>
        <v>27.5723921452546</v>
      </c>
      <c r="BB170" s="17">
        <f t="shared" si="160"/>
        <v>34.197995331619197</v>
      </c>
      <c r="BC170" s="17">
        <f t="shared" si="161"/>
        <v>19.044809312897499</v>
      </c>
      <c r="BD170" s="17">
        <f t="shared" si="162"/>
        <v>26.621402322258401</v>
      </c>
      <c r="BE170" s="17" t="str">
        <f>IF(AND(BD170&lt;=AA170,BB170&lt;=AA170*MongDon!$J$44,BC170&gt;0),"Ok","FAIL")</f>
        <v>Ok</v>
      </c>
      <c r="BF170" s="17">
        <f t="shared" si="163"/>
        <v>113.42610024042099</v>
      </c>
      <c r="BG170" s="17">
        <f t="shared" si="164"/>
        <v>352.5</v>
      </c>
      <c r="BH170" s="17" t="str">
        <f t="shared" si="165"/>
        <v>Ok</v>
      </c>
      <c r="BI170" s="17">
        <f t="shared" si="166"/>
        <v>26.014477064682101</v>
      </c>
      <c r="BJ170" s="17">
        <f t="shared" si="167"/>
        <v>25.5836932814886</v>
      </c>
      <c r="BK170" s="17">
        <f t="shared" si="168"/>
        <v>35.8028261249788</v>
      </c>
      <c r="BL170" s="17">
        <f t="shared" si="169"/>
        <v>36.233609908172298</v>
      </c>
      <c r="BM170" s="17">
        <f t="shared" si="170"/>
        <v>88.125</v>
      </c>
      <c r="BN170" s="17">
        <f t="shared" si="171"/>
        <v>88.125</v>
      </c>
      <c r="BO170" s="17">
        <f t="shared" si="172"/>
        <v>88.125</v>
      </c>
      <c r="BP170" s="17">
        <f t="shared" si="173"/>
        <v>88.125</v>
      </c>
      <c r="BQ170" s="17" t="str">
        <f t="shared" si="174"/>
        <v>Ok</v>
      </c>
      <c r="BR170" s="17">
        <f t="shared" si="175"/>
        <v>75.791052404283704</v>
      </c>
      <c r="BS170" s="17">
        <f t="shared" si="176"/>
        <v>24.4165884516921</v>
      </c>
      <c r="BT170" s="16">
        <f>MongDon!$H$80</f>
        <v>1.2</v>
      </c>
      <c r="BU170" s="17" t="str">
        <f t="shared" si="177"/>
        <v>Ok</v>
      </c>
      <c r="BV170" s="17">
        <f t="shared" si="178"/>
        <v>16.4661298032707</v>
      </c>
      <c r="BW170" s="16">
        <f>MongDon!$F$86</f>
        <v>1.5</v>
      </c>
      <c r="BX170" s="17" t="str">
        <f t="shared" si="179"/>
        <v>Ok</v>
      </c>
      <c r="BY170" s="17">
        <f t="shared" si="180"/>
        <v>27.9566774112612</v>
      </c>
      <c r="BZ170" s="17">
        <f t="shared" si="181"/>
        <v>18.456305754986801</v>
      </c>
      <c r="CA170" s="17">
        <f t="shared" si="182"/>
        <v>27.188106879248</v>
      </c>
      <c r="CB170" s="17">
        <f t="shared" si="183"/>
        <v>36.6884785355224</v>
      </c>
      <c r="CC170" s="17">
        <f t="shared" si="184"/>
        <v>27.527895956559099</v>
      </c>
      <c r="CD170" s="17">
        <f t="shared" si="185"/>
        <v>28.6279389904435</v>
      </c>
      <c r="CE170" s="17">
        <f t="shared" si="186"/>
        <v>27.616888333950101</v>
      </c>
      <c r="CF170" s="17">
        <f t="shared" si="187"/>
        <v>28.6279389904435</v>
      </c>
      <c r="CG170" s="17">
        <f t="shared" si="188"/>
        <v>11.995775776831</v>
      </c>
      <c r="CH170" s="17">
        <f t="shared" si="189"/>
        <v>11.995775776831</v>
      </c>
      <c r="CI170" s="17">
        <f t="shared" si="190"/>
        <v>250</v>
      </c>
      <c r="CJ170" s="17">
        <f t="shared" si="191"/>
        <v>250</v>
      </c>
    </row>
    <row r="171" spans="2:88">
      <c r="B171" s="3">
        <v>178</v>
      </c>
      <c r="C171" s="3" t="s">
        <v>30</v>
      </c>
      <c r="D171" s="4">
        <v>6.5959307128040496</v>
      </c>
      <c r="E171" s="4">
        <v>-0.53432131083366696</v>
      </c>
      <c r="F171" s="4">
        <v>28.163345861980901</v>
      </c>
      <c r="G171" s="4">
        <v>-0.33905594726652599</v>
      </c>
      <c r="H171" s="4">
        <v>9.6943970275760307</v>
      </c>
      <c r="I171" s="4" t="s">
        <v>20</v>
      </c>
      <c r="J171" s="4">
        <v>5.5378017704699101</v>
      </c>
      <c r="K171" s="4">
        <v>-0.47232638066933702</v>
      </c>
      <c r="L171" s="4">
        <v>24.231437564695799</v>
      </c>
      <c r="M171" s="4">
        <v>-0.25918424257026301</v>
      </c>
      <c r="N171" s="4">
        <v>8.1208161379897899</v>
      </c>
      <c r="O171" s="4">
        <v>1.9</v>
      </c>
      <c r="P171" s="4">
        <v>1.9</v>
      </c>
      <c r="Q171" s="4">
        <v>0.22</v>
      </c>
      <c r="R171" s="4">
        <v>0.22</v>
      </c>
      <c r="S171" s="4">
        <v>0</v>
      </c>
      <c r="T171" s="4">
        <v>0</v>
      </c>
      <c r="U171" s="4">
        <v>0.3</v>
      </c>
      <c r="V171" s="4">
        <v>0.05</v>
      </c>
      <c r="W171" s="4">
        <v>1</v>
      </c>
      <c r="X171" s="4">
        <v>19.100000000000001</v>
      </c>
      <c r="Y171" s="4">
        <v>0</v>
      </c>
      <c r="Z171" s="4">
        <v>1.5</v>
      </c>
      <c r="AA171" s="4">
        <v>139</v>
      </c>
      <c r="AB171" s="4">
        <v>12.1</v>
      </c>
      <c r="AC171" s="4">
        <v>19.5</v>
      </c>
      <c r="AD171" s="3" t="s">
        <v>42</v>
      </c>
      <c r="AE171" s="3" t="s">
        <v>61</v>
      </c>
      <c r="AF171" s="17">
        <f>HLOOKUP(AD171,Data!$B$4:$M$9,2,0)</f>
        <v>13</v>
      </c>
      <c r="AG171" s="17">
        <f>HLOOKUP(AD171,Data!$B$4:$M$9,3,0)</f>
        <v>1</v>
      </c>
      <c r="AH171" s="17">
        <f>HLOOKUP(AE171,Data!$B$13:$I$18,3,0)</f>
        <v>260</v>
      </c>
      <c r="AI171" s="18">
        <f t="shared" si="141"/>
        <v>3.61</v>
      </c>
      <c r="AJ171" s="17">
        <f t="shared" si="142"/>
        <v>1.14316666666667</v>
      </c>
      <c r="AK171" s="17">
        <f t="shared" si="143"/>
        <v>1.14316666666667</v>
      </c>
      <c r="AL171" s="17">
        <f t="shared" si="144"/>
        <v>0.25</v>
      </c>
      <c r="AM171" s="17">
        <f t="shared" si="145"/>
        <v>0.84</v>
      </c>
      <c r="AN171" s="17">
        <f t="shared" si="146"/>
        <v>0.84</v>
      </c>
      <c r="AO171" s="17">
        <f t="shared" si="147"/>
        <v>0.84</v>
      </c>
      <c r="AP171" s="17">
        <f t="shared" si="148"/>
        <v>0.84</v>
      </c>
      <c r="AQ171" s="17">
        <f t="shared" si="149"/>
        <v>1.88</v>
      </c>
      <c r="AR171" s="17">
        <f t="shared" si="150"/>
        <v>3.0916000000000001</v>
      </c>
      <c r="AS171" s="17">
        <f t="shared" si="151"/>
        <v>28.163345861980901</v>
      </c>
      <c r="AT171" s="17">
        <f t="shared" si="152"/>
        <v>-0.17875955401642599</v>
      </c>
      <c r="AU171" s="17">
        <f t="shared" si="153"/>
        <v>11.673176241417201</v>
      </c>
      <c r="AV171" s="17">
        <f t="shared" si="154"/>
        <v>24.231437564695799</v>
      </c>
      <c r="AW171" s="17">
        <f t="shared" si="155"/>
        <v>-0.117486328369462</v>
      </c>
      <c r="AX171" s="17">
        <f t="shared" si="156"/>
        <v>9.7821566691307602</v>
      </c>
      <c r="AY171" s="17">
        <f t="shared" si="157"/>
        <v>38.769116767803702</v>
      </c>
      <c r="AZ171" s="17">
        <f t="shared" si="158"/>
        <v>18.0338449285846</v>
      </c>
      <c r="BA171" s="17">
        <f t="shared" si="159"/>
        <v>28.4014808481942</v>
      </c>
      <c r="BB171" s="17">
        <f t="shared" si="160"/>
        <v>35.972151823578301</v>
      </c>
      <c r="BC171" s="17">
        <f t="shared" si="161"/>
        <v>18.652467325837701</v>
      </c>
      <c r="BD171" s="17">
        <f t="shared" si="162"/>
        <v>27.312309574707999</v>
      </c>
      <c r="BE171" s="17" t="str">
        <f>IF(AND(BD171&lt;=AA171,BB171&lt;=AA171*MongDon!$J$44,BC171&gt;0),"Ok","FAIL")</f>
        <v>Ok</v>
      </c>
      <c r="BF171" s="17">
        <f t="shared" si="163"/>
        <v>119.85860139934201</v>
      </c>
      <c r="BG171" s="17">
        <f t="shared" si="164"/>
        <v>352.5</v>
      </c>
      <c r="BH171" s="17" t="str">
        <f t="shared" si="165"/>
        <v>Ok</v>
      </c>
      <c r="BI171" s="17">
        <f t="shared" si="166"/>
        <v>32.013353333102202</v>
      </c>
      <c r="BJ171" s="17">
        <f t="shared" si="167"/>
        <v>43.284886594431498</v>
      </c>
      <c r="BK171" s="17">
        <f t="shared" si="168"/>
        <v>31.662766728549201</v>
      </c>
      <c r="BL171" s="17">
        <f t="shared" si="169"/>
        <v>20.391233467219799</v>
      </c>
      <c r="BM171" s="17">
        <f t="shared" si="170"/>
        <v>88.125</v>
      </c>
      <c r="BN171" s="17">
        <f t="shared" si="171"/>
        <v>88.125</v>
      </c>
      <c r="BO171" s="17">
        <f t="shared" si="172"/>
        <v>88.125</v>
      </c>
      <c r="BP171" s="17">
        <f t="shared" si="173"/>
        <v>88.125</v>
      </c>
      <c r="BQ171" s="17" t="str">
        <f t="shared" si="174"/>
        <v>Ok</v>
      </c>
      <c r="BR171" s="17">
        <f t="shared" si="175"/>
        <v>76.432698197529305</v>
      </c>
      <c r="BS171" s="17">
        <f t="shared" si="176"/>
        <v>11.587856441420399</v>
      </c>
      <c r="BT171" s="16">
        <f>MongDon!$H$80</f>
        <v>1.2</v>
      </c>
      <c r="BU171" s="17" t="str">
        <f t="shared" si="177"/>
        <v>Ok</v>
      </c>
      <c r="BV171" s="17">
        <f t="shared" si="178"/>
        <v>7.9034725991321801</v>
      </c>
      <c r="BW171" s="16">
        <f>MongDon!$F$86</f>
        <v>1.5</v>
      </c>
      <c r="BX171" s="17" t="str">
        <f t="shared" si="179"/>
        <v>Ok</v>
      </c>
      <c r="BY171" s="17">
        <f t="shared" si="180"/>
        <v>18.3465894464731</v>
      </c>
      <c r="BZ171" s="17">
        <f t="shared" si="181"/>
        <v>38.769116767803702</v>
      </c>
      <c r="CA171" s="17">
        <f t="shared" si="182"/>
        <v>38.456372249915198</v>
      </c>
      <c r="CB171" s="17">
        <f t="shared" si="183"/>
        <v>18.0338449285846</v>
      </c>
      <c r="CC171" s="17">
        <f t="shared" si="184"/>
        <v>29.601943954675299</v>
      </c>
      <c r="CD171" s="17">
        <f t="shared" si="185"/>
        <v>27.237230264836999</v>
      </c>
      <c r="CE171" s="17">
        <f t="shared" si="186"/>
        <v>29.601943954675299</v>
      </c>
      <c r="CF171" s="17">
        <f t="shared" si="187"/>
        <v>29.565731431551299</v>
      </c>
      <c r="CG171" s="17">
        <f t="shared" si="188"/>
        <v>12.599684872857299</v>
      </c>
      <c r="CH171" s="17">
        <f t="shared" si="189"/>
        <v>12.599684872857299</v>
      </c>
      <c r="CI171" s="17">
        <f t="shared" si="190"/>
        <v>250</v>
      </c>
      <c r="CJ171" s="17">
        <f t="shared" si="191"/>
        <v>250</v>
      </c>
    </row>
    <row r="172" spans="2:88">
      <c r="B172" s="3">
        <v>178</v>
      </c>
      <c r="C172" s="3" t="s">
        <v>31</v>
      </c>
      <c r="D172" s="4">
        <v>-0.74281101839964703</v>
      </c>
      <c r="E172" s="4">
        <v>-14.0380773083488</v>
      </c>
      <c r="F172" s="4">
        <v>37.975368689989601</v>
      </c>
      <c r="G172" s="4">
        <v>22.319875921081</v>
      </c>
      <c r="H172" s="4">
        <v>-3.2502382218178898</v>
      </c>
      <c r="I172" s="4" t="s">
        <v>21</v>
      </c>
      <c r="J172" s="4">
        <v>-0.57781633886650596</v>
      </c>
      <c r="K172" s="4">
        <v>-11.7254563785987</v>
      </c>
      <c r="L172" s="4">
        <v>32.408123254703</v>
      </c>
      <c r="M172" s="4">
        <v>18.6232589810527</v>
      </c>
      <c r="N172" s="4">
        <v>-2.6663799031718098</v>
      </c>
      <c r="O172" s="4">
        <v>1.9</v>
      </c>
      <c r="P172" s="4">
        <v>1.9</v>
      </c>
      <c r="Q172" s="4">
        <v>0.22</v>
      </c>
      <c r="R172" s="4">
        <v>0.22</v>
      </c>
      <c r="S172" s="4">
        <v>0</v>
      </c>
      <c r="T172" s="4">
        <v>0</v>
      </c>
      <c r="U172" s="4">
        <v>0.3</v>
      </c>
      <c r="V172" s="4">
        <v>0.05</v>
      </c>
      <c r="W172" s="4">
        <v>1</v>
      </c>
      <c r="X172" s="4">
        <v>19.100000000000001</v>
      </c>
      <c r="Y172" s="4">
        <v>0</v>
      </c>
      <c r="Z172" s="4">
        <v>1.5</v>
      </c>
      <c r="AA172" s="4">
        <v>139</v>
      </c>
      <c r="AB172" s="4">
        <v>12.1</v>
      </c>
      <c r="AC172" s="4">
        <v>19.5</v>
      </c>
      <c r="AD172" s="3" t="s">
        <v>42</v>
      </c>
      <c r="AE172" s="3" t="s">
        <v>61</v>
      </c>
      <c r="AF172" s="17">
        <f>HLOOKUP(AD172,Data!$B$4:$M$9,2,0)</f>
        <v>13</v>
      </c>
      <c r="AG172" s="17">
        <f>HLOOKUP(AD172,Data!$B$4:$M$9,3,0)</f>
        <v>1</v>
      </c>
      <c r="AH172" s="17">
        <f>HLOOKUP(AE172,Data!$B$13:$I$18,3,0)</f>
        <v>260</v>
      </c>
      <c r="AI172" s="18">
        <f t="shared" si="141"/>
        <v>3.61</v>
      </c>
      <c r="AJ172" s="17">
        <f t="shared" si="142"/>
        <v>1.14316666666667</v>
      </c>
      <c r="AK172" s="17">
        <f t="shared" si="143"/>
        <v>1.14316666666667</v>
      </c>
      <c r="AL172" s="17">
        <f t="shared" si="144"/>
        <v>0.25</v>
      </c>
      <c r="AM172" s="17">
        <f t="shared" si="145"/>
        <v>0.84</v>
      </c>
      <c r="AN172" s="17">
        <f t="shared" si="146"/>
        <v>0.84</v>
      </c>
      <c r="AO172" s="17">
        <f t="shared" si="147"/>
        <v>0.84</v>
      </c>
      <c r="AP172" s="17">
        <f t="shared" si="148"/>
        <v>0.84</v>
      </c>
      <c r="AQ172" s="17">
        <f t="shared" si="149"/>
        <v>1.88</v>
      </c>
      <c r="AR172" s="17">
        <f t="shared" si="150"/>
        <v>3.0916000000000001</v>
      </c>
      <c r="AS172" s="17">
        <f t="shared" si="151"/>
        <v>37.975368689989601</v>
      </c>
      <c r="AT172" s="17">
        <f t="shared" si="152"/>
        <v>26.5312991135857</v>
      </c>
      <c r="AU172" s="17">
        <f t="shared" si="153"/>
        <v>-3.4730815273377802</v>
      </c>
      <c r="AV172" s="17">
        <f t="shared" si="154"/>
        <v>32.408123254703</v>
      </c>
      <c r="AW172" s="17">
        <f t="shared" si="155"/>
        <v>22.140895894632301</v>
      </c>
      <c r="AX172" s="17">
        <f t="shared" si="156"/>
        <v>-2.8397248048317598</v>
      </c>
      <c r="AY172" s="17">
        <f t="shared" si="157"/>
        <v>57.366217284811299</v>
      </c>
      <c r="AZ172" s="17">
        <f t="shared" si="158"/>
        <v>4.8727681390056397</v>
      </c>
      <c r="BA172" s="17">
        <f t="shared" si="159"/>
        <v>31.119492711908499</v>
      </c>
      <c r="BB172" s="17">
        <f t="shared" si="160"/>
        <v>51.4294442893599</v>
      </c>
      <c r="BC172" s="17">
        <f t="shared" si="161"/>
        <v>7.7251946329131798</v>
      </c>
      <c r="BD172" s="17">
        <f t="shared" si="162"/>
        <v>29.5773194611366</v>
      </c>
      <c r="BE172" s="17" t="str">
        <f>IF(AND(BD172&lt;=AA172,BB172&lt;=AA172*MongDon!$J$44,BC172&gt;0),"Ok","FAIL")</f>
        <v>Ok</v>
      </c>
      <c r="BF172" s="17">
        <f t="shared" si="163"/>
        <v>177.353397357723</v>
      </c>
      <c r="BG172" s="17">
        <f t="shared" si="164"/>
        <v>352.5</v>
      </c>
      <c r="BH172" s="17" t="str">
        <f t="shared" si="165"/>
        <v>Ok</v>
      </c>
      <c r="BI172" s="17">
        <f t="shared" si="166"/>
        <v>8.8681095399958796</v>
      </c>
      <c r="BJ172" s="17">
        <f t="shared" si="167"/>
        <v>31.479214873878799</v>
      </c>
      <c r="BK172" s="17">
        <f t="shared" si="168"/>
        <v>60.901793120102901</v>
      </c>
      <c r="BL172" s="17">
        <f t="shared" si="169"/>
        <v>38.290687786219998</v>
      </c>
      <c r="BM172" s="17">
        <f t="shared" si="170"/>
        <v>88.125</v>
      </c>
      <c r="BN172" s="17">
        <f t="shared" si="171"/>
        <v>88.125</v>
      </c>
      <c r="BO172" s="17">
        <f t="shared" si="172"/>
        <v>88.125</v>
      </c>
      <c r="BP172" s="17">
        <f t="shared" si="173"/>
        <v>88.125</v>
      </c>
      <c r="BQ172" s="17" t="str">
        <f t="shared" si="174"/>
        <v>Ok</v>
      </c>
      <c r="BR172" s="17">
        <f t="shared" si="175"/>
        <v>78.536213626168603</v>
      </c>
      <c r="BS172" s="17">
        <f t="shared" si="176"/>
        <v>5.5945135434936599</v>
      </c>
      <c r="BT172" s="16">
        <f>MongDon!$H$80</f>
        <v>1.2</v>
      </c>
      <c r="BU172" s="17" t="str">
        <f t="shared" si="177"/>
        <v>Ok</v>
      </c>
      <c r="BV172" s="17">
        <f t="shared" si="178"/>
        <v>3.8286873861926698</v>
      </c>
      <c r="BW172" s="16">
        <f>MongDon!$F$86</f>
        <v>1.5</v>
      </c>
      <c r="BX172" s="17" t="str">
        <f t="shared" si="179"/>
        <v>Ok</v>
      </c>
      <c r="BY172" s="17">
        <f t="shared" si="180"/>
        <v>10.9490151616115</v>
      </c>
      <c r="BZ172" s="17">
        <f t="shared" si="181"/>
        <v>4.8727681390056299</v>
      </c>
      <c r="CA172" s="17">
        <f t="shared" si="182"/>
        <v>51.2899702622055</v>
      </c>
      <c r="CB172" s="17">
        <f t="shared" si="183"/>
        <v>57.366217284811299</v>
      </c>
      <c r="CC172" s="17">
        <f t="shared" si="184"/>
        <v>33.455021691416498</v>
      </c>
      <c r="CD172" s="17">
        <f t="shared" si="185"/>
        <v>34.158587136139303</v>
      </c>
      <c r="CE172" s="17">
        <f t="shared" si="186"/>
        <v>28.783963732400402</v>
      </c>
      <c r="CF172" s="17">
        <f t="shared" si="187"/>
        <v>34.158587136139303</v>
      </c>
      <c r="CG172" s="17">
        <f t="shared" si="188"/>
        <v>17.509584152597601</v>
      </c>
      <c r="CH172" s="17">
        <f t="shared" si="189"/>
        <v>17.509584152597601</v>
      </c>
      <c r="CI172" s="17">
        <f t="shared" si="190"/>
        <v>299.309130813634</v>
      </c>
      <c r="CJ172" s="17">
        <f t="shared" si="191"/>
        <v>299.309130813634</v>
      </c>
    </row>
    <row r="173" spans="2:88">
      <c r="B173" s="3">
        <v>178</v>
      </c>
      <c r="C173" s="3" t="s">
        <v>32</v>
      </c>
      <c r="D173" s="4">
        <v>5.4679519064678397</v>
      </c>
      <c r="E173" s="4">
        <v>10.3996756484429</v>
      </c>
      <c r="F173" s="4">
        <v>15.358312816360501</v>
      </c>
      <c r="G173" s="4">
        <v>-18.599203980460299</v>
      </c>
      <c r="H173" s="4">
        <v>8.0756180976158305</v>
      </c>
      <c r="I173" s="4" t="s">
        <v>22</v>
      </c>
      <c r="J173" s="4">
        <v>4.5978194318563999</v>
      </c>
      <c r="K173" s="4">
        <v>8.6393377520611008</v>
      </c>
      <c r="L173" s="4">
        <v>13.5605766933454</v>
      </c>
      <c r="M173" s="4">
        <v>-15.475974270231699</v>
      </c>
      <c r="N173" s="4">
        <v>6.77183369635629</v>
      </c>
      <c r="O173" s="4">
        <v>1.9</v>
      </c>
      <c r="P173" s="4">
        <v>1.9</v>
      </c>
      <c r="Q173" s="4">
        <v>0.22</v>
      </c>
      <c r="R173" s="4">
        <v>0.22</v>
      </c>
      <c r="S173" s="4">
        <v>0</v>
      </c>
      <c r="T173" s="4">
        <v>0</v>
      </c>
      <c r="U173" s="4">
        <v>0.3</v>
      </c>
      <c r="V173" s="4">
        <v>0.05</v>
      </c>
      <c r="W173" s="4">
        <v>1</v>
      </c>
      <c r="X173" s="4">
        <v>19.100000000000001</v>
      </c>
      <c r="Y173" s="4">
        <v>0</v>
      </c>
      <c r="Z173" s="4">
        <v>1.5</v>
      </c>
      <c r="AA173" s="4">
        <v>139</v>
      </c>
      <c r="AB173" s="4">
        <v>12.1</v>
      </c>
      <c r="AC173" s="4">
        <v>19.5</v>
      </c>
      <c r="AD173" s="3" t="s">
        <v>42</v>
      </c>
      <c r="AE173" s="3" t="s">
        <v>61</v>
      </c>
      <c r="AF173" s="17">
        <f>HLOOKUP(AD173,Data!$B$4:$M$9,2,0)</f>
        <v>13</v>
      </c>
      <c r="AG173" s="17">
        <f>HLOOKUP(AD173,Data!$B$4:$M$9,3,0)</f>
        <v>1</v>
      </c>
      <c r="AH173" s="17">
        <f>HLOOKUP(AE173,Data!$B$13:$I$18,3,0)</f>
        <v>260</v>
      </c>
      <c r="AI173" s="18">
        <f t="shared" si="141"/>
        <v>3.61</v>
      </c>
      <c r="AJ173" s="17">
        <f t="shared" si="142"/>
        <v>1.14316666666667</v>
      </c>
      <c r="AK173" s="17">
        <f t="shared" si="143"/>
        <v>1.14316666666667</v>
      </c>
      <c r="AL173" s="17">
        <f t="shared" si="144"/>
        <v>0.25</v>
      </c>
      <c r="AM173" s="17">
        <f t="shared" si="145"/>
        <v>0.84</v>
      </c>
      <c r="AN173" s="17">
        <f t="shared" si="146"/>
        <v>0.84</v>
      </c>
      <c r="AO173" s="17">
        <f t="shared" si="147"/>
        <v>0.84</v>
      </c>
      <c r="AP173" s="17">
        <f t="shared" si="148"/>
        <v>0.84</v>
      </c>
      <c r="AQ173" s="17">
        <f t="shared" si="149"/>
        <v>1.88</v>
      </c>
      <c r="AR173" s="17">
        <f t="shared" si="150"/>
        <v>3.0916000000000001</v>
      </c>
      <c r="AS173" s="17">
        <f t="shared" si="151"/>
        <v>15.358312816360501</v>
      </c>
      <c r="AT173" s="17">
        <f t="shared" si="152"/>
        <v>-21.7191066749931</v>
      </c>
      <c r="AU173" s="17">
        <f t="shared" si="153"/>
        <v>9.71600366955618</v>
      </c>
      <c r="AV173" s="17">
        <f t="shared" si="154"/>
        <v>13.5605766933454</v>
      </c>
      <c r="AW173" s="17">
        <f t="shared" si="155"/>
        <v>-18.067775595850101</v>
      </c>
      <c r="AX173" s="17">
        <f t="shared" si="156"/>
        <v>8.1511795259132107</v>
      </c>
      <c r="AY173" s="17">
        <f t="shared" si="157"/>
        <v>52.352654383784902</v>
      </c>
      <c r="AZ173" s="17">
        <f t="shared" si="158"/>
        <v>-2.6438938207042901</v>
      </c>
      <c r="BA173" s="17">
        <f t="shared" si="159"/>
        <v>24.854380281540301</v>
      </c>
      <c r="BB173" s="17">
        <f t="shared" si="160"/>
        <v>47.291766503562599</v>
      </c>
      <c r="BC173" s="17">
        <f t="shared" si="161"/>
        <v>1.4210183680969399</v>
      </c>
      <c r="BD173" s="17">
        <f t="shared" si="162"/>
        <v>24.3563924358298</v>
      </c>
      <c r="BE173" s="17" t="str">
        <f>IF(AND(BD173&lt;=AA173,BB173&lt;=AA173*MongDon!$J$44,BC173&gt;0),"Ok","FAIL")</f>
        <v>Ok</v>
      </c>
      <c r="BF173" s="17">
        <f t="shared" si="163"/>
        <v>161.85346629291001</v>
      </c>
      <c r="BG173" s="17">
        <f t="shared" si="164"/>
        <v>352.5</v>
      </c>
      <c r="BH173" s="17" t="str">
        <f t="shared" si="165"/>
        <v>Ok</v>
      </c>
      <c r="BI173" s="17">
        <f t="shared" si="166"/>
        <v>49.159720857788301</v>
      </c>
      <c r="BJ173" s="17">
        <f t="shared" si="167"/>
        <v>37.389365002041302</v>
      </c>
      <c r="BK173" s="17">
        <f t="shared" si="168"/>
        <v>6.5637997334250802</v>
      </c>
      <c r="BL173" s="17">
        <f t="shared" si="169"/>
        <v>18.334155589172099</v>
      </c>
      <c r="BM173" s="17">
        <f t="shared" si="170"/>
        <v>88.125</v>
      </c>
      <c r="BN173" s="17">
        <f t="shared" si="171"/>
        <v>88.125</v>
      </c>
      <c r="BO173" s="17">
        <f t="shared" si="172"/>
        <v>88.125</v>
      </c>
      <c r="BP173" s="17">
        <f t="shared" si="173"/>
        <v>88.125</v>
      </c>
      <c r="BQ173" s="17" t="str">
        <f t="shared" si="174"/>
        <v>Ok</v>
      </c>
      <c r="BR173" s="17">
        <f t="shared" si="175"/>
        <v>73.687536975644306</v>
      </c>
      <c r="BS173" s="17">
        <f t="shared" si="176"/>
        <v>7.0855610758088901</v>
      </c>
      <c r="BT173" s="16">
        <f>MongDon!$H$80</f>
        <v>1.2</v>
      </c>
      <c r="BU173" s="17" t="str">
        <f t="shared" si="177"/>
        <v>Ok</v>
      </c>
      <c r="BV173" s="17">
        <f t="shared" si="178"/>
        <v>3.6877136971642002</v>
      </c>
      <c r="BW173" s="16">
        <f>MongDon!$F$86</f>
        <v>1.5</v>
      </c>
      <c r="BX173" s="17" t="str">
        <f t="shared" si="179"/>
        <v>Ok</v>
      </c>
      <c r="BY173" s="17">
        <f t="shared" si="180"/>
        <v>35.354251696122901</v>
      </c>
      <c r="BZ173" s="17">
        <f t="shared" si="181"/>
        <v>52.352654383784902</v>
      </c>
      <c r="CA173" s="17">
        <f t="shared" si="182"/>
        <v>14.354508866957801</v>
      </c>
      <c r="CB173" s="17">
        <f t="shared" si="183"/>
        <v>-2.6438938207042901</v>
      </c>
      <c r="CC173" s="17">
        <f t="shared" si="184"/>
        <v>28.0383909670634</v>
      </c>
      <c r="CD173" s="17">
        <f t="shared" si="185"/>
        <v>26.070154866386702</v>
      </c>
      <c r="CE173" s="17">
        <f t="shared" si="186"/>
        <v>28.0383909670634</v>
      </c>
      <c r="CF173" s="17">
        <f t="shared" si="187"/>
        <v>23.638605696693901</v>
      </c>
      <c r="CG173" s="17">
        <f t="shared" si="188"/>
        <v>15.6106590887929</v>
      </c>
      <c r="CH173" s="17">
        <f t="shared" si="189"/>
        <v>15.6106590887929</v>
      </c>
      <c r="CI173" s="17">
        <f t="shared" si="190"/>
        <v>266.84887331269903</v>
      </c>
      <c r="CJ173" s="17">
        <f t="shared" si="191"/>
        <v>266.84887331269903</v>
      </c>
    </row>
    <row r="174" spans="2:88">
      <c r="B174" s="3">
        <v>282</v>
      </c>
      <c r="C174" s="3" t="s">
        <v>23</v>
      </c>
      <c r="D174" s="4">
        <v>1.2385669987196</v>
      </c>
      <c r="E174" s="4">
        <v>-1.4886429122454701</v>
      </c>
      <c r="F174" s="4">
        <v>21.846038558079901</v>
      </c>
      <c r="G174" s="4">
        <v>1.44368044141973</v>
      </c>
      <c r="H174" s="4">
        <v>1.27851469254968</v>
      </c>
      <c r="I174" s="4" t="s">
        <v>13</v>
      </c>
      <c r="J174" s="4">
        <v>1.05486377078188</v>
      </c>
      <c r="K174" s="4">
        <v>-1.26421351900538</v>
      </c>
      <c r="L174" s="4">
        <v>18.8857722473115</v>
      </c>
      <c r="M174" s="4">
        <v>1.22285146340204</v>
      </c>
      <c r="N174" s="4">
        <v>1.0889454903807601</v>
      </c>
      <c r="O174" s="4">
        <v>1.7</v>
      </c>
      <c r="P174" s="4">
        <v>1.7</v>
      </c>
      <c r="Q174" s="4">
        <v>0.22</v>
      </c>
      <c r="R174" s="4">
        <v>0.22</v>
      </c>
      <c r="S174" s="4">
        <v>0</v>
      </c>
      <c r="T174" s="4">
        <v>0</v>
      </c>
      <c r="U174" s="4">
        <v>0.3</v>
      </c>
      <c r="V174" s="4">
        <v>0.05</v>
      </c>
      <c r="W174" s="4">
        <v>1</v>
      </c>
      <c r="X174" s="4">
        <v>19.100000000000001</v>
      </c>
      <c r="Y174" s="4">
        <v>0</v>
      </c>
      <c r="Z174" s="4">
        <v>1.5</v>
      </c>
      <c r="AA174" s="4">
        <v>139</v>
      </c>
      <c r="AB174" s="4">
        <v>12.1</v>
      </c>
      <c r="AC174" s="4">
        <v>19.5</v>
      </c>
      <c r="AD174" s="3" t="s">
        <v>42</v>
      </c>
      <c r="AE174" s="3" t="s">
        <v>61</v>
      </c>
      <c r="AF174" s="17">
        <f>HLOOKUP(AD174,Data!$B$4:$M$9,2,0)</f>
        <v>13</v>
      </c>
      <c r="AG174" s="17">
        <f>HLOOKUP(AD174,Data!$B$4:$M$9,3,0)</f>
        <v>1</v>
      </c>
      <c r="AH174" s="17">
        <f>HLOOKUP(AE174,Data!$B$13:$I$18,3,0)</f>
        <v>260</v>
      </c>
      <c r="AI174" s="18">
        <f t="shared" si="141"/>
        <v>2.89</v>
      </c>
      <c r="AJ174" s="17">
        <f t="shared" si="142"/>
        <v>0.81883333333333397</v>
      </c>
      <c r="AK174" s="17">
        <f t="shared" si="143"/>
        <v>0.81883333333333397</v>
      </c>
      <c r="AL174" s="17">
        <f t="shared" si="144"/>
        <v>0.25</v>
      </c>
      <c r="AM174" s="17">
        <f t="shared" si="145"/>
        <v>0.74</v>
      </c>
      <c r="AN174" s="17">
        <f t="shared" si="146"/>
        <v>0.74</v>
      </c>
      <c r="AO174" s="17">
        <f t="shared" si="147"/>
        <v>0.74</v>
      </c>
      <c r="AP174" s="17">
        <f t="shared" si="148"/>
        <v>0.74</v>
      </c>
      <c r="AQ174" s="17">
        <f t="shared" si="149"/>
        <v>1.88</v>
      </c>
      <c r="AR174" s="17">
        <f t="shared" si="150"/>
        <v>2.3715999999999999</v>
      </c>
      <c r="AS174" s="17">
        <f t="shared" si="151"/>
        <v>21.846038558079901</v>
      </c>
      <c r="AT174" s="17">
        <f t="shared" si="152"/>
        <v>1.8902733150933699</v>
      </c>
      <c r="AU174" s="17">
        <f t="shared" si="153"/>
        <v>1.6500847921655599</v>
      </c>
      <c r="AV174" s="17">
        <f t="shared" si="154"/>
        <v>18.8857722473115</v>
      </c>
      <c r="AW174" s="17">
        <f t="shared" si="155"/>
        <v>1.60211551910365</v>
      </c>
      <c r="AX174" s="17">
        <f t="shared" si="156"/>
        <v>1.40540462161532</v>
      </c>
      <c r="AY174" s="17">
        <f t="shared" si="157"/>
        <v>32.4828443297964</v>
      </c>
      <c r="AZ174" s="17">
        <f t="shared" si="158"/>
        <v>23.835521454342</v>
      </c>
      <c r="BA174" s="17">
        <f t="shared" si="159"/>
        <v>28.1591828920692</v>
      </c>
      <c r="BB174" s="17">
        <f t="shared" si="160"/>
        <v>30.807802496385801</v>
      </c>
      <c r="BC174" s="17">
        <f t="shared" si="161"/>
        <v>23.461936083068601</v>
      </c>
      <c r="BD174" s="17">
        <f t="shared" si="162"/>
        <v>27.134869289727199</v>
      </c>
      <c r="BE174" s="17" t="str">
        <f>IF(AND(BD174&lt;=AA174,BB174&lt;=AA174*MongDon!$J$44,BC174&gt;0),"Ok","FAIL")</f>
        <v>Ok</v>
      </c>
      <c r="BF174" s="17">
        <f t="shared" si="163"/>
        <v>77.036313612545101</v>
      </c>
      <c r="BG174" s="17">
        <f t="shared" si="164"/>
        <v>352.5</v>
      </c>
      <c r="BH174" s="17" t="str">
        <f t="shared" si="165"/>
        <v>Ok</v>
      </c>
      <c r="BI174" s="17">
        <f t="shared" si="166"/>
        <v>21.533622343427702</v>
      </c>
      <c r="BJ174" s="17">
        <f t="shared" si="167"/>
        <v>25.135232321054499</v>
      </c>
      <c r="BK174" s="17">
        <f t="shared" si="168"/>
        <v>25.3795763547596</v>
      </c>
      <c r="BL174" s="17">
        <f t="shared" si="169"/>
        <v>21.777966377132799</v>
      </c>
      <c r="BM174" s="17">
        <f t="shared" si="170"/>
        <v>88.125</v>
      </c>
      <c r="BN174" s="17">
        <f t="shared" si="171"/>
        <v>88.125</v>
      </c>
      <c r="BO174" s="17">
        <f t="shared" si="172"/>
        <v>88.125</v>
      </c>
      <c r="BP174" s="17">
        <f t="shared" si="173"/>
        <v>88.125</v>
      </c>
      <c r="BQ174" s="17" t="str">
        <f t="shared" si="174"/>
        <v>Ok</v>
      </c>
      <c r="BR174" s="17">
        <f t="shared" si="175"/>
        <v>61.0383848602957</v>
      </c>
      <c r="BS174" s="17">
        <f t="shared" si="176"/>
        <v>41.0027041127179</v>
      </c>
      <c r="BT174" s="16">
        <f>MongDon!$H$80</f>
        <v>1.2</v>
      </c>
      <c r="BU174" s="17" t="str">
        <f t="shared" si="177"/>
        <v>Ok</v>
      </c>
      <c r="BV174" s="17">
        <f t="shared" si="178"/>
        <v>34.644875030219097</v>
      </c>
      <c r="BW174" s="16">
        <f>MongDon!$F$86</f>
        <v>1.5</v>
      </c>
      <c r="BX174" s="17" t="str">
        <f t="shared" si="179"/>
        <v>Ok</v>
      </c>
      <c r="BY174" s="17">
        <f t="shared" si="180"/>
        <v>23.835521454342</v>
      </c>
      <c r="BZ174" s="17">
        <f t="shared" si="181"/>
        <v>27.865852719553999</v>
      </c>
      <c r="CA174" s="17">
        <f t="shared" si="182"/>
        <v>32.4828443297964</v>
      </c>
      <c r="CB174" s="17">
        <f t="shared" si="183"/>
        <v>28.452513064584299</v>
      </c>
      <c r="CC174" s="17">
        <f t="shared" si="184"/>
        <v>28.718715548716201</v>
      </c>
      <c r="CD174" s="17">
        <f t="shared" si="185"/>
        <v>28.1971432673358</v>
      </c>
      <c r="CE174" s="17">
        <f t="shared" si="186"/>
        <v>28.121222516802501</v>
      </c>
      <c r="CF174" s="17">
        <f t="shared" si="187"/>
        <v>28.718715548716201</v>
      </c>
      <c r="CG174" s="17">
        <f t="shared" si="188"/>
        <v>8.5502632907450007</v>
      </c>
      <c r="CH174" s="17">
        <f t="shared" si="189"/>
        <v>8.5502632907450007</v>
      </c>
      <c r="CI174" s="17">
        <f t="shared" si="190"/>
        <v>250</v>
      </c>
      <c r="CJ174" s="17">
        <f t="shared" si="191"/>
        <v>250</v>
      </c>
    </row>
    <row r="175" spans="2:88">
      <c r="B175" s="3">
        <v>282</v>
      </c>
      <c r="C175" s="3" t="s">
        <v>24</v>
      </c>
      <c r="D175" s="4">
        <v>1.39500070043869</v>
      </c>
      <c r="E175" s="4">
        <v>-1.68465899492458</v>
      </c>
      <c r="F175" s="4">
        <v>23.989416730154399</v>
      </c>
      <c r="G175" s="4">
        <v>1.64076810477472</v>
      </c>
      <c r="H175" s="4">
        <v>1.43986399881136</v>
      </c>
      <c r="I175" s="4" t="s">
        <v>14</v>
      </c>
      <c r="J175" s="4">
        <v>1.1852251888811101</v>
      </c>
      <c r="K175" s="4">
        <v>-1.4275602545713</v>
      </c>
      <c r="L175" s="4">
        <v>20.671920724040302</v>
      </c>
      <c r="M175" s="4">
        <v>1.38709118286452</v>
      </c>
      <c r="N175" s="4">
        <v>1.22340324559883</v>
      </c>
      <c r="O175" s="4">
        <v>1.7</v>
      </c>
      <c r="P175" s="4">
        <v>1.7</v>
      </c>
      <c r="Q175" s="4">
        <v>0.22</v>
      </c>
      <c r="R175" s="4">
        <v>0.22</v>
      </c>
      <c r="S175" s="4">
        <v>0</v>
      </c>
      <c r="T175" s="4">
        <v>0</v>
      </c>
      <c r="U175" s="4">
        <v>0.3</v>
      </c>
      <c r="V175" s="4">
        <v>0.05</v>
      </c>
      <c r="W175" s="4">
        <v>1</v>
      </c>
      <c r="X175" s="4">
        <v>19.100000000000001</v>
      </c>
      <c r="Y175" s="4">
        <v>0</v>
      </c>
      <c r="Z175" s="4">
        <v>1.5</v>
      </c>
      <c r="AA175" s="4">
        <v>139</v>
      </c>
      <c r="AB175" s="4">
        <v>12.1</v>
      </c>
      <c r="AC175" s="4">
        <v>19.5</v>
      </c>
      <c r="AD175" s="3" t="s">
        <v>42</v>
      </c>
      <c r="AE175" s="3" t="s">
        <v>61</v>
      </c>
      <c r="AF175" s="17">
        <f>HLOOKUP(AD175,Data!$B$4:$M$9,2,0)</f>
        <v>13</v>
      </c>
      <c r="AG175" s="17">
        <f>HLOOKUP(AD175,Data!$B$4:$M$9,3,0)</f>
        <v>1</v>
      </c>
      <c r="AH175" s="17">
        <f>HLOOKUP(AE175,Data!$B$13:$I$18,3,0)</f>
        <v>260</v>
      </c>
      <c r="AI175" s="18">
        <f t="shared" si="141"/>
        <v>2.89</v>
      </c>
      <c r="AJ175" s="17">
        <f t="shared" si="142"/>
        <v>0.81883333333333397</v>
      </c>
      <c r="AK175" s="17">
        <f t="shared" si="143"/>
        <v>0.81883333333333397</v>
      </c>
      <c r="AL175" s="17">
        <f t="shared" si="144"/>
        <v>0.25</v>
      </c>
      <c r="AM175" s="17">
        <f t="shared" si="145"/>
        <v>0.74</v>
      </c>
      <c r="AN175" s="17">
        <f t="shared" si="146"/>
        <v>0.74</v>
      </c>
      <c r="AO175" s="17">
        <f t="shared" si="147"/>
        <v>0.74</v>
      </c>
      <c r="AP175" s="17">
        <f t="shared" si="148"/>
        <v>0.74</v>
      </c>
      <c r="AQ175" s="17">
        <f t="shared" si="149"/>
        <v>1.88</v>
      </c>
      <c r="AR175" s="17">
        <f t="shared" si="150"/>
        <v>2.3715999999999999</v>
      </c>
      <c r="AS175" s="17">
        <f t="shared" si="151"/>
        <v>23.989416730154399</v>
      </c>
      <c r="AT175" s="17">
        <f t="shared" si="152"/>
        <v>2.1461658032520901</v>
      </c>
      <c r="AU175" s="17">
        <f t="shared" si="153"/>
        <v>1.8583642089429699</v>
      </c>
      <c r="AV175" s="17">
        <f t="shared" si="154"/>
        <v>20.671920724040302</v>
      </c>
      <c r="AW175" s="17">
        <f t="shared" si="155"/>
        <v>1.81535925923591</v>
      </c>
      <c r="AX175" s="17">
        <f t="shared" si="156"/>
        <v>1.5789708022631599</v>
      </c>
      <c r="AY175" s="17">
        <f t="shared" si="157"/>
        <v>33.791367497340303</v>
      </c>
      <c r="AZ175" s="17">
        <f t="shared" si="158"/>
        <v>24.010304980275201</v>
      </c>
      <c r="BA175" s="17">
        <f t="shared" si="159"/>
        <v>28.900836238807798</v>
      </c>
      <c r="BB175" s="17">
        <f t="shared" si="160"/>
        <v>31.898238469339098</v>
      </c>
      <c r="BC175" s="17">
        <f t="shared" si="161"/>
        <v>23.6075890213462</v>
      </c>
      <c r="BD175" s="17">
        <f t="shared" si="162"/>
        <v>27.752913745342699</v>
      </c>
      <c r="BE175" s="17" t="str">
        <f>IF(AND(BD175&lt;=AA175,BB175&lt;=AA175*MongDon!$J$44,BC175&gt;0),"Ok","FAIL")</f>
        <v>Ok</v>
      </c>
      <c r="BF175" s="17">
        <f t="shared" si="163"/>
        <v>80.139607156692307</v>
      </c>
      <c r="BG175" s="17">
        <f t="shared" si="164"/>
        <v>352.5</v>
      </c>
      <c r="BH175" s="17" t="str">
        <f t="shared" si="165"/>
        <v>Ok</v>
      </c>
      <c r="BI175" s="17">
        <f t="shared" si="166"/>
        <v>21.891099887424701</v>
      </c>
      <c r="BJ175" s="17">
        <f t="shared" si="167"/>
        <v>25.964912425782401</v>
      </c>
      <c r="BK175" s="17">
        <f t="shared" si="168"/>
        <v>26.257693286428999</v>
      </c>
      <c r="BL175" s="17">
        <f t="shared" si="169"/>
        <v>22.183880748071399</v>
      </c>
      <c r="BM175" s="17">
        <f t="shared" si="170"/>
        <v>88.125</v>
      </c>
      <c r="BN175" s="17">
        <f t="shared" si="171"/>
        <v>88.125</v>
      </c>
      <c r="BO175" s="17">
        <f t="shared" si="172"/>
        <v>88.125</v>
      </c>
      <c r="BP175" s="17">
        <f t="shared" si="173"/>
        <v>88.125</v>
      </c>
      <c r="BQ175" s="17" t="str">
        <f t="shared" si="174"/>
        <v>Ok</v>
      </c>
      <c r="BR175" s="17">
        <f t="shared" si="175"/>
        <v>61.497885325530902</v>
      </c>
      <c r="BS175" s="17">
        <f t="shared" si="176"/>
        <v>36.504649018470403</v>
      </c>
      <c r="BT175" s="16">
        <f>MongDon!$H$80</f>
        <v>1.2</v>
      </c>
      <c r="BU175" s="17" t="str">
        <f t="shared" si="177"/>
        <v>Ok</v>
      </c>
      <c r="BV175" s="17">
        <f t="shared" si="178"/>
        <v>31.362979560403101</v>
      </c>
      <c r="BW175" s="16">
        <f>MongDon!$F$86</f>
        <v>1.5</v>
      </c>
      <c r="BX175" s="17" t="str">
        <f t="shared" si="179"/>
        <v>Ok</v>
      </c>
      <c r="BY175" s="17">
        <f t="shared" si="180"/>
        <v>24.010304980275201</v>
      </c>
      <c r="BZ175" s="17">
        <f t="shared" si="181"/>
        <v>28.5493586149822</v>
      </c>
      <c r="CA175" s="17">
        <f t="shared" si="182"/>
        <v>33.791367497340303</v>
      </c>
      <c r="CB175" s="17">
        <f t="shared" si="183"/>
        <v>29.252313862633301</v>
      </c>
      <c r="CC175" s="17">
        <f t="shared" si="184"/>
        <v>29.533728519323699</v>
      </c>
      <c r="CD175" s="17">
        <f t="shared" si="185"/>
        <v>28.946321578361601</v>
      </c>
      <c r="CE175" s="17">
        <f t="shared" si="186"/>
        <v>28.855350899253899</v>
      </c>
      <c r="CF175" s="17">
        <f t="shared" si="187"/>
        <v>29.533728519323699</v>
      </c>
      <c r="CG175" s="17">
        <f t="shared" si="188"/>
        <v>8.86349590337813</v>
      </c>
      <c r="CH175" s="17">
        <f t="shared" si="189"/>
        <v>8.86349590337813</v>
      </c>
      <c r="CI175" s="17">
        <f t="shared" si="190"/>
        <v>250</v>
      </c>
      <c r="CJ175" s="17">
        <f t="shared" si="191"/>
        <v>250</v>
      </c>
    </row>
    <row r="176" spans="2:88">
      <c r="B176" s="3">
        <v>282</v>
      </c>
      <c r="C176" s="3" t="s">
        <v>25</v>
      </c>
      <c r="D176" s="4">
        <v>-2.6317333948387298</v>
      </c>
      <c r="E176" s="4">
        <v>-2.0633518989161002</v>
      </c>
      <c r="F176" s="4">
        <v>20.629441363535999</v>
      </c>
      <c r="G176" s="4">
        <v>2.3177203248136702</v>
      </c>
      <c r="H176" s="4">
        <v>-5.3326933702846997</v>
      </c>
      <c r="I176" s="4" t="s">
        <v>15</v>
      </c>
      <c r="J176" s="4">
        <v>-2.1703865571834098</v>
      </c>
      <c r="K176" s="4">
        <v>-1.74313767456424</v>
      </c>
      <c r="L176" s="4">
        <v>17.871941251858299</v>
      </c>
      <c r="M176" s="4">
        <v>1.9512180328969799</v>
      </c>
      <c r="N176" s="4">
        <v>-4.4203945619812197</v>
      </c>
      <c r="O176" s="4">
        <v>1.7</v>
      </c>
      <c r="P176" s="4">
        <v>1.7</v>
      </c>
      <c r="Q176" s="4">
        <v>0.22</v>
      </c>
      <c r="R176" s="4">
        <v>0.22</v>
      </c>
      <c r="S176" s="4">
        <v>0</v>
      </c>
      <c r="T176" s="4">
        <v>0</v>
      </c>
      <c r="U176" s="4">
        <v>0.3</v>
      </c>
      <c r="V176" s="4">
        <v>0.05</v>
      </c>
      <c r="W176" s="4">
        <v>1</v>
      </c>
      <c r="X176" s="4">
        <v>19.100000000000001</v>
      </c>
      <c r="Y176" s="4">
        <v>0</v>
      </c>
      <c r="Z176" s="4">
        <v>1.5</v>
      </c>
      <c r="AA176" s="4">
        <v>139</v>
      </c>
      <c r="AB176" s="4">
        <v>12.1</v>
      </c>
      <c r="AC176" s="4">
        <v>19.5</v>
      </c>
      <c r="AD176" s="3" t="s">
        <v>42</v>
      </c>
      <c r="AE176" s="3" t="s">
        <v>61</v>
      </c>
      <c r="AF176" s="17">
        <f>HLOOKUP(AD176,Data!$B$4:$M$9,2,0)</f>
        <v>13</v>
      </c>
      <c r="AG176" s="17">
        <f>HLOOKUP(AD176,Data!$B$4:$M$9,3,0)</f>
        <v>1</v>
      </c>
      <c r="AH176" s="17">
        <f>HLOOKUP(AE176,Data!$B$13:$I$18,3,0)</f>
        <v>260</v>
      </c>
      <c r="AI176" s="18">
        <f t="shared" si="141"/>
        <v>2.89</v>
      </c>
      <c r="AJ176" s="17">
        <f t="shared" si="142"/>
        <v>0.81883333333333397</v>
      </c>
      <c r="AK176" s="17">
        <f t="shared" si="143"/>
        <v>0.81883333333333397</v>
      </c>
      <c r="AL176" s="17">
        <f t="shared" si="144"/>
        <v>0.25</v>
      </c>
      <c r="AM176" s="17">
        <f t="shared" si="145"/>
        <v>0.74</v>
      </c>
      <c r="AN176" s="17">
        <f t="shared" si="146"/>
        <v>0.74</v>
      </c>
      <c r="AO176" s="17">
        <f t="shared" si="147"/>
        <v>0.74</v>
      </c>
      <c r="AP176" s="17">
        <f t="shared" si="148"/>
        <v>0.74</v>
      </c>
      <c r="AQ176" s="17">
        <f t="shared" si="149"/>
        <v>1.88</v>
      </c>
      <c r="AR176" s="17">
        <f t="shared" si="150"/>
        <v>2.3715999999999999</v>
      </c>
      <c r="AS176" s="17">
        <f t="shared" si="151"/>
        <v>20.629441363535999</v>
      </c>
      <c r="AT176" s="17">
        <f t="shared" si="152"/>
        <v>2.9367258944885002</v>
      </c>
      <c r="AU176" s="17">
        <f t="shared" si="153"/>
        <v>-6.1222133887363199</v>
      </c>
      <c r="AV176" s="17">
        <f t="shared" si="154"/>
        <v>17.871941251858299</v>
      </c>
      <c r="AW176" s="17">
        <f t="shared" si="155"/>
        <v>2.4741593352662501</v>
      </c>
      <c r="AX176" s="17">
        <f t="shared" si="156"/>
        <v>-5.0715105291362397</v>
      </c>
      <c r="AY176" s="17">
        <f t="shared" si="157"/>
        <v>38.801442299483</v>
      </c>
      <c r="AZ176" s="17">
        <f t="shared" si="158"/>
        <v>16.674987709884501</v>
      </c>
      <c r="BA176" s="17">
        <f t="shared" si="159"/>
        <v>27.738215004683699</v>
      </c>
      <c r="BB176" s="17">
        <f t="shared" si="160"/>
        <v>35.999210118985097</v>
      </c>
      <c r="BC176" s="17">
        <f t="shared" si="161"/>
        <v>17.5689153148268</v>
      </c>
      <c r="BD176" s="17">
        <f t="shared" si="162"/>
        <v>26.784062716906</v>
      </c>
      <c r="BE176" s="17" t="str">
        <f>IF(AND(BD176&lt;=AA176,BB176&lt;=AA176*MongDon!$J$44,BC176&gt;0),"Ok","FAIL")</f>
        <v>Ok</v>
      </c>
      <c r="BF176" s="17">
        <f t="shared" si="163"/>
        <v>92.021500557454004</v>
      </c>
      <c r="BG176" s="17">
        <f t="shared" si="164"/>
        <v>352.5</v>
      </c>
      <c r="BH176" s="17" t="str">
        <f t="shared" si="165"/>
        <v>Ok</v>
      </c>
      <c r="BI176" s="17">
        <f t="shared" si="166"/>
        <v>20.118398797933999</v>
      </c>
      <c r="BJ176" s="17">
        <f t="shared" si="167"/>
        <v>16.8777990633013</v>
      </c>
      <c r="BK176" s="17">
        <f t="shared" si="168"/>
        <v>26.093467399869098</v>
      </c>
      <c r="BL176" s="17">
        <f t="shared" si="169"/>
        <v>29.334067134501801</v>
      </c>
      <c r="BM176" s="17">
        <f t="shared" si="170"/>
        <v>88.125</v>
      </c>
      <c r="BN176" s="17">
        <f t="shared" si="171"/>
        <v>88.125</v>
      </c>
      <c r="BO176" s="17">
        <f t="shared" si="172"/>
        <v>88.125</v>
      </c>
      <c r="BP176" s="17">
        <f t="shared" si="173"/>
        <v>88.125</v>
      </c>
      <c r="BQ176" s="17" t="str">
        <f t="shared" si="174"/>
        <v>Ok</v>
      </c>
      <c r="BR176" s="17">
        <f t="shared" si="175"/>
        <v>60.777569020991201</v>
      </c>
      <c r="BS176" s="17">
        <f t="shared" si="176"/>
        <v>23.094120833130798</v>
      </c>
      <c r="BT176" s="16">
        <f>MongDon!$H$80</f>
        <v>1.2</v>
      </c>
      <c r="BU176" s="17" t="str">
        <f t="shared" si="177"/>
        <v>Ok</v>
      </c>
      <c r="BV176" s="17">
        <f t="shared" si="178"/>
        <v>10.527920388660201</v>
      </c>
      <c r="BW176" s="16">
        <f>MongDon!$F$86</f>
        <v>1.5</v>
      </c>
      <c r="BX176" s="17" t="str">
        <f t="shared" si="179"/>
        <v>Ok</v>
      </c>
      <c r="BY176" s="17">
        <f t="shared" si="180"/>
        <v>31.628490796559799</v>
      </c>
      <c r="BZ176" s="17">
        <f t="shared" si="181"/>
        <v>16.674987709884501</v>
      </c>
      <c r="CA176" s="17">
        <f t="shared" si="182"/>
        <v>23.847939212807699</v>
      </c>
      <c r="CB176" s="17">
        <f t="shared" si="183"/>
        <v>38.801442299483</v>
      </c>
      <c r="CC176" s="17">
        <f t="shared" si="184"/>
        <v>27.2347675492645</v>
      </c>
      <c r="CD176" s="17">
        <f t="shared" si="185"/>
        <v>29.169926772246001</v>
      </c>
      <c r="CE176" s="17">
        <f t="shared" si="186"/>
        <v>28.241662460103001</v>
      </c>
      <c r="CF176" s="17">
        <f t="shared" si="187"/>
        <v>29.169926772246001</v>
      </c>
      <c r="CG176" s="17">
        <f t="shared" si="188"/>
        <v>9.7447985844792893</v>
      </c>
      <c r="CH176" s="17">
        <f t="shared" si="189"/>
        <v>9.7447985844792893</v>
      </c>
      <c r="CI176" s="17">
        <f t="shared" si="190"/>
        <v>250</v>
      </c>
      <c r="CJ176" s="17">
        <f t="shared" si="191"/>
        <v>250</v>
      </c>
    </row>
    <row r="177" spans="2:88">
      <c r="B177" s="3">
        <v>282</v>
      </c>
      <c r="C177" s="3" t="s">
        <v>26</v>
      </c>
      <c r="D177" s="4">
        <v>5.39044805537229</v>
      </c>
      <c r="E177" s="4">
        <v>-1.2667628743972299</v>
      </c>
      <c r="F177" s="4">
        <v>26.920716462357898</v>
      </c>
      <c r="G177" s="4">
        <v>0.92439835206476895</v>
      </c>
      <c r="H177" s="4">
        <v>8.1801515066550898</v>
      </c>
      <c r="I177" s="4" t="s">
        <v>16</v>
      </c>
      <c r="J177" s="4">
        <v>4.5147646513257804</v>
      </c>
      <c r="K177" s="4">
        <v>-1.07931348746518</v>
      </c>
      <c r="L177" s="4">
        <v>23.1146705008765</v>
      </c>
      <c r="M177" s="4">
        <v>0.79011638893956704</v>
      </c>
      <c r="N177" s="4">
        <v>6.8403095021352698</v>
      </c>
      <c r="O177" s="4">
        <v>1.7</v>
      </c>
      <c r="P177" s="4">
        <v>1.7</v>
      </c>
      <c r="Q177" s="4">
        <v>0.22</v>
      </c>
      <c r="R177" s="4">
        <v>0.22</v>
      </c>
      <c r="S177" s="4">
        <v>0</v>
      </c>
      <c r="T177" s="4">
        <v>0</v>
      </c>
      <c r="U177" s="4">
        <v>0.3</v>
      </c>
      <c r="V177" s="4">
        <v>0.05</v>
      </c>
      <c r="W177" s="4">
        <v>1</v>
      </c>
      <c r="X177" s="4">
        <v>19.100000000000001</v>
      </c>
      <c r="Y177" s="4">
        <v>0</v>
      </c>
      <c r="Z177" s="4">
        <v>1.5</v>
      </c>
      <c r="AA177" s="4">
        <v>139</v>
      </c>
      <c r="AB177" s="4">
        <v>12.1</v>
      </c>
      <c r="AC177" s="4">
        <v>19.5</v>
      </c>
      <c r="AD177" s="3" t="s">
        <v>42</v>
      </c>
      <c r="AE177" s="3" t="s">
        <v>61</v>
      </c>
      <c r="AF177" s="17">
        <f>HLOOKUP(AD177,Data!$B$4:$M$9,2,0)</f>
        <v>13</v>
      </c>
      <c r="AG177" s="17">
        <f>HLOOKUP(AD177,Data!$B$4:$M$9,3,0)</f>
        <v>1</v>
      </c>
      <c r="AH177" s="17">
        <f>HLOOKUP(AE177,Data!$B$13:$I$18,3,0)</f>
        <v>260</v>
      </c>
      <c r="AI177" s="18">
        <f t="shared" si="141"/>
        <v>2.89</v>
      </c>
      <c r="AJ177" s="17">
        <f t="shared" si="142"/>
        <v>0.81883333333333397</v>
      </c>
      <c r="AK177" s="17">
        <f t="shared" si="143"/>
        <v>0.81883333333333397</v>
      </c>
      <c r="AL177" s="17">
        <f t="shared" si="144"/>
        <v>0.25</v>
      </c>
      <c r="AM177" s="17">
        <f t="shared" si="145"/>
        <v>0.74</v>
      </c>
      <c r="AN177" s="17">
        <f t="shared" si="146"/>
        <v>0.74</v>
      </c>
      <c r="AO177" s="17">
        <f t="shared" si="147"/>
        <v>0.74</v>
      </c>
      <c r="AP177" s="17">
        <f t="shared" si="148"/>
        <v>0.74</v>
      </c>
      <c r="AQ177" s="17">
        <f t="shared" si="149"/>
        <v>1.88</v>
      </c>
      <c r="AR177" s="17">
        <f t="shared" si="150"/>
        <v>2.3715999999999999</v>
      </c>
      <c r="AS177" s="17">
        <f t="shared" si="151"/>
        <v>26.920716462357898</v>
      </c>
      <c r="AT177" s="17">
        <f t="shared" si="152"/>
        <v>1.3044272143839399</v>
      </c>
      <c r="AU177" s="17">
        <f t="shared" si="153"/>
        <v>9.7972859232667808</v>
      </c>
      <c r="AV177" s="17">
        <f t="shared" si="154"/>
        <v>23.1146705008765</v>
      </c>
      <c r="AW177" s="17">
        <f t="shared" si="155"/>
        <v>1.11391043517912</v>
      </c>
      <c r="AX177" s="17">
        <f t="shared" si="156"/>
        <v>8.194738897533</v>
      </c>
      <c r="AY177" s="17">
        <f t="shared" si="157"/>
        <v>43.473091148364098</v>
      </c>
      <c r="AZ177" s="17">
        <f t="shared" si="158"/>
        <v>16.357162458804002</v>
      </c>
      <c r="BA177" s="17">
        <f t="shared" si="159"/>
        <v>29.915126803583998</v>
      </c>
      <c r="BB177" s="17">
        <f t="shared" si="160"/>
        <v>39.9663415118589</v>
      </c>
      <c r="BC177" s="17">
        <f t="shared" si="161"/>
        <v>17.229970253453601</v>
      </c>
      <c r="BD177" s="17">
        <f t="shared" si="162"/>
        <v>28.598155882656201</v>
      </c>
      <c r="BE177" s="17" t="str">
        <f>IF(AND(BD177&lt;=AA177,BB177&lt;=AA177*MongDon!$J$44,BC177&gt;0),"Ok","FAIL")</f>
        <v>Ok</v>
      </c>
      <c r="BF177" s="17">
        <f t="shared" si="163"/>
        <v>103.10078296746001</v>
      </c>
      <c r="BG177" s="17">
        <f t="shared" si="164"/>
        <v>352.5</v>
      </c>
      <c r="BH177" s="17" t="str">
        <f t="shared" si="165"/>
        <v>Ok</v>
      </c>
      <c r="BI177" s="17">
        <f t="shared" si="166"/>
        <v>23.592305468116098</v>
      </c>
      <c r="BJ177" s="17">
        <f t="shared" si="167"/>
        <v>34.886089767317799</v>
      </c>
      <c r="BK177" s="17">
        <f t="shared" si="168"/>
        <v>26.246295786655001</v>
      </c>
      <c r="BL177" s="17">
        <f t="shared" si="169"/>
        <v>14.952511487453201</v>
      </c>
      <c r="BM177" s="17">
        <f t="shared" si="170"/>
        <v>88.125</v>
      </c>
      <c r="BN177" s="17">
        <f t="shared" si="171"/>
        <v>88.125</v>
      </c>
      <c r="BO177" s="17">
        <f t="shared" si="172"/>
        <v>88.125</v>
      </c>
      <c r="BP177" s="17">
        <f t="shared" si="173"/>
        <v>88.125</v>
      </c>
      <c r="BQ177" s="17" t="str">
        <f t="shared" si="174"/>
        <v>Ok</v>
      </c>
      <c r="BR177" s="17">
        <f t="shared" si="175"/>
        <v>62.126301537023501</v>
      </c>
      <c r="BS177" s="17">
        <f t="shared" si="176"/>
        <v>11.5252574366441</v>
      </c>
      <c r="BT177" s="16">
        <f>MongDon!$H$80</f>
        <v>1.2</v>
      </c>
      <c r="BU177" s="17" t="str">
        <f t="shared" si="177"/>
        <v>Ok</v>
      </c>
      <c r="BV177" s="17">
        <f t="shared" si="178"/>
        <v>7.1246016029028798</v>
      </c>
      <c r="BW177" s="16">
        <f>MongDon!$F$86</f>
        <v>1.5</v>
      </c>
      <c r="BX177" s="17" t="str">
        <f t="shared" si="179"/>
        <v>Ok</v>
      </c>
      <c r="BY177" s="17">
        <f t="shared" si="180"/>
        <v>16.357162458804002</v>
      </c>
      <c r="BZ177" s="17">
        <f t="shared" si="181"/>
        <v>40.287028340994397</v>
      </c>
      <c r="CA177" s="17">
        <f t="shared" si="182"/>
        <v>43.473091148364098</v>
      </c>
      <c r="CB177" s="17">
        <f t="shared" si="183"/>
        <v>19.5432252661737</v>
      </c>
      <c r="CC177" s="17">
        <f t="shared" si="184"/>
        <v>31.669686895261499</v>
      </c>
      <c r="CD177" s="17">
        <f t="shared" si="185"/>
        <v>28.5728807222721</v>
      </c>
      <c r="CE177" s="17">
        <f t="shared" si="186"/>
        <v>31.257372884896</v>
      </c>
      <c r="CF177" s="17">
        <f t="shared" si="187"/>
        <v>31.669686895261499</v>
      </c>
      <c r="CG177" s="17">
        <f t="shared" si="188"/>
        <v>10.8256749949223</v>
      </c>
      <c r="CH177" s="17">
        <f t="shared" si="189"/>
        <v>10.8256749949223</v>
      </c>
      <c r="CI177" s="17">
        <f t="shared" si="190"/>
        <v>250</v>
      </c>
      <c r="CJ177" s="17">
        <f t="shared" si="191"/>
        <v>250</v>
      </c>
    </row>
    <row r="178" spans="2:88">
      <c r="B178" s="3">
        <v>282</v>
      </c>
      <c r="C178" s="3" t="s">
        <v>27</v>
      </c>
      <c r="D178" s="4">
        <v>-1.7882895218964401</v>
      </c>
      <c r="E178" s="4">
        <v>-8.7348581813587298</v>
      </c>
      <c r="F178" s="4">
        <v>29.123368979365502</v>
      </c>
      <c r="G178" s="4">
        <v>13.397706321234301</v>
      </c>
      <c r="H178" s="4">
        <v>-4.04908354053339</v>
      </c>
      <c r="I178" s="4" t="s">
        <v>17</v>
      </c>
      <c r="J178" s="4">
        <v>-1.46751666306483</v>
      </c>
      <c r="K178" s="4">
        <v>-7.3027262432664299</v>
      </c>
      <c r="L178" s="4">
        <v>24.9502142650495</v>
      </c>
      <c r="M178" s="4">
        <v>11.184539696580901</v>
      </c>
      <c r="N178" s="4">
        <v>-3.35071970385513</v>
      </c>
      <c r="O178" s="4">
        <v>1.7</v>
      </c>
      <c r="P178" s="4">
        <v>1.7</v>
      </c>
      <c r="Q178" s="4">
        <v>0.22</v>
      </c>
      <c r="R178" s="4">
        <v>0.22</v>
      </c>
      <c r="S178" s="4">
        <v>0</v>
      </c>
      <c r="T178" s="4">
        <v>0</v>
      </c>
      <c r="U178" s="4">
        <v>0.3</v>
      </c>
      <c r="V178" s="4">
        <v>0.05</v>
      </c>
      <c r="W178" s="4">
        <v>1</v>
      </c>
      <c r="X178" s="4">
        <v>19.100000000000001</v>
      </c>
      <c r="Y178" s="4">
        <v>0</v>
      </c>
      <c r="Z178" s="4">
        <v>1.5</v>
      </c>
      <c r="AA178" s="4">
        <v>139</v>
      </c>
      <c r="AB178" s="4">
        <v>12.1</v>
      </c>
      <c r="AC178" s="4">
        <v>19.5</v>
      </c>
      <c r="AD178" s="3" t="s">
        <v>42</v>
      </c>
      <c r="AE178" s="3" t="s">
        <v>61</v>
      </c>
      <c r="AF178" s="17">
        <f>HLOOKUP(AD178,Data!$B$4:$M$9,2,0)</f>
        <v>13</v>
      </c>
      <c r="AG178" s="17">
        <f>HLOOKUP(AD178,Data!$B$4:$M$9,3,0)</f>
        <v>1</v>
      </c>
      <c r="AH178" s="17">
        <f>HLOOKUP(AE178,Data!$B$13:$I$18,3,0)</f>
        <v>260</v>
      </c>
      <c r="AI178" s="18">
        <f t="shared" si="141"/>
        <v>2.89</v>
      </c>
      <c r="AJ178" s="17">
        <f t="shared" si="142"/>
        <v>0.81883333333333397</v>
      </c>
      <c r="AK178" s="17">
        <f t="shared" si="143"/>
        <v>0.81883333333333397</v>
      </c>
      <c r="AL178" s="17">
        <f t="shared" si="144"/>
        <v>0.25</v>
      </c>
      <c r="AM178" s="17">
        <f t="shared" si="145"/>
        <v>0.74</v>
      </c>
      <c r="AN178" s="17">
        <f t="shared" si="146"/>
        <v>0.74</v>
      </c>
      <c r="AO178" s="17">
        <f t="shared" si="147"/>
        <v>0.74</v>
      </c>
      <c r="AP178" s="17">
        <f t="shared" si="148"/>
        <v>0.74</v>
      </c>
      <c r="AQ178" s="17">
        <f t="shared" si="149"/>
        <v>1.88</v>
      </c>
      <c r="AR178" s="17">
        <f t="shared" si="150"/>
        <v>2.3715999999999999</v>
      </c>
      <c r="AS178" s="17">
        <f t="shared" si="151"/>
        <v>29.123368979365502</v>
      </c>
      <c r="AT178" s="17">
        <f t="shared" si="152"/>
        <v>16.018163775641899</v>
      </c>
      <c r="AU178" s="17">
        <f t="shared" si="153"/>
        <v>-4.5855703971023196</v>
      </c>
      <c r="AV178" s="17">
        <f t="shared" si="154"/>
        <v>24.9502142650495</v>
      </c>
      <c r="AW178" s="17">
        <f t="shared" si="155"/>
        <v>13.3753575695608</v>
      </c>
      <c r="AX178" s="17">
        <f t="shared" si="156"/>
        <v>-3.7909747027745802</v>
      </c>
      <c r="AY178" s="17">
        <f t="shared" si="157"/>
        <v>55.8395954205957</v>
      </c>
      <c r="AZ178" s="17">
        <f t="shared" si="158"/>
        <v>5.5149851879616802</v>
      </c>
      <c r="BA178" s="17">
        <f t="shared" si="159"/>
        <v>30.677290304278699</v>
      </c>
      <c r="BB178" s="17">
        <f t="shared" si="160"/>
        <v>50.197671053245699</v>
      </c>
      <c r="BC178" s="17">
        <f t="shared" si="161"/>
        <v>8.26891321322449</v>
      </c>
      <c r="BD178" s="17">
        <f t="shared" si="162"/>
        <v>29.2332921332351</v>
      </c>
      <c r="BE178" s="17" t="str">
        <f>IF(AND(BD178&lt;=AA178,BB178&lt;=AA178*MongDon!$J$44,BC178&gt;0),"Ok","FAIL")</f>
        <v>Ok</v>
      </c>
      <c r="BF178" s="17">
        <f t="shared" si="163"/>
        <v>132.42918449948499</v>
      </c>
      <c r="BG178" s="17">
        <f t="shared" si="164"/>
        <v>352.5</v>
      </c>
      <c r="BH178" s="17" t="str">
        <f t="shared" si="165"/>
        <v>Ok</v>
      </c>
      <c r="BI178" s="17">
        <f t="shared" si="166"/>
        <v>9.2588881866519603</v>
      </c>
      <c r="BJ178" s="17">
        <f t="shared" si="167"/>
        <v>20.8892772983843</v>
      </c>
      <c r="BK178" s="17">
        <f t="shared" si="168"/>
        <v>41.849477460276397</v>
      </c>
      <c r="BL178" s="17">
        <f t="shared" si="169"/>
        <v>30.219088348543998</v>
      </c>
      <c r="BM178" s="17">
        <f t="shared" si="170"/>
        <v>88.125</v>
      </c>
      <c r="BN178" s="17">
        <f t="shared" si="171"/>
        <v>88.125</v>
      </c>
      <c r="BO178" s="17">
        <f t="shared" si="172"/>
        <v>88.125</v>
      </c>
      <c r="BP178" s="17">
        <f t="shared" si="173"/>
        <v>88.125</v>
      </c>
      <c r="BQ178" s="17" t="str">
        <f t="shared" si="174"/>
        <v>Ok</v>
      </c>
      <c r="BR178" s="17">
        <f t="shared" si="175"/>
        <v>62.5985093207468</v>
      </c>
      <c r="BS178" s="17">
        <f t="shared" si="176"/>
        <v>7.16651696238638</v>
      </c>
      <c r="BT178" s="16">
        <f>MongDon!$H$80</f>
        <v>1.2</v>
      </c>
      <c r="BU178" s="17" t="str">
        <f t="shared" si="177"/>
        <v>Ok</v>
      </c>
      <c r="BV178" s="17">
        <f t="shared" si="178"/>
        <v>4.4745461862146696</v>
      </c>
      <c r="BW178" s="16">
        <f>MongDon!$F$86</f>
        <v>1.5</v>
      </c>
      <c r="BX178" s="17" t="str">
        <f t="shared" si="179"/>
        <v>Ok</v>
      </c>
      <c r="BY178" s="17">
        <f t="shared" si="180"/>
        <v>16.715238549498</v>
      </c>
      <c r="BZ178" s="17">
        <f t="shared" si="181"/>
        <v>5.51498518796169</v>
      </c>
      <c r="CA178" s="17">
        <f t="shared" si="182"/>
        <v>44.639342059059402</v>
      </c>
      <c r="CB178" s="17">
        <f t="shared" si="183"/>
        <v>55.8395954205957</v>
      </c>
      <c r="CC178" s="17">
        <f t="shared" si="184"/>
        <v>32.484144060779698</v>
      </c>
      <c r="CD178" s="17">
        <f t="shared" si="185"/>
        <v>33.933588613449103</v>
      </c>
      <c r="CE178" s="17">
        <f t="shared" si="186"/>
        <v>28.8704365477777</v>
      </c>
      <c r="CF178" s="17">
        <f t="shared" si="187"/>
        <v>33.933588613449103</v>
      </c>
      <c r="CG178" s="17">
        <f t="shared" si="188"/>
        <v>13.289593004893501</v>
      </c>
      <c r="CH178" s="17">
        <f t="shared" si="189"/>
        <v>13.289593004893501</v>
      </c>
      <c r="CI178" s="17">
        <f t="shared" si="190"/>
        <v>250</v>
      </c>
      <c r="CJ178" s="17">
        <f t="shared" si="191"/>
        <v>250</v>
      </c>
    </row>
    <row r="179" spans="2:88">
      <c r="B179" s="3">
        <v>282</v>
      </c>
      <c r="C179" s="3" t="s">
        <v>28</v>
      </c>
      <c r="D179" s="4">
        <v>4.5470041824300003</v>
      </c>
      <c r="E179" s="4">
        <v>5.4047434080454</v>
      </c>
      <c r="F179" s="4">
        <v>18.426788846528499</v>
      </c>
      <c r="G179" s="4">
        <v>-10.155587644355901</v>
      </c>
      <c r="H179" s="4">
        <v>6.8965416769037802</v>
      </c>
      <c r="I179" s="4" t="s">
        <v>18</v>
      </c>
      <c r="J179" s="4">
        <v>3.8118947572072099</v>
      </c>
      <c r="K179" s="4">
        <v>4.4802750812370098</v>
      </c>
      <c r="L179" s="4">
        <v>16.036397487685299</v>
      </c>
      <c r="M179" s="4">
        <v>-8.4432052747443205</v>
      </c>
      <c r="N179" s="4">
        <v>5.7706346440091796</v>
      </c>
      <c r="O179" s="4">
        <v>1.7</v>
      </c>
      <c r="P179" s="4">
        <v>1.7</v>
      </c>
      <c r="Q179" s="4">
        <v>0.22</v>
      </c>
      <c r="R179" s="4">
        <v>0.22</v>
      </c>
      <c r="S179" s="4">
        <v>0</v>
      </c>
      <c r="T179" s="4">
        <v>0</v>
      </c>
      <c r="U179" s="4">
        <v>0.3</v>
      </c>
      <c r="V179" s="4">
        <v>0.05</v>
      </c>
      <c r="W179" s="4">
        <v>1</v>
      </c>
      <c r="X179" s="4">
        <v>19.100000000000001</v>
      </c>
      <c r="Y179" s="4">
        <v>0</v>
      </c>
      <c r="Z179" s="4">
        <v>1.5</v>
      </c>
      <c r="AA179" s="4">
        <v>139</v>
      </c>
      <c r="AB179" s="4">
        <v>12.1</v>
      </c>
      <c r="AC179" s="4">
        <v>19.5</v>
      </c>
      <c r="AD179" s="3" t="s">
        <v>42</v>
      </c>
      <c r="AE179" s="3" t="s">
        <v>61</v>
      </c>
      <c r="AF179" s="17">
        <f>HLOOKUP(AD179,Data!$B$4:$M$9,2,0)</f>
        <v>13</v>
      </c>
      <c r="AG179" s="17">
        <f>HLOOKUP(AD179,Data!$B$4:$M$9,3,0)</f>
        <v>1</v>
      </c>
      <c r="AH179" s="17">
        <f>HLOOKUP(AE179,Data!$B$13:$I$18,3,0)</f>
        <v>260</v>
      </c>
      <c r="AI179" s="18">
        <f t="shared" si="141"/>
        <v>2.89</v>
      </c>
      <c r="AJ179" s="17">
        <f t="shared" si="142"/>
        <v>0.81883333333333397</v>
      </c>
      <c r="AK179" s="17">
        <f t="shared" si="143"/>
        <v>0.81883333333333397</v>
      </c>
      <c r="AL179" s="17">
        <f t="shared" si="144"/>
        <v>0.25</v>
      </c>
      <c r="AM179" s="17">
        <f t="shared" si="145"/>
        <v>0.74</v>
      </c>
      <c r="AN179" s="17">
        <f t="shared" si="146"/>
        <v>0.74</v>
      </c>
      <c r="AO179" s="17">
        <f t="shared" si="147"/>
        <v>0.74</v>
      </c>
      <c r="AP179" s="17">
        <f t="shared" si="148"/>
        <v>0.74</v>
      </c>
      <c r="AQ179" s="17">
        <f t="shared" si="149"/>
        <v>1.88</v>
      </c>
      <c r="AR179" s="17">
        <f t="shared" si="150"/>
        <v>2.3715999999999999</v>
      </c>
      <c r="AS179" s="17">
        <f t="shared" si="151"/>
        <v>18.426788846528499</v>
      </c>
      <c r="AT179" s="17">
        <f t="shared" si="152"/>
        <v>-11.777010666769501</v>
      </c>
      <c r="AU179" s="17">
        <f t="shared" si="153"/>
        <v>8.2606429316327805</v>
      </c>
      <c r="AV179" s="17">
        <f t="shared" si="154"/>
        <v>16.036397487685299</v>
      </c>
      <c r="AW179" s="17">
        <f t="shared" si="155"/>
        <v>-9.7872877991154201</v>
      </c>
      <c r="AX179" s="17">
        <f t="shared" si="156"/>
        <v>6.9142030711713396</v>
      </c>
      <c r="AY179" s="17">
        <f t="shared" si="157"/>
        <v>51.447030862917202</v>
      </c>
      <c r="AZ179" s="17">
        <f t="shared" si="158"/>
        <v>2.5050721450609998</v>
      </c>
      <c r="BA179" s="17">
        <f t="shared" si="159"/>
        <v>26.976051503989101</v>
      </c>
      <c r="BB179" s="17">
        <f t="shared" si="160"/>
        <v>46.545617942354099</v>
      </c>
      <c r="BC179" s="17">
        <f t="shared" si="161"/>
        <v>5.7522349903001304</v>
      </c>
      <c r="BD179" s="17">
        <f t="shared" si="162"/>
        <v>26.148926466327101</v>
      </c>
      <c r="BE179" s="17" t="str">
        <f>IF(AND(BD179&lt;=AA179,BB179&lt;=AA179*MongDon!$J$44,BC179&gt;0),"Ok","FAIL")</f>
        <v>Ok</v>
      </c>
      <c r="BF179" s="17">
        <f t="shared" si="163"/>
        <v>122.011778394494</v>
      </c>
      <c r="BG179" s="17">
        <f t="shared" si="164"/>
        <v>352.5</v>
      </c>
      <c r="BH179" s="17" t="str">
        <f t="shared" si="165"/>
        <v>Ok</v>
      </c>
      <c r="BI179" s="17">
        <f t="shared" si="166"/>
        <v>34.4518160793981</v>
      </c>
      <c r="BJ179" s="17">
        <f t="shared" si="167"/>
        <v>30.874611532234798</v>
      </c>
      <c r="BK179" s="17">
        <f t="shared" si="168"/>
        <v>10.4902857262477</v>
      </c>
      <c r="BL179" s="17">
        <f t="shared" si="169"/>
        <v>14.067490273411</v>
      </c>
      <c r="BM179" s="17">
        <f t="shared" si="170"/>
        <v>88.125</v>
      </c>
      <c r="BN179" s="17">
        <f t="shared" si="171"/>
        <v>88.125</v>
      </c>
      <c r="BO179" s="17">
        <f t="shared" si="172"/>
        <v>88.125</v>
      </c>
      <c r="BP179" s="17">
        <f t="shared" si="173"/>
        <v>88.125</v>
      </c>
      <c r="BQ179" s="17" t="str">
        <f t="shared" si="174"/>
        <v>Ok</v>
      </c>
      <c r="BR179" s="17">
        <f t="shared" si="175"/>
        <v>60.305361237267903</v>
      </c>
      <c r="BS179" s="17">
        <f t="shared" si="176"/>
        <v>11.157858326354299</v>
      </c>
      <c r="BT179" s="16">
        <f>MongDon!$H$80</f>
        <v>1.2</v>
      </c>
      <c r="BU179" s="17" t="str">
        <f t="shared" si="177"/>
        <v>Ok</v>
      </c>
      <c r="BV179" s="17">
        <f t="shared" si="178"/>
        <v>5.3139053950365298</v>
      </c>
      <c r="BW179" s="16">
        <f>MongDon!$F$86</f>
        <v>1.5</v>
      </c>
      <c r="BX179" s="17" t="str">
        <f t="shared" si="179"/>
        <v>Ok</v>
      </c>
      <c r="BY179" s="17">
        <f t="shared" si="180"/>
        <v>31.2704147058658</v>
      </c>
      <c r="BZ179" s="17">
        <f t="shared" si="181"/>
        <v>51.447030862917202</v>
      </c>
      <c r="CA179" s="17">
        <f t="shared" si="182"/>
        <v>22.681688302112399</v>
      </c>
      <c r="CB179" s="17">
        <f t="shared" si="183"/>
        <v>2.5050721450610101</v>
      </c>
      <c r="CC179" s="17">
        <f t="shared" si="184"/>
        <v>30.142884126909198</v>
      </c>
      <c r="CD179" s="17">
        <f t="shared" si="185"/>
        <v>27.531792624232001</v>
      </c>
      <c r="CE179" s="17">
        <f t="shared" si="186"/>
        <v>30.142884126909198</v>
      </c>
      <c r="CF179" s="17">
        <f t="shared" si="187"/>
        <v>26.420310383746202</v>
      </c>
      <c r="CG179" s="17">
        <f t="shared" si="188"/>
        <v>12.1418385914937</v>
      </c>
      <c r="CH179" s="17">
        <f t="shared" si="189"/>
        <v>12.1418385914937</v>
      </c>
      <c r="CI179" s="17">
        <f t="shared" si="190"/>
        <v>250</v>
      </c>
      <c r="CJ179" s="17">
        <f t="shared" si="191"/>
        <v>250</v>
      </c>
    </row>
    <row r="180" spans="2:88">
      <c r="B180" s="3">
        <v>282</v>
      </c>
      <c r="C180" s="3" t="s">
        <v>29</v>
      </c>
      <c r="D180" s="4">
        <v>-3.21820047361985</v>
      </c>
      <c r="E180" s="4">
        <v>-1.9311923703115099</v>
      </c>
      <c r="F180" s="4">
        <v>18.350885725401099</v>
      </c>
      <c r="G180" s="4">
        <v>2.2177482040580099</v>
      </c>
      <c r="H180" s="4">
        <v>-6.2286213501946497</v>
      </c>
      <c r="I180" s="4" t="s">
        <v>19</v>
      </c>
      <c r="J180" s="4">
        <v>-2.65910912283434</v>
      </c>
      <c r="K180" s="4">
        <v>-1.6330047340604099</v>
      </c>
      <c r="L180" s="4">
        <v>15.973144886745899</v>
      </c>
      <c r="M180" s="4">
        <v>1.86790793226727</v>
      </c>
      <c r="N180" s="4">
        <v>-5.1670012119061797</v>
      </c>
      <c r="O180" s="4">
        <v>1.7</v>
      </c>
      <c r="P180" s="4">
        <v>1.7</v>
      </c>
      <c r="Q180" s="4">
        <v>0.22</v>
      </c>
      <c r="R180" s="4">
        <v>0.22</v>
      </c>
      <c r="S180" s="4">
        <v>0</v>
      </c>
      <c r="T180" s="4">
        <v>0</v>
      </c>
      <c r="U180" s="4">
        <v>0.3</v>
      </c>
      <c r="V180" s="4">
        <v>0.05</v>
      </c>
      <c r="W180" s="4">
        <v>1</v>
      </c>
      <c r="X180" s="4">
        <v>19.100000000000001</v>
      </c>
      <c r="Y180" s="4">
        <v>0</v>
      </c>
      <c r="Z180" s="4">
        <v>1.5</v>
      </c>
      <c r="AA180" s="4">
        <v>139</v>
      </c>
      <c r="AB180" s="4">
        <v>12.1</v>
      </c>
      <c r="AC180" s="4">
        <v>19.5</v>
      </c>
      <c r="AD180" s="3" t="s">
        <v>42</v>
      </c>
      <c r="AE180" s="3" t="s">
        <v>61</v>
      </c>
      <c r="AF180" s="17">
        <f>HLOOKUP(AD180,Data!$B$4:$M$9,2,0)</f>
        <v>13</v>
      </c>
      <c r="AG180" s="17">
        <f>HLOOKUP(AD180,Data!$B$4:$M$9,3,0)</f>
        <v>1</v>
      </c>
      <c r="AH180" s="17">
        <f>HLOOKUP(AE180,Data!$B$13:$I$18,3,0)</f>
        <v>260</v>
      </c>
      <c r="AI180" s="18">
        <f t="shared" si="141"/>
        <v>2.89</v>
      </c>
      <c r="AJ180" s="17">
        <f t="shared" si="142"/>
        <v>0.81883333333333397</v>
      </c>
      <c r="AK180" s="17">
        <f t="shared" si="143"/>
        <v>0.81883333333333397</v>
      </c>
      <c r="AL180" s="17">
        <f t="shared" si="144"/>
        <v>0.25</v>
      </c>
      <c r="AM180" s="17">
        <f t="shared" si="145"/>
        <v>0.74</v>
      </c>
      <c r="AN180" s="17">
        <f t="shared" si="146"/>
        <v>0.74</v>
      </c>
      <c r="AO180" s="17">
        <f t="shared" si="147"/>
        <v>0.74</v>
      </c>
      <c r="AP180" s="17">
        <f t="shared" si="148"/>
        <v>0.74</v>
      </c>
      <c r="AQ180" s="17">
        <f t="shared" si="149"/>
        <v>1.88</v>
      </c>
      <c r="AR180" s="17">
        <f t="shared" si="150"/>
        <v>2.3715999999999999</v>
      </c>
      <c r="AS180" s="17">
        <f t="shared" si="151"/>
        <v>18.350885725401099</v>
      </c>
      <c r="AT180" s="17">
        <f t="shared" si="152"/>
        <v>2.7971059151514601</v>
      </c>
      <c r="AU180" s="17">
        <f t="shared" si="153"/>
        <v>-7.1940814922806</v>
      </c>
      <c r="AV180" s="17">
        <f t="shared" si="154"/>
        <v>15.973144886745899</v>
      </c>
      <c r="AW180" s="17">
        <f t="shared" si="155"/>
        <v>2.3578093524853898</v>
      </c>
      <c r="AX180" s="17">
        <f t="shared" si="156"/>
        <v>-5.9647339487564803</v>
      </c>
      <c r="AY180" s="17">
        <f t="shared" si="157"/>
        <v>39.151522527533899</v>
      </c>
      <c r="AZ180" s="17">
        <f t="shared" si="158"/>
        <v>14.748052368937399</v>
      </c>
      <c r="BA180" s="17">
        <f t="shared" si="159"/>
        <v>26.9497874482357</v>
      </c>
      <c r="BB180" s="17">
        <f t="shared" si="160"/>
        <v>36.290943642360901</v>
      </c>
      <c r="BC180" s="17">
        <f t="shared" si="161"/>
        <v>15.9631358640376</v>
      </c>
      <c r="BD180" s="17">
        <f t="shared" si="162"/>
        <v>26.127039753199298</v>
      </c>
      <c r="BE180" s="17" t="str">
        <f>IF(AND(BD180&lt;=AA180,BB180&lt;=AA180*MongDon!$J$44,BC180&gt;0),"Ok","FAIL")</f>
        <v>Ok</v>
      </c>
      <c r="BF180" s="17">
        <f t="shared" si="163"/>
        <v>92.851750826299593</v>
      </c>
      <c r="BG180" s="17">
        <f t="shared" si="164"/>
        <v>352.5</v>
      </c>
      <c r="BH180" s="17" t="str">
        <f t="shared" si="165"/>
        <v>Ok</v>
      </c>
      <c r="BI180" s="17">
        <f t="shared" si="166"/>
        <v>19.603674193326601</v>
      </c>
      <c r="BJ180" s="17">
        <f t="shared" si="167"/>
        <v>15.1306263743786</v>
      </c>
      <c r="BK180" s="17">
        <f t="shared" si="168"/>
        <v>25.294671695434101</v>
      </c>
      <c r="BL180" s="17">
        <f t="shared" si="169"/>
        <v>29.767719514382101</v>
      </c>
      <c r="BM180" s="17">
        <f t="shared" si="170"/>
        <v>88.125</v>
      </c>
      <c r="BN180" s="17">
        <f t="shared" si="171"/>
        <v>88.125</v>
      </c>
      <c r="BO180" s="17">
        <f t="shared" si="172"/>
        <v>88.125</v>
      </c>
      <c r="BP180" s="17">
        <f t="shared" si="173"/>
        <v>88.125</v>
      </c>
      <c r="BQ180" s="17" t="str">
        <f t="shared" si="174"/>
        <v>Ok</v>
      </c>
      <c r="BR180" s="17">
        <f t="shared" si="175"/>
        <v>60.289089018055599</v>
      </c>
      <c r="BS180" s="17">
        <f t="shared" si="176"/>
        <v>18.733789119806399</v>
      </c>
      <c r="BT180" s="16">
        <f>MongDon!$H$80</f>
        <v>1.2</v>
      </c>
      <c r="BU180" s="17" t="str">
        <f t="shared" si="177"/>
        <v>Ok</v>
      </c>
      <c r="BV180" s="17">
        <f t="shared" si="178"/>
        <v>8.6901160257460806</v>
      </c>
      <c r="BW180" s="16">
        <f>MongDon!$F$86</f>
        <v>1.5</v>
      </c>
      <c r="BX180" s="17" t="str">
        <f t="shared" si="179"/>
        <v>Ok</v>
      </c>
      <c r="BY180" s="17">
        <f t="shared" si="180"/>
        <v>32.319592753095201</v>
      </c>
      <c r="BZ180" s="17">
        <f t="shared" si="181"/>
        <v>14.748052368937399</v>
      </c>
      <c r="CA180" s="17">
        <f t="shared" si="182"/>
        <v>21.5799821433761</v>
      </c>
      <c r="CB180" s="17">
        <f t="shared" si="183"/>
        <v>39.151522527533899</v>
      </c>
      <c r="CC180" s="17">
        <f t="shared" si="184"/>
        <v>26.254871467606801</v>
      </c>
      <c r="CD180" s="17">
        <f t="shared" si="185"/>
        <v>28.528835517321301</v>
      </c>
      <c r="CE180" s="17">
        <f t="shared" si="186"/>
        <v>27.644703428864599</v>
      </c>
      <c r="CF180" s="17">
        <f t="shared" si="187"/>
        <v>28.528835517321301</v>
      </c>
      <c r="CG180" s="17">
        <f t="shared" si="188"/>
        <v>9.75018963357339</v>
      </c>
      <c r="CH180" s="17">
        <f t="shared" si="189"/>
        <v>9.75018963357339</v>
      </c>
      <c r="CI180" s="17">
        <f t="shared" si="190"/>
        <v>250</v>
      </c>
      <c r="CJ180" s="17">
        <f t="shared" si="191"/>
        <v>250</v>
      </c>
    </row>
    <row r="181" spans="2:88">
      <c r="B181" s="3">
        <v>282</v>
      </c>
      <c r="C181" s="3" t="s">
        <v>30</v>
      </c>
      <c r="D181" s="4">
        <v>5.6953344710590601</v>
      </c>
      <c r="E181" s="4">
        <v>-1.04609345417943</v>
      </c>
      <c r="F181" s="4">
        <v>25.341191390758802</v>
      </c>
      <c r="G181" s="4">
        <v>0.66961267878145603</v>
      </c>
      <c r="H181" s="4">
        <v>8.7856507352940003</v>
      </c>
      <c r="I181" s="4" t="s">
        <v>20</v>
      </c>
      <c r="J181" s="4">
        <v>4.7688366643980897</v>
      </c>
      <c r="K181" s="4">
        <v>-0.89542230395034905</v>
      </c>
      <c r="L181" s="4">
        <v>21.798399607877201</v>
      </c>
      <c r="M181" s="4">
        <v>0.57779499453680705</v>
      </c>
      <c r="N181" s="4">
        <v>7.3448921926676896</v>
      </c>
      <c r="O181" s="4">
        <v>1.7</v>
      </c>
      <c r="P181" s="4">
        <v>1.7</v>
      </c>
      <c r="Q181" s="4">
        <v>0.22</v>
      </c>
      <c r="R181" s="4">
        <v>0.22</v>
      </c>
      <c r="S181" s="4">
        <v>0</v>
      </c>
      <c r="T181" s="4">
        <v>0</v>
      </c>
      <c r="U181" s="4">
        <v>0.3</v>
      </c>
      <c r="V181" s="4">
        <v>0.05</v>
      </c>
      <c r="W181" s="4">
        <v>1</v>
      </c>
      <c r="X181" s="4">
        <v>19.100000000000001</v>
      </c>
      <c r="Y181" s="4">
        <v>0</v>
      </c>
      <c r="Z181" s="4">
        <v>1.5</v>
      </c>
      <c r="AA181" s="4">
        <v>139</v>
      </c>
      <c r="AB181" s="4">
        <v>12.1</v>
      </c>
      <c r="AC181" s="4">
        <v>19.5</v>
      </c>
      <c r="AD181" s="3" t="s">
        <v>42</v>
      </c>
      <c r="AE181" s="3" t="s">
        <v>61</v>
      </c>
      <c r="AF181" s="17">
        <f>HLOOKUP(AD181,Data!$B$4:$M$9,2,0)</f>
        <v>13</v>
      </c>
      <c r="AG181" s="17">
        <f>HLOOKUP(AD181,Data!$B$4:$M$9,3,0)</f>
        <v>1</v>
      </c>
      <c r="AH181" s="17">
        <f>HLOOKUP(AE181,Data!$B$13:$I$18,3,0)</f>
        <v>260</v>
      </c>
      <c r="AI181" s="18">
        <f t="shared" si="141"/>
        <v>2.89</v>
      </c>
      <c r="AJ181" s="17">
        <f t="shared" si="142"/>
        <v>0.81883333333333397</v>
      </c>
      <c r="AK181" s="17">
        <f t="shared" si="143"/>
        <v>0.81883333333333397</v>
      </c>
      <c r="AL181" s="17">
        <f t="shared" si="144"/>
        <v>0.25</v>
      </c>
      <c r="AM181" s="17">
        <f t="shared" si="145"/>
        <v>0.74</v>
      </c>
      <c r="AN181" s="17">
        <f t="shared" si="146"/>
        <v>0.74</v>
      </c>
      <c r="AO181" s="17">
        <f t="shared" si="147"/>
        <v>0.74</v>
      </c>
      <c r="AP181" s="17">
        <f t="shared" si="148"/>
        <v>0.74</v>
      </c>
      <c r="AQ181" s="17">
        <f t="shared" si="149"/>
        <v>1.88</v>
      </c>
      <c r="AR181" s="17">
        <f t="shared" si="150"/>
        <v>2.3715999999999999</v>
      </c>
      <c r="AS181" s="17">
        <f t="shared" si="151"/>
        <v>25.341191390758802</v>
      </c>
      <c r="AT181" s="17">
        <f t="shared" si="152"/>
        <v>0.98344071503528596</v>
      </c>
      <c r="AU181" s="17">
        <f t="shared" si="153"/>
        <v>10.4942510766117</v>
      </c>
      <c r="AV181" s="17">
        <f t="shared" si="154"/>
        <v>21.798399607877201</v>
      </c>
      <c r="AW181" s="17">
        <f t="shared" si="155"/>
        <v>0.84642168572191201</v>
      </c>
      <c r="AX181" s="17">
        <f t="shared" si="156"/>
        <v>8.7755431919871203</v>
      </c>
      <c r="AY181" s="17">
        <f t="shared" si="157"/>
        <v>43.385706516216501</v>
      </c>
      <c r="AZ181" s="17">
        <f t="shared" si="158"/>
        <v>15.3514501555888</v>
      </c>
      <c r="BA181" s="17">
        <f t="shared" si="159"/>
        <v>29.368578335902701</v>
      </c>
      <c r="BB181" s="17">
        <f t="shared" si="160"/>
        <v>39.893520985069301</v>
      </c>
      <c r="BC181" s="17">
        <f t="shared" si="161"/>
        <v>16.391876667440901</v>
      </c>
      <c r="BD181" s="17">
        <f t="shared" si="162"/>
        <v>28.142698826255099</v>
      </c>
      <c r="BE181" s="17" t="str">
        <f>IF(AND(BD181&lt;=AA181,BB181&lt;=AA181*MongDon!$J$44,BC181&gt;0),"Ok","FAIL")</f>
        <v>Ok</v>
      </c>
      <c r="BF181" s="17">
        <f t="shared" si="163"/>
        <v>102.893541573859</v>
      </c>
      <c r="BG181" s="17">
        <f t="shared" si="164"/>
        <v>352.5</v>
      </c>
      <c r="BH181" s="17" t="str">
        <f t="shared" si="165"/>
        <v>Ok</v>
      </c>
      <c r="BI181" s="17">
        <f t="shared" si="166"/>
        <v>23.463570493528799</v>
      </c>
      <c r="BJ181" s="17">
        <f t="shared" si="167"/>
        <v>35.139838267730298</v>
      </c>
      <c r="BK181" s="17">
        <f t="shared" si="168"/>
        <v>25.464481014085099</v>
      </c>
      <c r="BL181" s="17">
        <f t="shared" si="169"/>
        <v>13.7882132398836</v>
      </c>
      <c r="BM181" s="17">
        <f t="shared" si="170"/>
        <v>88.125</v>
      </c>
      <c r="BN181" s="17">
        <f t="shared" si="171"/>
        <v>88.125</v>
      </c>
      <c r="BO181" s="17">
        <f t="shared" si="172"/>
        <v>88.125</v>
      </c>
      <c r="BP181" s="17">
        <f t="shared" si="173"/>
        <v>88.125</v>
      </c>
      <c r="BQ181" s="17" t="str">
        <f t="shared" si="174"/>
        <v>Ok</v>
      </c>
      <c r="BR181" s="17">
        <f t="shared" si="175"/>
        <v>61.787680702535901</v>
      </c>
      <c r="BS181" s="17">
        <f t="shared" si="176"/>
        <v>10.848823895508</v>
      </c>
      <c r="BT181" s="16">
        <f>MongDon!$H$80</f>
        <v>1.2</v>
      </c>
      <c r="BU181" s="17" t="str">
        <f t="shared" si="177"/>
        <v>Ok</v>
      </c>
      <c r="BV181" s="17">
        <f t="shared" si="178"/>
        <v>6.52349197502223</v>
      </c>
      <c r="BW181" s="16">
        <f>MongDon!$F$86</f>
        <v>1.5</v>
      </c>
      <c r="BX181" s="17" t="str">
        <f t="shared" si="179"/>
        <v>Ok</v>
      </c>
      <c r="BY181" s="17">
        <f t="shared" si="180"/>
        <v>15.3514501555888</v>
      </c>
      <c r="BZ181" s="17">
        <f t="shared" si="181"/>
        <v>40.983653070170703</v>
      </c>
      <c r="CA181" s="17">
        <f t="shared" si="182"/>
        <v>43.385706516216501</v>
      </c>
      <c r="CB181" s="17">
        <f t="shared" si="183"/>
        <v>17.753503601634701</v>
      </c>
      <c r="CC181" s="17">
        <f t="shared" si="184"/>
        <v>31.1825596298257</v>
      </c>
      <c r="CD181" s="17">
        <f t="shared" si="185"/>
        <v>27.865451017350399</v>
      </c>
      <c r="CE181" s="17">
        <f t="shared" si="186"/>
        <v>30.871705654454999</v>
      </c>
      <c r="CF181" s="17">
        <f t="shared" si="187"/>
        <v>31.1825596298257</v>
      </c>
      <c r="CG181" s="17">
        <f t="shared" si="188"/>
        <v>10.7652659049755</v>
      </c>
      <c r="CH181" s="17">
        <f t="shared" si="189"/>
        <v>10.7652659049755</v>
      </c>
      <c r="CI181" s="17">
        <f t="shared" si="190"/>
        <v>250</v>
      </c>
      <c r="CJ181" s="17">
        <f t="shared" si="191"/>
        <v>250</v>
      </c>
    </row>
    <row r="182" spans="2:88">
      <c r="B182" s="3">
        <v>282</v>
      </c>
      <c r="C182" s="3" t="s">
        <v>31</v>
      </c>
      <c r="D182" s="4">
        <v>-2.2810406147950899</v>
      </c>
      <c r="E182" s="4">
        <v>-9.3439771285811002</v>
      </c>
      <c r="F182" s="4">
        <v>27.788583076322698</v>
      </c>
      <c r="G182" s="4">
        <v>14.528843755636499</v>
      </c>
      <c r="H182" s="4">
        <v>-4.8023882060265297</v>
      </c>
      <c r="I182" s="4" t="s">
        <v>21</v>
      </c>
      <c r="J182" s="4">
        <v>-1.8781425738137001</v>
      </c>
      <c r="K182" s="4">
        <v>-7.8103253659517398</v>
      </c>
      <c r="L182" s="4">
        <v>23.837892679180499</v>
      </c>
      <c r="M182" s="4">
        <v>12.1271542252494</v>
      </c>
      <c r="N182" s="4">
        <v>-3.9784735917660798</v>
      </c>
      <c r="O182" s="4">
        <v>1.7</v>
      </c>
      <c r="P182" s="4">
        <v>1.7</v>
      </c>
      <c r="Q182" s="4">
        <v>0.22</v>
      </c>
      <c r="R182" s="4">
        <v>0.22</v>
      </c>
      <c r="S182" s="4">
        <v>0</v>
      </c>
      <c r="T182" s="4">
        <v>0</v>
      </c>
      <c r="U182" s="4">
        <v>0.3</v>
      </c>
      <c r="V182" s="4">
        <v>0.05</v>
      </c>
      <c r="W182" s="4">
        <v>1</v>
      </c>
      <c r="X182" s="4">
        <v>19.100000000000001</v>
      </c>
      <c r="Y182" s="4">
        <v>0</v>
      </c>
      <c r="Z182" s="4">
        <v>1.5</v>
      </c>
      <c r="AA182" s="4">
        <v>139</v>
      </c>
      <c r="AB182" s="4">
        <v>12.1</v>
      </c>
      <c r="AC182" s="4">
        <v>19.5</v>
      </c>
      <c r="AD182" s="3" t="s">
        <v>42</v>
      </c>
      <c r="AE182" s="3" t="s">
        <v>61</v>
      </c>
      <c r="AF182" s="17">
        <f>HLOOKUP(AD182,Data!$B$4:$M$9,2,0)</f>
        <v>13</v>
      </c>
      <c r="AG182" s="17">
        <f>HLOOKUP(AD182,Data!$B$4:$M$9,3,0)</f>
        <v>1</v>
      </c>
      <c r="AH182" s="17">
        <f>HLOOKUP(AE182,Data!$B$13:$I$18,3,0)</f>
        <v>260</v>
      </c>
      <c r="AI182" s="18">
        <f t="shared" si="141"/>
        <v>2.89</v>
      </c>
      <c r="AJ182" s="17">
        <f t="shared" si="142"/>
        <v>0.81883333333333397</v>
      </c>
      <c r="AK182" s="17">
        <f t="shared" si="143"/>
        <v>0.81883333333333397</v>
      </c>
      <c r="AL182" s="17">
        <f t="shared" si="144"/>
        <v>0.25</v>
      </c>
      <c r="AM182" s="17">
        <f t="shared" si="145"/>
        <v>0.74</v>
      </c>
      <c r="AN182" s="17">
        <f t="shared" si="146"/>
        <v>0.74</v>
      </c>
      <c r="AO182" s="17">
        <f t="shared" si="147"/>
        <v>0.74</v>
      </c>
      <c r="AP182" s="17">
        <f t="shared" si="148"/>
        <v>0.74</v>
      </c>
      <c r="AQ182" s="17">
        <f t="shared" si="149"/>
        <v>1.88</v>
      </c>
      <c r="AR182" s="17">
        <f t="shared" si="150"/>
        <v>2.3715999999999999</v>
      </c>
      <c r="AS182" s="17">
        <f t="shared" si="151"/>
        <v>27.788583076322698</v>
      </c>
      <c r="AT182" s="17">
        <f t="shared" si="152"/>
        <v>17.332036894210798</v>
      </c>
      <c r="AU182" s="17">
        <f t="shared" si="153"/>
        <v>-5.4867003904650504</v>
      </c>
      <c r="AV182" s="17">
        <f t="shared" si="154"/>
        <v>23.837892679180499</v>
      </c>
      <c r="AW182" s="17">
        <f t="shared" si="155"/>
        <v>14.470251835034899</v>
      </c>
      <c r="AX182" s="17">
        <f t="shared" si="156"/>
        <v>-4.5419163639101896</v>
      </c>
      <c r="AY182" s="17">
        <f t="shared" si="157"/>
        <v>58.0828037732147</v>
      </c>
      <c r="AZ182" s="17">
        <f t="shared" si="158"/>
        <v>2.3480495668009902</v>
      </c>
      <c r="BA182" s="17">
        <f t="shared" si="159"/>
        <v>30.215426670007901</v>
      </c>
      <c r="BB182" s="17">
        <f t="shared" si="160"/>
        <v>52.067011347094898</v>
      </c>
      <c r="BC182" s="17">
        <f t="shared" si="161"/>
        <v>5.6298001955905796</v>
      </c>
      <c r="BD182" s="17">
        <f t="shared" si="162"/>
        <v>28.848405771342701</v>
      </c>
      <c r="BE182" s="17" t="str">
        <f>IF(AND(BD182&lt;=AA182,BB182&lt;=AA182*MongDon!$J$44,BC182&gt;0),"Ok","FAIL")</f>
        <v>Ok</v>
      </c>
      <c r="BF182" s="17">
        <f t="shared" si="163"/>
        <v>137.74917742855601</v>
      </c>
      <c r="BG182" s="17">
        <f t="shared" si="164"/>
        <v>352.5</v>
      </c>
      <c r="BH182" s="17" t="str">
        <f t="shared" si="165"/>
        <v>Ok</v>
      </c>
      <c r="BI182" s="17">
        <f t="shared" si="166"/>
        <v>7.5375512919020702</v>
      </c>
      <c r="BJ182" s="17">
        <f t="shared" si="167"/>
        <v>19.587824413359701</v>
      </c>
      <c r="BK182" s="17">
        <f t="shared" si="168"/>
        <v>42.801349540331103</v>
      </c>
      <c r="BL182" s="17">
        <f t="shared" si="169"/>
        <v>30.751076418873399</v>
      </c>
      <c r="BM182" s="17">
        <f t="shared" si="170"/>
        <v>88.125</v>
      </c>
      <c r="BN182" s="17">
        <f t="shared" si="171"/>
        <v>88.125</v>
      </c>
      <c r="BO182" s="17">
        <f t="shared" si="172"/>
        <v>88.125</v>
      </c>
      <c r="BP182" s="17">
        <f t="shared" si="173"/>
        <v>88.125</v>
      </c>
      <c r="BQ182" s="17" t="str">
        <f t="shared" si="174"/>
        <v>Ok</v>
      </c>
      <c r="BR182" s="17">
        <f t="shared" si="175"/>
        <v>62.312356017784097</v>
      </c>
      <c r="BS182" s="17">
        <f t="shared" si="176"/>
        <v>6.6687188078815796</v>
      </c>
      <c r="BT182" s="16">
        <f>MongDon!$H$80</f>
        <v>1.2</v>
      </c>
      <c r="BU182" s="17" t="str">
        <f t="shared" si="177"/>
        <v>Ok</v>
      </c>
      <c r="BV182" s="17">
        <f t="shared" si="178"/>
        <v>4.0698878063452302</v>
      </c>
      <c r="BW182" s="16">
        <f>MongDon!$F$86</f>
        <v>1.5</v>
      </c>
      <c r="BX182" s="17" t="str">
        <f t="shared" si="179"/>
        <v>Ok</v>
      </c>
      <c r="BY182" s="17">
        <f t="shared" si="180"/>
        <v>15.7493124785821</v>
      </c>
      <c r="BZ182" s="17">
        <f t="shared" si="181"/>
        <v>2.348049566801</v>
      </c>
      <c r="CA182" s="17">
        <f t="shared" si="182"/>
        <v>44.681540861433596</v>
      </c>
      <c r="CB182" s="17">
        <f t="shared" si="183"/>
        <v>58.0828037732147</v>
      </c>
      <c r="CC182" s="17">
        <f t="shared" si="184"/>
        <v>32.087512035957097</v>
      </c>
      <c r="CD182" s="17">
        <f t="shared" si="185"/>
        <v>33.8217931186581</v>
      </c>
      <c r="CE182" s="17">
        <f t="shared" si="186"/>
        <v>28.343341304058601</v>
      </c>
      <c r="CF182" s="17">
        <f t="shared" si="187"/>
        <v>33.8217931186581</v>
      </c>
      <c r="CG182" s="17">
        <f t="shared" si="188"/>
        <v>13.6888501007003</v>
      </c>
      <c r="CH182" s="17">
        <f t="shared" si="189"/>
        <v>13.6888501007003</v>
      </c>
      <c r="CI182" s="17">
        <f t="shared" si="190"/>
        <v>250</v>
      </c>
      <c r="CJ182" s="17">
        <f t="shared" si="191"/>
        <v>250</v>
      </c>
    </row>
    <row r="183" spans="2:88">
      <c r="B183" s="3">
        <v>282</v>
      </c>
      <c r="C183" s="3" t="s">
        <v>32</v>
      </c>
      <c r="D183" s="4">
        <v>4.7581746122343</v>
      </c>
      <c r="E183" s="4">
        <v>6.3666913040901498</v>
      </c>
      <c r="F183" s="4">
        <v>15.9034940398372</v>
      </c>
      <c r="G183" s="4">
        <v>-11.6414828727971</v>
      </c>
      <c r="H183" s="4">
        <v>7.3594175911258803</v>
      </c>
      <c r="I183" s="4" t="s">
        <v>22</v>
      </c>
      <c r="J183" s="4">
        <v>3.9878701153774498</v>
      </c>
      <c r="K183" s="4">
        <v>5.2818983279409704</v>
      </c>
      <c r="L183" s="4">
        <v>13.9336518154426</v>
      </c>
      <c r="M183" s="4">
        <v>-9.6814512984452907</v>
      </c>
      <c r="N183" s="4">
        <v>6.1563645725275897</v>
      </c>
      <c r="O183" s="4">
        <v>1.7</v>
      </c>
      <c r="P183" s="4">
        <v>1.7</v>
      </c>
      <c r="Q183" s="4">
        <v>0.22</v>
      </c>
      <c r="R183" s="4">
        <v>0.22</v>
      </c>
      <c r="S183" s="4">
        <v>0</v>
      </c>
      <c r="T183" s="4">
        <v>0</v>
      </c>
      <c r="U183" s="4">
        <v>0.3</v>
      </c>
      <c r="V183" s="4">
        <v>0.05</v>
      </c>
      <c r="W183" s="4">
        <v>1</v>
      </c>
      <c r="X183" s="4">
        <v>19.100000000000001</v>
      </c>
      <c r="Y183" s="4">
        <v>0</v>
      </c>
      <c r="Z183" s="4">
        <v>1.5</v>
      </c>
      <c r="AA183" s="4">
        <v>139</v>
      </c>
      <c r="AB183" s="4">
        <v>12.1</v>
      </c>
      <c r="AC183" s="4">
        <v>19.5</v>
      </c>
      <c r="AD183" s="3" t="s">
        <v>42</v>
      </c>
      <c r="AE183" s="3" t="s">
        <v>61</v>
      </c>
      <c r="AF183" s="17">
        <f>HLOOKUP(AD183,Data!$B$4:$M$9,2,0)</f>
        <v>13</v>
      </c>
      <c r="AG183" s="17">
        <f>HLOOKUP(AD183,Data!$B$4:$M$9,3,0)</f>
        <v>1</v>
      </c>
      <c r="AH183" s="17">
        <f>HLOOKUP(AE183,Data!$B$13:$I$18,3,0)</f>
        <v>260</v>
      </c>
      <c r="AI183" s="18">
        <f t="shared" si="141"/>
        <v>2.89</v>
      </c>
      <c r="AJ183" s="17">
        <f t="shared" si="142"/>
        <v>0.81883333333333397</v>
      </c>
      <c r="AK183" s="17">
        <f t="shared" si="143"/>
        <v>0.81883333333333397</v>
      </c>
      <c r="AL183" s="17">
        <f t="shared" si="144"/>
        <v>0.25</v>
      </c>
      <c r="AM183" s="17">
        <f t="shared" si="145"/>
        <v>0.74</v>
      </c>
      <c r="AN183" s="17">
        <f t="shared" si="146"/>
        <v>0.74</v>
      </c>
      <c r="AO183" s="17">
        <f t="shared" si="147"/>
        <v>0.74</v>
      </c>
      <c r="AP183" s="17">
        <f t="shared" si="148"/>
        <v>0.74</v>
      </c>
      <c r="AQ183" s="17">
        <f t="shared" si="149"/>
        <v>1.88</v>
      </c>
      <c r="AR183" s="17">
        <f t="shared" si="150"/>
        <v>2.3715999999999999</v>
      </c>
      <c r="AS183" s="17">
        <f t="shared" si="151"/>
        <v>15.9034940398372</v>
      </c>
      <c r="AT183" s="17">
        <f t="shared" si="152"/>
        <v>-13.5514902640241</v>
      </c>
      <c r="AU183" s="17">
        <f t="shared" si="153"/>
        <v>8.7868699747961703</v>
      </c>
      <c r="AV183" s="17">
        <f t="shared" si="154"/>
        <v>13.9336518154426</v>
      </c>
      <c r="AW183" s="17">
        <f t="shared" si="155"/>
        <v>-11.2660207968276</v>
      </c>
      <c r="AX183" s="17">
        <f t="shared" si="156"/>
        <v>7.3527256071408296</v>
      </c>
      <c r="AY183" s="17">
        <f t="shared" si="157"/>
        <v>53.383655872307102</v>
      </c>
      <c r="AZ183" s="17">
        <f t="shared" si="158"/>
        <v>-1.1777776440460701</v>
      </c>
      <c r="BA183" s="17">
        <f t="shared" si="159"/>
        <v>26.1029391141305</v>
      </c>
      <c r="BB183" s="17">
        <f t="shared" si="160"/>
        <v>48.159472116845699</v>
      </c>
      <c r="BC183" s="17">
        <f t="shared" si="161"/>
        <v>2.6831934993775701</v>
      </c>
      <c r="BD183" s="17">
        <f t="shared" si="162"/>
        <v>25.4213328081116</v>
      </c>
      <c r="BE183" s="17" t="str">
        <f>IF(AND(BD183&lt;=AA183,BB183&lt;=AA183*MongDon!$J$44,BC183&gt;0),"Ok","FAIL")</f>
        <v>Ok</v>
      </c>
      <c r="BF183" s="17">
        <f t="shared" si="163"/>
        <v>126.604678266764</v>
      </c>
      <c r="BG183" s="17">
        <f t="shared" si="164"/>
        <v>352.5</v>
      </c>
      <c r="BH183" s="17" t="str">
        <f t="shared" si="165"/>
        <v>Ok</v>
      </c>
      <c r="BI183" s="17">
        <f t="shared" si="166"/>
        <v>35.529693394953398</v>
      </c>
      <c r="BJ183" s="17">
        <f t="shared" si="167"/>
        <v>30.6826402287492</v>
      </c>
      <c r="BK183" s="17">
        <f t="shared" si="168"/>
        <v>7.9578031691880797</v>
      </c>
      <c r="BL183" s="17">
        <f t="shared" si="169"/>
        <v>12.8048563353923</v>
      </c>
      <c r="BM183" s="17">
        <f t="shared" si="170"/>
        <v>88.125</v>
      </c>
      <c r="BN183" s="17">
        <f t="shared" si="171"/>
        <v>88.125</v>
      </c>
      <c r="BO183" s="17">
        <f t="shared" si="172"/>
        <v>88.125</v>
      </c>
      <c r="BP183" s="17">
        <f t="shared" si="173"/>
        <v>88.125</v>
      </c>
      <c r="BQ183" s="17" t="str">
        <f t="shared" si="174"/>
        <v>Ok</v>
      </c>
      <c r="BR183" s="17">
        <f t="shared" si="175"/>
        <v>59.764413702807403</v>
      </c>
      <c r="BS183" s="17">
        <f t="shared" si="176"/>
        <v>9.38704436076757</v>
      </c>
      <c r="BT183" s="16">
        <f>MongDon!$H$80</f>
        <v>1.2</v>
      </c>
      <c r="BU183" s="17" t="str">
        <f t="shared" si="177"/>
        <v>Ok</v>
      </c>
      <c r="BV183" s="17">
        <f t="shared" si="178"/>
        <v>4.4598135523372999</v>
      </c>
      <c r="BW183" s="16">
        <f>MongDon!$F$86</f>
        <v>1.5</v>
      </c>
      <c r="BX183" s="17" t="str">
        <f t="shared" si="179"/>
        <v>Ok</v>
      </c>
      <c r="BY183" s="17">
        <f t="shared" si="180"/>
        <v>31.921730430101899</v>
      </c>
      <c r="BZ183" s="17">
        <f t="shared" si="181"/>
        <v>53.383655872307102</v>
      </c>
      <c r="CA183" s="17">
        <f t="shared" si="182"/>
        <v>20.284147798159101</v>
      </c>
      <c r="CB183" s="17">
        <f t="shared" si="183"/>
        <v>-1.1777776440460701</v>
      </c>
      <c r="CC183" s="17">
        <f t="shared" si="184"/>
        <v>29.633384812247499</v>
      </c>
      <c r="CD183" s="17">
        <f t="shared" si="185"/>
        <v>26.855959166785599</v>
      </c>
      <c r="CE183" s="17">
        <f t="shared" si="186"/>
        <v>29.633384812247499</v>
      </c>
      <c r="CF183" s="17">
        <f t="shared" si="187"/>
        <v>25.349919061475401</v>
      </c>
      <c r="CG183" s="17">
        <f t="shared" si="188"/>
        <v>12.448836905756201</v>
      </c>
      <c r="CH183" s="17">
        <f t="shared" si="189"/>
        <v>12.448836905756201</v>
      </c>
      <c r="CI183" s="17">
        <f t="shared" si="190"/>
        <v>250</v>
      </c>
      <c r="CJ183" s="17">
        <f t="shared" si="191"/>
        <v>250</v>
      </c>
    </row>
    <row r="184" spans="2:88">
      <c r="B184" s="3">
        <v>283</v>
      </c>
      <c r="C184" s="3" t="s">
        <v>23</v>
      </c>
      <c r="D184" s="4">
        <v>-1.1242706604874499</v>
      </c>
      <c r="E184" s="4">
        <v>-1.6077335173801</v>
      </c>
      <c r="F184" s="4">
        <v>22.992044651802601</v>
      </c>
      <c r="G184" s="4">
        <v>1.51903497084072</v>
      </c>
      <c r="H184" s="4">
        <v>-1.10570574113582</v>
      </c>
      <c r="I184" s="4" t="s">
        <v>13</v>
      </c>
      <c r="J184" s="4">
        <v>-0.95716001203177403</v>
      </c>
      <c r="K184" s="4">
        <v>-1.3676567099846799</v>
      </c>
      <c r="L184" s="4">
        <v>19.869009620381199</v>
      </c>
      <c r="M184" s="4">
        <v>1.2897961633647399</v>
      </c>
      <c r="N184" s="4">
        <v>-0.94128633589517696</v>
      </c>
      <c r="O184" s="4">
        <v>1.5</v>
      </c>
      <c r="P184" s="4">
        <v>1.5</v>
      </c>
      <c r="Q184" s="4">
        <v>0.22</v>
      </c>
      <c r="R184" s="4">
        <v>0.22</v>
      </c>
      <c r="S184" s="4">
        <v>0</v>
      </c>
      <c r="T184" s="4">
        <v>0</v>
      </c>
      <c r="U184" s="4">
        <v>0.3</v>
      </c>
      <c r="V184" s="4">
        <v>0.05</v>
      </c>
      <c r="W184" s="4">
        <v>1</v>
      </c>
      <c r="X184" s="4">
        <v>19.100000000000001</v>
      </c>
      <c r="Y184" s="4">
        <v>0</v>
      </c>
      <c r="Z184" s="4">
        <v>1.5</v>
      </c>
      <c r="AA184" s="4">
        <v>139</v>
      </c>
      <c r="AB184" s="4">
        <v>12.1</v>
      </c>
      <c r="AC184" s="4">
        <v>19.5</v>
      </c>
      <c r="AD184" s="3" t="s">
        <v>42</v>
      </c>
      <c r="AE184" s="3" t="s">
        <v>61</v>
      </c>
      <c r="AF184" s="17">
        <f>HLOOKUP(AD184,Data!$B$4:$M$9,2,0)</f>
        <v>13</v>
      </c>
      <c r="AG184" s="17">
        <f>HLOOKUP(AD184,Data!$B$4:$M$9,3,0)</f>
        <v>1</v>
      </c>
      <c r="AH184" s="17">
        <f>HLOOKUP(AE184,Data!$B$13:$I$18,3,0)</f>
        <v>260</v>
      </c>
      <c r="AI184" s="18">
        <f t="shared" si="141"/>
        <v>2.25</v>
      </c>
      <c r="AJ184" s="17">
        <f t="shared" si="142"/>
        <v>0.5625</v>
      </c>
      <c r="AK184" s="17">
        <f t="shared" si="143"/>
        <v>0.5625</v>
      </c>
      <c r="AL184" s="17">
        <f t="shared" si="144"/>
        <v>0.25</v>
      </c>
      <c r="AM184" s="17">
        <f t="shared" si="145"/>
        <v>0.64</v>
      </c>
      <c r="AN184" s="17">
        <f t="shared" si="146"/>
        <v>0.64</v>
      </c>
      <c r="AO184" s="17">
        <f t="shared" si="147"/>
        <v>0.64</v>
      </c>
      <c r="AP184" s="17">
        <f t="shared" si="148"/>
        <v>0.64</v>
      </c>
      <c r="AQ184" s="17">
        <f t="shared" si="149"/>
        <v>1.88</v>
      </c>
      <c r="AR184" s="17">
        <f t="shared" si="150"/>
        <v>1.7316</v>
      </c>
      <c r="AS184" s="17">
        <f t="shared" si="151"/>
        <v>22.992044651802601</v>
      </c>
      <c r="AT184" s="17">
        <f t="shared" si="152"/>
        <v>2.0013550260547501</v>
      </c>
      <c r="AU184" s="17">
        <f t="shared" si="153"/>
        <v>-1.44298693928206</v>
      </c>
      <c r="AV184" s="17">
        <f t="shared" si="154"/>
        <v>19.869009620381199</v>
      </c>
      <c r="AW184" s="17">
        <f t="shared" si="155"/>
        <v>1.7000931763601399</v>
      </c>
      <c r="AX184" s="17">
        <f t="shared" si="156"/>
        <v>-1.2284343395047099</v>
      </c>
      <c r="AY184" s="17">
        <f t="shared" si="157"/>
        <v>36.941961116955397</v>
      </c>
      <c r="AZ184" s="17">
        <f t="shared" si="158"/>
        <v>24.695411906869001</v>
      </c>
      <c r="BA184" s="17">
        <f t="shared" si="159"/>
        <v>30.818686511912201</v>
      </c>
      <c r="BB184" s="17">
        <f t="shared" si="160"/>
        <v>34.636942081706898</v>
      </c>
      <c r="BC184" s="17">
        <f t="shared" si="161"/>
        <v>24.224399803076398</v>
      </c>
      <c r="BD184" s="17">
        <f t="shared" si="162"/>
        <v>29.4306709423916</v>
      </c>
      <c r="BE184" s="17" t="str">
        <f>IF(AND(BD184&lt;=AA184,BB184&lt;=AA184*MongDon!$J$44,BC184&gt;0),"Ok","FAIL")</f>
        <v>Ok</v>
      </c>
      <c r="BF184" s="17">
        <f t="shared" si="163"/>
        <v>63.968699870120098</v>
      </c>
      <c r="BG184" s="17">
        <f t="shared" si="164"/>
        <v>352.5</v>
      </c>
      <c r="BH184" s="17" t="str">
        <f t="shared" si="165"/>
        <v>Ok</v>
      </c>
      <c r="BI184" s="17">
        <f t="shared" si="166"/>
        <v>15.9475223823717</v>
      </c>
      <c r="BJ184" s="17">
        <f t="shared" si="167"/>
        <v>16.528225192615299</v>
      </c>
      <c r="BK184" s="17">
        <f t="shared" si="168"/>
        <v>20.110340836565602</v>
      </c>
      <c r="BL184" s="17">
        <f t="shared" si="169"/>
        <v>19.529638026322001</v>
      </c>
      <c r="BM184" s="17">
        <f t="shared" si="170"/>
        <v>88.125</v>
      </c>
      <c r="BN184" s="17">
        <f t="shared" si="171"/>
        <v>88.125</v>
      </c>
      <c r="BO184" s="17">
        <f t="shared" si="172"/>
        <v>88.125</v>
      </c>
      <c r="BP184" s="17">
        <f t="shared" si="173"/>
        <v>88.125</v>
      </c>
      <c r="BQ184" s="17" t="str">
        <f t="shared" si="174"/>
        <v>Ok</v>
      </c>
      <c r="BR184" s="17">
        <f t="shared" si="175"/>
        <v>48.804067278866903</v>
      </c>
      <c r="BS184" s="17">
        <f t="shared" si="176"/>
        <v>30.355818766779301</v>
      </c>
      <c r="BT184" s="16">
        <f>MongDon!$H$80</f>
        <v>1.2</v>
      </c>
      <c r="BU184" s="17" t="str">
        <f t="shared" si="177"/>
        <v>Ok</v>
      </c>
      <c r="BV184" s="17">
        <f t="shared" si="178"/>
        <v>24.720893017358399</v>
      </c>
      <c r="BW184" s="16">
        <f>MongDon!$F$86</f>
        <v>1.5</v>
      </c>
      <c r="BX184" s="17" t="str">
        <f t="shared" si="179"/>
        <v>Ok</v>
      </c>
      <c r="BY184" s="17">
        <f t="shared" si="180"/>
        <v>29.8260321354275</v>
      </c>
      <c r="BZ184" s="17">
        <f t="shared" si="181"/>
        <v>24.695411906869001</v>
      </c>
      <c r="CA184" s="17">
        <f t="shared" si="182"/>
        <v>31.811340888397002</v>
      </c>
      <c r="CB184" s="17">
        <f t="shared" si="183"/>
        <v>36.941961116955397</v>
      </c>
      <c r="CC184" s="17">
        <f t="shared" si="184"/>
        <v>30.9642758204633</v>
      </c>
      <c r="CD184" s="17">
        <f t="shared" si="185"/>
        <v>31.716766787318601</v>
      </c>
      <c r="CE184" s="17">
        <f t="shared" si="186"/>
        <v>30.673097203361099</v>
      </c>
      <c r="CF184" s="17">
        <f t="shared" si="187"/>
        <v>31.716766787318601</v>
      </c>
      <c r="CG184" s="17">
        <f t="shared" si="188"/>
        <v>7.2090070371825998</v>
      </c>
      <c r="CH184" s="17">
        <f t="shared" si="189"/>
        <v>7.2090070371825998</v>
      </c>
      <c r="CI184" s="17">
        <f t="shared" si="190"/>
        <v>250</v>
      </c>
      <c r="CJ184" s="17">
        <f t="shared" si="191"/>
        <v>250</v>
      </c>
    </row>
    <row r="185" spans="2:88">
      <c r="B185" s="3">
        <v>283</v>
      </c>
      <c r="C185" s="3" t="s">
        <v>24</v>
      </c>
      <c r="D185" s="4">
        <v>-1.2670599549924499</v>
      </c>
      <c r="E185" s="4">
        <v>-1.8143557901739999</v>
      </c>
      <c r="F185" s="4">
        <v>25.264312790569001</v>
      </c>
      <c r="G185" s="4">
        <v>1.71955335311973</v>
      </c>
      <c r="H185" s="4">
        <v>-1.2462872844380699</v>
      </c>
      <c r="I185" s="4" t="s">
        <v>14</v>
      </c>
      <c r="J185" s="4">
        <v>-1.07615109078594</v>
      </c>
      <c r="K185" s="4">
        <v>-1.53984193731293</v>
      </c>
      <c r="L185" s="4">
        <v>21.762566402686598</v>
      </c>
      <c r="M185" s="4">
        <v>1.4568948152639101</v>
      </c>
      <c r="N185" s="4">
        <v>-1.0584376219803899</v>
      </c>
      <c r="O185" s="4">
        <v>1.5</v>
      </c>
      <c r="P185" s="4">
        <v>1.5</v>
      </c>
      <c r="Q185" s="4">
        <v>0.22</v>
      </c>
      <c r="R185" s="4">
        <v>0.22</v>
      </c>
      <c r="S185" s="4">
        <v>0</v>
      </c>
      <c r="T185" s="4">
        <v>0</v>
      </c>
      <c r="U185" s="4">
        <v>0.3</v>
      </c>
      <c r="V185" s="4">
        <v>0.05</v>
      </c>
      <c r="W185" s="4">
        <v>1</v>
      </c>
      <c r="X185" s="4">
        <v>19.100000000000001</v>
      </c>
      <c r="Y185" s="4">
        <v>0</v>
      </c>
      <c r="Z185" s="4">
        <v>1.5</v>
      </c>
      <c r="AA185" s="4">
        <v>139</v>
      </c>
      <c r="AB185" s="4">
        <v>12.1</v>
      </c>
      <c r="AC185" s="4">
        <v>19.5</v>
      </c>
      <c r="AD185" s="3" t="s">
        <v>42</v>
      </c>
      <c r="AE185" s="3" t="s">
        <v>61</v>
      </c>
      <c r="AF185" s="17">
        <f>HLOOKUP(AD185,Data!$B$4:$M$9,2,0)</f>
        <v>13</v>
      </c>
      <c r="AG185" s="17">
        <f>HLOOKUP(AD185,Data!$B$4:$M$9,3,0)</f>
        <v>1</v>
      </c>
      <c r="AH185" s="17">
        <f>HLOOKUP(AE185,Data!$B$13:$I$18,3,0)</f>
        <v>260</v>
      </c>
      <c r="AI185" s="18">
        <f t="shared" si="141"/>
        <v>2.25</v>
      </c>
      <c r="AJ185" s="17">
        <f t="shared" si="142"/>
        <v>0.5625</v>
      </c>
      <c r="AK185" s="17">
        <f t="shared" si="143"/>
        <v>0.5625</v>
      </c>
      <c r="AL185" s="17">
        <f t="shared" si="144"/>
        <v>0.25</v>
      </c>
      <c r="AM185" s="17">
        <f t="shared" si="145"/>
        <v>0.64</v>
      </c>
      <c r="AN185" s="17">
        <f t="shared" si="146"/>
        <v>0.64</v>
      </c>
      <c r="AO185" s="17">
        <f t="shared" si="147"/>
        <v>0.64</v>
      </c>
      <c r="AP185" s="17">
        <f t="shared" si="148"/>
        <v>0.64</v>
      </c>
      <c r="AQ185" s="17">
        <f t="shared" si="149"/>
        <v>1.88</v>
      </c>
      <c r="AR185" s="17">
        <f t="shared" si="150"/>
        <v>1.7316</v>
      </c>
      <c r="AS185" s="17">
        <f t="shared" si="151"/>
        <v>25.264312790569001</v>
      </c>
      <c r="AT185" s="17">
        <f t="shared" si="152"/>
        <v>2.2638600901719301</v>
      </c>
      <c r="AU185" s="17">
        <f t="shared" si="153"/>
        <v>-1.6264052709358101</v>
      </c>
      <c r="AV185" s="17">
        <f t="shared" si="154"/>
        <v>21.762566402686598</v>
      </c>
      <c r="AW185" s="17">
        <f t="shared" si="155"/>
        <v>1.9188473964577899</v>
      </c>
      <c r="AX185" s="17">
        <f t="shared" si="156"/>
        <v>-1.38128294921617</v>
      </c>
      <c r="AY185" s="17">
        <f t="shared" si="157"/>
        <v>38.744610771111098</v>
      </c>
      <c r="AZ185" s="17">
        <f t="shared" si="158"/>
        <v>24.912556153839201</v>
      </c>
      <c r="BA185" s="17">
        <f t="shared" si="159"/>
        <v>31.828583462475098</v>
      </c>
      <c r="BB185" s="17">
        <f t="shared" si="160"/>
        <v>36.139150126836597</v>
      </c>
      <c r="BC185" s="17">
        <f t="shared" si="161"/>
        <v>24.405353342218099</v>
      </c>
      <c r="BD185" s="17">
        <f t="shared" si="162"/>
        <v>30.272251734527401</v>
      </c>
      <c r="BE185" s="17" t="str">
        <f>IF(AND(BD185&lt;=AA185,BB185&lt;=AA185*MongDon!$J$44,BC185&gt;0),"Ok","FAIL")</f>
        <v>Ok</v>
      </c>
      <c r="BF185" s="17">
        <f t="shared" si="163"/>
        <v>67.090168011255997</v>
      </c>
      <c r="BG185" s="17">
        <f t="shared" si="164"/>
        <v>352.5</v>
      </c>
      <c r="BH185" s="17" t="str">
        <f t="shared" si="165"/>
        <v>Ok</v>
      </c>
      <c r="BI185" s="17">
        <f t="shared" si="166"/>
        <v>16.265306831769198</v>
      </c>
      <c r="BJ185" s="17">
        <f t="shared" si="167"/>
        <v>16.9282598437747</v>
      </c>
      <c r="BK185" s="17">
        <f t="shared" si="168"/>
        <v>20.974135819326801</v>
      </c>
      <c r="BL185" s="17">
        <f t="shared" si="169"/>
        <v>20.311182807321199</v>
      </c>
      <c r="BM185" s="17">
        <f t="shared" si="170"/>
        <v>88.125</v>
      </c>
      <c r="BN185" s="17">
        <f t="shared" si="171"/>
        <v>88.125</v>
      </c>
      <c r="BO185" s="17">
        <f t="shared" si="172"/>
        <v>88.125</v>
      </c>
      <c r="BP185" s="17">
        <f t="shared" si="173"/>
        <v>88.125</v>
      </c>
      <c r="BQ185" s="17" t="str">
        <f t="shared" si="174"/>
        <v>Ok</v>
      </c>
      <c r="BR185" s="17">
        <f t="shared" si="175"/>
        <v>49.291199358732896</v>
      </c>
      <c r="BS185" s="17">
        <f t="shared" si="176"/>
        <v>27.1673282746852</v>
      </c>
      <c r="BT185" s="16">
        <f>MongDon!$H$80</f>
        <v>1.2</v>
      </c>
      <c r="BU185" s="17" t="str">
        <f t="shared" si="177"/>
        <v>Ok</v>
      </c>
      <c r="BV185" s="17">
        <f t="shared" si="178"/>
        <v>22.607176483702201</v>
      </c>
      <c r="BW185" s="16">
        <f>MongDon!$F$86</f>
        <v>1.5</v>
      </c>
      <c r="BX185" s="17" t="str">
        <f t="shared" si="179"/>
        <v>Ok</v>
      </c>
      <c r="BY185" s="17">
        <f t="shared" si="180"/>
        <v>30.695330450499799</v>
      </c>
      <c r="BZ185" s="17">
        <f t="shared" si="181"/>
        <v>24.912556153839201</v>
      </c>
      <c r="CA185" s="17">
        <f t="shared" si="182"/>
        <v>32.9618364744505</v>
      </c>
      <c r="CB185" s="17">
        <f t="shared" si="183"/>
        <v>38.744610771111098</v>
      </c>
      <c r="CC185" s="17">
        <f t="shared" si="184"/>
        <v>31.9947939042315</v>
      </c>
      <c r="CD185" s="17">
        <f t="shared" si="185"/>
        <v>32.842934134408402</v>
      </c>
      <c r="CE185" s="17">
        <f t="shared" si="186"/>
        <v>31.6623730207187</v>
      </c>
      <c r="CF185" s="17">
        <f t="shared" si="187"/>
        <v>32.842934134408402</v>
      </c>
      <c r="CG185" s="17">
        <f t="shared" si="188"/>
        <v>7.5320084941913201</v>
      </c>
      <c r="CH185" s="17">
        <f t="shared" si="189"/>
        <v>7.5320084941913201</v>
      </c>
      <c r="CI185" s="17">
        <f t="shared" si="190"/>
        <v>250</v>
      </c>
      <c r="CJ185" s="17">
        <f t="shared" si="191"/>
        <v>250</v>
      </c>
    </row>
    <row r="186" spans="2:88">
      <c r="B186" s="3">
        <v>283</v>
      </c>
      <c r="C186" s="3" t="s">
        <v>25</v>
      </c>
      <c r="D186" s="4">
        <v>-5.27554031343234</v>
      </c>
      <c r="E186" s="4">
        <v>-1.85656141552954</v>
      </c>
      <c r="F186" s="4">
        <v>28.6472040949755</v>
      </c>
      <c r="G186" s="4">
        <v>1.7784658222543901</v>
      </c>
      <c r="H186" s="4">
        <v>-8.0004257273799908</v>
      </c>
      <c r="I186" s="4" t="s">
        <v>15</v>
      </c>
      <c r="J186" s="4">
        <v>-4.4165513894858499</v>
      </c>
      <c r="K186" s="4">
        <v>-1.5750132917758799</v>
      </c>
      <c r="L186" s="4">
        <v>24.581642489692001</v>
      </c>
      <c r="M186" s="4">
        <v>1.5059885395428001</v>
      </c>
      <c r="N186" s="4">
        <v>-6.68688632443199</v>
      </c>
      <c r="O186" s="4">
        <v>1.5</v>
      </c>
      <c r="P186" s="4">
        <v>1.5</v>
      </c>
      <c r="Q186" s="4">
        <v>0.22</v>
      </c>
      <c r="R186" s="4">
        <v>0.22</v>
      </c>
      <c r="S186" s="4">
        <v>0</v>
      </c>
      <c r="T186" s="4">
        <v>0</v>
      </c>
      <c r="U186" s="4">
        <v>0.3</v>
      </c>
      <c r="V186" s="4">
        <v>0.05</v>
      </c>
      <c r="W186" s="4">
        <v>1</v>
      </c>
      <c r="X186" s="4">
        <v>19.100000000000001</v>
      </c>
      <c r="Y186" s="4">
        <v>0</v>
      </c>
      <c r="Z186" s="4">
        <v>1.5</v>
      </c>
      <c r="AA186" s="4">
        <v>139</v>
      </c>
      <c r="AB186" s="4">
        <v>12.1</v>
      </c>
      <c r="AC186" s="4">
        <v>19.5</v>
      </c>
      <c r="AD186" s="3" t="s">
        <v>42</v>
      </c>
      <c r="AE186" s="3" t="s">
        <v>61</v>
      </c>
      <c r="AF186" s="17">
        <f>HLOOKUP(AD186,Data!$B$4:$M$9,2,0)</f>
        <v>13</v>
      </c>
      <c r="AG186" s="17">
        <f>HLOOKUP(AD186,Data!$B$4:$M$9,3,0)</f>
        <v>1</v>
      </c>
      <c r="AH186" s="17">
        <f>HLOOKUP(AE186,Data!$B$13:$I$18,3,0)</f>
        <v>260</v>
      </c>
      <c r="AI186" s="18">
        <f t="shared" si="141"/>
        <v>2.25</v>
      </c>
      <c r="AJ186" s="17">
        <f t="shared" si="142"/>
        <v>0.5625</v>
      </c>
      <c r="AK186" s="17">
        <f t="shared" si="143"/>
        <v>0.5625</v>
      </c>
      <c r="AL186" s="17">
        <f t="shared" si="144"/>
        <v>0.25</v>
      </c>
      <c r="AM186" s="17">
        <f t="shared" si="145"/>
        <v>0.64</v>
      </c>
      <c r="AN186" s="17">
        <f t="shared" si="146"/>
        <v>0.64</v>
      </c>
      <c r="AO186" s="17">
        <f t="shared" si="147"/>
        <v>0.64</v>
      </c>
      <c r="AP186" s="17">
        <f t="shared" si="148"/>
        <v>0.64</v>
      </c>
      <c r="AQ186" s="17">
        <f t="shared" si="149"/>
        <v>1.88</v>
      </c>
      <c r="AR186" s="17">
        <f t="shared" si="150"/>
        <v>1.7316</v>
      </c>
      <c r="AS186" s="17">
        <f t="shared" si="151"/>
        <v>28.6472040949755</v>
      </c>
      <c r="AT186" s="17">
        <f t="shared" si="152"/>
        <v>2.3354342469132501</v>
      </c>
      <c r="AU186" s="17">
        <f t="shared" si="153"/>
        <v>-9.5830878214097002</v>
      </c>
      <c r="AV186" s="17">
        <f t="shared" si="154"/>
        <v>24.581642489692001</v>
      </c>
      <c r="AW186" s="17">
        <f t="shared" si="155"/>
        <v>1.97849252707556</v>
      </c>
      <c r="AX186" s="17">
        <f t="shared" si="156"/>
        <v>-8.0118517412777397</v>
      </c>
      <c r="AY186" s="17">
        <f t="shared" si="157"/>
        <v>54.520574385896602</v>
      </c>
      <c r="AZ186" s="17">
        <f t="shared" si="158"/>
        <v>12.1436070318594</v>
      </c>
      <c r="BA186" s="17">
        <f t="shared" si="159"/>
        <v>33.332090708877999</v>
      </c>
      <c r="BB186" s="17">
        <f t="shared" si="160"/>
        <v>49.285786472491203</v>
      </c>
      <c r="BC186" s="17">
        <f t="shared" si="161"/>
        <v>13.764562407234999</v>
      </c>
      <c r="BD186" s="17">
        <f t="shared" si="162"/>
        <v>31.5251744398631</v>
      </c>
      <c r="BE186" s="17" t="str">
        <f>IF(AND(BD186&lt;=AA186,BB186&lt;=AA186*MongDon!$J$44,BC186&gt;0),"Ok","FAIL")</f>
        <v>Ok</v>
      </c>
      <c r="BF186" s="17">
        <f t="shared" si="163"/>
        <v>94.407826606618499</v>
      </c>
      <c r="BG186" s="17">
        <f t="shared" si="164"/>
        <v>352.5</v>
      </c>
      <c r="BH186" s="17" t="str">
        <f t="shared" si="165"/>
        <v>Ok</v>
      </c>
      <c r="BI186" s="17">
        <f t="shared" si="166"/>
        <v>17.070421447903801</v>
      </c>
      <c r="BJ186" s="17">
        <f t="shared" si="167"/>
        <v>9.5328617304275394</v>
      </c>
      <c r="BK186" s="17">
        <f t="shared" si="168"/>
        <v>21.9281246814834</v>
      </c>
      <c r="BL186" s="17">
        <f t="shared" si="169"/>
        <v>29.465684398959699</v>
      </c>
      <c r="BM186" s="17">
        <f t="shared" si="170"/>
        <v>88.125</v>
      </c>
      <c r="BN186" s="17">
        <f t="shared" si="171"/>
        <v>88.125</v>
      </c>
      <c r="BO186" s="17">
        <f t="shared" si="172"/>
        <v>88.125</v>
      </c>
      <c r="BP186" s="17">
        <f t="shared" si="173"/>
        <v>88.125</v>
      </c>
      <c r="BQ186" s="17" t="str">
        <f t="shared" si="174"/>
        <v>Ok</v>
      </c>
      <c r="BR186" s="17">
        <f t="shared" si="175"/>
        <v>50.016428414653603</v>
      </c>
      <c r="BS186" s="17">
        <f t="shared" si="176"/>
        <v>9.4808162658342408</v>
      </c>
      <c r="BT186" s="16">
        <f>MongDon!$H$80</f>
        <v>1.2</v>
      </c>
      <c r="BU186" s="17" t="str">
        <f t="shared" si="177"/>
        <v>Ok</v>
      </c>
      <c r="BV186" s="17">
        <f t="shared" si="178"/>
        <v>5.6053595743140896</v>
      </c>
      <c r="BW186" s="16">
        <f>MongDon!$F$86</f>
        <v>1.5</v>
      </c>
      <c r="BX186" s="17" t="str">
        <f t="shared" si="179"/>
        <v>Ok</v>
      </c>
      <c r="BY186" s="17">
        <f t="shared" si="180"/>
        <v>46.216808174649401</v>
      </c>
      <c r="BZ186" s="17">
        <f t="shared" si="181"/>
        <v>12.1436070318594</v>
      </c>
      <c r="CA186" s="17">
        <f t="shared" si="182"/>
        <v>20.447373243106501</v>
      </c>
      <c r="CB186" s="17">
        <f t="shared" si="183"/>
        <v>54.520574385896602</v>
      </c>
      <c r="CC186" s="17">
        <f t="shared" si="184"/>
        <v>31.4423321472315</v>
      </c>
      <c r="CD186" s="17">
        <f t="shared" si="185"/>
        <v>36.439734981507399</v>
      </c>
      <c r="CE186" s="17">
        <f t="shared" si="186"/>
        <v>35.221849270524501</v>
      </c>
      <c r="CF186" s="17">
        <f t="shared" si="187"/>
        <v>36.439734981507399</v>
      </c>
      <c r="CG186" s="17">
        <f t="shared" si="188"/>
        <v>9.9314949975586497</v>
      </c>
      <c r="CH186" s="17">
        <f t="shared" si="189"/>
        <v>9.9314949975586497</v>
      </c>
      <c r="CI186" s="17">
        <f t="shared" si="190"/>
        <v>250</v>
      </c>
      <c r="CJ186" s="17">
        <f t="shared" si="191"/>
        <v>250</v>
      </c>
    </row>
    <row r="187" spans="2:88">
      <c r="B187" s="3">
        <v>283</v>
      </c>
      <c r="C187" s="3" t="s">
        <v>26</v>
      </c>
      <c r="D187" s="4">
        <v>2.7699782623484399</v>
      </c>
      <c r="E187" s="4">
        <v>-1.73082571025968</v>
      </c>
      <c r="F187" s="4">
        <v>21.426967858409299</v>
      </c>
      <c r="G187" s="4">
        <v>1.6205372075292599</v>
      </c>
      <c r="H187" s="4">
        <v>5.5359674671643004</v>
      </c>
      <c r="I187" s="4" t="s">
        <v>16</v>
      </c>
      <c r="J187" s="4">
        <v>2.2880474236647999</v>
      </c>
      <c r="K187" s="4">
        <v>-1.47023353738433</v>
      </c>
      <c r="L187" s="4">
        <v>18.564778959220199</v>
      </c>
      <c r="M187" s="4">
        <v>1.37438136060519</v>
      </c>
      <c r="N187" s="4">
        <v>4.5934413376882599</v>
      </c>
      <c r="O187" s="4">
        <v>1.5</v>
      </c>
      <c r="P187" s="4">
        <v>1.5</v>
      </c>
      <c r="Q187" s="4">
        <v>0.22</v>
      </c>
      <c r="R187" s="4">
        <v>0.22</v>
      </c>
      <c r="S187" s="4">
        <v>0</v>
      </c>
      <c r="T187" s="4">
        <v>0</v>
      </c>
      <c r="U187" s="4">
        <v>0.3</v>
      </c>
      <c r="V187" s="4">
        <v>0.05</v>
      </c>
      <c r="W187" s="4">
        <v>1</v>
      </c>
      <c r="X187" s="4">
        <v>19.100000000000001</v>
      </c>
      <c r="Y187" s="4">
        <v>0</v>
      </c>
      <c r="Z187" s="4">
        <v>1.5</v>
      </c>
      <c r="AA187" s="4">
        <v>139</v>
      </c>
      <c r="AB187" s="4">
        <v>12.1</v>
      </c>
      <c r="AC187" s="4">
        <v>19.5</v>
      </c>
      <c r="AD187" s="3" t="s">
        <v>42</v>
      </c>
      <c r="AE187" s="3" t="s">
        <v>61</v>
      </c>
      <c r="AF187" s="17">
        <f>HLOOKUP(AD187,Data!$B$4:$M$9,2,0)</f>
        <v>13</v>
      </c>
      <c r="AG187" s="17">
        <f>HLOOKUP(AD187,Data!$B$4:$M$9,3,0)</f>
        <v>1</v>
      </c>
      <c r="AH187" s="17">
        <f>HLOOKUP(AE187,Data!$B$13:$I$18,3,0)</f>
        <v>260</v>
      </c>
      <c r="AI187" s="18">
        <f t="shared" si="141"/>
        <v>2.25</v>
      </c>
      <c r="AJ187" s="17">
        <f t="shared" si="142"/>
        <v>0.5625</v>
      </c>
      <c r="AK187" s="17">
        <f t="shared" si="143"/>
        <v>0.5625</v>
      </c>
      <c r="AL187" s="17">
        <f t="shared" si="144"/>
        <v>0.25</v>
      </c>
      <c r="AM187" s="17">
        <f t="shared" si="145"/>
        <v>0.64</v>
      </c>
      <c r="AN187" s="17">
        <f t="shared" si="146"/>
        <v>0.64</v>
      </c>
      <c r="AO187" s="17">
        <f t="shared" si="147"/>
        <v>0.64</v>
      </c>
      <c r="AP187" s="17">
        <f t="shared" si="148"/>
        <v>0.64</v>
      </c>
      <c r="AQ187" s="17">
        <f t="shared" si="149"/>
        <v>1.88</v>
      </c>
      <c r="AR187" s="17">
        <f t="shared" si="150"/>
        <v>1.7316</v>
      </c>
      <c r="AS187" s="17">
        <f t="shared" si="151"/>
        <v>21.426967858409299</v>
      </c>
      <c r="AT187" s="17">
        <f t="shared" si="152"/>
        <v>2.1397849206071702</v>
      </c>
      <c r="AU187" s="17">
        <f t="shared" si="153"/>
        <v>6.3669609458688301</v>
      </c>
      <c r="AV187" s="17">
        <f t="shared" si="154"/>
        <v>18.564778959220199</v>
      </c>
      <c r="AW187" s="17">
        <f t="shared" si="155"/>
        <v>1.81545142182049</v>
      </c>
      <c r="AX187" s="17">
        <f t="shared" si="156"/>
        <v>5.2798555647876997</v>
      </c>
      <c r="AY187" s="17">
        <f t="shared" si="157"/>
        <v>45.246200588583697</v>
      </c>
      <c r="AZ187" s="17">
        <f t="shared" si="158"/>
        <v>14.999993063335699</v>
      </c>
      <c r="BA187" s="17">
        <f t="shared" si="159"/>
        <v>30.123096825959699</v>
      </c>
      <c r="BB187" s="17">
        <f t="shared" si="160"/>
        <v>41.464891958068002</v>
      </c>
      <c r="BC187" s="17">
        <f t="shared" si="161"/>
        <v>16.2371337834611</v>
      </c>
      <c r="BD187" s="17">
        <f t="shared" si="162"/>
        <v>28.851012870764499</v>
      </c>
      <c r="BE187" s="17" t="str">
        <f>IF(AND(BD187&lt;=AA187,BB187&lt;=AA187*MongDon!$J$44,BC187&gt;0),"Ok","FAIL")</f>
        <v>Ok</v>
      </c>
      <c r="BF187" s="17">
        <f t="shared" si="163"/>
        <v>78.348320939191495</v>
      </c>
      <c r="BG187" s="17">
        <f t="shared" si="164"/>
        <v>352.5</v>
      </c>
      <c r="BH187" s="17" t="str">
        <f t="shared" si="165"/>
        <v>Ok</v>
      </c>
      <c r="BI187" s="17">
        <f t="shared" si="166"/>
        <v>15.396635325755</v>
      </c>
      <c r="BJ187" s="17">
        <f t="shared" si="167"/>
        <v>24.243651026889999</v>
      </c>
      <c r="BK187" s="17">
        <f t="shared" si="168"/>
        <v>19.847387960617901</v>
      </c>
      <c r="BL187" s="17">
        <f t="shared" si="169"/>
        <v>11.0003722594828</v>
      </c>
      <c r="BM187" s="17">
        <f t="shared" si="170"/>
        <v>88.125</v>
      </c>
      <c r="BN187" s="17">
        <f t="shared" si="171"/>
        <v>88.125</v>
      </c>
      <c r="BO187" s="17">
        <f t="shared" si="172"/>
        <v>88.125</v>
      </c>
      <c r="BP187" s="17">
        <f t="shared" si="173"/>
        <v>88.125</v>
      </c>
      <c r="BQ187" s="17" t="str">
        <f t="shared" si="174"/>
        <v>Ok</v>
      </c>
      <c r="BR187" s="17">
        <f t="shared" si="175"/>
        <v>48.468543886839001</v>
      </c>
      <c r="BS187" s="17">
        <f t="shared" si="176"/>
        <v>17.497806587747899</v>
      </c>
      <c r="BT187" s="16">
        <f>MongDon!$H$80</f>
        <v>1.2</v>
      </c>
      <c r="BU187" s="17" t="str">
        <f t="shared" si="177"/>
        <v>Ok</v>
      </c>
      <c r="BV187" s="17">
        <f t="shared" si="178"/>
        <v>7.5862685988591103</v>
      </c>
      <c r="BW187" s="16">
        <f>MongDon!$F$86</f>
        <v>1.5</v>
      </c>
      <c r="BX187" s="17" t="str">
        <f t="shared" si="179"/>
        <v>Ok</v>
      </c>
      <c r="BY187" s="17">
        <f t="shared" si="180"/>
        <v>14.999993063335699</v>
      </c>
      <c r="BZ187" s="17">
        <f t="shared" si="181"/>
        <v>37.638076426424902</v>
      </c>
      <c r="CA187" s="17">
        <f t="shared" si="182"/>
        <v>45.246200588583697</v>
      </c>
      <c r="CB187" s="17">
        <f t="shared" si="183"/>
        <v>22.6081172254945</v>
      </c>
      <c r="CC187" s="17">
        <f t="shared" si="184"/>
        <v>32.341152044477901</v>
      </c>
      <c r="CD187" s="17">
        <f t="shared" si="185"/>
        <v>29.0208998178915</v>
      </c>
      <c r="CE187" s="17">
        <f t="shared" si="186"/>
        <v>31.225293834027902</v>
      </c>
      <c r="CF187" s="17">
        <f t="shared" si="187"/>
        <v>32.341152044477901</v>
      </c>
      <c r="CG187" s="17">
        <f t="shared" si="188"/>
        <v>8.3854372332643194</v>
      </c>
      <c r="CH187" s="17">
        <f t="shared" si="189"/>
        <v>8.3854372332643194</v>
      </c>
      <c r="CI187" s="17">
        <f t="shared" si="190"/>
        <v>250</v>
      </c>
      <c r="CJ187" s="17">
        <f t="shared" si="191"/>
        <v>250</v>
      </c>
    </row>
    <row r="188" spans="2:88">
      <c r="B188" s="3">
        <v>283</v>
      </c>
      <c r="C188" s="3" t="s">
        <v>27</v>
      </c>
      <c r="D188" s="4">
        <v>-4.8194273714857703</v>
      </c>
      <c r="E188" s="4">
        <v>-6.75343477656814</v>
      </c>
      <c r="F188" s="4">
        <v>34.215200218861902</v>
      </c>
      <c r="G188" s="4">
        <v>9.9049642039727601</v>
      </c>
      <c r="H188" s="4">
        <v>-7.1076520249774999</v>
      </c>
      <c r="I188" s="4" t="s">
        <v>17</v>
      </c>
      <c r="J188" s="4">
        <v>-4.0364572711970403</v>
      </c>
      <c r="K188" s="4">
        <v>-5.6557410926413798</v>
      </c>
      <c r="L188" s="4">
        <v>29.2216392595973</v>
      </c>
      <c r="M188" s="4">
        <v>8.2780705243081005</v>
      </c>
      <c r="N188" s="4">
        <v>-5.9429082390965799</v>
      </c>
      <c r="O188" s="4">
        <v>1.5</v>
      </c>
      <c r="P188" s="4">
        <v>1.5</v>
      </c>
      <c r="Q188" s="4">
        <v>0.22</v>
      </c>
      <c r="R188" s="4">
        <v>0.22</v>
      </c>
      <c r="S188" s="4">
        <v>0</v>
      </c>
      <c r="T188" s="4">
        <v>0</v>
      </c>
      <c r="U188" s="4">
        <v>0.3</v>
      </c>
      <c r="V188" s="4">
        <v>0.05</v>
      </c>
      <c r="W188" s="4">
        <v>1</v>
      </c>
      <c r="X188" s="4">
        <v>19.100000000000001</v>
      </c>
      <c r="Y188" s="4">
        <v>0</v>
      </c>
      <c r="Z188" s="4">
        <v>1.5</v>
      </c>
      <c r="AA188" s="4">
        <v>139</v>
      </c>
      <c r="AB188" s="4">
        <v>12.1</v>
      </c>
      <c r="AC188" s="4">
        <v>19.5</v>
      </c>
      <c r="AD188" s="3" t="s">
        <v>42</v>
      </c>
      <c r="AE188" s="3" t="s">
        <v>61</v>
      </c>
      <c r="AF188" s="17">
        <f>HLOOKUP(AD188,Data!$B$4:$M$9,2,0)</f>
        <v>13</v>
      </c>
      <c r="AG188" s="17">
        <f>HLOOKUP(AD188,Data!$B$4:$M$9,3,0)</f>
        <v>1</v>
      </c>
      <c r="AH188" s="17">
        <f>HLOOKUP(AE188,Data!$B$13:$I$18,3,0)</f>
        <v>260</v>
      </c>
      <c r="AI188" s="18">
        <f t="shared" si="141"/>
        <v>2.25</v>
      </c>
      <c r="AJ188" s="17">
        <f t="shared" si="142"/>
        <v>0.5625</v>
      </c>
      <c r="AK188" s="17">
        <f t="shared" si="143"/>
        <v>0.5625</v>
      </c>
      <c r="AL188" s="17">
        <f t="shared" si="144"/>
        <v>0.25</v>
      </c>
      <c r="AM188" s="17">
        <f t="shared" si="145"/>
        <v>0.64</v>
      </c>
      <c r="AN188" s="17">
        <f t="shared" si="146"/>
        <v>0.64</v>
      </c>
      <c r="AO188" s="17">
        <f t="shared" si="147"/>
        <v>0.64</v>
      </c>
      <c r="AP188" s="17">
        <f t="shared" si="148"/>
        <v>0.64</v>
      </c>
      <c r="AQ188" s="17">
        <f t="shared" si="149"/>
        <v>1.88</v>
      </c>
      <c r="AR188" s="17">
        <f t="shared" si="150"/>
        <v>1.7316</v>
      </c>
      <c r="AS188" s="17">
        <f t="shared" si="151"/>
        <v>34.215200218861902</v>
      </c>
      <c r="AT188" s="17">
        <f t="shared" si="152"/>
        <v>11.930994636943201</v>
      </c>
      <c r="AU188" s="17">
        <f t="shared" si="153"/>
        <v>-8.5534802364232299</v>
      </c>
      <c r="AV188" s="17">
        <f t="shared" si="154"/>
        <v>29.2216392595973</v>
      </c>
      <c r="AW188" s="17">
        <f t="shared" si="155"/>
        <v>9.9747928521005207</v>
      </c>
      <c r="AX188" s="17">
        <f t="shared" si="156"/>
        <v>-7.1538454204556903</v>
      </c>
      <c r="AY188" s="17">
        <f t="shared" si="157"/>
        <v>72.223599872145599</v>
      </c>
      <c r="AZ188" s="17">
        <f t="shared" si="158"/>
        <v>-0.61008856649056797</v>
      </c>
      <c r="BA188" s="17">
        <f t="shared" si="159"/>
        <v>35.806755652827498</v>
      </c>
      <c r="BB188" s="17">
        <f t="shared" si="160"/>
        <v>64.038307711032004</v>
      </c>
      <c r="BC188" s="17">
        <f t="shared" si="161"/>
        <v>3.1364827419433401</v>
      </c>
      <c r="BD188" s="17">
        <f t="shared" si="162"/>
        <v>33.5873952264877</v>
      </c>
      <c r="BE188" s="17" t="str">
        <f>IF(AND(BD188&lt;=AA188,BB188&lt;=AA188*MongDon!$J$44,BC188&gt;0),"Ok","FAIL")</f>
        <v>Ok</v>
      </c>
      <c r="BF188" s="17">
        <f t="shared" si="163"/>
        <v>125.062385538607</v>
      </c>
      <c r="BG188" s="17">
        <f t="shared" si="164"/>
        <v>352.5</v>
      </c>
      <c r="BH188" s="17" t="str">
        <f t="shared" si="165"/>
        <v>Ok</v>
      </c>
      <c r="BI188" s="17">
        <f t="shared" si="166"/>
        <v>8.5387176344831808</v>
      </c>
      <c r="BJ188" s="17">
        <f t="shared" si="167"/>
        <v>12.0513326110239</v>
      </c>
      <c r="BK188" s="17">
        <f t="shared" si="168"/>
        <v>33.355186479324999</v>
      </c>
      <c r="BL188" s="17">
        <f t="shared" si="169"/>
        <v>29.842571502784299</v>
      </c>
      <c r="BM188" s="17">
        <f t="shared" si="170"/>
        <v>88.125</v>
      </c>
      <c r="BN188" s="17">
        <f t="shared" si="171"/>
        <v>88.125</v>
      </c>
      <c r="BO188" s="17">
        <f t="shared" si="172"/>
        <v>88.125</v>
      </c>
      <c r="BP188" s="17">
        <f t="shared" si="173"/>
        <v>88.125</v>
      </c>
      <c r="BQ188" s="17" t="str">
        <f t="shared" si="174"/>
        <v>Ok</v>
      </c>
      <c r="BR188" s="17">
        <f t="shared" si="175"/>
        <v>51.210103353909297</v>
      </c>
      <c r="BS188" s="17">
        <f t="shared" si="176"/>
        <v>7.5828234147739098</v>
      </c>
      <c r="BT188" s="16">
        <f>MongDon!$H$80</f>
        <v>1.2</v>
      </c>
      <c r="BU188" s="17" t="str">
        <f t="shared" si="177"/>
        <v>Ok</v>
      </c>
      <c r="BV188" s="17">
        <f t="shared" si="178"/>
        <v>4.8522903517940899</v>
      </c>
      <c r="BW188" s="16">
        <f>MongDon!$F$86</f>
        <v>1.5</v>
      </c>
      <c r="BX188" s="17" t="str">
        <f t="shared" si="179"/>
        <v>Ok</v>
      </c>
      <c r="BY188" s="17">
        <f t="shared" si="180"/>
        <v>29.8022856074587</v>
      </c>
      <c r="BZ188" s="17">
        <f t="shared" si="181"/>
        <v>-0.61008856649056398</v>
      </c>
      <c r="CA188" s="17">
        <f t="shared" si="182"/>
        <v>41.811225698196303</v>
      </c>
      <c r="CB188" s="17">
        <f t="shared" si="183"/>
        <v>72.223599872145599</v>
      </c>
      <c r="CC188" s="17">
        <f t="shared" si="184"/>
        <v>36.6874112594816</v>
      </c>
      <c r="CD188" s="17">
        <f t="shared" si="185"/>
        <v>41.1478928049942</v>
      </c>
      <c r="CE188" s="17">
        <f t="shared" si="186"/>
        <v>34.926100046173403</v>
      </c>
      <c r="CF188" s="17">
        <f t="shared" si="187"/>
        <v>41.1478928049942</v>
      </c>
      <c r="CG188" s="17">
        <f t="shared" si="188"/>
        <v>12.669958318031201</v>
      </c>
      <c r="CH188" s="17">
        <f t="shared" si="189"/>
        <v>12.669958318031201</v>
      </c>
      <c r="CI188" s="17">
        <f t="shared" si="190"/>
        <v>250</v>
      </c>
      <c r="CJ188" s="17">
        <f t="shared" si="191"/>
        <v>250</v>
      </c>
    </row>
    <row r="189" spans="2:88">
      <c r="B189" s="3">
        <v>283</v>
      </c>
      <c r="C189" s="3" t="s">
        <v>28</v>
      </c>
      <c r="D189" s="4">
        <v>2.3138653204018702</v>
      </c>
      <c r="E189" s="4">
        <v>3.1660476507789199</v>
      </c>
      <c r="F189" s="4">
        <v>15.8589717345229</v>
      </c>
      <c r="G189" s="4">
        <v>-6.5059611741890997</v>
      </c>
      <c r="H189" s="4">
        <v>4.6431937647618096</v>
      </c>
      <c r="I189" s="4" t="s">
        <v>18</v>
      </c>
      <c r="J189" s="4">
        <v>1.9079533053760001</v>
      </c>
      <c r="K189" s="4">
        <v>2.6104942634811699</v>
      </c>
      <c r="L189" s="4">
        <v>13.924782189314801</v>
      </c>
      <c r="M189" s="4">
        <v>-5.3977006241601098</v>
      </c>
      <c r="N189" s="4">
        <v>3.84946325235284</v>
      </c>
      <c r="O189" s="4">
        <v>1.5</v>
      </c>
      <c r="P189" s="4">
        <v>1.5</v>
      </c>
      <c r="Q189" s="4">
        <v>0.22</v>
      </c>
      <c r="R189" s="4">
        <v>0.22</v>
      </c>
      <c r="S189" s="4">
        <v>0</v>
      </c>
      <c r="T189" s="4">
        <v>0</v>
      </c>
      <c r="U189" s="4">
        <v>0.3</v>
      </c>
      <c r="V189" s="4">
        <v>0.05</v>
      </c>
      <c r="W189" s="4">
        <v>1</v>
      </c>
      <c r="X189" s="4">
        <v>19.100000000000001</v>
      </c>
      <c r="Y189" s="4">
        <v>0</v>
      </c>
      <c r="Z189" s="4">
        <v>1.5</v>
      </c>
      <c r="AA189" s="4">
        <v>139</v>
      </c>
      <c r="AB189" s="4">
        <v>12.1</v>
      </c>
      <c r="AC189" s="4">
        <v>19.5</v>
      </c>
      <c r="AD189" s="3" t="s">
        <v>42</v>
      </c>
      <c r="AE189" s="3" t="s">
        <v>61</v>
      </c>
      <c r="AF189" s="17">
        <f>HLOOKUP(AD189,Data!$B$4:$M$9,2,0)</f>
        <v>13</v>
      </c>
      <c r="AG189" s="17">
        <f>HLOOKUP(AD189,Data!$B$4:$M$9,3,0)</f>
        <v>1</v>
      </c>
      <c r="AH189" s="17">
        <f>HLOOKUP(AE189,Data!$B$13:$I$18,3,0)</f>
        <v>260</v>
      </c>
      <c r="AI189" s="18">
        <f t="shared" si="141"/>
        <v>2.25</v>
      </c>
      <c r="AJ189" s="17">
        <f t="shared" si="142"/>
        <v>0.5625</v>
      </c>
      <c r="AK189" s="17">
        <f t="shared" si="143"/>
        <v>0.5625</v>
      </c>
      <c r="AL189" s="17">
        <f t="shared" si="144"/>
        <v>0.25</v>
      </c>
      <c r="AM189" s="17">
        <f t="shared" si="145"/>
        <v>0.64</v>
      </c>
      <c r="AN189" s="17">
        <f t="shared" si="146"/>
        <v>0.64</v>
      </c>
      <c r="AO189" s="17">
        <f t="shared" si="147"/>
        <v>0.64</v>
      </c>
      <c r="AP189" s="17">
        <f t="shared" si="148"/>
        <v>0.64</v>
      </c>
      <c r="AQ189" s="17">
        <f t="shared" si="149"/>
        <v>1.88</v>
      </c>
      <c r="AR189" s="17">
        <f t="shared" si="150"/>
        <v>1.7316</v>
      </c>
      <c r="AS189" s="17">
        <f t="shared" si="151"/>
        <v>15.8589717345229</v>
      </c>
      <c r="AT189" s="17">
        <f t="shared" si="152"/>
        <v>-7.4557754694227798</v>
      </c>
      <c r="AU189" s="17">
        <f t="shared" si="153"/>
        <v>5.3373533608823696</v>
      </c>
      <c r="AV189" s="17">
        <f t="shared" si="154"/>
        <v>13.924782189314801</v>
      </c>
      <c r="AW189" s="17">
        <f t="shared" si="155"/>
        <v>-6.1808489032044598</v>
      </c>
      <c r="AX189" s="17">
        <f t="shared" si="156"/>
        <v>4.4218492439656396</v>
      </c>
      <c r="AY189" s="17">
        <f t="shared" si="157"/>
        <v>50.391772024774902</v>
      </c>
      <c r="AZ189" s="17">
        <f t="shared" si="158"/>
        <v>4.90509173924546</v>
      </c>
      <c r="BA189" s="17">
        <f t="shared" si="159"/>
        <v>27.6484318820102</v>
      </c>
      <c r="BB189" s="17">
        <f t="shared" si="160"/>
        <v>45.638033234664498</v>
      </c>
      <c r="BC189" s="17">
        <f t="shared" si="161"/>
        <v>7.9395509336152799</v>
      </c>
      <c r="BD189" s="17">
        <f t="shared" si="162"/>
        <v>26.788792084139899</v>
      </c>
      <c r="BE189" s="17" t="str">
        <f>IF(AND(BD189&lt;=AA189,BB189&lt;=AA189*MongDon!$J$44,BC189&gt;0),"Ok","FAIL")</f>
        <v>Ok</v>
      </c>
      <c r="BF189" s="17">
        <f t="shared" si="163"/>
        <v>87.258392438100202</v>
      </c>
      <c r="BG189" s="17">
        <f t="shared" si="164"/>
        <v>352.5</v>
      </c>
      <c r="BH189" s="17" t="str">
        <f t="shared" si="165"/>
        <v>Ok</v>
      </c>
      <c r="BI189" s="17">
        <f t="shared" si="166"/>
        <v>23.928339139175598</v>
      </c>
      <c r="BJ189" s="17">
        <f t="shared" si="167"/>
        <v>21.725180146293599</v>
      </c>
      <c r="BK189" s="17">
        <f t="shared" si="168"/>
        <v>8.4203261627762593</v>
      </c>
      <c r="BL189" s="17">
        <f t="shared" si="169"/>
        <v>10.623485155658299</v>
      </c>
      <c r="BM189" s="17">
        <f t="shared" si="170"/>
        <v>88.125</v>
      </c>
      <c r="BN189" s="17">
        <f t="shared" si="171"/>
        <v>88.125</v>
      </c>
      <c r="BO189" s="17">
        <f t="shared" si="172"/>
        <v>88.125</v>
      </c>
      <c r="BP189" s="17">
        <f t="shared" si="173"/>
        <v>88.125</v>
      </c>
      <c r="BQ189" s="17" t="str">
        <f t="shared" si="174"/>
        <v>Ok</v>
      </c>
      <c r="BR189" s="17">
        <f t="shared" si="175"/>
        <v>47.2748689475833</v>
      </c>
      <c r="BS189" s="17">
        <f t="shared" si="176"/>
        <v>14.931824837175901</v>
      </c>
      <c r="BT189" s="16">
        <f>MongDon!$H$80</f>
        <v>1.2</v>
      </c>
      <c r="BU189" s="17" t="str">
        <f t="shared" si="177"/>
        <v>Ok</v>
      </c>
      <c r="BV189" s="17">
        <f t="shared" si="178"/>
        <v>5.9182950159721397</v>
      </c>
      <c r="BW189" s="16">
        <f>MongDon!$F$86</f>
        <v>1.5</v>
      </c>
      <c r="BX189" s="17" t="str">
        <f t="shared" si="179"/>
        <v>Ok</v>
      </c>
      <c r="BY189" s="17">
        <f t="shared" si="180"/>
        <v>31.414515630526399</v>
      </c>
      <c r="BZ189" s="17">
        <f t="shared" si="181"/>
        <v>50.391772024774902</v>
      </c>
      <c r="CA189" s="17">
        <f t="shared" si="182"/>
        <v>23.882348133493899</v>
      </c>
      <c r="CB189" s="17">
        <f t="shared" si="183"/>
        <v>4.90509173924546</v>
      </c>
      <c r="CC189" s="17">
        <f t="shared" si="184"/>
        <v>30.984121769615601</v>
      </c>
      <c r="CD189" s="17">
        <f t="shared" si="185"/>
        <v>28.200790831792499</v>
      </c>
      <c r="CE189" s="17">
        <f t="shared" si="186"/>
        <v>30.984121769615601</v>
      </c>
      <c r="CF189" s="17">
        <f t="shared" si="187"/>
        <v>27.096072932227798</v>
      </c>
      <c r="CG189" s="17">
        <f t="shared" si="188"/>
        <v>8.9953393199216904</v>
      </c>
      <c r="CH189" s="17">
        <f t="shared" si="189"/>
        <v>8.9953393199216904</v>
      </c>
      <c r="CI189" s="17">
        <f t="shared" si="190"/>
        <v>250</v>
      </c>
      <c r="CJ189" s="17">
        <f t="shared" si="191"/>
        <v>250</v>
      </c>
    </row>
    <row r="190" spans="2:88">
      <c r="B190" s="3">
        <v>283</v>
      </c>
      <c r="C190" s="3" t="s">
        <v>29</v>
      </c>
      <c r="D190" s="4">
        <v>-5.5940032025878796</v>
      </c>
      <c r="E190" s="4">
        <v>-1.67758668697446</v>
      </c>
      <c r="F190" s="4">
        <v>27.0032870054504</v>
      </c>
      <c r="G190" s="4">
        <v>1.6067730901324599</v>
      </c>
      <c r="H190" s="4">
        <v>-8.6259241825493191</v>
      </c>
      <c r="I190" s="4" t="s">
        <v>19</v>
      </c>
      <c r="J190" s="4">
        <v>-4.6819371304487998</v>
      </c>
      <c r="K190" s="4">
        <v>-1.42586768464665</v>
      </c>
      <c r="L190" s="4">
        <v>23.2117115817544</v>
      </c>
      <c r="M190" s="4">
        <v>1.3629112627745199</v>
      </c>
      <c r="N190" s="4">
        <v>-7.2081350370730899</v>
      </c>
      <c r="O190" s="4">
        <v>1.5</v>
      </c>
      <c r="P190" s="4">
        <v>1.5</v>
      </c>
      <c r="Q190" s="4">
        <v>0.22</v>
      </c>
      <c r="R190" s="4">
        <v>0.22</v>
      </c>
      <c r="S190" s="4">
        <v>0</v>
      </c>
      <c r="T190" s="4">
        <v>0</v>
      </c>
      <c r="U190" s="4">
        <v>0.3</v>
      </c>
      <c r="V190" s="4">
        <v>0.05</v>
      </c>
      <c r="W190" s="4">
        <v>1</v>
      </c>
      <c r="X190" s="4">
        <v>19.100000000000001</v>
      </c>
      <c r="Y190" s="4">
        <v>0</v>
      </c>
      <c r="Z190" s="4">
        <v>1.5</v>
      </c>
      <c r="AA190" s="4">
        <v>139</v>
      </c>
      <c r="AB190" s="4">
        <v>12.1</v>
      </c>
      <c r="AC190" s="4">
        <v>19.5</v>
      </c>
      <c r="AD190" s="3" t="s">
        <v>42</v>
      </c>
      <c r="AE190" s="3" t="s">
        <v>61</v>
      </c>
      <c r="AF190" s="17">
        <f>HLOOKUP(AD190,Data!$B$4:$M$9,2,0)</f>
        <v>13</v>
      </c>
      <c r="AG190" s="17">
        <f>HLOOKUP(AD190,Data!$B$4:$M$9,3,0)</f>
        <v>1</v>
      </c>
      <c r="AH190" s="17">
        <f>HLOOKUP(AE190,Data!$B$13:$I$18,3,0)</f>
        <v>260</v>
      </c>
      <c r="AI190" s="18">
        <f t="shared" si="141"/>
        <v>2.25</v>
      </c>
      <c r="AJ190" s="17">
        <f t="shared" si="142"/>
        <v>0.5625</v>
      </c>
      <c r="AK190" s="17">
        <f t="shared" si="143"/>
        <v>0.5625</v>
      </c>
      <c r="AL190" s="17">
        <f t="shared" si="144"/>
        <v>0.25</v>
      </c>
      <c r="AM190" s="17">
        <f t="shared" si="145"/>
        <v>0.64</v>
      </c>
      <c r="AN190" s="17">
        <f t="shared" si="146"/>
        <v>0.64</v>
      </c>
      <c r="AO190" s="17">
        <f t="shared" si="147"/>
        <v>0.64</v>
      </c>
      <c r="AP190" s="17">
        <f t="shared" si="148"/>
        <v>0.64</v>
      </c>
      <c r="AQ190" s="17">
        <f t="shared" si="149"/>
        <v>1.88</v>
      </c>
      <c r="AR190" s="17">
        <f t="shared" si="150"/>
        <v>1.7316</v>
      </c>
      <c r="AS190" s="17">
        <f t="shared" si="151"/>
        <v>27.0032870054504</v>
      </c>
      <c r="AT190" s="17">
        <f t="shared" si="152"/>
        <v>2.11004909622479</v>
      </c>
      <c r="AU190" s="17">
        <f t="shared" si="153"/>
        <v>-10.304125143325701</v>
      </c>
      <c r="AV190" s="17">
        <f t="shared" si="154"/>
        <v>23.2117115817544</v>
      </c>
      <c r="AW190" s="17">
        <f t="shared" si="155"/>
        <v>1.7906715681685099</v>
      </c>
      <c r="AX190" s="17">
        <f t="shared" si="156"/>
        <v>-8.61271617620773</v>
      </c>
      <c r="AY190" s="17">
        <f t="shared" si="157"/>
        <v>54.671103983845498</v>
      </c>
      <c r="AZ190" s="17">
        <f t="shared" si="158"/>
        <v>10.5318177987771</v>
      </c>
      <c r="BA190" s="17">
        <f t="shared" si="159"/>
        <v>32.601460891311298</v>
      </c>
      <c r="BB190" s="17">
        <f t="shared" si="160"/>
        <v>49.411227804115299</v>
      </c>
      <c r="BC190" s="17">
        <f t="shared" si="161"/>
        <v>12.4214047129998</v>
      </c>
      <c r="BD190" s="17">
        <f t="shared" si="162"/>
        <v>30.916316258557501</v>
      </c>
      <c r="BE190" s="17" t="str">
        <f>IF(AND(BD190&lt;=AA190,BB190&lt;=AA190*MongDon!$J$44,BC190&gt;0),"Ok","FAIL")</f>
        <v>Ok</v>
      </c>
      <c r="BF190" s="17">
        <f t="shared" si="163"/>
        <v>94.668483658426894</v>
      </c>
      <c r="BG190" s="17">
        <f t="shared" si="164"/>
        <v>352.5</v>
      </c>
      <c r="BH190" s="17" t="str">
        <f t="shared" si="165"/>
        <v>Ok</v>
      </c>
      <c r="BI190" s="17">
        <f t="shared" si="166"/>
        <v>16.8774035613433</v>
      </c>
      <c r="BJ190" s="17">
        <f t="shared" si="167"/>
        <v>8.3555644723584095</v>
      </c>
      <c r="BK190" s="17">
        <f t="shared" si="168"/>
        <v>21.266305681490898</v>
      </c>
      <c r="BL190" s="17">
        <f t="shared" si="169"/>
        <v>29.7881447704758</v>
      </c>
      <c r="BM190" s="17">
        <f t="shared" si="170"/>
        <v>88.125</v>
      </c>
      <c r="BN190" s="17">
        <f t="shared" si="171"/>
        <v>88.125</v>
      </c>
      <c r="BO190" s="17">
        <f t="shared" si="172"/>
        <v>88.125</v>
      </c>
      <c r="BP190" s="17">
        <f t="shared" si="173"/>
        <v>88.125</v>
      </c>
      <c r="BQ190" s="17" t="str">
        <f t="shared" si="174"/>
        <v>Ok</v>
      </c>
      <c r="BR190" s="17">
        <f t="shared" si="175"/>
        <v>49.664003127652698</v>
      </c>
      <c r="BS190" s="17">
        <f t="shared" si="176"/>
        <v>8.8780791374372594</v>
      </c>
      <c r="BT190" s="16">
        <f>MongDon!$H$80</f>
        <v>1.2</v>
      </c>
      <c r="BU190" s="17" t="str">
        <f t="shared" si="177"/>
        <v>Ok</v>
      </c>
      <c r="BV190" s="17">
        <f t="shared" si="178"/>
        <v>5.0934664053535199</v>
      </c>
      <c r="BW190" s="16">
        <f>MongDon!$F$86</f>
        <v>1.5</v>
      </c>
      <c r="BX190" s="17" t="str">
        <f t="shared" si="179"/>
        <v>Ok</v>
      </c>
      <c r="BY190" s="17">
        <f t="shared" si="180"/>
        <v>47.168707197268397</v>
      </c>
      <c r="BZ190" s="17">
        <f t="shared" si="181"/>
        <v>10.5318177987771</v>
      </c>
      <c r="CA190" s="17">
        <f t="shared" si="182"/>
        <v>18.034214585354199</v>
      </c>
      <c r="CB190" s="17">
        <f t="shared" si="183"/>
        <v>54.671103983845498</v>
      </c>
      <c r="CC190" s="17">
        <f t="shared" si="184"/>
        <v>30.464931433104301</v>
      </c>
      <c r="CD190" s="17">
        <f t="shared" si="185"/>
        <v>35.838341878216298</v>
      </c>
      <c r="CE190" s="17">
        <f t="shared" si="186"/>
        <v>34.737990349518299</v>
      </c>
      <c r="CF190" s="17">
        <f t="shared" si="187"/>
        <v>35.838341878216298</v>
      </c>
      <c r="CG190" s="17">
        <f t="shared" si="188"/>
        <v>9.9109922028139401</v>
      </c>
      <c r="CH190" s="17">
        <f t="shared" si="189"/>
        <v>9.9109922028139401</v>
      </c>
      <c r="CI190" s="17">
        <f t="shared" si="190"/>
        <v>250</v>
      </c>
      <c r="CJ190" s="17">
        <f t="shared" si="191"/>
        <v>250</v>
      </c>
    </row>
    <row r="191" spans="2:88">
      <c r="B191" s="3">
        <v>283</v>
      </c>
      <c r="C191" s="3" t="s">
        <v>30</v>
      </c>
      <c r="D191" s="4">
        <v>3.3454618816129802</v>
      </c>
      <c r="E191" s="4">
        <v>-1.5378803477857399</v>
      </c>
      <c r="F191" s="4">
        <v>18.9808022981547</v>
      </c>
      <c r="G191" s="4">
        <v>1.4312968515489799</v>
      </c>
      <c r="H191" s="4">
        <v>6.4145127002776796</v>
      </c>
      <c r="I191" s="4" t="s">
        <v>20</v>
      </c>
      <c r="J191" s="4">
        <v>2.7676171063852602</v>
      </c>
      <c r="K191" s="4">
        <v>-1.30944573532271</v>
      </c>
      <c r="L191" s="4">
        <v>16.526307659008001</v>
      </c>
      <c r="M191" s="4">
        <v>1.2166810639549499</v>
      </c>
      <c r="N191" s="4">
        <v>5.3255623652827397</v>
      </c>
      <c r="O191" s="4">
        <v>1.5</v>
      </c>
      <c r="P191" s="4">
        <v>1.5</v>
      </c>
      <c r="Q191" s="4">
        <v>0.22</v>
      </c>
      <c r="R191" s="4">
        <v>0.22</v>
      </c>
      <c r="S191" s="4">
        <v>0</v>
      </c>
      <c r="T191" s="4">
        <v>0</v>
      </c>
      <c r="U191" s="4">
        <v>0.3</v>
      </c>
      <c r="V191" s="4">
        <v>0.05</v>
      </c>
      <c r="W191" s="4">
        <v>1</v>
      </c>
      <c r="X191" s="4">
        <v>19.100000000000001</v>
      </c>
      <c r="Y191" s="4">
        <v>0</v>
      </c>
      <c r="Z191" s="4">
        <v>1.5</v>
      </c>
      <c r="AA191" s="4">
        <v>139</v>
      </c>
      <c r="AB191" s="4">
        <v>12.1</v>
      </c>
      <c r="AC191" s="4">
        <v>19.5</v>
      </c>
      <c r="AD191" s="3" t="s">
        <v>42</v>
      </c>
      <c r="AE191" s="3" t="s">
        <v>61</v>
      </c>
      <c r="AF191" s="17">
        <f>HLOOKUP(AD191,Data!$B$4:$M$9,2,0)</f>
        <v>13</v>
      </c>
      <c r="AG191" s="17">
        <f>HLOOKUP(AD191,Data!$B$4:$M$9,3,0)</f>
        <v>1</v>
      </c>
      <c r="AH191" s="17">
        <f>HLOOKUP(AE191,Data!$B$13:$I$18,3,0)</f>
        <v>260</v>
      </c>
      <c r="AI191" s="18">
        <f t="shared" si="141"/>
        <v>2.25</v>
      </c>
      <c r="AJ191" s="17">
        <f t="shared" si="142"/>
        <v>0.5625</v>
      </c>
      <c r="AK191" s="17">
        <f t="shared" si="143"/>
        <v>0.5625</v>
      </c>
      <c r="AL191" s="17">
        <f t="shared" si="144"/>
        <v>0.25</v>
      </c>
      <c r="AM191" s="17">
        <f t="shared" si="145"/>
        <v>0.64</v>
      </c>
      <c r="AN191" s="17">
        <f t="shared" si="146"/>
        <v>0.64</v>
      </c>
      <c r="AO191" s="17">
        <f t="shared" si="147"/>
        <v>0.64</v>
      </c>
      <c r="AP191" s="17">
        <f t="shared" si="148"/>
        <v>0.64</v>
      </c>
      <c r="AQ191" s="17">
        <f t="shared" si="149"/>
        <v>1.88</v>
      </c>
      <c r="AR191" s="17">
        <f t="shared" si="150"/>
        <v>1.7316</v>
      </c>
      <c r="AS191" s="17">
        <f t="shared" si="151"/>
        <v>18.9808022981547</v>
      </c>
      <c r="AT191" s="17">
        <f t="shared" si="152"/>
        <v>1.8926609558847001</v>
      </c>
      <c r="AU191" s="17">
        <f t="shared" si="153"/>
        <v>7.4181512647615699</v>
      </c>
      <c r="AV191" s="17">
        <f t="shared" si="154"/>
        <v>16.526307659008001</v>
      </c>
      <c r="AW191" s="17">
        <f t="shared" si="155"/>
        <v>1.6095147845517701</v>
      </c>
      <c r="AX191" s="17">
        <f t="shared" si="156"/>
        <v>6.1558474971983097</v>
      </c>
      <c r="AY191" s="17">
        <f t="shared" si="157"/>
        <v>45.588467191439896</v>
      </c>
      <c r="AZ191" s="17">
        <f t="shared" si="158"/>
        <v>12.4833570735865</v>
      </c>
      <c r="BA191" s="17">
        <f t="shared" si="159"/>
        <v>29.0359121325132</v>
      </c>
      <c r="BB191" s="17">
        <f t="shared" si="160"/>
        <v>41.750114127114799</v>
      </c>
      <c r="BC191" s="17">
        <f t="shared" si="161"/>
        <v>14.139937125336701</v>
      </c>
      <c r="BD191" s="17">
        <f t="shared" si="162"/>
        <v>27.945025626225799</v>
      </c>
      <c r="BE191" s="17" t="str">
        <f>IF(AND(BD191&lt;=AA191,BB191&lt;=AA191*MongDon!$J$44,BC191&gt;0),"Ok","FAIL")</f>
        <v>Ok</v>
      </c>
      <c r="BF191" s="17">
        <f t="shared" si="163"/>
        <v>78.940989788697294</v>
      </c>
      <c r="BG191" s="17">
        <f t="shared" si="164"/>
        <v>352.5</v>
      </c>
      <c r="BH191" s="17" t="str">
        <f t="shared" si="165"/>
        <v>Ok</v>
      </c>
      <c r="BI191" s="17">
        <f t="shared" si="166"/>
        <v>15.0176412034001</v>
      </c>
      <c r="BJ191" s="17">
        <f t="shared" si="167"/>
        <v>24.700885912872302</v>
      </c>
      <c r="BK191" s="17">
        <f t="shared" si="168"/>
        <v>18.954375991640301</v>
      </c>
      <c r="BL191" s="17">
        <f t="shared" si="169"/>
        <v>9.2711312821681897</v>
      </c>
      <c r="BM191" s="17">
        <f t="shared" si="170"/>
        <v>88.125</v>
      </c>
      <c r="BN191" s="17">
        <f t="shared" si="171"/>
        <v>88.125</v>
      </c>
      <c r="BO191" s="17">
        <f t="shared" si="172"/>
        <v>88.125</v>
      </c>
      <c r="BP191" s="17">
        <f t="shared" si="173"/>
        <v>88.125</v>
      </c>
      <c r="BQ191" s="17" t="str">
        <f t="shared" si="174"/>
        <v>Ok</v>
      </c>
      <c r="BR191" s="17">
        <f t="shared" si="175"/>
        <v>47.944131430081001</v>
      </c>
      <c r="BS191" s="17">
        <f t="shared" si="176"/>
        <v>14.331094816409999</v>
      </c>
      <c r="BT191" s="16">
        <f>MongDon!$H$80</f>
        <v>1.2</v>
      </c>
      <c r="BU191" s="17" t="str">
        <f t="shared" si="177"/>
        <v>Ok</v>
      </c>
      <c r="BV191" s="17">
        <f t="shared" si="178"/>
        <v>6.2639396347102601</v>
      </c>
      <c r="BW191" s="16">
        <f>MongDon!$F$86</f>
        <v>1.5</v>
      </c>
      <c r="BX191" s="17" t="str">
        <f t="shared" si="179"/>
        <v>Ok</v>
      </c>
      <c r="BY191" s="17">
        <f t="shared" si="180"/>
        <v>12.4833570735865</v>
      </c>
      <c r="BZ191" s="17">
        <f t="shared" si="181"/>
        <v>38.859006014960997</v>
      </c>
      <c r="CA191" s="17">
        <f t="shared" si="182"/>
        <v>45.588467191439896</v>
      </c>
      <c r="CB191" s="17">
        <f t="shared" si="183"/>
        <v>19.2128182500654</v>
      </c>
      <c r="CC191" s="17">
        <f t="shared" si="184"/>
        <v>31.463620207822402</v>
      </c>
      <c r="CD191" s="17">
        <f t="shared" si="185"/>
        <v>27.595191696420802</v>
      </c>
      <c r="CE191" s="17">
        <f t="shared" si="186"/>
        <v>30.476632568605499</v>
      </c>
      <c r="CF191" s="17">
        <f t="shared" si="187"/>
        <v>31.463620207822402</v>
      </c>
      <c r="CG191" s="17">
        <f t="shared" si="188"/>
        <v>8.3722618600586092</v>
      </c>
      <c r="CH191" s="17">
        <f t="shared" si="189"/>
        <v>8.3722618600586092</v>
      </c>
      <c r="CI191" s="17">
        <f t="shared" si="190"/>
        <v>250</v>
      </c>
      <c r="CJ191" s="17">
        <f t="shared" si="191"/>
        <v>250</v>
      </c>
    </row>
    <row r="192" spans="2:88">
      <c r="B192" s="3">
        <v>283</v>
      </c>
      <c r="C192" s="3" t="s">
        <v>31</v>
      </c>
      <c r="D192" s="4">
        <v>-5.0872110448694796</v>
      </c>
      <c r="E192" s="4">
        <v>-7.1185570881284699</v>
      </c>
      <c r="F192" s="4">
        <v>33.189949365324303</v>
      </c>
      <c r="G192" s="4">
        <v>10.6362157364862</v>
      </c>
      <c r="H192" s="4">
        <v>-7.6339534021021</v>
      </c>
      <c r="I192" s="4" t="s">
        <v>21</v>
      </c>
      <c r="J192" s="4">
        <v>-4.25961033235013</v>
      </c>
      <c r="K192" s="4">
        <v>-5.9600096856083198</v>
      </c>
      <c r="L192" s="4">
        <v>28.367263548315901</v>
      </c>
      <c r="M192" s="4">
        <v>8.8874468014026302</v>
      </c>
      <c r="N192" s="4">
        <v>-6.3814927200337399</v>
      </c>
      <c r="O192" s="4">
        <v>1.5</v>
      </c>
      <c r="P192" s="4">
        <v>1.5</v>
      </c>
      <c r="Q192" s="4">
        <v>0.22</v>
      </c>
      <c r="R192" s="4">
        <v>0.22</v>
      </c>
      <c r="S192" s="4">
        <v>0</v>
      </c>
      <c r="T192" s="4">
        <v>0</v>
      </c>
      <c r="U192" s="4">
        <v>0.3</v>
      </c>
      <c r="V192" s="4">
        <v>0.05</v>
      </c>
      <c r="W192" s="4">
        <v>1</v>
      </c>
      <c r="X192" s="4">
        <v>19.100000000000001</v>
      </c>
      <c r="Y192" s="4">
        <v>0</v>
      </c>
      <c r="Z192" s="4">
        <v>1.5</v>
      </c>
      <c r="AA192" s="4">
        <v>139</v>
      </c>
      <c r="AB192" s="4">
        <v>12.1</v>
      </c>
      <c r="AC192" s="4">
        <v>19.5</v>
      </c>
      <c r="AD192" s="3" t="s">
        <v>42</v>
      </c>
      <c r="AE192" s="3" t="s">
        <v>61</v>
      </c>
      <c r="AF192" s="17">
        <f>HLOOKUP(AD192,Data!$B$4:$M$9,2,0)</f>
        <v>13</v>
      </c>
      <c r="AG192" s="17">
        <f>HLOOKUP(AD192,Data!$B$4:$M$9,3,0)</f>
        <v>1</v>
      </c>
      <c r="AH192" s="17">
        <f>HLOOKUP(AE192,Data!$B$13:$I$18,3,0)</f>
        <v>260</v>
      </c>
      <c r="AI192" s="18">
        <f t="shared" si="141"/>
        <v>2.25</v>
      </c>
      <c r="AJ192" s="17">
        <f t="shared" si="142"/>
        <v>0.5625</v>
      </c>
      <c r="AK192" s="17">
        <f t="shared" si="143"/>
        <v>0.5625</v>
      </c>
      <c r="AL192" s="17">
        <f t="shared" si="144"/>
        <v>0.25</v>
      </c>
      <c r="AM192" s="17">
        <f t="shared" si="145"/>
        <v>0.64</v>
      </c>
      <c r="AN192" s="17">
        <f t="shared" si="146"/>
        <v>0.64</v>
      </c>
      <c r="AO192" s="17">
        <f t="shared" si="147"/>
        <v>0.64</v>
      </c>
      <c r="AP192" s="17">
        <f t="shared" si="148"/>
        <v>0.64</v>
      </c>
      <c r="AQ192" s="17">
        <f t="shared" si="149"/>
        <v>1.88</v>
      </c>
      <c r="AR192" s="17">
        <f t="shared" si="150"/>
        <v>1.7316</v>
      </c>
      <c r="AS192" s="17">
        <f t="shared" si="151"/>
        <v>33.189949365324303</v>
      </c>
      <c r="AT192" s="17">
        <f t="shared" si="152"/>
        <v>12.771782862924701</v>
      </c>
      <c r="AU192" s="17">
        <f t="shared" si="153"/>
        <v>-9.1601167155629408</v>
      </c>
      <c r="AV192" s="17">
        <f t="shared" si="154"/>
        <v>28.367263548315901</v>
      </c>
      <c r="AW192" s="17">
        <f t="shared" si="155"/>
        <v>10.6754497070851</v>
      </c>
      <c r="AX192" s="17">
        <f t="shared" si="156"/>
        <v>-7.6593758197387798</v>
      </c>
      <c r="AY192" s="17">
        <f t="shared" si="157"/>
        <v>74.341132301900004</v>
      </c>
      <c r="AZ192" s="17">
        <f t="shared" si="158"/>
        <v>-3.6389550882784101</v>
      </c>
      <c r="BA192" s="17">
        <f t="shared" si="159"/>
        <v>35.351088606810798</v>
      </c>
      <c r="BB192" s="17">
        <f t="shared" si="160"/>
        <v>65.802918069160697</v>
      </c>
      <c r="BC192" s="17">
        <f t="shared" si="161"/>
        <v>0.61242730712014304</v>
      </c>
      <c r="BD192" s="17">
        <f t="shared" si="162"/>
        <v>33.207672688140399</v>
      </c>
      <c r="BE192" s="17" t="str">
        <f>IF(AND(BD192&lt;=AA192,BB192&lt;=AA192*MongDon!$J$44,BC192&gt;0),"Ok","FAIL")</f>
        <v>Ok</v>
      </c>
      <c r="BF192" s="17">
        <f t="shared" si="163"/>
        <v>128.72910469396999</v>
      </c>
      <c r="BG192" s="17">
        <f t="shared" si="164"/>
        <v>352.5</v>
      </c>
      <c r="BH192" s="17" t="str">
        <f t="shared" si="165"/>
        <v>Ok</v>
      </c>
      <c r="BI192" s="17">
        <f t="shared" si="166"/>
        <v>7.3977326575425897</v>
      </c>
      <c r="BJ192" s="17">
        <f t="shared" si="167"/>
        <v>11.1538654507989</v>
      </c>
      <c r="BK192" s="17">
        <f t="shared" si="168"/>
        <v>33.963041012425997</v>
      </c>
      <c r="BL192" s="17">
        <f t="shared" si="169"/>
        <v>30.206908219169801</v>
      </c>
      <c r="BM192" s="17">
        <f t="shared" si="170"/>
        <v>88.125</v>
      </c>
      <c r="BN192" s="17">
        <f t="shared" si="171"/>
        <v>88.125</v>
      </c>
      <c r="BO192" s="17">
        <f t="shared" si="172"/>
        <v>88.125</v>
      </c>
      <c r="BP192" s="17">
        <f t="shared" si="173"/>
        <v>88.125</v>
      </c>
      <c r="BQ192" s="17" t="str">
        <f t="shared" si="174"/>
        <v>Ok</v>
      </c>
      <c r="BR192" s="17">
        <f t="shared" si="175"/>
        <v>50.990308615714703</v>
      </c>
      <c r="BS192" s="17">
        <f t="shared" si="176"/>
        <v>7.1630118273196999</v>
      </c>
      <c r="BT192" s="16">
        <f>MongDon!$H$80</f>
        <v>1.2</v>
      </c>
      <c r="BU192" s="17" t="str">
        <f t="shared" si="177"/>
        <v>Ok</v>
      </c>
      <c r="BV192" s="17">
        <f t="shared" si="178"/>
        <v>4.4726497965932301</v>
      </c>
      <c r="BW192" s="16">
        <f>MongDon!$F$86</f>
        <v>1.5</v>
      </c>
      <c r="BX192" s="17" t="str">
        <f t="shared" si="179"/>
        <v>Ok</v>
      </c>
      <c r="BY192" s="17">
        <f t="shared" si="180"/>
        <v>28.9303487892787</v>
      </c>
      <c r="BZ192" s="17">
        <f t="shared" si="181"/>
        <v>-3.6389550882784101</v>
      </c>
      <c r="CA192" s="17">
        <f t="shared" si="182"/>
        <v>41.7718284243428</v>
      </c>
      <c r="CB192" s="17">
        <f t="shared" si="183"/>
        <v>74.341132301900004</v>
      </c>
      <c r="CC192" s="17">
        <f t="shared" si="184"/>
        <v>36.2927971133822</v>
      </c>
      <c r="CD192" s="17">
        <f t="shared" si="185"/>
        <v>41.069628348757199</v>
      </c>
      <c r="CE192" s="17">
        <f t="shared" si="186"/>
        <v>34.409380100239403</v>
      </c>
      <c r="CF192" s="17">
        <f t="shared" si="187"/>
        <v>41.069628348757199</v>
      </c>
      <c r="CG192" s="17">
        <f t="shared" si="188"/>
        <v>12.953729225561201</v>
      </c>
      <c r="CH192" s="17">
        <f t="shared" si="189"/>
        <v>12.953729225561201</v>
      </c>
      <c r="CI192" s="17">
        <f t="shared" si="190"/>
        <v>250</v>
      </c>
      <c r="CJ192" s="17">
        <f t="shared" si="191"/>
        <v>250</v>
      </c>
    </row>
    <row r="193" spans="2:88">
      <c r="B193" s="3">
        <v>283</v>
      </c>
      <c r="C193" s="3" t="s">
        <v>32</v>
      </c>
      <c r="D193" s="4">
        <v>2.83866972389457</v>
      </c>
      <c r="E193" s="4">
        <v>3.90309005336827</v>
      </c>
      <c r="F193" s="4">
        <v>12.7941399382809</v>
      </c>
      <c r="G193" s="4">
        <v>-7.5981457948047604</v>
      </c>
      <c r="H193" s="4">
        <v>5.4225419198304596</v>
      </c>
      <c r="I193" s="4" t="s">
        <v>22</v>
      </c>
      <c r="J193" s="4">
        <v>2.3452903082865801</v>
      </c>
      <c r="K193" s="4">
        <v>3.2246962656389599</v>
      </c>
      <c r="L193" s="4">
        <v>11.370755692446499</v>
      </c>
      <c r="M193" s="4">
        <v>-6.3078544746731602</v>
      </c>
      <c r="N193" s="4">
        <v>4.4989200482433898</v>
      </c>
      <c r="O193" s="4">
        <v>1.5</v>
      </c>
      <c r="P193" s="4">
        <v>1.5</v>
      </c>
      <c r="Q193" s="4">
        <v>0.22</v>
      </c>
      <c r="R193" s="4">
        <v>0.22</v>
      </c>
      <c r="S193" s="4">
        <v>0</v>
      </c>
      <c r="T193" s="4">
        <v>0</v>
      </c>
      <c r="U193" s="4">
        <v>0.3</v>
      </c>
      <c r="V193" s="4">
        <v>0.05</v>
      </c>
      <c r="W193" s="4">
        <v>1</v>
      </c>
      <c r="X193" s="4">
        <v>19.100000000000001</v>
      </c>
      <c r="Y193" s="4">
        <v>0</v>
      </c>
      <c r="Z193" s="4">
        <v>1.5</v>
      </c>
      <c r="AA193" s="4">
        <v>139</v>
      </c>
      <c r="AB193" s="4">
        <v>12.1</v>
      </c>
      <c r="AC193" s="4">
        <v>19.5</v>
      </c>
      <c r="AD193" s="3" t="s">
        <v>42</v>
      </c>
      <c r="AE193" s="3" t="s">
        <v>61</v>
      </c>
      <c r="AF193" s="17">
        <f>HLOOKUP(AD193,Data!$B$4:$M$9,2,0)</f>
        <v>13</v>
      </c>
      <c r="AG193" s="17">
        <f>HLOOKUP(AD193,Data!$B$4:$M$9,3,0)</f>
        <v>1</v>
      </c>
      <c r="AH193" s="17">
        <f>HLOOKUP(AE193,Data!$B$13:$I$18,3,0)</f>
        <v>260</v>
      </c>
      <c r="AI193" s="18">
        <f t="shared" si="141"/>
        <v>2.25</v>
      </c>
      <c r="AJ193" s="17">
        <f t="shared" si="142"/>
        <v>0.5625</v>
      </c>
      <c r="AK193" s="17">
        <f t="shared" si="143"/>
        <v>0.5625</v>
      </c>
      <c r="AL193" s="17">
        <f t="shared" si="144"/>
        <v>0.25</v>
      </c>
      <c r="AM193" s="17">
        <f t="shared" si="145"/>
        <v>0.64</v>
      </c>
      <c r="AN193" s="17">
        <f t="shared" si="146"/>
        <v>0.64</v>
      </c>
      <c r="AO193" s="17">
        <f t="shared" si="147"/>
        <v>0.64</v>
      </c>
      <c r="AP193" s="17">
        <f t="shared" si="148"/>
        <v>0.64</v>
      </c>
      <c r="AQ193" s="17">
        <f t="shared" si="149"/>
        <v>1.88</v>
      </c>
      <c r="AR193" s="17">
        <f t="shared" si="150"/>
        <v>1.7316</v>
      </c>
      <c r="AS193" s="17">
        <f t="shared" si="151"/>
        <v>12.7941399382809</v>
      </c>
      <c r="AT193" s="17">
        <f t="shared" si="152"/>
        <v>-8.7690728108152403</v>
      </c>
      <c r="AU193" s="17">
        <f t="shared" si="153"/>
        <v>6.2741428369988297</v>
      </c>
      <c r="AV193" s="17">
        <f t="shared" si="154"/>
        <v>11.370755692446499</v>
      </c>
      <c r="AW193" s="17">
        <f t="shared" si="155"/>
        <v>-7.2752633543648502</v>
      </c>
      <c r="AX193" s="17">
        <f t="shared" si="156"/>
        <v>5.2025071407293604</v>
      </c>
      <c r="AY193" s="17">
        <f t="shared" si="157"/>
        <v>53.029778902016503</v>
      </c>
      <c r="AZ193" s="17">
        <f t="shared" si="158"/>
        <v>-0.45721006798906699</v>
      </c>
      <c r="BA193" s="17">
        <f t="shared" si="159"/>
        <v>26.2862844170137</v>
      </c>
      <c r="BB193" s="17">
        <f t="shared" si="160"/>
        <v>47.836372299032597</v>
      </c>
      <c r="BC193" s="17">
        <f t="shared" si="161"/>
        <v>3.4709660942531602</v>
      </c>
      <c r="BD193" s="17">
        <f t="shared" si="162"/>
        <v>25.653669196642898</v>
      </c>
      <c r="BE193" s="17" t="str">
        <f>IF(AND(BD193&lt;=AA193,BB193&lt;=AA193*MongDon!$J$44,BC193&gt;0),"Ok","FAIL")</f>
        <v>Ok</v>
      </c>
      <c r="BF193" s="17">
        <f t="shared" si="163"/>
        <v>91.826365146731803</v>
      </c>
      <c r="BG193" s="17">
        <f t="shared" si="164"/>
        <v>352.5</v>
      </c>
      <c r="BH193" s="17" t="str">
        <f t="shared" si="165"/>
        <v>Ok</v>
      </c>
      <c r="BI193" s="17">
        <f t="shared" si="166"/>
        <v>24.497312107200901</v>
      </c>
      <c r="BJ193" s="17">
        <f t="shared" si="167"/>
        <v>21.9025849344318</v>
      </c>
      <c r="BK193" s="17">
        <f t="shared" si="168"/>
        <v>6.2576406607051798</v>
      </c>
      <c r="BL193" s="17">
        <f t="shared" si="169"/>
        <v>8.8523678334742506</v>
      </c>
      <c r="BM193" s="17">
        <f t="shared" si="170"/>
        <v>88.125</v>
      </c>
      <c r="BN193" s="17">
        <f t="shared" si="171"/>
        <v>88.125</v>
      </c>
      <c r="BO193" s="17">
        <f t="shared" si="172"/>
        <v>88.125</v>
      </c>
      <c r="BP193" s="17">
        <f t="shared" si="173"/>
        <v>88.125</v>
      </c>
      <c r="BQ193" s="17" t="str">
        <f t="shared" si="174"/>
        <v>Ok</v>
      </c>
      <c r="BR193" s="17">
        <f t="shared" si="175"/>
        <v>46.617825942019003</v>
      </c>
      <c r="BS193" s="17">
        <f t="shared" si="176"/>
        <v>11.9438253549362</v>
      </c>
      <c r="BT193" s="16">
        <f>MongDon!$H$80</f>
        <v>1.2</v>
      </c>
      <c r="BU193" s="17" t="str">
        <f t="shared" si="177"/>
        <v>Ok</v>
      </c>
      <c r="BV193" s="17">
        <f t="shared" si="178"/>
        <v>4.76981499140068</v>
      </c>
      <c r="BW193" s="16">
        <f>MongDon!$F$86</f>
        <v>1.5</v>
      </c>
      <c r="BX193" s="17" t="str">
        <f t="shared" si="179"/>
        <v>Ok</v>
      </c>
      <c r="BY193" s="17">
        <f t="shared" si="180"/>
        <v>30.721715481576201</v>
      </c>
      <c r="BZ193" s="17">
        <f t="shared" si="181"/>
        <v>53.029778902016503</v>
      </c>
      <c r="CA193" s="17">
        <f t="shared" si="182"/>
        <v>21.8508533524512</v>
      </c>
      <c r="CB193" s="17">
        <f t="shared" si="183"/>
        <v>-0.45721006798906999</v>
      </c>
      <c r="CC193" s="17">
        <f t="shared" si="184"/>
        <v>30.2086636081475</v>
      </c>
      <c r="CD193" s="17">
        <f t="shared" si="185"/>
        <v>26.936814306482901</v>
      </c>
      <c r="CE193" s="17">
        <f t="shared" si="186"/>
        <v>30.2086636081475</v>
      </c>
      <c r="CF193" s="17">
        <f t="shared" si="187"/>
        <v>25.635754527544499</v>
      </c>
      <c r="CG193" s="17">
        <f t="shared" si="188"/>
        <v>9.3025772484048606</v>
      </c>
      <c r="CH193" s="17">
        <f t="shared" si="189"/>
        <v>9.3025772484048606</v>
      </c>
      <c r="CI193" s="17">
        <f t="shared" si="190"/>
        <v>250</v>
      </c>
      <c r="CJ193" s="17">
        <f t="shared" si="191"/>
        <v>250</v>
      </c>
    </row>
    <row r="194" spans="2:88">
      <c r="B194" s="3">
        <v>284</v>
      </c>
      <c r="C194" s="3" t="s">
        <v>23</v>
      </c>
      <c r="D194" s="4">
        <v>-2.0833173708318702</v>
      </c>
      <c r="E194" s="4">
        <v>-7.3038577884532996E-2</v>
      </c>
      <c r="F194" s="4">
        <v>30.169157703999002</v>
      </c>
      <c r="G194" s="4">
        <v>-0.169173455028898</v>
      </c>
      <c r="H194" s="4">
        <v>-1.98397107199069</v>
      </c>
      <c r="I194" s="4" t="s">
        <v>13</v>
      </c>
      <c r="J194" s="4">
        <v>-1.7739680032004701</v>
      </c>
      <c r="K194" s="4">
        <v>-6.1164630160482097E-2</v>
      </c>
      <c r="L194" s="4">
        <v>25.9165452208752</v>
      </c>
      <c r="M194" s="4">
        <v>-0.14515312834109501</v>
      </c>
      <c r="N194" s="4">
        <v>-1.69075658302913</v>
      </c>
      <c r="O194" s="4">
        <v>1.2</v>
      </c>
      <c r="P194" s="4">
        <v>1.2</v>
      </c>
      <c r="Q194" s="4">
        <v>0.22</v>
      </c>
      <c r="R194" s="4">
        <v>0.22</v>
      </c>
      <c r="S194" s="4">
        <v>0</v>
      </c>
      <c r="T194" s="4">
        <v>0</v>
      </c>
      <c r="U194" s="4">
        <v>0.3</v>
      </c>
      <c r="V194" s="4">
        <v>0.05</v>
      </c>
      <c r="W194" s="4">
        <v>1</v>
      </c>
      <c r="X194" s="4">
        <v>19.100000000000001</v>
      </c>
      <c r="Y194" s="4">
        <v>0</v>
      </c>
      <c r="Z194" s="4">
        <v>1.5</v>
      </c>
      <c r="AA194" s="4">
        <v>139</v>
      </c>
      <c r="AB194" s="4">
        <v>12.1</v>
      </c>
      <c r="AC194" s="4">
        <v>19.5</v>
      </c>
      <c r="AD194" s="3" t="s">
        <v>42</v>
      </c>
      <c r="AE194" s="3" t="s">
        <v>61</v>
      </c>
      <c r="AF194" s="17">
        <f>HLOOKUP(AD194,Data!$B$4:$M$9,2,0)</f>
        <v>13</v>
      </c>
      <c r="AG194" s="17">
        <f>HLOOKUP(AD194,Data!$B$4:$M$9,3,0)</f>
        <v>1</v>
      </c>
      <c r="AH194" s="17">
        <f>HLOOKUP(AE194,Data!$B$13:$I$18,3,0)</f>
        <v>260</v>
      </c>
      <c r="AI194" s="18">
        <f t="shared" si="141"/>
        <v>1.44</v>
      </c>
      <c r="AJ194" s="17">
        <f t="shared" si="142"/>
        <v>0.28799999999999998</v>
      </c>
      <c r="AK194" s="17">
        <f t="shared" si="143"/>
        <v>0.28799999999999998</v>
      </c>
      <c r="AL194" s="17">
        <f t="shared" si="144"/>
        <v>0.25</v>
      </c>
      <c r="AM194" s="17">
        <f t="shared" si="145"/>
        <v>0.49</v>
      </c>
      <c r="AN194" s="17">
        <f t="shared" si="146"/>
        <v>0.49</v>
      </c>
      <c r="AO194" s="17">
        <f t="shared" si="147"/>
        <v>0.49</v>
      </c>
      <c r="AP194" s="17">
        <f t="shared" si="148"/>
        <v>0.49</v>
      </c>
      <c r="AQ194" s="17">
        <f t="shared" si="149"/>
        <v>1.88</v>
      </c>
      <c r="AR194" s="17">
        <f t="shared" si="150"/>
        <v>0.92159999999999997</v>
      </c>
      <c r="AS194" s="17">
        <f t="shared" si="151"/>
        <v>30.169157703999002</v>
      </c>
      <c r="AT194" s="17">
        <f t="shared" si="152"/>
        <v>-0.14726188166353801</v>
      </c>
      <c r="AU194" s="17">
        <f t="shared" si="153"/>
        <v>-2.60896628324025</v>
      </c>
      <c r="AV194" s="17">
        <f t="shared" si="154"/>
        <v>25.9165452208752</v>
      </c>
      <c r="AW194" s="17">
        <f t="shared" si="155"/>
        <v>-0.12680373929295</v>
      </c>
      <c r="AX194" s="17">
        <f t="shared" si="156"/>
        <v>-2.2229469839892699</v>
      </c>
      <c r="AY194" s="17">
        <f t="shared" si="157"/>
        <v>51.121040644804097</v>
      </c>
      <c r="AZ194" s="17">
        <f t="shared" si="158"/>
        <v>31.9805672774167</v>
      </c>
      <c r="BA194" s="17">
        <f t="shared" si="159"/>
        <v>41.550803961110397</v>
      </c>
      <c r="BB194" s="17">
        <f t="shared" si="160"/>
        <v>46.756457525893303</v>
      </c>
      <c r="BC194" s="17">
        <f t="shared" si="161"/>
        <v>30.4387441697667</v>
      </c>
      <c r="BD194" s="17">
        <f t="shared" si="162"/>
        <v>38.597600847830002</v>
      </c>
      <c r="BE194" s="17" t="str">
        <f>IF(AND(BD194&lt;=AA194,BB194&lt;=AA194*MongDon!$J$44,BC194&gt;0),"Ok","FAIL")</f>
        <v>Ok</v>
      </c>
      <c r="BF194" s="17">
        <f t="shared" si="163"/>
        <v>47.113151058251503</v>
      </c>
      <c r="BG194" s="17">
        <f t="shared" si="164"/>
        <v>352.5</v>
      </c>
      <c r="BH194" s="17" t="str">
        <f t="shared" si="165"/>
        <v>Ok</v>
      </c>
      <c r="BI194" s="17">
        <f t="shared" si="166"/>
        <v>12.113893422463301</v>
      </c>
      <c r="BJ194" s="17">
        <f t="shared" si="167"/>
        <v>9.3576652575595496</v>
      </c>
      <c r="BK194" s="17">
        <f t="shared" si="168"/>
        <v>11.819369659136299</v>
      </c>
      <c r="BL194" s="17">
        <f t="shared" si="169"/>
        <v>14.575597824040001</v>
      </c>
      <c r="BM194" s="17">
        <f t="shared" si="170"/>
        <v>88.125</v>
      </c>
      <c r="BN194" s="17">
        <f t="shared" si="171"/>
        <v>88.125</v>
      </c>
      <c r="BO194" s="17">
        <f t="shared" si="172"/>
        <v>88.125</v>
      </c>
      <c r="BP194" s="17">
        <f t="shared" si="173"/>
        <v>88.125</v>
      </c>
      <c r="BQ194" s="17" t="str">
        <f t="shared" si="174"/>
        <v>Ok</v>
      </c>
      <c r="BR194" s="17">
        <f t="shared" si="175"/>
        <v>34.547706996998002</v>
      </c>
      <c r="BS194" s="17">
        <f t="shared" si="176"/>
        <v>16.5830264177191</v>
      </c>
      <c r="BT194" s="16">
        <f>MongDon!$H$80</f>
        <v>1.2</v>
      </c>
      <c r="BU194" s="17" t="str">
        <f t="shared" si="177"/>
        <v>Ok</v>
      </c>
      <c r="BV194" s="17">
        <f t="shared" si="178"/>
        <v>13.263450296269299</v>
      </c>
      <c r="BW194" s="16">
        <f>MongDon!$F$86</f>
        <v>1.5</v>
      </c>
      <c r="BX194" s="17" t="str">
        <f t="shared" si="179"/>
        <v>Ok</v>
      </c>
      <c r="BY194" s="17">
        <f t="shared" si="180"/>
        <v>51.121040644804097</v>
      </c>
      <c r="BZ194" s="17">
        <f t="shared" si="181"/>
        <v>33.003219233413503</v>
      </c>
      <c r="CA194" s="17">
        <f t="shared" si="182"/>
        <v>31.9805672774167</v>
      </c>
      <c r="CB194" s="17">
        <f t="shared" si="183"/>
        <v>50.098388688807297</v>
      </c>
      <c r="CC194" s="17">
        <f t="shared" si="184"/>
        <v>39.983746761032698</v>
      </c>
      <c r="CD194" s="17">
        <f t="shared" si="185"/>
        <v>43.305347353120901</v>
      </c>
      <c r="CE194" s="17">
        <f t="shared" si="186"/>
        <v>43.305347353120901</v>
      </c>
      <c r="CF194" s="17">
        <f t="shared" si="187"/>
        <v>43.117861161188202</v>
      </c>
      <c r="CG194" s="17">
        <f t="shared" si="188"/>
        <v>5.8243229361865501</v>
      </c>
      <c r="CH194" s="17">
        <f t="shared" si="189"/>
        <v>5.8243229361865501</v>
      </c>
      <c r="CI194" s="17">
        <f t="shared" si="190"/>
        <v>250</v>
      </c>
      <c r="CJ194" s="17">
        <f t="shared" si="191"/>
        <v>250</v>
      </c>
    </row>
    <row r="195" spans="2:88">
      <c r="B195" s="3">
        <v>284</v>
      </c>
      <c r="C195" s="3" t="s">
        <v>24</v>
      </c>
      <c r="D195" s="4">
        <v>-2.3472225054545701</v>
      </c>
      <c r="E195" s="4">
        <v>-8.4553547300538295E-2</v>
      </c>
      <c r="F195" s="4">
        <v>33.491073626071497</v>
      </c>
      <c r="G195" s="4">
        <v>-0.18818348273628599</v>
      </c>
      <c r="H195" s="4">
        <v>-2.2322487333079599</v>
      </c>
      <c r="I195" s="4" t="s">
        <v>14</v>
      </c>
      <c r="J195" s="4">
        <v>-1.99388894871939</v>
      </c>
      <c r="K195" s="4">
        <v>-7.0760438007153204E-2</v>
      </c>
      <c r="L195" s="4">
        <v>28.684808489268999</v>
      </c>
      <c r="M195" s="4">
        <v>-0.160994818097251</v>
      </c>
      <c r="N195" s="4">
        <v>-1.8976546341268601</v>
      </c>
      <c r="O195" s="4">
        <v>1.2</v>
      </c>
      <c r="P195" s="4">
        <v>1.2</v>
      </c>
      <c r="Q195" s="4">
        <v>0.22</v>
      </c>
      <c r="R195" s="4">
        <v>0.22</v>
      </c>
      <c r="S195" s="4">
        <v>0</v>
      </c>
      <c r="T195" s="4">
        <v>0</v>
      </c>
      <c r="U195" s="4">
        <v>0.3</v>
      </c>
      <c r="V195" s="4">
        <v>0.05</v>
      </c>
      <c r="W195" s="4">
        <v>1</v>
      </c>
      <c r="X195" s="4">
        <v>19.100000000000001</v>
      </c>
      <c r="Y195" s="4">
        <v>0</v>
      </c>
      <c r="Z195" s="4">
        <v>1.5</v>
      </c>
      <c r="AA195" s="4">
        <v>139</v>
      </c>
      <c r="AB195" s="4">
        <v>12.1</v>
      </c>
      <c r="AC195" s="4">
        <v>19.5</v>
      </c>
      <c r="AD195" s="3" t="s">
        <v>42</v>
      </c>
      <c r="AE195" s="3" t="s">
        <v>61</v>
      </c>
      <c r="AF195" s="17">
        <f>HLOOKUP(AD195,Data!$B$4:$M$9,2,0)</f>
        <v>13</v>
      </c>
      <c r="AG195" s="17">
        <f>HLOOKUP(AD195,Data!$B$4:$M$9,3,0)</f>
        <v>1</v>
      </c>
      <c r="AH195" s="17">
        <f>HLOOKUP(AE195,Data!$B$13:$I$18,3,0)</f>
        <v>260</v>
      </c>
      <c r="AI195" s="18">
        <f t="shared" si="141"/>
        <v>1.44</v>
      </c>
      <c r="AJ195" s="17">
        <f t="shared" si="142"/>
        <v>0.28799999999999998</v>
      </c>
      <c r="AK195" s="17">
        <f t="shared" si="143"/>
        <v>0.28799999999999998</v>
      </c>
      <c r="AL195" s="17">
        <f t="shared" si="144"/>
        <v>0.25</v>
      </c>
      <c r="AM195" s="17">
        <f t="shared" si="145"/>
        <v>0.49</v>
      </c>
      <c r="AN195" s="17">
        <f t="shared" si="146"/>
        <v>0.49</v>
      </c>
      <c r="AO195" s="17">
        <f t="shared" si="147"/>
        <v>0.49</v>
      </c>
      <c r="AP195" s="17">
        <f t="shared" si="148"/>
        <v>0.49</v>
      </c>
      <c r="AQ195" s="17">
        <f t="shared" si="149"/>
        <v>1.88</v>
      </c>
      <c r="AR195" s="17">
        <f t="shared" si="150"/>
        <v>0.92159999999999997</v>
      </c>
      <c r="AS195" s="17">
        <f t="shared" si="151"/>
        <v>33.491073626071497</v>
      </c>
      <c r="AT195" s="17">
        <f t="shared" si="152"/>
        <v>-0.162817418546125</v>
      </c>
      <c r="AU195" s="17">
        <f t="shared" si="153"/>
        <v>-2.9364154849443298</v>
      </c>
      <c r="AV195" s="17">
        <f t="shared" si="154"/>
        <v>28.684808489268999</v>
      </c>
      <c r="AW195" s="17">
        <f t="shared" si="155"/>
        <v>-0.139766686695105</v>
      </c>
      <c r="AX195" s="17">
        <f t="shared" si="156"/>
        <v>-2.4958213187426801</v>
      </c>
      <c r="AY195" s="17">
        <f t="shared" si="157"/>
        <v>54.618915377447102</v>
      </c>
      <c r="AZ195" s="17">
        <f t="shared" si="158"/>
        <v>33.096464658763402</v>
      </c>
      <c r="BA195" s="17">
        <f t="shared" si="159"/>
        <v>43.857690018105203</v>
      </c>
      <c r="BB195" s="17">
        <f t="shared" si="160"/>
        <v>49.671353136429097</v>
      </c>
      <c r="BC195" s="17">
        <f t="shared" si="161"/>
        <v>31.368658654222301</v>
      </c>
      <c r="BD195" s="17">
        <f t="shared" si="162"/>
        <v>40.520005895325703</v>
      </c>
      <c r="BE195" s="17" t="str">
        <f>IF(AND(BD195&lt;=AA195,BB195&lt;=AA195*MongDon!$J$44,BC195&gt;0),"Ok","FAIL")</f>
        <v>Ok</v>
      </c>
      <c r="BF195" s="17">
        <f t="shared" si="163"/>
        <v>50.3367924118552</v>
      </c>
      <c r="BG195" s="17">
        <f t="shared" si="164"/>
        <v>352.5</v>
      </c>
      <c r="BH195" s="17" t="str">
        <f t="shared" si="165"/>
        <v>Ok</v>
      </c>
      <c r="BI195" s="17">
        <f t="shared" si="166"/>
        <v>12.793832143760399</v>
      </c>
      <c r="BJ195" s="17">
        <f t="shared" si="167"/>
        <v>9.6945992402699694</v>
      </c>
      <c r="BK195" s="17">
        <f t="shared" si="168"/>
        <v>12.4681973066682</v>
      </c>
      <c r="BL195" s="17">
        <f t="shared" si="169"/>
        <v>15.5674302101586</v>
      </c>
      <c r="BM195" s="17">
        <f t="shared" si="170"/>
        <v>88.125</v>
      </c>
      <c r="BN195" s="17">
        <f t="shared" si="171"/>
        <v>88.125</v>
      </c>
      <c r="BO195" s="17">
        <f t="shared" si="172"/>
        <v>88.125</v>
      </c>
      <c r="BP195" s="17">
        <f t="shared" si="173"/>
        <v>88.125</v>
      </c>
      <c r="BQ195" s="17" t="str">
        <f t="shared" si="174"/>
        <v>Ok</v>
      </c>
      <c r="BR195" s="17">
        <f t="shared" si="175"/>
        <v>35.259864063609797</v>
      </c>
      <c r="BS195" s="17">
        <f t="shared" si="176"/>
        <v>15.0219521079368</v>
      </c>
      <c r="BT195" s="16">
        <f>MongDon!$H$80</f>
        <v>1.2</v>
      </c>
      <c r="BU195" s="17" t="str">
        <f t="shared" si="177"/>
        <v>Ok</v>
      </c>
      <c r="BV195" s="17">
        <f t="shared" si="178"/>
        <v>12.4631695900271</v>
      </c>
      <c r="BW195" s="16">
        <f>MongDon!$F$86</f>
        <v>1.5</v>
      </c>
      <c r="BX195" s="17" t="str">
        <f t="shared" si="179"/>
        <v>Ok</v>
      </c>
      <c r="BY195" s="17">
        <f t="shared" si="180"/>
        <v>54.618915377447102</v>
      </c>
      <c r="BZ195" s="17">
        <f t="shared" si="181"/>
        <v>34.227141176444803</v>
      </c>
      <c r="CA195" s="17">
        <f t="shared" si="182"/>
        <v>33.096464658763402</v>
      </c>
      <c r="CB195" s="17">
        <f t="shared" si="183"/>
        <v>53.488238859765701</v>
      </c>
      <c r="CC195" s="17">
        <f t="shared" si="184"/>
        <v>42.092089397134103</v>
      </c>
      <c r="CD195" s="17">
        <f t="shared" si="185"/>
        <v>45.830581333984597</v>
      </c>
      <c r="CE195" s="17">
        <f t="shared" si="186"/>
        <v>45.830581333984597</v>
      </c>
      <c r="CF195" s="17">
        <f t="shared" si="187"/>
        <v>45.623290639076302</v>
      </c>
      <c r="CG195" s="17">
        <f t="shared" si="188"/>
        <v>6.2053209570899597</v>
      </c>
      <c r="CH195" s="17">
        <f t="shared" si="189"/>
        <v>6.2053209570899597</v>
      </c>
      <c r="CI195" s="17">
        <f t="shared" si="190"/>
        <v>250</v>
      </c>
      <c r="CJ195" s="17">
        <f t="shared" si="191"/>
        <v>250</v>
      </c>
    </row>
    <row r="196" spans="2:88">
      <c r="B196" s="3">
        <v>284</v>
      </c>
      <c r="C196" s="3" t="s">
        <v>25</v>
      </c>
      <c r="D196" s="4">
        <v>-5.2471076662782599</v>
      </c>
      <c r="E196" s="4">
        <v>1.40872132716484</v>
      </c>
      <c r="F196" s="4">
        <v>36.647251785798701</v>
      </c>
      <c r="G196" s="4">
        <v>-2.5463846045874501</v>
      </c>
      <c r="H196" s="4">
        <v>-7.3117840410819399</v>
      </c>
      <c r="I196" s="4" t="s">
        <v>15</v>
      </c>
      <c r="J196" s="4">
        <v>-4.4104599160724698</v>
      </c>
      <c r="K196" s="4">
        <v>1.173635290714</v>
      </c>
      <c r="L196" s="4">
        <v>31.314956955708301</v>
      </c>
      <c r="M196" s="4">
        <v>-2.1261624196398898</v>
      </c>
      <c r="N196" s="4">
        <v>-6.1306007239385103</v>
      </c>
      <c r="O196" s="4">
        <v>1.2</v>
      </c>
      <c r="P196" s="4">
        <v>1.2</v>
      </c>
      <c r="Q196" s="4">
        <v>0.22</v>
      </c>
      <c r="R196" s="4">
        <v>0.22</v>
      </c>
      <c r="S196" s="4">
        <v>0</v>
      </c>
      <c r="T196" s="4">
        <v>0</v>
      </c>
      <c r="U196" s="4">
        <v>0.3</v>
      </c>
      <c r="V196" s="4">
        <v>0.05</v>
      </c>
      <c r="W196" s="4">
        <v>1</v>
      </c>
      <c r="X196" s="4">
        <v>19.100000000000001</v>
      </c>
      <c r="Y196" s="4">
        <v>0</v>
      </c>
      <c r="Z196" s="4">
        <v>1.5</v>
      </c>
      <c r="AA196" s="4">
        <v>139</v>
      </c>
      <c r="AB196" s="4">
        <v>12.1</v>
      </c>
      <c r="AC196" s="4">
        <v>19.5</v>
      </c>
      <c r="AD196" s="3" t="s">
        <v>42</v>
      </c>
      <c r="AE196" s="3" t="s">
        <v>61</v>
      </c>
      <c r="AF196" s="17">
        <f>HLOOKUP(AD196,Data!$B$4:$M$9,2,0)</f>
        <v>13</v>
      </c>
      <c r="AG196" s="17">
        <f>HLOOKUP(AD196,Data!$B$4:$M$9,3,0)</f>
        <v>1</v>
      </c>
      <c r="AH196" s="17">
        <f>HLOOKUP(AE196,Data!$B$13:$I$18,3,0)</f>
        <v>260</v>
      </c>
      <c r="AI196" s="18">
        <f t="shared" si="141"/>
        <v>1.44</v>
      </c>
      <c r="AJ196" s="17">
        <f t="shared" si="142"/>
        <v>0.28799999999999998</v>
      </c>
      <c r="AK196" s="17">
        <f t="shared" si="143"/>
        <v>0.28799999999999998</v>
      </c>
      <c r="AL196" s="17">
        <f t="shared" si="144"/>
        <v>0.25</v>
      </c>
      <c r="AM196" s="17">
        <f t="shared" si="145"/>
        <v>0.49</v>
      </c>
      <c r="AN196" s="17">
        <f t="shared" si="146"/>
        <v>0.49</v>
      </c>
      <c r="AO196" s="17">
        <f t="shared" si="147"/>
        <v>0.49</v>
      </c>
      <c r="AP196" s="17">
        <f t="shared" si="148"/>
        <v>0.49</v>
      </c>
      <c r="AQ196" s="17">
        <f t="shared" si="149"/>
        <v>1.88</v>
      </c>
      <c r="AR196" s="17">
        <f t="shared" si="150"/>
        <v>0.92159999999999997</v>
      </c>
      <c r="AS196" s="17">
        <f t="shared" si="151"/>
        <v>36.647251785798701</v>
      </c>
      <c r="AT196" s="17">
        <f t="shared" si="152"/>
        <v>-2.9690010027369</v>
      </c>
      <c r="AU196" s="17">
        <f t="shared" si="153"/>
        <v>-8.8859163409654194</v>
      </c>
      <c r="AV196" s="17">
        <f t="shared" si="154"/>
        <v>31.314956955708301</v>
      </c>
      <c r="AW196" s="17">
        <f t="shared" si="155"/>
        <v>-2.4782530068540898</v>
      </c>
      <c r="AX196" s="17">
        <f t="shared" si="156"/>
        <v>-7.4537386987602501</v>
      </c>
      <c r="AY196" s="17">
        <f t="shared" si="157"/>
        <v>87.212387850215507</v>
      </c>
      <c r="AZ196" s="17">
        <f t="shared" si="158"/>
        <v>4.8865729633938502</v>
      </c>
      <c r="BA196" s="17">
        <f t="shared" si="159"/>
        <v>46.049480406804697</v>
      </c>
      <c r="BB196" s="17">
        <f t="shared" si="160"/>
        <v>76.832580197069504</v>
      </c>
      <c r="BC196" s="17">
        <f t="shared" si="161"/>
        <v>7.8604155747476696</v>
      </c>
      <c r="BD196" s="17">
        <f t="shared" si="162"/>
        <v>42.346497885908597</v>
      </c>
      <c r="BE196" s="17" t="str">
        <f>IF(AND(BD196&lt;=AA196,BB196&lt;=AA196*MongDon!$J$44,BC196&gt;0),"Ok","FAIL")</f>
        <v>Ok</v>
      </c>
      <c r="BF196" s="17">
        <f t="shared" si="163"/>
        <v>80.374936642758598</v>
      </c>
      <c r="BG196" s="17">
        <f t="shared" si="164"/>
        <v>352.5</v>
      </c>
      <c r="BH196" s="17" t="str">
        <f t="shared" si="165"/>
        <v>Ok</v>
      </c>
      <c r="BI196" s="17">
        <f t="shared" si="166"/>
        <v>16.2312513598966</v>
      </c>
      <c r="BJ196" s="17">
        <f t="shared" si="167"/>
        <v>4.3763340161943303</v>
      </c>
      <c r="BK196" s="17">
        <f t="shared" si="168"/>
        <v>10.2932493544228</v>
      </c>
      <c r="BL196" s="17">
        <f t="shared" si="169"/>
        <v>22.148166698125198</v>
      </c>
      <c r="BM196" s="17">
        <f t="shared" si="170"/>
        <v>88.125</v>
      </c>
      <c r="BN196" s="17">
        <f t="shared" si="171"/>
        <v>88.125</v>
      </c>
      <c r="BO196" s="17">
        <f t="shared" si="172"/>
        <v>88.125</v>
      </c>
      <c r="BP196" s="17">
        <f t="shared" si="173"/>
        <v>88.125</v>
      </c>
      <c r="BQ196" s="17" t="str">
        <f t="shared" si="174"/>
        <v>Ok</v>
      </c>
      <c r="BR196" s="17">
        <f t="shared" si="175"/>
        <v>35.936490032678002</v>
      </c>
      <c r="BS196" s="17">
        <f t="shared" si="176"/>
        <v>6.84881887666078</v>
      </c>
      <c r="BT196" s="16">
        <f>MongDon!$H$80</f>
        <v>1.2</v>
      </c>
      <c r="BU196" s="17" t="str">
        <f t="shared" si="177"/>
        <v>Ok</v>
      </c>
      <c r="BV196" s="17">
        <f t="shared" si="178"/>
        <v>4.3316580524206696</v>
      </c>
      <c r="BW196" s="16">
        <f>MongDon!$F$86</f>
        <v>1.5</v>
      </c>
      <c r="BX196" s="17" t="str">
        <f t="shared" si="179"/>
        <v>Ok</v>
      </c>
      <c r="BY196" s="17">
        <f t="shared" si="180"/>
        <v>87.212387850215507</v>
      </c>
      <c r="BZ196" s="17">
        <f t="shared" si="181"/>
        <v>25.504635482400101</v>
      </c>
      <c r="CA196" s="17">
        <f t="shared" si="182"/>
        <v>4.8865729633938502</v>
      </c>
      <c r="CB196" s="17">
        <f t="shared" si="183"/>
        <v>66.594325331209205</v>
      </c>
      <c r="CC196" s="17">
        <f t="shared" si="184"/>
        <v>42.282925503997198</v>
      </c>
      <c r="CD196" s="17">
        <f t="shared" si="185"/>
        <v>53.596013438096698</v>
      </c>
      <c r="CE196" s="17">
        <f t="shared" si="186"/>
        <v>53.596013438096698</v>
      </c>
      <c r="CF196" s="17">
        <f t="shared" si="187"/>
        <v>49.816035309612197</v>
      </c>
      <c r="CG196" s="17">
        <f t="shared" si="188"/>
        <v>9.1246319120267501</v>
      </c>
      <c r="CH196" s="17">
        <f t="shared" si="189"/>
        <v>9.1246319120267501</v>
      </c>
      <c r="CI196" s="17">
        <f t="shared" si="190"/>
        <v>250</v>
      </c>
      <c r="CJ196" s="17">
        <f t="shared" si="191"/>
        <v>250</v>
      </c>
    </row>
    <row r="197" spans="2:88">
      <c r="B197" s="3">
        <v>284</v>
      </c>
      <c r="C197" s="3" t="s">
        <v>26</v>
      </c>
      <c r="D197" s="4">
        <v>0.60544368229366596</v>
      </c>
      <c r="E197" s="4">
        <v>-1.57552542788272</v>
      </c>
      <c r="F197" s="4">
        <v>29.670512281929799</v>
      </c>
      <c r="G197" s="4">
        <v>2.1738196446563598</v>
      </c>
      <c r="H197" s="4">
        <v>2.8969421067294601</v>
      </c>
      <c r="I197" s="4" t="s">
        <v>16</v>
      </c>
      <c r="J197" s="4">
        <v>0.46666620773747303</v>
      </c>
      <c r="K197" s="4">
        <v>-1.3132370051589699</v>
      </c>
      <c r="L197" s="4">
        <v>25.501007369150901</v>
      </c>
      <c r="M197" s="4">
        <v>1.80734112139662</v>
      </c>
      <c r="N197" s="4">
        <v>2.37667106590433</v>
      </c>
      <c r="O197" s="4">
        <v>1.2</v>
      </c>
      <c r="P197" s="4">
        <v>1.2</v>
      </c>
      <c r="Q197" s="4">
        <v>0.22</v>
      </c>
      <c r="R197" s="4">
        <v>0.22</v>
      </c>
      <c r="S197" s="4">
        <v>0</v>
      </c>
      <c r="T197" s="4">
        <v>0</v>
      </c>
      <c r="U197" s="4">
        <v>0.3</v>
      </c>
      <c r="V197" s="4">
        <v>0.05</v>
      </c>
      <c r="W197" s="4">
        <v>1</v>
      </c>
      <c r="X197" s="4">
        <v>19.100000000000001</v>
      </c>
      <c r="Y197" s="4">
        <v>0</v>
      </c>
      <c r="Z197" s="4">
        <v>1.5</v>
      </c>
      <c r="AA197" s="4">
        <v>139</v>
      </c>
      <c r="AB197" s="4">
        <v>12.1</v>
      </c>
      <c r="AC197" s="4">
        <v>19.5</v>
      </c>
      <c r="AD197" s="3" t="s">
        <v>42</v>
      </c>
      <c r="AE197" s="3" t="s">
        <v>61</v>
      </c>
      <c r="AF197" s="17">
        <f>HLOOKUP(AD197,Data!$B$4:$M$9,2,0)</f>
        <v>13</v>
      </c>
      <c r="AG197" s="17">
        <f>HLOOKUP(AD197,Data!$B$4:$M$9,3,0)</f>
        <v>1</v>
      </c>
      <c r="AH197" s="17">
        <f>HLOOKUP(AE197,Data!$B$13:$I$18,3,0)</f>
        <v>260</v>
      </c>
      <c r="AI197" s="18">
        <f t="shared" ref="AI197:AI243" si="192">O197*P197</f>
        <v>1.44</v>
      </c>
      <c r="AJ197" s="17">
        <f t="shared" ref="AJ197:AJ243" si="193">1/6*O197*P197^2</f>
        <v>0.28799999999999998</v>
      </c>
      <c r="AK197" s="17">
        <f t="shared" ref="AK197:AK243" si="194">1/6*P197*O197^2</f>
        <v>0.28799999999999998</v>
      </c>
      <c r="AL197" s="17">
        <f t="shared" ref="AL197:AL243" si="195">U197-V197</f>
        <v>0.25</v>
      </c>
      <c r="AM197" s="17">
        <f t="shared" ref="AM197:AM243" si="196">O197/2-Q197/2+S197</f>
        <v>0.49</v>
      </c>
      <c r="AN197" s="17">
        <f t="shared" ref="AN197:AN243" si="197">O197-AM197-Q197</f>
        <v>0.49</v>
      </c>
      <c r="AO197" s="17">
        <f t="shared" ref="AO197:AO243" si="198">P197/2-R197/2+T197</f>
        <v>0.49</v>
      </c>
      <c r="AP197" s="17">
        <f t="shared" ref="AP197:AP243" si="199">P197-AO197-R197</f>
        <v>0.49</v>
      </c>
      <c r="AQ197" s="17">
        <f t="shared" ref="AQ197:AQ243" si="200">(2*Q197+2*R197+2*(MIN(AM197,AL197)+Q197+MIN(AN197,AL197))+2*(MIN(AO197,AL197)+R197+MIN(AP197,AL197)))/2</f>
        <v>1.88</v>
      </c>
      <c r="AR197" s="17">
        <f t="shared" ref="AR197:AR243" si="201">O197*P197-(MIN(AM197,AL197)+Q197+MIN(AN197,AL197))*(MIN(AO197,AL197)+R197+MIN(AP197,AL197))</f>
        <v>0.92159999999999997</v>
      </c>
      <c r="AS197" s="17">
        <f t="shared" ref="AS197:AS243" si="202">F197+X197*Y197*O197*P197</f>
        <v>29.670512281929799</v>
      </c>
      <c r="AT197" s="17">
        <f t="shared" ref="AT197:AT243" si="203">G197-E197*U197-F197*T197</f>
        <v>2.6464772730211701</v>
      </c>
      <c r="AU197" s="17">
        <f t="shared" ref="AU197:AU243" si="204">H197+D197*U197+F197*S197</f>
        <v>3.0785752114175602</v>
      </c>
      <c r="AV197" s="17">
        <f t="shared" ref="AV197:AV243" si="205">L197+X197*Y197*O197*P197</f>
        <v>25.501007369150901</v>
      </c>
      <c r="AW197" s="17">
        <f t="shared" ref="AW197:AW243" si="206">M197-K197*U197-L197*T197</f>
        <v>2.2013122229443098</v>
      </c>
      <c r="AX197" s="17">
        <f t="shared" ref="AX197:AX243" si="207">N197+J197*U197+L197*S197</f>
        <v>2.5166709282255701</v>
      </c>
      <c r="AY197" s="17">
        <f t="shared" ref="AY197:AY243" si="208">AS197/AI197+ABS(AT197)/AJ197+ABS(AU197)/AK197+X197*W197+Z197</f>
        <v>61.083176877863501</v>
      </c>
      <c r="AZ197" s="17">
        <f t="shared" ref="AZ197:AZ243" si="209">AS197/AI197-ABS(AT197)/AJ197-ABS(AU197)/AK197+X197*W197+Z197</f>
        <v>21.325867958150099</v>
      </c>
      <c r="BA197" s="17">
        <f t="shared" ref="BA197:BA243" si="210">AS197/AI197+X197*W197+Z197</f>
        <v>41.204522418006803</v>
      </c>
      <c r="BB197" s="17">
        <f t="shared" ref="BB197:BB243" si="211">AV197/AI197+ABS(AW197)/AJ197+ABS(AX197)/AK197+X197*W197+Z197</f>
        <v>54.6909188368057</v>
      </c>
      <c r="BC197" s="17">
        <f t="shared" ref="BC197:BC243" si="212">AV197/AI197-ABS(AW197)/AJ197-ABS(AX197)/AK197+X197*W197+Z197</f>
        <v>21.9271469536816</v>
      </c>
      <c r="BD197" s="17">
        <f t="shared" ref="BD197:BD243" si="213">AV197/AI197+X197*W197+Z197</f>
        <v>38.309032895243703</v>
      </c>
      <c r="BE197" s="17" t="str">
        <f>IF(AND(BD197&lt;=AA197,BB197&lt;=AA197*MongDon!$J$44,BC197&gt;0),"Ok","FAIL")</f>
        <v>Ok</v>
      </c>
      <c r="BF197" s="17">
        <f t="shared" ref="BF197:BF243" si="214">AY197*AR197</f>
        <v>56.294255810639001</v>
      </c>
      <c r="BG197" s="17">
        <f t="shared" ref="BG197:BG243" si="215">0.75*AG197*1000*AQ197*AL197</f>
        <v>352.5</v>
      </c>
      <c r="BH197" s="17" t="str">
        <f t="shared" ref="BH197:BH243" si="216">IF(BF197&lt;BG197,"Ok","FAIL")</f>
        <v>Ok</v>
      </c>
      <c r="BI197" s="17">
        <f t="shared" ref="BI197:BI243" si="217">(BY197+BZ197)/2*(IF(AP197&gt;AL197,(AP197-AL197)*O197,0))</f>
        <v>9.2204251833647906</v>
      </c>
      <c r="BJ197" s="17">
        <f t="shared" ref="BJ197:BJ243" si="218">(BZ197+CA197)/2*(IF(AN197&gt;AL197,(AN197-AL197)*P197,0))</f>
        <v>14.9454776678035</v>
      </c>
      <c r="BK197" s="17">
        <f t="shared" ref="BK197:BK243" si="219">(CA197+CB197)/2*(IF(AO197&gt;AL197,(AO197-AL197)*O197,0))</f>
        <v>14.513379729407101</v>
      </c>
      <c r="BL197" s="17">
        <f t="shared" ref="BL197:BL243" si="220">(CB197+BY197)/2*(IF(AM197&gt;AL197,(AM197-AL197)*P197,0))</f>
        <v>8.7883272449683894</v>
      </c>
      <c r="BM197" s="17">
        <f t="shared" ref="BM197:BM243" si="221">0.75*AG197*1000*((Q197+2*MIN(AL197,AP197)+Q197)/2)*AL197</f>
        <v>88.125</v>
      </c>
      <c r="BN197" s="17">
        <f t="shared" ref="BN197:BN243" si="222">0.75*AG197*1000*((R197+2*MIN(AL197,AN197)+R197)/2)*AL197</f>
        <v>88.125</v>
      </c>
      <c r="BO197" s="17">
        <f t="shared" ref="BO197:BO243" si="223">0.75*AG197*1000*((Q197+2*MIN(AL197,AO197)+Q197)/2)*AL197</f>
        <v>88.125</v>
      </c>
      <c r="BP197" s="17">
        <f t="shared" ref="BP197:BP243" si="224">0.75*AG197*1000*((R197+2*MIN(AL197,AM197)+R197)/2)*AL197</f>
        <v>88.125</v>
      </c>
      <c r="BQ197" s="17" t="str">
        <f t="shared" ref="BQ197:BQ243" si="225">IF(AND(BI197&lt;BM197,BJ197&lt;BN197,BK197&lt;BO197,BL197&lt;BP197),"Ok","FAIL")</f>
        <v>Ok</v>
      </c>
      <c r="BR197" s="17">
        <f t="shared" ref="BR197:BR243" si="226">AS197*TAN(RADIANS(AB197))+AC197*O197*P197</f>
        <v>34.4408066812192</v>
      </c>
      <c r="BS197" s="17">
        <f t="shared" ref="BS197:BS243" si="227">ABS(BR197)/MAX(ABS(D197),ABS(E197))</f>
        <v>21.859886277749801</v>
      </c>
      <c r="BT197" s="16">
        <f>MongDon!$H$80</f>
        <v>1.2</v>
      </c>
      <c r="BU197" s="17" t="str">
        <f t="shared" ref="BU197:BU243" si="228">IF(BS197&gt;BT197,"Ok","FAIL")</f>
        <v>Ok</v>
      </c>
      <c r="BV197" s="17">
        <f t="shared" ref="BV197:BV243" si="229">MIN(ABS((F197*MIN(AM197+Q197/2,AN197+Q197/2)+O197*P197*W197*X197*O197/2)/(G197-E197*U197-F197*T197)),ABS((F197*MIN(AO197+R197/2,AP197+R197/2)+O197*P197*W197*X197*P197/2)/(H197+D197*U197+F197*S197)))</f>
        <v>11.143046706129301</v>
      </c>
      <c r="BW197" s="16">
        <f>MongDon!$F$86</f>
        <v>1.5</v>
      </c>
      <c r="BX197" s="17" t="str">
        <f t="shared" ref="BX197:BX243" si="230">IF(BV197&gt;BW197,"Ok","FAIL")</f>
        <v>Ok</v>
      </c>
      <c r="BY197" s="17">
        <f t="shared" ref="BY197:BY243" si="231">(AS197/AI197)+(AT197*-P197/2)/(P197*O197^3/12)+(AU197*-O197/2)/(O197*P197^3/12)+X197*W197+Z197</f>
        <v>21.325867958150099</v>
      </c>
      <c r="BZ197" s="17">
        <f t="shared" ref="BZ197:BZ243" si="232">(AS197/AI197)+(AT197*-P197/2)/(P197*O197^3/12)+(AU197*O197/2)/(O197*P197^3/12)+X197*W197+Z197</f>
        <v>42.704862481883197</v>
      </c>
      <c r="CA197" s="17">
        <f t="shared" ref="CA197:CA243" si="233">(AS197/AI197)+(AT197*P197/2)/(P197*O197^3/12)+(AU197*O197/2)/(O197*P197^3/12)+X197*W197+Z197</f>
        <v>61.083176877863501</v>
      </c>
      <c r="CB197" s="17">
        <f t="shared" ref="CB197:CB243" si="234">(AS197/AI197)+(AT197*P197/2)/(P197*O197^3/12)+(AU197*-O197/2)/(O197*P197^3/12)+X197*W197+Z197</f>
        <v>39.704182354130403</v>
      </c>
      <c r="CC197" s="17">
        <f t="shared" ref="CC197:CC243" si="235">(MIN(BY197,CB197)+(MAX(BZ197,CA197)-MIN(BY197,CB197))*(AM197+Q197)/O197)</f>
        <v>44.848942402313902</v>
      </c>
      <c r="CD197" s="17">
        <f t="shared" ref="CD197:CD243" si="236">(MIN(BZ197,CA197)+(MAX(BY197,CB197)-MIN(BZ197,CA197))*(AN197+Q197)/O197)</f>
        <v>40.929460072962797</v>
      </c>
      <c r="CE197" s="17">
        <f t="shared" ref="CE197:CE243" si="237">(MIN(CA197,CB197)+(MAX(BY197,BZ197)-MIN(CA197,CB197))*(AO197+R197)/P197)</f>
        <v>41.479584763050802</v>
      </c>
      <c r="CF197" s="17">
        <f t="shared" ref="CF197:CF243" si="238">(MIN(BY197,BZ197)+(MAX(CA197,CB197)-MIN(BY197,BZ197))*(AP197+R197)/P197)</f>
        <v>44.848942402313902</v>
      </c>
      <c r="CG197" s="17">
        <f t="shared" ref="CG197:CG243" si="239">MAX(((2*MAX(BY197,BZ197)+CE197)*(AP197^2)/6),((2*MAX(CA197,CB197)+CF197)*(AO197^2)/6))</f>
        <v>6.6833954345909401</v>
      </c>
      <c r="CH197" s="17">
        <f t="shared" ref="CH197:CH243" si="240">MAX(((2*MAX(BZ197,CA197)+CC197)*(AN197^2)/6),((2*MAX(BY197,CB197)+CD197)*(AM197^2)/6))</f>
        <v>6.6833954345909401</v>
      </c>
      <c r="CI197" s="17">
        <f t="shared" ref="CI197:CI243" si="241">MAX(CH197*10^6/(0.9*AH197*AL197*1000),(0.1/100)*1000*AL197*1000)</f>
        <v>250</v>
      </c>
      <c r="CJ197" s="17">
        <f t="shared" ref="CJ197:CJ243" si="242">MAX(CG197*10^6/(0.9*AH197*AL197*1000),(0.1/100)*1000*AL197*1000)</f>
        <v>250</v>
      </c>
    </row>
    <row r="198" spans="2:88">
      <c r="B198" s="3">
        <v>284</v>
      </c>
      <c r="C198" s="3" t="s">
        <v>27</v>
      </c>
      <c r="D198" s="4">
        <v>-1.45387429820265</v>
      </c>
      <c r="E198" s="4">
        <v>2.1921169582436302</v>
      </c>
      <c r="F198" s="4">
        <v>34.940822675009201</v>
      </c>
      <c r="G198" s="4">
        <v>-3.7744467092259599</v>
      </c>
      <c r="H198" s="4">
        <v>-0.73043914771227203</v>
      </c>
      <c r="I198" s="4" t="s">
        <v>17</v>
      </c>
      <c r="J198" s="4">
        <v>-1.24943210934279</v>
      </c>
      <c r="K198" s="4">
        <v>1.82646498327965</v>
      </c>
      <c r="L198" s="4">
        <v>29.8929326967171</v>
      </c>
      <c r="M198" s="4">
        <v>-3.1495475068386498</v>
      </c>
      <c r="N198" s="4">
        <v>-0.64614664613045403</v>
      </c>
      <c r="O198" s="4">
        <v>1.2</v>
      </c>
      <c r="P198" s="4">
        <v>1.2</v>
      </c>
      <c r="Q198" s="4">
        <v>0.22</v>
      </c>
      <c r="R198" s="4">
        <v>0.22</v>
      </c>
      <c r="S198" s="4">
        <v>0</v>
      </c>
      <c r="T198" s="4">
        <v>0</v>
      </c>
      <c r="U198" s="4">
        <v>0.3</v>
      </c>
      <c r="V198" s="4">
        <v>0.05</v>
      </c>
      <c r="W198" s="4">
        <v>1</v>
      </c>
      <c r="X198" s="4">
        <v>19.100000000000001</v>
      </c>
      <c r="Y198" s="4">
        <v>0</v>
      </c>
      <c r="Z198" s="4">
        <v>1.5</v>
      </c>
      <c r="AA198" s="4">
        <v>139</v>
      </c>
      <c r="AB198" s="4">
        <v>12.1</v>
      </c>
      <c r="AC198" s="4">
        <v>19.5</v>
      </c>
      <c r="AD198" s="3" t="s">
        <v>42</v>
      </c>
      <c r="AE198" s="3" t="s">
        <v>61</v>
      </c>
      <c r="AF198" s="17">
        <f>HLOOKUP(AD198,Data!$B$4:$M$9,2,0)</f>
        <v>13</v>
      </c>
      <c r="AG198" s="17">
        <f>HLOOKUP(AD198,Data!$B$4:$M$9,3,0)</f>
        <v>1</v>
      </c>
      <c r="AH198" s="17">
        <f>HLOOKUP(AE198,Data!$B$13:$I$18,3,0)</f>
        <v>260</v>
      </c>
      <c r="AI198" s="18">
        <f t="shared" si="192"/>
        <v>1.44</v>
      </c>
      <c r="AJ198" s="17">
        <f t="shared" si="193"/>
        <v>0.28799999999999998</v>
      </c>
      <c r="AK198" s="17">
        <f t="shared" si="194"/>
        <v>0.28799999999999998</v>
      </c>
      <c r="AL198" s="17">
        <f t="shared" si="195"/>
        <v>0.25</v>
      </c>
      <c r="AM198" s="17">
        <f t="shared" si="196"/>
        <v>0.49</v>
      </c>
      <c r="AN198" s="17">
        <f t="shared" si="197"/>
        <v>0.49</v>
      </c>
      <c r="AO198" s="17">
        <f t="shared" si="198"/>
        <v>0.49</v>
      </c>
      <c r="AP198" s="17">
        <f t="shared" si="199"/>
        <v>0.49</v>
      </c>
      <c r="AQ198" s="17">
        <f t="shared" si="200"/>
        <v>1.88</v>
      </c>
      <c r="AR198" s="17">
        <f t="shared" si="201"/>
        <v>0.92159999999999997</v>
      </c>
      <c r="AS198" s="17">
        <f t="shared" si="202"/>
        <v>34.940822675009201</v>
      </c>
      <c r="AT198" s="17">
        <f t="shared" si="203"/>
        <v>-4.43208179669905</v>
      </c>
      <c r="AU198" s="17">
        <f t="shared" si="204"/>
        <v>-1.16660143717307</v>
      </c>
      <c r="AV198" s="17">
        <f t="shared" si="205"/>
        <v>29.8929326967171</v>
      </c>
      <c r="AW198" s="17">
        <f t="shared" si="206"/>
        <v>-3.6974870018225401</v>
      </c>
      <c r="AX198" s="17">
        <f t="shared" si="207"/>
        <v>-1.0209762789332899</v>
      </c>
      <c r="AY198" s="17">
        <f t="shared" si="208"/>
        <v>64.304332530812403</v>
      </c>
      <c r="AZ198" s="17">
        <f t="shared" si="209"/>
        <v>25.424587851144899</v>
      </c>
      <c r="BA198" s="17">
        <f t="shared" si="210"/>
        <v>44.864460190978598</v>
      </c>
      <c r="BB198" s="17">
        <f t="shared" si="211"/>
        <v>57.742534097566903</v>
      </c>
      <c r="BC198" s="17">
        <f t="shared" si="212"/>
        <v>24.975427981206899</v>
      </c>
      <c r="BD198" s="17">
        <f t="shared" si="213"/>
        <v>41.358981039386897</v>
      </c>
      <c r="BE198" s="17" t="str">
        <f>IF(AND(BD198&lt;=AA198,BB198&lt;=AA198*MongDon!$J$44,BC198&gt;0),"Ok","FAIL")</f>
        <v>Ok</v>
      </c>
      <c r="BF198" s="17">
        <f t="shared" si="214"/>
        <v>59.262872860396698</v>
      </c>
      <c r="BG198" s="17">
        <f t="shared" si="215"/>
        <v>352.5</v>
      </c>
      <c r="BH198" s="17" t="str">
        <f t="shared" si="216"/>
        <v>Ok</v>
      </c>
      <c r="BI198" s="17">
        <f t="shared" si="217"/>
        <v>17.353046331700899</v>
      </c>
      <c r="BJ198" s="17">
        <f t="shared" si="218"/>
        <v>11.754363097828801</v>
      </c>
      <c r="BK198" s="17">
        <f t="shared" si="219"/>
        <v>8.4888827383028005</v>
      </c>
      <c r="BL198" s="17">
        <f t="shared" si="220"/>
        <v>14.0875659721749</v>
      </c>
      <c r="BM198" s="17">
        <f t="shared" si="221"/>
        <v>88.125</v>
      </c>
      <c r="BN198" s="17">
        <f t="shared" si="222"/>
        <v>88.125</v>
      </c>
      <c r="BO198" s="17">
        <f t="shared" si="223"/>
        <v>88.125</v>
      </c>
      <c r="BP198" s="17">
        <f t="shared" si="224"/>
        <v>88.125</v>
      </c>
      <c r="BQ198" s="17" t="str">
        <f t="shared" si="225"/>
        <v>Ok</v>
      </c>
      <c r="BR198" s="17">
        <f t="shared" si="226"/>
        <v>35.5706633295258</v>
      </c>
      <c r="BS198" s="17">
        <f t="shared" si="227"/>
        <v>16.226626592965101</v>
      </c>
      <c r="BT198" s="16">
        <f>MongDon!$H$80</f>
        <v>1.2</v>
      </c>
      <c r="BU198" s="17" t="str">
        <f t="shared" si="228"/>
        <v>Ok</v>
      </c>
      <c r="BV198" s="17">
        <f t="shared" si="229"/>
        <v>8.4535654628284007</v>
      </c>
      <c r="BW198" s="16">
        <f>MongDon!$F$86</f>
        <v>1.5</v>
      </c>
      <c r="BX198" s="17" t="str">
        <f t="shared" si="230"/>
        <v>Ok</v>
      </c>
      <c r="BY198" s="17">
        <f t="shared" si="231"/>
        <v>64.304332530812403</v>
      </c>
      <c r="BZ198" s="17">
        <f t="shared" si="232"/>
        <v>56.202933661555001</v>
      </c>
      <c r="CA198" s="17">
        <f t="shared" si="233"/>
        <v>25.424587851144899</v>
      </c>
      <c r="CB198" s="17">
        <f t="shared" si="234"/>
        <v>33.525986720402301</v>
      </c>
      <c r="CC198" s="17">
        <f t="shared" si="235"/>
        <v>46.943180327251</v>
      </c>
      <c r="CD198" s="17">
        <f t="shared" si="236"/>
        <v>48.428436786614803</v>
      </c>
      <c r="CE198" s="17">
        <f t="shared" si="237"/>
        <v>48.428436786614803</v>
      </c>
      <c r="CF198" s="17">
        <f t="shared" si="238"/>
        <v>42.785740054706302</v>
      </c>
      <c r="CG198" s="17">
        <f t="shared" si="239"/>
        <v>7.08443469229372</v>
      </c>
      <c r="CH198" s="17">
        <f t="shared" si="240"/>
        <v>7.08443469229372</v>
      </c>
      <c r="CI198" s="17">
        <f t="shared" si="241"/>
        <v>250</v>
      </c>
      <c r="CJ198" s="17">
        <f t="shared" si="242"/>
        <v>250</v>
      </c>
    </row>
    <row r="199" spans="2:88">
      <c r="B199" s="3">
        <v>284</v>
      </c>
      <c r="C199" s="3" t="s">
        <v>28</v>
      </c>
      <c r="D199" s="4">
        <v>-3.1877896857819401</v>
      </c>
      <c r="E199" s="4">
        <v>-2.3589210589615099</v>
      </c>
      <c r="F199" s="4">
        <v>31.376941392719299</v>
      </c>
      <c r="G199" s="4">
        <v>3.4018817492948701</v>
      </c>
      <c r="H199" s="4">
        <v>-3.6844027866402</v>
      </c>
      <c r="I199" s="4" t="s">
        <v>18</v>
      </c>
      <c r="J199" s="4">
        <v>-2.6943615989922001</v>
      </c>
      <c r="K199" s="4">
        <v>-1.9660666977246299</v>
      </c>
      <c r="L199" s="4">
        <v>26.923031628142098</v>
      </c>
      <c r="M199" s="4">
        <v>2.8307262085953702</v>
      </c>
      <c r="N199" s="4">
        <v>-3.10778301190373</v>
      </c>
      <c r="O199" s="4">
        <v>1.2</v>
      </c>
      <c r="P199" s="4">
        <v>1.2</v>
      </c>
      <c r="Q199" s="4">
        <v>0.22</v>
      </c>
      <c r="R199" s="4">
        <v>0.22</v>
      </c>
      <c r="S199" s="4">
        <v>0</v>
      </c>
      <c r="T199" s="4">
        <v>0</v>
      </c>
      <c r="U199" s="4">
        <v>0.3</v>
      </c>
      <c r="V199" s="4">
        <v>0.05</v>
      </c>
      <c r="W199" s="4">
        <v>1</v>
      </c>
      <c r="X199" s="4">
        <v>19.100000000000001</v>
      </c>
      <c r="Y199" s="4">
        <v>0</v>
      </c>
      <c r="Z199" s="4">
        <v>1.5</v>
      </c>
      <c r="AA199" s="4">
        <v>139</v>
      </c>
      <c r="AB199" s="4">
        <v>12.1</v>
      </c>
      <c r="AC199" s="4">
        <v>19.5</v>
      </c>
      <c r="AD199" s="3" t="s">
        <v>42</v>
      </c>
      <c r="AE199" s="3" t="s">
        <v>61</v>
      </c>
      <c r="AF199" s="17">
        <f>HLOOKUP(AD199,Data!$B$4:$M$9,2,0)</f>
        <v>13</v>
      </c>
      <c r="AG199" s="17">
        <f>HLOOKUP(AD199,Data!$B$4:$M$9,3,0)</f>
        <v>1</v>
      </c>
      <c r="AH199" s="17">
        <f>HLOOKUP(AE199,Data!$B$13:$I$18,3,0)</f>
        <v>260</v>
      </c>
      <c r="AI199" s="18">
        <f t="shared" si="192"/>
        <v>1.44</v>
      </c>
      <c r="AJ199" s="17">
        <f t="shared" si="193"/>
        <v>0.28799999999999998</v>
      </c>
      <c r="AK199" s="17">
        <f t="shared" si="194"/>
        <v>0.28799999999999998</v>
      </c>
      <c r="AL199" s="17">
        <f t="shared" si="195"/>
        <v>0.25</v>
      </c>
      <c r="AM199" s="17">
        <f t="shared" si="196"/>
        <v>0.49</v>
      </c>
      <c r="AN199" s="17">
        <f t="shared" si="197"/>
        <v>0.49</v>
      </c>
      <c r="AO199" s="17">
        <f t="shared" si="198"/>
        <v>0.49</v>
      </c>
      <c r="AP199" s="17">
        <f t="shared" si="199"/>
        <v>0.49</v>
      </c>
      <c r="AQ199" s="17">
        <f t="shared" si="200"/>
        <v>1.88</v>
      </c>
      <c r="AR199" s="17">
        <f t="shared" si="201"/>
        <v>0.92159999999999997</v>
      </c>
      <c r="AS199" s="17">
        <f t="shared" si="202"/>
        <v>31.376941392719299</v>
      </c>
      <c r="AT199" s="17">
        <f t="shared" si="203"/>
        <v>4.10955806698332</v>
      </c>
      <c r="AU199" s="17">
        <f t="shared" si="204"/>
        <v>-4.6407396923747797</v>
      </c>
      <c r="AV199" s="17">
        <f t="shared" si="205"/>
        <v>26.923031628142098</v>
      </c>
      <c r="AW199" s="17">
        <f t="shared" si="206"/>
        <v>3.4205462179127601</v>
      </c>
      <c r="AX199" s="17">
        <f t="shared" si="207"/>
        <v>-3.91609149160139</v>
      </c>
      <c r="AY199" s="17">
        <f t="shared" si="208"/>
        <v>72.772520964937399</v>
      </c>
      <c r="AZ199" s="17">
        <f t="shared" si="209"/>
        <v>12.0065643027283</v>
      </c>
      <c r="BA199" s="17">
        <f t="shared" si="210"/>
        <v>42.389542633832797</v>
      </c>
      <c r="BB199" s="17">
        <f t="shared" si="211"/>
        <v>64.770986233133996</v>
      </c>
      <c r="BC199" s="17">
        <f t="shared" si="212"/>
        <v>13.8221132503968</v>
      </c>
      <c r="BD199" s="17">
        <f t="shared" si="213"/>
        <v>39.296549741765403</v>
      </c>
      <c r="BE199" s="17" t="str">
        <f>IF(AND(BD199&lt;=AA199,BB199&lt;=AA199*MongDon!$J$44,BC199&gt;0),"Ok","FAIL")</f>
        <v>Ok</v>
      </c>
      <c r="BF199" s="17">
        <f t="shared" si="214"/>
        <v>67.067155321286293</v>
      </c>
      <c r="BG199" s="17">
        <f t="shared" si="215"/>
        <v>352.5</v>
      </c>
      <c r="BH199" s="17" t="str">
        <f t="shared" si="216"/>
        <v>Ok</v>
      </c>
      <c r="BI199" s="17">
        <f t="shared" si="217"/>
        <v>8.0986302115605397</v>
      </c>
      <c r="BJ199" s="17">
        <f t="shared" si="218"/>
        <v>7.5674485861690703</v>
      </c>
      <c r="BK199" s="17">
        <f t="shared" si="219"/>
        <v>16.317746345527201</v>
      </c>
      <c r="BL199" s="17">
        <f t="shared" si="220"/>
        <v>16.848927970918599</v>
      </c>
      <c r="BM199" s="17">
        <f t="shared" si="221"/>
        <v>88.125</v>
      </c>
      <c r="BN199" s="17">
        <f t="shared" si="222"/>
        <v>88.125</v>
      </c>
      <c r="BO199" s="17">
        <f t="shared" si="223"/>
        <v>88.125</v>
      </c>
      <c r="BP199" s="17">
        <f t="shared" si="224"/>
        <v>88.125</v>
      </c>
      <c r="BQ199" s="17" t="str">
        <f t="shared" si="225"/>
        <v>Ok</v>
      </c>
      <c r="BR199" s="17">
        <f t="shared" si="226"/>
        <v>34.806633384371501</v>
      </c>
      <c r="BS199" s="17">
        <f t="shared" si="227"/>
        <v>10.9187358060711</v>
      </c>
      <c r="BT199" s="16">
        <f>MongDon!$H$80</f>
        <v>1.2</v>
      </c>
      <c r="BU199" s="17" t="str">
        <f t="shared" si="228"/>
        <v>Ok</v>
      </c>
      <c r="BV199" s="17">
        <f t="shared" si="229"/>
        <v>7.6127012453812197</v>
      </c>
      <c r="BW199" s="16">
        <f>MongDon!$F$86</f>
        <v>1.5</v>
      </c>
      <c r="BX199" s="17" t="str">
        <f t="shared" si="230"/>
        <v>Ok</v>
      </c>
      <c r="BY199" s="17">
        <f t="shared" si="231"/>
        <v>44.233923277553203</v>
      </c>
      <c r="BZ199" s="17">
        <f t="shared" si="232"/>
        <v>12.0065643027283</v>
      </c>
      <c r="CA199" s="17">
        <f t="shared" si="233"/>
        <v>40.545161990112497</v>
      </c>
      <c r="CB199" s="17">
        <f t="shared" si="234"/>
        <v>72.772520964937399</v>
      </c>
      <c r="CC199" s="17">
        <f t="shared" si="235"/>
        <v>42.051406182484101</v>
      </c>
      <c r="CD199" s="17">
        <f t="shared" si="236"/>
        <v>47.959755327868699</v>
      </c>
      <c r="CE199" s="17">
        <f t="shared" si="237"/>
        <v>42.727679085181599</v>
      </c>
      <c r="CF199" s="17">
        <f t="shared" si="238"/>
        <v>47.959755327868699</v>
      </c>
      <c r="CG199" s="17">
        <f t="shared" si="239"/>
        <v>7.7434169702640299</v>
      </c>
      <c r="CH199" s="17">
        <f t="shared" si="240"/>
        <v>7.7434169702640299</v>
      </c>
      <c r="CI199" s="17">
        <f t="shared" si="241"/>
        <v>250</v>
      </c>
      <c r="CJ199" s="17">
        <f t="shared" si="242"/>
        <v>250</v>
      </c>
    </row>
    <row r="200" spans="2:88">
      <c r="B200" s="3">
        <v>284</v>
      </c>
      <c r="C200" s="3" t="s">
        <v>29</v>
      </c>
      <c r="D200" s="4">
        <v>-5.3347347867051598</v>
      </c>
      <c r="E200" s="4">
        <v>1.5848762860307799</v>
      </c>
      <c r="F200" s="4">
        <v>34.045124095037302</v>
      </c>
      <c r="G200" s="4">
        <v>-2.79150914905324</v>
      </c>
      <c r="H200" s="4">
        <v>-7.6554855985525698</v>
      </c>
      <c r="I200" s="4" t="s">
        <v>19</v>
      </c>
      <c r="J200" s="4">
        <v>-4.4834825164282197</v>
      </c>
      <c r="K200" s="4">
        <v>1.32043108976894</v>
      </c>
      <c r="L200" s="4">
        <v>29.146517213407101</v>
      </c>
      <c r="M200" s="4">
        <v>-2.3304328733613802</v>
      </c>
      <c r="N200" s="4">
        <v>-6.4170186884973699</v>
      </c>
      <c r="O200" s="4">
        <v>1.2</v>
      </c>
      <c r="P200" s="4">
        <v>1.2</v>
      </c>
      <c r="Q200" s="4">
        <v>0.22</v>
      </c>
      <c r="R200" s="4">
        <v>0.22</v>
      </c>
      <c r="S200" s="4">
        <v>0</v>
      </c>
      <c r="T200" s="4">
        <v>0</v>
      </c>
      <c r="U200" s="4">
        <v>0.3</v>
      </c>
      <c r="V200" s="4">
        <v>0.05</v>
      </c>
      <c r="W200" s="4">
        <v>1</v>
      </c>
      <c r="X200" s="4">
        <v>19.100000000000001</v>
      </c>
      <c r="Y200" s="4">
        <v>0</v>
      </c>
      <c r="Z200" s="4">
        <v>1.5</v>
      </c>
      <c r="AA200" s="4">
        <v>139</v>
      </c>
      <c r="AB200" s="4">
        <v>12.1</v>
      </c>
      <c r="AC200" s="4">
        <v>19.5</v>
      </c>
      <c r="AD200" s="3" t="s">
        <v>42</v>
      </c>
      <c r="AE200" s="3" t="s">
        <v>61</v>
      </c>
      <c r="AF200" s="17">
        <f>HLOOKUP(AD200,Data!$B$4:$M$9,2,0)</f>
        <v>13</v>
      </c>
      <c r="AG200" s="17">
        <f>HLOOKUP(AD200,Data!$B$4:$M$9,3,0)</f>
        <v>1</v>
      </c>
      <c r="AH200" s="17">
        <f>HLOOKUP(AE200,Data!$B$13:$I$18,3,0)</f>
        <v>260</v>
      </c>
      <c r="AI200" s="18">
        <f t="shared" si="192"/>
        <v>1.44</v>
      </c>
      <c r="AJ200" s="17">
        <f t="shared" si="193"/>
        <v>0.28799999999999998</v>
      </c>
      <c r="AK200" s="17">
        <f t="shared" si="194"/>
        <v>0.28799999999999998</v>
      </c>
      <c r="AL200" s="17">
        <f t="shared" si="195"/>
        <v>0.25</v>
      </c>
      <c r="AM200" s="17">
        <f t="shared" si="196"/>
        <v>0.49</v>
      </c>
      <c r="AN200" s="17">
        <f t="shared" si="197"/>
        <v>0.49</v>
      </c>
      <c r="AO200" s="17">
        <f t="shared" si="198"/>
        <v>0.49</v>
      </c>
      <c r="AP200" s="17">
        <f t="shared" si="199"/>
        <v>0.49</v>
      </c>
      <c r="AQ200" s="17">
        <f t="shared" si="200"/>
        <v>1.88</v>
      </c>
      <c r="AR200" s="17">
        <f t="shared" si="201"/>
        <v>0.92159999999999997</v>
      </c>
      <c r="AS200" s="17">
        <f t="shared" si="202"/>
        <v>34.045124095037302</v>
      </c>
      <c r="AT200" s="17">
        <f t="shared" si="203"/>
        <v>-3.2669720348624698</v>
      </c>
      <c r="AU200" s="17">
        <f t="shared" si="204"/>
        <v>-9.25590603456412</v>
      </c>
      <c r="AV200" s="17">
        <f t="shared" si="205"/>
        <v>29.146517213407101</v>
      </c>
      <c r="AW200" s="17">
        <f t="shared" si="206"/>
        <v>-2.7265622002920602</v>
      </c>
      <c r="AX200" s="17">
        <f t="shared" si="207"/>
        <v>-7.7620634434258404</v>
      </c>
      <c r="AY200" s="17">
        <f t="shared" si="208"/>
        <v>87.7246628070627</v>
      </c>
      <c r="AZ200" s="17">
        <f t="shared" si="209"/>
        <v>0.76023176937802395</v>
      </c>
      <c r="BA200" s="17">
        <f t="shared" si="210"/>
        <v>44.242447288220397</v>
      </c>
      <c r="BB200" s="17">
        <f t="shared" si="211"/>
        <v>77.259475994442099</v>
      </c>
      <c r="BC200" s="17">
        <f t="shared" si="212"/>
        <v>4.4217979130678202</v>
      </c>
      <c r="BD200" s="17">
        <f t="shared" si="213"/>
        <v>40.840636953755002</v>
      </c>
      <c r="BE200" s="17" t="str">
        <f>IF(AND(BD200&lt;=AA200,BB200&lt;=AA200*MongDon!$J$44,BC200&gt;0),"Ok","FAIL")</f>
        <v>Ok</v>
      </c>
      <c r="BF200" s="17">
        <f t="shared" si="214"/>
        <v>80.847049242989002</v>
      </c>
      <c r="BG200" s="17">
        <f t="shared" si="215"/>
        <v>352.5</v>
      </c>
      <c r="BH200" s="17" t="str">
        <f t="shared" si="216"/>
        <v>Ok</v>
      </c>
      <c r="BI200" s="17">
        <f t="shared" si="217"/>
        <v>16.008796853869899</v>
      </c>
      <c r="BJ200" s="17">
        <f t="shared" si="218"/>
        <v>3.4859187844433399</v>
      </c>
      <c r="BK200" s="17">
        <f t="shared" si="219"/>
        <v>9.4748527841449892</v>
      </c>
      <c r="BL200" s="17">
        <f t="shared" si="220"/>
        <v>21.9977308535716</v>
      </c>
      <c r="BM200" s="17">
        <f t="shared" si="221"/>
        <v>88.125</v>
      </c>
      <c r="BN200" s="17">
        <f t="shared" si="222"/>
        <v>88.125</v>
      </c>
      <c r="BO200" s="17">
        <f t="shared" si="223"/>
        <v>88.125</v>
      </c>
      <c r="BP200" s="17">
        <f t="shared" si="224"/>
        <v>88.125</v>
      </c>
      <c r="BQ200" s="17" t="str">
        <f t="shared" si="225"/>
        <v>Ok</v>
      </c>
      <c r="BR200" s="17">
        <f t="shared" si="226"/>
        <v>35.378642192252897</v>
      </c>
      <c r="BS200" s="17">
        <f t="shared" si="227"/>
        <v>6.6317527687451303</v>
      </c>
      <c r="BT200" s="16">
        <f>MongDon!$H$80</f>
        <v>1.2</v>
      </c>
      <c r="BU200" s="17" t="str">
        <f t="shared" si="228"/>
        <v>Ok</v>
      </c>
      <c r="BV200" s="17">
        <f t="shared" si="229"/>
        <v>3.98982815070912</v>
      </c>
      <c r="BW200" s="16">
        <f>MongDon!$F$86</f>
        <v>1.5</v>
      </c>
      <c r="BX200" s="17" t="str">
        <f t="shared" si="230"/>
        <v>Ok</v>
      </c>
      <c r="BY200" s="17">
        <f t="shared" si="231"/>
        <v>87.7246628070627</v>
      </c>
      <c r="BZ200" s="17">
        <f t="shared" si="232"/>
        <v>23.4475375670341</v>
      </c>
      <c r="CA200" s="17">
        <f t="shared" si="233"/>
        <v>0.76023176937801695</v>
      </c>
      <c r="CB200" s="17">
        <f t="shared" si="234"/>
        <v>65.037357009406705</v>
      </c>
      <c r="CC200" s="17">
        <f t="shared" si="235"/>
        <v>40.430047172669497</v>
      </c>
      <c r="CD200" s="17">
        <f t="shared" si="236"/>
        <v>52.2141868000081</v>
      </c>
      <c r="CE200" s="17">
        <f t="shared" si="237"/>
        <v>52.2141868000081</v>
      </c>
      <c r="CF200" s="17">
        <f t="shared" si="238"/>
        <v>48.054847403771198</v>
      </c>
      <c r="CG200" s="17">
        <f t="shared" si="239"/>
        <v>9.1103348884389099</v>
      </c>
      <c r="CH200" s="17">
        <f t="shared" si="240"/>
        <v>9.1103348884389099</v>
      </c>
      <c r="CI200" s="17">
        <f t="shared" si="241"/>
        <v>250</v>
      </c>
      <c r="CJ200" s="17">
        <f t="shared" si="242"/>
        <v>250</v>
      </c>
    </row>
    <row r="201" spans="2:88">
      <c r="B201" s="3">
        <v>284</v>
      </c>
      <c r="C201" s="3" t="s">
        <v>30</v>
      </c>
      <c r="D201" s="4">
        <v>1.1681000450414201</v>
      </c>
      <c r="E201" s="4">
        <v>-1.73095344179984</v>
      </c>
      <c r="F201" s="4">
        <v>26.293191312960701</v>
      </c>
      <c r="G201" s="4">
        <v>2.4531622389954402</v>
      </c>
      <c r="H201" s="4">
        <v>3.6875434545712</v>
      </c>
      <c r="I201" s="4" t="s">
        <v>20</v>
      </c>
      <c r="J201" s="4">
        <v>0.93554651002727096</v>
      </c>
      <c r="K201" s="4">
        <v>-1.44276035008991</v>
      </c>
      <c r="L201" s="4">
        <v>22.686573228343299</v>
      </c>
      <c r="M201" s="4">
        <v>2.0401266166791898</v>
      </c>
      <c r="N201" s="4">
        <v>3.0355055224391099</v>
      </c>
      <c r="O201" s="4">
        <v>1.2</v>
      </c>
      <c r="P201" s="4">
        <v>1.2</v>
      </c>
      <c r="Q201" s="4">
        <v>0.22</v>
      </c>
      <c r="R201" s="4">
        <v>0.22</v>
      </c>
      <c r="S201" s="4">
        <v>0</v>
      </c>
      <c r="T201" s="4">
        <v>0</v>
      </c>
      <c r="U201" s="4">
        <v>0.3</v>
      </c>
      <c r="V201" s="4">
        <v>0.05</v>
      </c>
      <c r="W201" s="4">
        <v>1</v>
      </c>
      <c r="X201" s="4">
        <v>19.100000000000001</v>
      </c>
      <c r="Y201" s="4">
        <v>0</v>
      </c>
      <c r="Z201" s="4">
        <v>1.5</v>
      </c>
      <c r="AA201" s="4">
        <v>139</v>
      </c>
      <c r="AB201" s="4">
        <v>12.1</v>
      </c>
      <c r="AC201" s="4">
        <v>19.5</v>
      </c>
      <c r="AD201" s="3" t="s">
        <v>42</v>
      </c>
      <c r="AE201" s="3" t="s">
        <v>61</v>
      </c>
      <c r="AF201" s="17">
        <f>HLOOKUP(AD201,Data!$B$4:$M$9,2,0)</f>
        <v>13</v>
      </c>
      <c r="AG201" s="17">
        <f>HLOOKUP(AD201,Data!$B$4:$M$9,3,0)</f>
        <v>1</v>
      </c>
      <c r="AH201" s="17">
        <f>HLOOKUP(AE201,Data!$B$13:$I$18,3,0)</f>
        <v>260</v>
      </c>
      <c r="AI201" s="18">
        <f t="shared" si="192"/>
        <v>1.44</v>
      </c>
      <c r="AJ201" s="17">
        <f t="shared" si="193"/>
        <v>0.28799999999999998</v>
      </c>
      <c r="AK201" s="17">
        <f t="shared" si="194"/>
        <v>0.28799999999999998</v>
      </c>
      <c r="AL201" s="17">
        <f t="shared" si="195"/>
        <v>0.25</v>
      </c>
      <c r="AM201" s="17">
        <f t="shared" si="196"/>
        <v>0.49</v>
      </c>
      <c r="AN201" s="17">
        <f t="shared" si="197"/>
        <v>0.49</v>
      </c>
      <c r="AO201" s="17">
        <f t="shared" si="198"/>
        <v>0.49</v>
      </c>
      <c r="AP201" s="17">
        <f t="shared" si="199"/>
        <v>0.49</v>
      </c>
      <c r="AQ201" s="17">
        <f t="shared" si="200"/>
        <v>1.88</v>
      </c>
      <c r="AR201" s="17">
        <f t="shared" si="201"/>
        <v>0.92159999999999997</v>
      </c>
      <c r="AS201" s="17">
        <f t="shared" si="202"/>
        <v>26.293191312960701</v>
      </c>
      <c r="AT201" s="17">
        <f t="shared" si="203"/>
        <v>2.9724482715353902</v>
      </c>
      <c r="AU201" s="17">
        <f t="shared" si="204"/>
        <v>4.0379734680836297</v>
      </c>
      <c r="AV201" s="17">
        <f t="shared" si="205"/>
        <v>22.686573228343299</v>
      </c>
      <c r="AW201" s="17">
        <f t="shared" si="206"/>
        <v>2.4729547217061598</v>
      </c>
      <c r="AX201" s="17">
        <f t="shared" si="207"/>
        <v>3.3161694754472899</v>
      </c>
      <c r="AY201" s="17">
        <f t="shared" si="208"/>
        <v>63.200902785455398</v>
      </c>
      <c r="AZ201" s="17">
        <f t="shared" si="209"/>
        <v>14.5174184825455</v>
      </c>
      <c r="BA201" s="17">
        <f t="shared" si="210"/>
        <v>38.859160634000503</v>
      </c>
      <c r="BB201" s="17">
        <f t="shared" si="211"/>
        <v>56.455690426465701</v>
      </c>
      <c r="BC201" s="17">
        <f t="shared" si="212"/>
        <v>16.253439057344501</v>
      </c>
      <c r="BD201" s="17">
        <f t="shared" si="213"/>
        <v>36.354564741905101</v>
      </c>
      <c r="BE201" s="17" t="str">
        <f>IF(AND(BD201&lt;=AA201,BB201&lt;=AA201*MongDon!$J$44,BC201&gt;0),"Ok","FAIL")</f>
        <v>Ok</v>
      </c>
      <c r="BF201" s="17">
        <f t="shared" si="214"/>
        <v>58.245952007075701</v>
      </c>
      <c r="BG201" s="17">
        <f t="shared" si="215"/>
        <v>352.5</v>
      </c>
      <c r="BH201" s="17" t="str">
        <f t="shared" si="216"/>
        <v>Ok</v>
      </c>
      <c r="BI201" s="17">
        <f t="shared" si="217"/>
        <v>8.2189899910567501</v>
      </c>
      <c r="BJ201" s="17">
        <f t="shared" si="218"/>
        <v>15.2294117306758</v>
      </c>
      <c r="BK201" s="17">
        <f t="shared" si="219"/>
        <v>14.163886534127499</v>
      </c>
      <c r="BL201" s="17">
        <f t="shared" si="220"/>
        <v>7.1534647945085101</v>
      </c>
      <c r="BM201" s="17">
        <f t="shared" si="221"/>
        <v>88.125</v>
      </c>
      <c r="BN201" s="17">
        <f t="shared" si="222"/>
        <v>88.125</v>
      </c>
      <c r="BO201" s="17">
        <f t="shared" si="223"/>
        <v>88.125</v>
      </c>
      <c r="BP201" s="17">
        <f t="shared" si="224"/>
        <v>88.125</v>
      </c>
      <c r="BQ201" s="17" t="str">
        <f t="shared" si="225"/>
        <v>Ok</v>
      </c>
      <c r="BR201" s="17">
        <f t="shared" si="226"/>
        <v>33.716771801743199</v>
      </c>
      <c r="BS201" s="17">
        <f t="shared" si="227"/>
        <v>19.4787283051845</v>
      </c>
      <c r="BT201" s="16">
        <f>MongDon!$H$80</f>
        <v>1.2</v>
      </c>
      <c r="BU201" s="17" t="str">
        <f t="shared" si="228"/>
        <v>Ok</v>
      </c>
      <c r="BV201" s="17">
        <f t="shared" si="229"/>
        <v>7.9936916482750702</v>
      </c>
      <c r="BW201" s="16">
        <f>MongDon!$F$86</f>
        <v>1.5</v>
      </c>
      <c r="BX201" s="17" t="str">
        <f t="shared" si="230"/>
        <v>Ok</v>
      </c>
      <c r="BY201" s="17">
        <f t="shared" si="231"/>
        <v>14.5174184825455</v>
      </c>
      <c r="BZ201" s="17">
        <f t="shared" si="232"/>
        <v>42.558900899793002</v>
      </c>
      <c r="CA201" s="17">
        <f t="shared" si="233"/>
        <v>63.200902785455398</v>
      </c>
      <c r="CB201" s="17">
        <f t="shared" si="234"/>
        <v>35.159420368208004</v>
      </c>
      <c r="CC201" s="17">
        <f t="shared" si="235"/>
        <v>43.321813361767198</v>
      </c>
      <c r="CD201" s="17">
        <f t="shared" si="236"/>
        <v>38.180874918605198</v>
      </c>
      <c r="CE201" s="17">
        <f t="shared" si="237"/>
        <v>39.5374463493958</v>
      </c>
      <c r="CF201" s="17">
        <f t="shared" si="238"/>
        <v>43.321813361767198</v>
      </c>
      <c r="CG201" s="17">
        <f t="shared" si="239"/>
        <v>6.7917734842893296</v>
      </c>
      <c r="CH201" s="17">
        <f t="shared" si="240"/>
        <v>6.7917734842893296</v>
      </c>
      <c r="CI201" s="17">
        <f t="shared" si="241"/>
        <v>250</v>
      </c>
      <c r="CJ201" s="17">
        <f t="shared" si="242"/>
        <v>250</v>
      </c>
    </row>
    <row r="202" spans="2:88">
      <c r="B202" s="3">
        <v>284</v>
      </c>
      <c r="C202" s="3" t="s">
        <v>31</v>
      </c>
      <c r="D202" s="4">
        <v>-1.1200310443989301</v>
      </c>
      <c r="E202" s="4">
        <v>2.4553158761183198</v>
      </c>
      <c r="F202" s="4">
        <v>32.149091749715602</v>
      </c>
      <c r="G202" s="4">
        <v>-4.15602259865158</v>
      </c>
      <c r="H202" s="4">
        <v>-0.34288016147516998</v>
      </c>
      <c r="I202" s="4" t="s">
        <v>21</v>
      </c>
      <c r="J202" s="4">
        <v>-0.97122939783969298</v>
      </c>
      <c r="K202" s="4">
        <v>2.04579741484189</v>
      </c>
      <c r="L202" s="4">
        <v>27.566490258972401</v>
      </c>
      <c r="M202" s="4">
        <v>-3.4675274146933299</v>
      </c>
      <c r="N202" s="4">
        <v>-0.32318082426620298</v>
      </c>
      <c r="O202" s="4">
        <v>1.2</v>
      </c>
      <c r="P202" s="4">
        <v>1.2</v>
      </c>
      <c r="Q202" s="4">
        <v>0.22</v>
      </c>
      <c r="R202" s="4">
        <v>0.22</v>
      </c>
      <c r="S202" s="4">
        <v>0</v>
      </c>
      <c r="T202" s="4">
        <v>0</v>
      </c>
      <c r="U202" s="4">
        <v>0.3</v>
      </c>
      <c r="V202" s="4">
        <v>0.05</v>
      </c>
      <c r="W202" s="4">
        <v>1</v>
      </c>
      <c r="X202" s="4">
        <v>19.100000000000001</v>
      </c>
      <c r="Y202" s="4">
        <v>0</v>
      </c>
      <c r="Z202" s="4">
        <v>1.5</v>
      </c>
      <c r="AA202" s="4">
        <v>139</v>
      </c>
      <c r="AB202" s="4">
        <v>12.1</v>
      </c>
      <c r="AC202" s="4">
        <v>19.5</v>
      </c>
      <c r="AD202" s="3" t="s">
        <v>42</v>
      </c>
      <c r="AE202" s="3" t="s">
        <v>61</v>
      </c>
      <c r="AF202" s="17">
        <f>HLOOKUP(AD202,Data!$B$4:$M$9,2,0)</f>
        <v>13</v>
      </c>
      <c r="AG202" s="17">
        <f>HLOOKUP(AD202,Data!$B$4:$M$9,3,0)</f>
        <v>1</v>
      </c>
      <c r="AH202" s="17">
        <f>HLOOKUP(AE202,Data!$B$13:$I$18,3,0)</f>
        <v>260</v>
      </c>
      <c r="AI202" s="18">
        <f t="shared" si="192"/>
        <v>1.44</v>
      </c>
      <c r="AJ202" s="17">
        <f t="shared" si="193"/>
        <v>0.28799999999999998</v>
      </c>
      <c r="AK202" s="17">
        <f t="shared" si="194"/>
        <v>0.28799999999999998</v>
      </c>
      <c r="AL202" s="17">
        <f t="shared" si="195"/>
        <v>0.25</v>
      </c>
      <c r="AM202" s="17">
        <f t="shared" si="196"/>
        <v>0.49</v>
      </c>
      <c r="AN202" s="17">
        <f t="shared" si="197"/>
        <v>0.49</v>
      </c>
      <c r="AO202" s="17">
        <f t="shared" si="198"/>
        <v>0.49</v>
      </c>
      <c r="AP202" s="17">
        <f t="shared" si="199"/>
        <v>0.49</v>
      </c>
      <c r="AQ202" s="17">
        <f t="shared" si="200"/>
        <v>1.88</v>
      </c>
      <c r="AR202" s="17">
        <f t="shared" si="201"/>
        <v>0.92159999999999997</v>
      </c>
      <c r="AS202" s="17">
        <f t="shared" si="202"/>
        <v>32.149091749715602</v>
      </c>
      <c r="AT202" s="17">
        <f t="shared" si="203"/>
        <v>-4.89261736148707</v>
      </c>
      <c r="AU202" s="17">
        <f t="shared" si="204"/>
        <v>-0.67888947479484896</v>
      </c>
      <c r="AV202" s="17">
        <f t="shared" si="205"/>
        <v>27.566490258972401</v>
      </c>
      <c r="AW202" s="17">
        <f t="shared" si="206"/>
        <v>-4.0812666391459</v>
      </c>
      <c r="AX202" s="17">
        <f t="shared" si="207"/>
        <v>-0.61454964361811004</v>
      </c>
      <c r="AY202" s="17">
        <f t="shared" si="208"/>
        <v>62.271268007725901</v>
      </c>
      <c r="AZ202" s="17">
        <f t="shared" si="209"/>
        <v>23.580248311323601</v>
      </c>
      <c r="BA202" s="17">
        <f t="shared" si="210"/>
        <v>42.925758159524698</v>
      </c>
      <c r="BB202" s="17">
        <f t="shared" si="211"/>
        <v>56.048313661661403</v>
      </c>
      <c r="BC202" s="17">
        <f t="shared" si="212"/>
        <v>23.4384783646891</v>
      </c>
      <c r="BD202" s="17">
        <f t="shared" si="213"/>
        <v>39.7433960131753</v>
      </c>
      <c r="BE202" s="17" t="str">
        <f>IF(AND(BD202&lt;=AA202,BB202&lt;=AA202*MongDon!$J$44,BC202&gt;0),"Ok","FAIL")</f>
        <v>Ok</v>
      </c>
      <c r="BF202" s="17">
        <f t="shared" si="214"/>
        <v>57.389200595920201</v>
      </c>
      <c r="BG202" s="17">
        <f t="shared" si="215"/>
        <v>352.5</v>
      </c>
      <c r="BH202" s="17" t="str">
        <f t="shared" si="216"/>
        <v>Ok</v>
      </c>
      <c r="BI202" s="17">
        <f t="shared" si="217"/>
        <v>17.255235711430199</v>
      </c>
      <c r="BJ202" s="17">
        <f t="shared" si="218"/>
        <v>11.683728875148301</v>
      </c>
      <c r="BK202" s="17">
        <f t="shared" si="219"/>
        <v>7.4700009884560501</v>
      </c>
      <c r="BL202" s="17">
        <f t="shared" si="220"/>
        <v>13.041507824738</v>
      </c>
      <c r="BM202" s="17">
        <f t="shared" si="221"/>
        <v>88.125</v>
      </c>
      <c r="BN202" s="17">
        <f t="shared" si="222"/>
        <v>88.125</v>
      </c>
      <c r="BO202" s="17">
        <f t="shared" si="223"/>
        <v>88.125</v>
      </c>
      <c r="BP202" s="17">
        <f t="shared" si="224"/>
        <v>88.125</v>
      </c>
      <c r="BQ202" s="17" t="str">
        <f t="shared" si="225"/>
        <v>Ok</v>
      </c>
      <c r="BR202" s="17">
        <f t="shared" si="226"/>
        <v>34.972168077639303</v>
      </c>
      <c r="BS202" s="17">
        <f t="shared" si="227"/>
        <v>14.243449658676001</v>
      </c>
      <c r="BT202" s="16">
        <f>MongDon!$H$80</f>
        <v>1.2</v>
      </c>
      <c r="BU202" s="17" t="str">
        <f t="shared" si="228"/>
        <v>Ok</v>
      </c>
      <c r="BV202" s="17">
        <f t="shared" si="229"/>
        <v>7.3154821653477304</v>
      </c>
      <c r="BW202" s="16">
        <f>MongDon!$F$86</f>
        <v>1.5</v>
      </c>
      <c r="BX202" s="17" t="str">
        <f t="shared" si="230"/>
        <v>Ok</v>
      </c>
      <c r="BY202" s="17">
        <f t="shared" si="231"/>
        <v>62.271268007725901</v>
      </c>
      <c r="BZ202" s="17">
        <f t="shared" si="232"/>
        <v>57.556757766094996</v>
      </c>
      <c r="CA202" s="17">
        <f t="shared" si="233"/>
        <v>23.580248311323601</v>
      </c>
      <c r="CB202" s="17">
        <f t="shared" si="234"/>
        <v>28.294758552954502</v>
      </c>
      <c r="CC202" s="17">
        <f t="shared" si="235"/>
        <v>45.608108087395998</v>
      </c>
      <c r="CD202" s="17">
        <f t="shared" si="236"/>
        <v>46.472434965028299</v>
      </c>
      <c r="CE202" s="17">
        <f t="shared" si="237"/>
        <v>46.472434965028299</v>
      </c>
      <c r="CF202" s="17">
        <f t="shared" si="238"/>
        <v>40.243408231653497</v>
      </c>
      <c r="CG202" s="17">
        <f t="shared" si="239"/>
        <v>6.8434490887355404</v>
      </c>
      <c r="CH202" s="17">
        <f t="shared" si="240"/>
        <v>6.8434490887355404</v>
      </c>
      <c r="CI202" s="17">
        <f t="shared" si="241"/>
        <v>250</v>
      </c>
      <c r="CJ202" s="17">
        <f t="shared" si="242"/>
        <v>250</v>
      </c>
    </row>
    <row r="203" spans="2:88">
      <c r="B203" s="3">
        <v>284</v>
      </c>
      <c r="C203" s="3" t="s">
        <v>32</v>
      </c>
      <c r="D203" s="4">
        <v>-3.0466036972647998</v>
      </c>
      <c r="E203" s="4">
        <v>-2.6013930318873899</v>
      </c>
      <c r="F203" s="4">
        <v>28.189223658282401</v>
      </c>
      <c r="G203" s="4">
        <v>3.8176756885937801</v>
      </c>
      <c r="H203" s="4">
        <v>-3.6250619825062</v>
      </c>
      <c r="I203" s="4" t="s">
        <v>22</v>
      </c>
      <c r="J203" s="4">
        <v>-2.57670660856125</v>
      </c>
      <c r="K203" s="4">
        <v>-2.1681266751628598</v>
      </c>
      <c r="L203" s="4">
        <v>24.266600182777999</v>
      </c>
      <c r="M203" s="4">
        <v>3.17722115801114</v>
      </c>
      <c r="N203" s="4">
        <v>-3.05833234179206</v>
      </c>
      <c r="O203" s="4">
        <v>1.2</v>
      </c>
      <c r="P203" s="4">
        <v>1.2</v>
      </c>
      <c r="Q203" s="4">
        <v>0.22</v>
      </c>
      <c r="R203" s="4">
        <v>0.22</v>
      </c>
      <c r="S203" s="4">
        <v>0</v>
      </c>
      <c r="T203" s="4">
        <v>0</v>
      </c>
      <c r="U203" s="4">
        <v>0.3</v>
      </c>
      <c r="V203" s="4">
        <v>0.05</v>
      </c>
      <c r="W203" s="4">
        <v>1</v>
      </c>
      <c r="X203" s="4">
        <v>19.100000000000001</v>
      </c>
      <c r="Y203" s="4">
        <v>0</v>
      </c>
      <c r="Z203" s="4">
        <v>1.5</v>
      </c>
      <c r="AA203" s="4">
        <v>139</v>
      </c>
      <c r="AB203" s="4">
        <v>12.1</v>
      </c>
      <c r="AC203" s="4">
        <v>19.5</v>
      </c>
      <c r="AD203" s="3" t="s">
        <v>42</v>
      </c>
      <c r="AE203" s="3" t="s">
        <v>61</v>
      </c>
      <c r="AF203" s="17">
        <f>HLOOKUP(AD203,Data!$B$4:$M$9,2,0)</f>
        <v>13</v>
      </c>
      <c r="AG203" s="17">
        <f>HLOOKUP(AD203,Data!$B$4:$M$9,3,0)</f>
        <v>1</v>
      </c>
      <c r="AH203" s="17">
        <f>HLOOKUP(AE203,Data!$B$13:$I$18,3,0)</f>
        <v>260</v>
      </c>
      <c r="AI203" s="18">
        <f t="shared" si="192"/>
        <v>1.44</v>
      </c>
      <c r="AJ203" s="17">
        <f t="shared" si="193"/>
        <v>0.28799999999999998</v>
      </c>
      <c r="AK203" s="17">
        <f t="shared" si="194"/>
        <v>0.28799999999999998</v>
      </c>
      <c r="AL203" s="17">
        <f t="shared" si="195"/>
        <v>0.25</v>
      </c>
      <c r="AM203" s="17">
        <f t="shared" si="196"/>
        <v>0.49</v>
      </c>
      <c r="AN203" s="17">
        <f t="shared" si="197"/>
        <v>0.49</v>
      </c>
      <c r="AO203" s="17">
        <f t="shared" si="198"/>
        <v>0.49</v>
      </c>
      <c r="AP203" s="17">
        <f t="shared" si="199"/>
        <v>0.49</v>
      </c>
      <c r="AQ203" s="17">
        <f t="shared" si="200"/>
        <v>1.88</v>
      </c>
      <c r="AR203" s="17">
        <f t="shared" si="201"/>
        <v>0.92159999999999997</v>
      </c>
      <c r="AS203" s="17">
        <f t="shared" si="202"/>
        <v>28.189223658282401</v>
      </c>
      <c r="AT203" s="17">
        <f t="shared" si="203"/>
        <v>4.5980935981600002</v>
      </c>
      <c r="AU203" s="17">
        <f t="shared" si="204"/>
        <v>-4.5390430916856399</v>
      </c>
      <c r="AV203" s="17">
        <f t="shared" si="205"/>
        <v>24.266600182777999</v>
      </c>
      <c r="AW203" s="17">
        <f t="shared" si="206"/>
        <v>3.8276591605600001</v>
      </c>
      <c r="AX203" s="17">
        <f t="shared" si="207"/>
        <v>-3.8313443243604399</v>
      </c>
      <c r="AY203" s="17">
        <f t="shared" si="208"/>
        <v>71.902018824660104</v>
      </c>
      <c r="AZ203" s="17">
        <f t="shared" si="209"/>
        <v>8.4496807007320491</v>
      </c>
      <c r="BA203" s="17">
        <f t="shared" si="210"/>
        <v>40.175849762696103</v>
      </c>
      <c r="BB203" s="17">
        <f t="shared" si="211"/>
        <v>64.045567782902907</v>
      </c>
      <c r="BC203" s="17">
        <f t="shared" si="212"/>
        <v>10.8580435820666</v>
      </c>
      <c r="BD203" s="17">
        <f t="shared" si="213"/>
        <v>37.451805682484697</v>
      </c>
      <c r="BE203" s="17" t="str">
        <f>IF(AND(BD203&lt;=AA203,BB203&lt;=AA203*MongDon!$J$44,BC203&gt;0),"Ok","FAIL")</f>
        <v>Ok</v>
      </c>
      <c r="BF203" s="17">
        <f t="shared" si="214"/>
        <v>66.264900548806807</v>
      </c>
      <c r="BG203" s="17">
        <f t="shared" si="215"/>
        <v>352.5</v>
      </c>
      <c r="BH203" s="17" t="str">
        <f t="shared" si="216"/>
        <v>Ok</v>
      </c>
      <c r="BI203" s="17">
        <f t="shared" si="217"/>
        <v>6.97255113349647</v>
      </c>
      <c r="BJ203" s="17">
        <f t="shared" si="218"/>
        <v>7.0316016399708303</v>
      </c>
      <c r="BK203" s="17">
        <f t="shared" si="219"/>
        <v>16.168738329816499</v>
      </c>
      <c r="BL203" s="17">
        <f t="shared" si="220"/>
        <v>16.109687823342099</v>
      </c>
      <c r="BM203" s="17">
        <f t="shared" si="221"/>
        <v>88.125</v>
      </c>
      <c r="BN203" s="17">
        <f t="shared" si="222"/>
        <v>88.125</v>
      </c>
      <c r="BO203" s="17">
        <f t="shared" si="223"/>
        <v>88.125</v>
      </c>
      <c r="BP203" s="17">
        <f t="shared" si="224"/>
        <v>88.125</v>
      </c>
      <c r="BQ203" s="17" t="str">
        <f t="shared" si="225"/>
        <v>Ok</v>
      </c>
      <c r="BR203" s="17">
        <f t="shared" si="226"/>
        <v>34.123245916356801</v>
      </c>
      <c r="BS203" s="17">
        <f t="shared" si="227"/>
        <v>11.200421619323899</v>
      </c>
      <c r="BT203" s="16">
        <f>MongDon!$H$80</f>
        <v>1.2</v>
      </c>
      <c r="BU203" s="17" t="str">
        <f t="shared" si="228"/>
        <v>Ok</v>
      </c>
      <c r="BV203" s="17">
        <f t="shared" si="229"/>
        <v>7.2673453642486399</v>
      </c>
      <c r="BW203" s="16">
        <f>MongDon!$F$86</f>
        <v>1.5</v>
      </c>
      <c r="BX203" s="17" t="str">
        <f t="shared" si="230"/>
        <v>Ok</v>
      </c>
      <c r="BY203" s="17">
        <f t="shared" si="231"/>
        <v>39.9708132818824</v>
      </c>
      <c r="BZ203" s="17">
        <f t="shared" si="232"/>
        <v>8.4496807007320491</v>
      </c>
      <c r="CA203" s="17">
        <f t="shared" si="233"/>
        <v>40.380886243509799</v>
      </c>
      <c r="CB203" s="17">
        <f t="shared" si="234"/>
        <v>71.902018824660104</v>
      </c>
      <c r="CC203" s="17">
        <f t="shared" si="235"/>
        <v>40.213439784178597</v>
      </c>
      <c r="CD203" s="17">
        <f t="shared" si="236"/>
        <v>45.9923140907228</v>
      </c>
      <c r="CE203" s="17">
        <f t="shared" si="237"/>
        <v>40.138259741213602</v>
      </c>
      <c r="CF203" s="17">
        <f t="shared" si="238"/>
        <v>45.9923140907228</v>
      </c>
      <c r="CG203" s="17">
        <f t="shared" si="239"/>
        <v>7.5950173421307197</v>
      </c>
      <c r="CH203" s="17">
        <f t="shared" si="240"/>
        <v>7.5950173421307197</v>
      </c>
      <c r="CI203" s="17">
        <f t="shared" si="241"/>
        <v>250</v>
      </c>
      <c r="CJ203" s="17">
        <f t="shared" si="242"/>
        <v>250</v>
      </c>
    </row>
    <row r="204" spans="2:88">
      <c r="B204" s="3">
        <v>285</v>
      </c>
      <c r="C204" s="3" t="s">
        <v>23</v>
      </c>
      <c r="D204" s="4">
        <v>-1.5583963799602401</v>
      </c>
      <c r="E204" s="4">
        <v>0.194643093293172</v>
      </c>
      <c r="F204" s="4">
        <v>11.849682778618</v>
      </c>
      <c r="G204" s="4">
        <v>-0.43927754265341301</v>
      </c>
      <c r="H204" s="4">
        <v>-1.47720829452059</v>
      </c>
      <c r="I204" s="4" t="s">
        <v>13</v>
      </c>
      <c r="J204" s="4">
        <v>-1.33507109353987</v>
      </c>
      <c r="K204" s="4">
        <v>0.16580237195504499</v>
      </c>
      <c r="L204" s="4">
        <v>10.38559082936</v>
      </c>
      <c r="M204" s="4">
        <v>-0.37417409476575397</v>
      </c>
      <c r="N204" s="4">
        <v>-1.2670241749629101</v>
      </c>
      <c r="O204" s="4">
        <v>1.4</v>
      </c>
      <c r="P204" s="4">
        <v>1.4</v>
      </c>
      <c r="Q204" s="4">
        <v>0.22</v>
      </c>
      <c r="R204" s="4">
        <v>0.22</v>
      </c>
      <c r="S204" s="4">
        <v>0</v>
      </c>
      <c r="T204" s="4">
        <v>0</v>
      </c>
      <c r="U204" s="4">
        <v>0.3</v>
      </c>
      <c r="V204" s="4">
        <v>0.05</v>
      </c>
      <c r="W204" s="4">
        <v>1</v>
      </c>
      <c r="X204" s="4">
        <v>19.100000000000001</v>
      </c>
      <c r="Y204" s="4">
        <v>0</v>
      </c>
      <c r="Z204" s="4">
        <v>1.5</v>
      </c>
      <c r="AA204" s="4">
        <v>139</v>
      </c>
      <c r="AB204" s="4">
        <v>12.1</v>
      </c>
      <c r="AC204" s="4">
        <v>19.5</v>
      </c>
      <c r="AD204" s="3" t="s">
        <v>42</v>
      </c>
      <c r="AE204" s="3" t="s">
        <v>61</v>
      </c>
      <c r="AF204" s="17">
        <f>HLOOKUP(AD204,Data!$B$4:$M$9,2,0)</f>
        <v>13</v>
      </c>
      <c r="AG204" s="17">
        <f>HLOOKUP(AD204,Data!$B$4:$M$9,3,0)</f>
        <v>1</v>
      </c>
      <c r="AH204" s="17">
        <f>HLOOKUP(AE204,Data!$B$13:$I$18,3,0)</f>
        <v>260</v>
      </c>
      <c r="AI204" s="18">
        <f t="shared" si="192"/>
        <v>1.96</v>
      </c>
      <c r="AJ204" s="17">
        <f t="shared" si="193"/>
        <v>0.45733333333333298</v>
      </c>
      <c r="AK204" s="17">
        <f t="shared" si="194"/>
        <v>0.45733333333333298</v>
      </c>
      <c r="AL204" s="17">
        <f t="shared" si="195"/>
        <v>0.25</v>
      </c>
      <c r="AM204" s="17">
        <f t="shared" si="196"/>
        <v>0.59</v>
      </c>
      <c r="AN204" s="17">
        <f t="shared" si="197"/>
        <v>0.59</v>
      </c>
      <c r="AO204" s="17">
        <f t="shared" si="198"/>
        <v>0.59</v>
      </c>
      <c r="AP204" s="17">
        <f t="shared" si="199"/>
        <v>0.59</v>
      </c>
      <c r="AQ204" s="17">
        <f t="shared" si="200"/>
        <v>1.88</v>
      </c>
      <c r="AR204" s="17">
        <f t="shared" si="201"/>
        <v>1.4416</v>
      </c>
      <c r="AS204" s="17">
        <f t="shared" si="202"/>
        <v>11.849682778618</v>
      </c>
      <c r="AT204" s="17">
        <f t="shared" si="203"/>
        <v>-0.49767047064136499</v>
      </c>
      <c r="AU204" s="17">
        <f t="shared" si="204"/>
        <v>-1.94472720850866</v>
      </c>
      <c r="AV204" s="17">
        <f t="shared" si="205"/>
        <v>10.38559082936</v>
      </c>
      <c r="AW204" s="17">
        <f t="shared" si="206"/>
        <v>-0.42391480635226803</v>
      </c>
      <c r="AX204" s="17">
        <f t="shared" si="207"/>
        <v>-1.66754550302487</v>
      </c>
      <c r="AY204" s="17">
        <f t="shared" si="208"/>
        <v>31.986276226299299</v>
      </c>
      <c r="AZ204" s="17">
        <f t="shared" si="209"/>
        <v>21.305236813106799</v>
      </c>
      <c r="BA204" s="17">
        <f t="shared" si="210"/>
        <v>26.645756519703099</v>
      </c>
      <c r="BB204" s="17">
        <f t="shared" si="211"/>
        <v>30.471934773092901</v>
      </c>
      <c r="BC204" s="17">
        <f t="shared" si="212"/>
        <v>21.325606889519399</v>
      </c>
      <c r="BD204" s="17">
        <f t="shared" si="213"/>
        <v>25.898770831306098</v>
      </c>
      <c r="BE204" s="17" t="str">
        <f>IF(AND(BD204&lt;=AA204,BB204&lt;=AA204*MongDon!$J$44,BC204&gt;0),"Ok","FAIL")</f>
        <v>Ok</v>
      </c>
      <c r="BF204" s="17">
        <f t="shared" si="214"/>
        <v>46.111415807833097</v>
      </c>
      <c r="BG204" s="17">
        <f t="shared" si="215"/>
        <v>352.5</v>
      </c>
      <c r="BH204" s="17" t="str">
        <f t="shared" si="216"/>
        <v>Ok</v>
      </c>
      <c r="BI204" s="17">
        <f t="shared" si="217"/>
        <v>13.201363654454401</v>
      </c>
      <c r="BJ204" s="17">
        <f t="shared" si="218"/>
        <v>10.6592762741145</v>
      </c>
      <c r="BK204" s="17">
        <f t="shared" si="219"/>
        <v>12.165396552302999</v>
      </c>
      <c r="BL204" s="17">
        <f t="shared" si="220"/>
        <v>14.7074839326428</v>
      </c>
      <c r="BM204" s="17">
        <f t="shared" si="221"/>
        <v>88.125</v>
      </c>
      <c r="BN204" s="17">
        <f t="shared" si="222"/>
        <v>88.125</v>
      </c>
      <c r="BO204" s="17">
        <f t="shared" si="223"/>
        <v>88.125</v>
      </c>
      <c r="BP204" s="17">
        <f t="shared" si="224"/>
        <v>88.125</v>
      </c>
      <c r="BQ204" s="17" t="str">
        <f t="shared" si="225"/>
        <v>Ok</v>
      </c>
      <c r="BR204" s="17">
        <f t="shared" si="226"/>
        <v>40.760351870987598</v>
      </c>
      <c r="BS204" s="17">
        <f t="shared" si="227"/>
        <v>26.155317347456499</v>
      </c>
      <c r="BT204" s="16">
        <f>MongDon!$H$80</f>
        <v>1.2</v>
      </c>
      <c r="BU204" s="17" t="str">
        <f t="shared" si="228"/>
        <v>Ok</v>
      </c>
      <c r="BV204" s="17">
        <f t="shared" si="229"/>
        <v>17.740265983880299</v>
      </c>
      <c r="BW204" s="16">
        <f>MongDon!$F$86</f>
        <v>1.5</v>
      </c>
      <c r="BX204" s="17" t="str">
        <f t="shared" si="230"/>
        <v>Ok</v>
      </c>
      <c r="BY204" s="17">
        <f t="shared" si="231"/>
        <v>31.986276226299299</v>
      </c>
      <c r="BZ204" s="17">
        <f t="shared" si="232"/>
        <v>23.4816382882148</v>
      </c>
      <c r="CA204" s="17">
        <f t="shared" si="233"/>
        <v>21.305236813106799</v>
      </c>
      <c r="CB204" s="17">
        <f t="shared" si="234"/>
        <v>29.809874751191298</v>
      </c>
      <c r="CC204" s="17">
        <f t="shared" si="235"/>
        <v>26.1485379404692</v>
      </c>
      <c r="CD204" s="17">
        <f t="shared" si="236"/>
        <v>27.4849810450253</v>
      </c>
      <c r="CE204" s="17">
        <f t="shared" si="237"/>
        <v>27.4849810450253</v>
      </c>
      <c r="CF204" s="17">
        <f t="shared" si="238"/>
        <v>27.142975098936901</v>
      </c>
      <c r="CG204" s="17">
        <f t="shared" si="239"/>
        <v>5.3060612350871503</v>
      </c>
      <c r="CH204" s="17">
        <f t="shared" si="240"/>
        <v>5.3060612350871503</v>
      </c>
      <c r="CI204" s="17">
        <f t="shared" si="241"/>
        <v>250</v>
      </c>
      <c r="CJ204" s="17">
        <f t="shared" si="242"/>
        <v>250</v>
      </c>
    </row>
    <row r="205" spans="2:88">
      <c r="B205" s="3">
        <v>285</v>
      </c>
      <c r="C205" s="3" t="s">
        <v>24</v>
      </c>
      <c r="D205" s="4">
        <v>-1.73803273409301</v>
      </c>
      <c r="E205" s="4">
        <v>0.219164061578416</v>
      </c>
      <c r="F205" s="4">
        <v>12.700748511262001</v>
      </c>
      <c r="G205" s="4">
        <v>-0.49464961947558</v>
      </c>
      <c r="H205" s="4">
        <v>-1.6441716986433601</v>
      </c>
      <c r="I205" s="4" t="s">
        <v>14</v>
      </c>
      <c r="J205" s="4">
        <v>-1.48476805531718</v>
      </c>
      <c r="K205" s="4">
        <v>0.186236512192749</v>
      </c>
      <c r="L205" s="4">
        <v>11.09481227323</v>
      </c>
      <c r="M205" s="4">
        <v>-0.42031749211755998</v>
      </c>
      <c r="N205" s="4">
        <v>-1.40616034506522</v>
      </c>
      <c r="O205" s="4">
        <v>1.4</v>
      </c>
      <c r="P205" s="4">
        <v>1.4</v>
      </c>
      <c r="Q205" s="4">
        <v>0.22</v>
      </c>
      <c r="R205" s="4">
        <v>0.22</v>
      </c>
      <c r="S205" s="4">
        <v>0</v>
      </c>
      <c r="T205" s="4">
        <v>0</v>
      </c>
      <c r="U205" s="4">
        <v>0.3</v>
      </c>
      <c r="V205" s="4">
        <v>0.05</v>
      </c>
      <c r="W205" s="4">
        <v>1</v>
      </c>
      <c r="X205" s="4">
        <v>19.100000000000001</v>
      </c>
      <c r="Y205" s="4">
        <v>0</v>
      </c>
      <c r="Z205" s="4">
        <v>1.5</v>
      </c>
      <c r="AA205" s="4">
        <v>139</v>
      </c>
      <c r="AB205" s="4">
        <v>12.1</v>
      </c>
      <c r="AC205" s="4">
        <v>19.5</v>
      </c>
      <c r="AD205" s="3" t="s">
        <v>42</v>
      </c>
      <c r="AE205" s="3" t="s">
        <v>61</v>
      </c>
      <c r="AF205" s="17">
        <f>HLOOKUP(AD205,Data!$B$4:$M$9,2,0)</f>
        <v>13</v>
      </c>
      <c r="AG205" s="17">
        <f>HLOOKUP(AD205,Data!$B$4:$M$9,3,0)</f>
        <v>1</v>
      </c>
      <c r="AH205" s="17">
        <f>HLOOKUP(AE205,Data!$B$13:$I$18,3,0)</f>
        <v>260</v>
      </c>
      <c r="AI205" s="18">
        <f t="shared" si="192"/>
        <v>1.96</v>
      </c>
      <c r="AJ205" s="17">
        <f t="shared" si="193"/>
        <v>0.45733333333333298</v>
      </c>
      <c r="AK205" s="17">
        <f t="shared" si="194"/>
        <v>0.45733333333333298</v>
      </c>
      <c r="AL205" s="17">
        <f t="shared" si="195"/>
        <v>0.25</v>
      </c>
      <c r="AM205" s="17">
        <f t="shared" si="196"/>
        <v>0.59</v>
      </c>
      <c r="AN205" s="17">
        <f t="shared" si="197"/>
        <v>0.59</v>
      </c>
      <c r="AO205" s="17">
        <f t="shared" si="198"/>
        <v>0.59</v>
      </c>
      <c r="AP205" s="17">
        <f t="shared" si="199"/>
        <v>0.59</v>
      </c>
      <c r="AQ205" s="17">
        <f t="shared" si="200"/>
        <v>1.88</v>
      </c>
      <c r="AR205" s="17">
        <f t="shared" si="201"/>
        <v>1.4416</v>
      </c>
      <c r="AS205" s="17">
        <f t="shared" si="202"/>
        <v>12.700748511262001</v>
      </c>
      <c r="AT205" s="17">
        <f t="shared" si="203"/>
        <v>-0.56039883794910506</v>
      </c>
      <c r="AU205" s="17">
        <f t="shared" si="204"/>
        <v>-2.1655815188712602</v>
      </c>
      <c r="AV205" s="17">
        <f t="shared" si="205"/>
        <v>11.09481227323</v>
      </c>
      <c r="AW205" s="17">
        <f t="shared" si="206"/>
        <v>-0.47618844577538499</v>
      </c>
      <c r="AX205" s="17">
        <f t="shared" si="207"/>
        <v>-1.85159076166037</v>
      </c>
      <c r="AY205" s="17">
        <f t="shared" si="208"/>
        <v>33.040572178093697</v>
      </c>
      <c r="AZ205" s="17">
        <f t="shared" si="209"/>
        <v>21.119375282377799</v>
      </c>
      <c r="BA205" s="17">
        <f t="shared" si="210"/>
        <v>27.0799737302357</v>
      </c>
      <c r="BB205" s="17">
        <f t="shared" si="211"/>
        <v>31.3505147329215</v>
      </c>
      <c r="BC205" s="17">
        <f t="shared" si="212"/>
        <v>21.170722280578499</v>
      </c>
      <c r="BD205" s="17">
        <f t="shared" si="213"/>
        <v>26.260618506749999</v>
      </c>
      <c r="BE205" s="17" t="str">
        <f>IF(AND(BD205&lt;=AA205,BB205&lt;=AA205*MongDon!$J$44,BC205&gt;0),"Ok","FAIL")</f>
        <v>Ok</v>
      </c>
      <c r="BF205" s="17">
        <f t="shared" si="214"/>
        <v>47.6312888519398</v>
      </c>
      <c r="BG205" s="17">
        <f t="shared" si="215"/>
        <v>352.5</v>
      </c>
      <c r="BH205" s="17" t="str">
        <f t="shared" si="216"/>
        <v>Ok</v>
      </c>
      <c r="BI205" s="17">
        <f t="shared" si="217"/>
        <v>13.473339755498399</v>
      </c>
      <c r="BJ205" s="17">
        <f t="shared" si="218"/>
        <v>10.636094894317999</v>
      </c>
      <c r="BK205" s="17">
        <f t="shared" si="219"/>
        <v>12.306795235686</v>
      </c>
      <c r="BL205" s="17">
        <f t="shared" si="220"/>
        <v>15.1440400968664</v>
      </c>
      <c r="BM205" s="17">
        <f t="shared" si="221"/>
        <v>88.125</v>
      </c>
      <c r="BN205" s="17">
        <f t="shared" si="222"/>
        <v>88.125</v>
      </c>
      <c r="BO205" s="17">
        <f t="shared" si="223"/>
        <v>88.125</v>
      </c>
      <c r="BP205" s="17">
        <f t="shared" si="224"/>
        <v>88.125</v>
      </c>
      <c r="BQ205" s="17" t="str">
        <f t="shared" si="225"/>
        <v>Ok</v>
      </c>
      <c r="BR205" s="17">
        <f t="shared" si="226"/>
        <v>40.942804554882002</v>
      </c>
      <c r="BS205" s="17">
        <f t="shared" si="227"/>
        <v>23.556981264940301</v>
      </c>
      <c r="BT205" s="16">
        <f>MongDon!$H$80</f>
        <v>1.2</v>
      </c>
      <c r="BU205" s="17" t="str">
        <f t="shared" si="228"/>
        <v>Ok</v>
      </c>
      <c r="BV205" s="17">
        <f t="shared" si="229"/>
        <v>16.206143085380599</v>
      </c>
      <c r="BW205" s="16">
        <f>MongDon!$F$86</f>
        <v>1.5</v>
      </c>
      <c r="BX205" s="17" t="str">
        <f t="shared" si="230"/>
        <v>Ok</v>
      </c>
      <c r="BY205" s="17">
        <f t="shared" si="231"/>
        <v>33.040572178093697</v>
      </c>
      <c r="BZ205" s="17">
        <f t="shared" si="232"/>
        <v>23.570099063496301</v>
      </c>
      <c r="CA205" s="17">
        <f t="shared" si="233"/>
        <v>21.119375282377799</v>
      </c>
      <c r="CB205" s="17">
        <f t="shared" si="234"/>
        <v>30.5898483969751</v>
      </c>
      <c r="CC205" s="17">
        <f t="shared" si="235"/>
        <v>26.528421996891002</v>
      </c>
      <c r="CD205" s="17">
        <f t="shared" si="236"/>
        <v>28.016639200613401</v>
      </c>
      <c r="CE205" s="17">
        <f t="shared" si="237"/>
        <v>28.016639200613401</v>
      </c>
      <c r="CF205" s="17">
        <f t="shared" si="238"/>
        <v>27.631525463580498</v>
      </c>
      <c r="CG205" s="17">
        <f t="shared" si="239"/>
        <v>5.4592397426870596</v>
      </c>
      <c r="CH205" s="17">
        <f t="shared" si="240"/>
        <v>5.4592397426870596</v>
      </c>
      <c r="CI205" s="17">
        <f t="shared" si="241"/>
        <v>250</v>
      </c>
      <c r="CJ205" s="17">
        <f t="shared" si="242"/>
        <v>250</v>
      </c>
    </row>
    <row r="206" spans="2:88">
      <c r="B206" s="3">
        <v>285</v>
      </c>
      <c r="C206" s="3" t="s">
        <v>25</v>
      </c>
      <c r="D206" s="4">
        <v>-4.6592472236331899</v>
      </c>
      <c r="E206" s="4">
        <v>1.51744353795409</v>
      </c>
      <c r="F206" s="4">
        <v>12.2943792528441</v>
      </c>
      <c r="G206" s="4">
        <v>-2.6560907096806701</v>
      </c>
      <c r="H206" s="4">
        <v>-6.8876006731641501</v>
      </c>
      <c r="I206" s="4" t="s">
        <v>15</v>
      </c>
      <c r="J206" s="4">
        <v>-3.9191134632673301</v>
      </c>
      <c r="K206" s="4">
        <v>1.26813607583915</v>
      </c>
      <c r="L206" s="4">
        <v>10.7561712245484</v>
      </c>
      <c r="M206" s="4">
        <v>-2.2215184006218101</v>
      </c>
      <c r="N206" s="4">
        <v>-5.7756844904992102</v>
      </c>
      <c r="O206" s="4">
        <v>1.4</v>
      </c>
      <c r="P206" s="4">
        <v>1.4</v>
      </c>
      <c r="Q206" s="4">
        <v>0.22</v>
      </c>
      <c r="R206" s="4">
        <v>0.22</v>
      </c>
      <c r="S206" s="4">
        <v>0</v>
      </c>
      <c r="T206" s="4">
        <v>0</v>
      </c>
      <c r="U206" s="4">
        <v>0.3</v>
      </c>
      <c r="V206" s="4">
        <v>0.05</v>
      </c>
      <c r="W206" s="4">
        <v>1</v>
      </c>
      <c r="X206" s="4">
        <v>19.100000000000001</v>
      </c>
      <c r="Y206" s="4">
        <v>0</v>
      </c>
      <c r="Z206" s="4">
        <v>1.5</v>
      </c>
      <c r="AA206" s="4">
        <v>139</v>
      </c>
      <c r="AB206" s="4">
        <v>12.1</v>
      </c>
      <c r="AC206" s="4">
        <v>19.5</v>
      </c>
      <c r="AD206" s="3" t="s">
        <v>42</v>
      </c>
      <c r="AE206" s="3" t="s">
        <v>61</v>
      </c>
      <c r="AF206" s="17">
        <f>HLOOKUP(AD206,Data!$B$4:$M$9,2,0)</f>
        <v>13</v>
      </c>
      <c r="AG206" s="17">
        <f>HLOOKUP(AD206,Data!$B$4:$M$9,3,0)</f>
        <v>1</v>
      </c>
      <c r="AH206" s="17">
        <f>HLOOKUP(AE206,Data!$B$13:$I$18,3,0)</f>
        <v>260</v>
      </c>
      <c r="AI206" s="18">
        <f t="shared" si="192"/>
        <v>1.96</v>
      </c>
      <c r="AJ206" s="17">
        <f t="shared" si="193"/>
        <v>0.45733333333333298</v>
      </c>
      <c r="AK206" s="17">
        <f t="shared" si="194"/>
        <v>0.45733333333333298</v>
      </c>
      <c r="AL206" s="17">
        <f t="shared" si="195"/>
        <v>0.25</v>
      </c>
      <c r="AM206" s="17">
        <f t="shared" si="196"/>
        <v>0.59</v>
      </c>
      <c r="AN206" s="17">
        <f t="shared" si="197"/>
        <v>0.59</v>
      </c>
      <c r="AO206" s="17">
        <f t="shared" si="198"/>
        <v>0.59</v>
      </c>
      <c r="AP206" s="17">
        <f t="shared" si="199"/>
        <v>0.59</v>
      </c>
      <c r="AQ206" s="17">
        <f t="shared" si="200"/>
        <v>1.88</v>
      </c>
      <c r="AR206" s="17">
        <f t="shared" si="201"/>
        <v>1.4416</v>
      </c>
      <c r="AS206" s="17">
        <f t="shared" si="202"/>
        <v>12.2943792528441</v>
      </c>
      <c r="AT206" s="17">
        <f t="shared" si="203"/>
        <v>-3.1113237710669002</v>
      </c>
      <c r="AU206" s="17">
        <f t="shared" si="204"/>
        <v>-8.2853748402541108</v>
      </c>
      <c r="AV206" s="17">
        <f t="shared" si="205"/>
        <v>10.7561712245484</v>
      </c>
      <c r="AW206" s="17">
        <f t="shared" si="206"/>
        <v>-2.6019592233735498</v>
      </c>
      <c r="AX206" s="17">
        <f t="shared" si="207"/>
        <v>-6.95141852947941</v>
      </c>
      <c r="AY206" s="17">
        <f t="shared" si="208"/>
        <v>51.792537398654403</v>
      </c>
      <c r="AZ206" s="17">
        <f t="shared" si="209"/>
        <v>1.95274755322729</v>
      </c>
      <c r="BA206" s="17">
        <f t="shared" si="210"/>
        <v>26.8726424759409</v>
      </c>
      <c r="BB206" s="17">
        <f t="shared" si="211"/>
        <v>46.977152416722099</v>
      </c>
      <c r="BC206" s="17">
        <f t="shared" si="212"/>
        <v>5.1985325062864396</v>
      </c>
      <c r="BD206" s="17">
        <f t="shared" si="213"/>
        <v>26.087842461504302</v>
      </c>
      <c r="BE206" s="17" t="str">
        <f>IF(AND(BD206&lt;=AA206,BB206&lt;=AA206*MongDon!$J$44,BC206&gt;0),"Ok","FAIL")</f>
        <v>Ok</v>
      </c>
      <c r="BF206" s="17">
        <f t="shared" si="214"/>
        <v>74.664121913900303</v>
      </c>
      <c r="BG206" s="17">
        <f t="shared" si="215"/>
        <v>352.5</v>
      </c>
      <c r="BH206" s="17" t="str">
        <f t="shared" si="216"/>
        <v>Ok</v>
      </c>
      <c r="BI206" s="17">
        <f t="shared" si="217"/>
        <v>16.029694396597101</v>
      </c>
      <c r="BJ206" s="17">
        <f t="shared" si="218"/>
        <v>4.1678244133854196</v>
      </c>
      <c r="BK206" s="17">
        <f t="shared" si="219"/>
        <v>9.5530612404986304</v>
      </c>
      <c r="BL206" s="17">
        <f t="shared" si="220"/>
        <v>21.414931223710301</v>
      </c>
      <c r="BM206" s="17">
        <f t="shared" si="221"/>
        <v>88.125</v>
      </c>
      <c r="BN206" s="17">
        <f t="shared" si="222"/>
        <v>88.125</v>
      </c>
      <c r="BO206" s="17">
        <f t="shared" si="223"/>
        <v>88.125</v>
      </c>
      <c r="BP206" s="17">
        <f t="shared" si="224"/>
        <v>88.125</v>
      </c>
      <c r="BQ206" s="17" t="str">
        <f t="shared" si="225"/>
        <v>Ok</v>
      </c>
      <c r="BR206" s="17">
        <f t="shared" si="226"/>
        <v>40.855686534491099</v>
      </c>
      <c r="BS206" s="17">
        <f t="shared" si="227"/>
        <v>8.7687312077491697</v>
      </c>
      <c r="BT206" s="16">
        <f>MongDon!$H$80</f>
        <v>1.2</v>
      </c>
      <c r="BU206" s="17" t="str">
        <f t="shared" si="228"/>
        <v>Ok</v>
      </c>
      <c r="BV206" s="17">
        <f t="shared" si="229"/>
        <v>4.2015317530188199</v>
      </c>
      <c r="BW206" s="16">
        <f>MongDon!$F$86</f>
        <v>1.5</v>
      </c>
      <c r="BX206" s="17" t="str">
        <f t="shared" si="230"/>
        <v>Ok</v>
      </c>
      <c r="BY206" s="17">
        <f t="shared" si="231"/>
        <v>51.792537398654403</v>
      </c>
      <c r="BZ206" s="17">
        <f t="shared" si="232"/>
        <v>15.559119729904699</v>
      </c>
      <c r="CA206" s="17">
        <f t="shared" si="233"/>
        <v>1.95274755322729</v>
      </c>
      <c r="CB206" s="17">
        <f t="shared" si="234"/>
        <v>38.186165221976999</v>
      </c>
      <c r="CC206" s="17">
        <f t="shared" si="235"/>
        <v>25.094803187278</v>
      </c>
      <c r="CD206" s="17">
        <f t="shared" si="236"/>
        <v>30.788625963795901</v>
      </c>
      <c r="CE206" s="17">
        <f t="shared" si="237"/>
        <v>30.788625963795901</v>
      </c>
      <c r="CF206" s="17">
        <f t="shared" si="238"/>
        <v>28.6504817646037</v>
      </c>
      <c r="CG206" s="17">
        <f t="shared" si="239"/>
        <v>7.7959142058234301</v>
      </c>
      <c r="CH206" s="17">
        <f t="shared" si="240"/>
        <v>7.7959142058234301</v>
      </c>
      <c r="CI206" s="17">
        <f t="shared" si="241"/>
        <v>250</v>
      </c>
      <c r="CJ206" s="17">
        <f t="shared" si="242"/>
        <v>250</v>
      </c>
    </row>
    <row r="207" spans="2:88">
      <c r="B207" s="3">
        <v>285</v>
      </c>
      <c r="C207" s="3" t="s">
        <v>26</v>
      </c>
      <c r="D207" s="4">
        <v>1.2191090262737301</v>
      </c>
      <c r="E207" s="4">
        <v>-1.0840196084543099</v>
      </c>
      <c r="F207" s="4">
        <v>12.936904623151101</v>
      </c>
      <c r="G207" s="4">
        <v>1.6778658860939499</v>
      </c>
      <c r="H207" s="4">
        <v>3.6326499567019899</v>
      </c>
      <c r="I207" s="4" t="s">
        <v>16</v>
      </c>
      <c r="J207" s="4">
        <v>0.979516744988435</v>
      </c>
      <c r="K207" s="4">
        <v>-0.89974987950119001</v>
      </c>
      <c r="L207" s="4">
        <v>11.2916090331376</v>
      </c>
      <c r="M207" s="4">
        <v>1.3901120958570501</v>
      </c>
      <c r="N207" s="4">
        <v>2.9911910343892401</v>
      </c>
      <c r="O207" s="4">
        <v>1.4</v>
      </c>
      <c r="P207" s="4">
        <v>1.4</v>
      </c>
      <c r="Q207" s="4">
        <v>0.22</v>
      </c>
      <c r="R207" s="4">
        <v>0.22</v>
      </c>
      <c r="S207" s="4">
        <v>0</v>
      </c>
      <c r="T207" s="4">
        <v>0</v>
      </c>
      <c r="U207" s="4">
        <v>0.3</v>
      </c>
      <c r="V207" s="4">
        <v>0.05</v>
      </c>
      <c r="W207" s="4">
        <v>1</v>
      </c>
      <c r="X207" s="4">
        <v>19.100000000000001</v>
      </c>
      <c r="Y207" s="4">
        <v>0</v>
      </c>
      <c r="Z207" s="4">
        <v>1.5</v>
      </c>
      <c r="AA207" s="4">
        <v>139</v>
      </c>
      <c r="AB207" s="4">
        <v>12.1</v>
      </c>
      <c r="AC207" s="4">
        <v>19.5</v>
      </c>
      <c r="AD207" s="3" t="s">
        <v>42</v>
      </c>
      <c r="AE207" s="3" t="s">
        <v>61</v>
      </c>
      <c r="AF207" s="17">
        <f>HLOOKUP(AD207,Data!$B$4:$M$9,2,0)</f>
        <v>13</v>
      </c>
      <c r="AG207" s="17">
        <f>HLOOKUP(AD207,Data!$B$4:$M$9,3,0)</f>
        <v>1</v>
      </c>
      <c r="AH207" s="17">
        <f>HLOOKUP(AE207,Data!$B$13:$I$18,3,0)</f>
        <v>260</v>
      </c>
      <c r="AI207" s="18">
        <f t="shared" si="192"/>
        <v>1.96</v>
      </c>
      <c r="AJ207" s="17">
        <f t="shared" si="193"/>
        <v>0.45733333333333298</v>
      </c>
      <c r="AK207" s="17">
        <f t="shared" si="194"/>
        <v>0.45733333333333298</v>
      </c>
      <c r="AL207" s="17">
        <f t="shared" si="195"/>
        <v>0.25</v>
      </c>
      <c r="AM207" s="17">
        <f t="shared" si="196"/>
        <v>0.59</v>
      </c>
      <c r="AN207" s="17">
        <f t="shared" si="197"/>
        <v>0.59</v>
      </c>
      <c r="AO207" s="17">
        <f t="shared" si="198"/>
        <v>0.59</v>
      </c>
      <c r="AP207" s="17">
        <f t="shared" si="199"/>
        <v>0.59</v>
      </c>
      <c r="AQ207" s="17">
        <f t="shared" si="200"/>
        <v>1.88</v>
      </c>
      <c r="AR207" s="17">
        <f t="shared" si="201"/>
        <v>1.4416</v>
      </c>
      <c r="AS207" s="17">
        <f t="shared" si="202"/>
        <v>12.936904623151101</v>
      </c>
      <c r="AT207" s="17">
        <f t="shared" si="203"/>
        <v>2.0030717686302402</v>
      </c>
      <c r="AU207" s="17">
        <f t="shared" si="204"/>
        <v>3.9983826645841098</v>
      </c>
      <c r="AV207" s="17">
        <f t="shared" si="205"/>
        <v>11.2916090331376</v>
      </c>
      <c r="AW207" s="17">
        <f t="shared" si="206"/>
        <v>1.6600370597073999</v>
      </c>
      <c r="AX207" s="17">
        <f t="shared" si="207"/>
        <v>3.2850460578857699</v>
      </c>
      <c r="AY207" s="17">
        <f t="shared" si="208"/>
        <v>40.323175317674099</v>
      </c>
      <c r="AZ207" s="17">
        <f t="shared" si="209"/>
        <v>14.077747767173999</v>
      </c>
      <c r="BA207" s="17">
        <f t="shared" si="210"/>
        <v>27.200461542424001</v>
      </c>
      <c r="BB207" s="17">
        <f t="shared" si="211"/>
        <v>37.173888976658802</v>
      </c>
      <c r="BC207" s="17">
        <f t="shared" si="212"/>
        <v>15.548161057155101</v>
      </c>
      <c r="BD207" s="17">
        <f t="shared" si="213"/>
        <v>26.3610250169069</v>
      </c>
      <c r="BE207" s="17" t="str">
        <f>IF(AND(BD207&lt;=AA207,BB207&lt;=AA207*MongDon!$J$44,BC207&gt;0),"Ok","FAIL")</f>
        <v>Ok</v>
      </c>
      <c r="BF207" s="17">
        <f t="shared" si="214"/>
        <v>58.129889537959002</v>
      </c>
      <c r="BG207" s="17">
        <f t="shared" si="215"/>
        <v>352.5</v>
      </c>
      <c r="BH207" s="17" t="str">
        <f t="shared" si="216"/>
        <v>Ok</v>
      </c>
      <c r="BI207" s="17">
        <f t="shared" si="217"/>
        <v>10.862589894190901</v>
      </c>
      <c r="BJ207" s="17">
        <f t="shared" si="218"/>
        <v>17.109001651210001</v>
      </c>
      <c r="BK207" s="17">
        <f t="shared" si="219"/>
        <v>15.032249494196799</v>
      </c>
      <c r="BL207" s="17">
        <f t="shared" si="220"/>
        <v>8.7858377371777294</v>
      </c>
      <c r="BM207" s="17">
        <f t="shared" si="221"/>
        <v>88.125</v>
      </c>
      <c r="BN207" s="17">
        <f t="shared" si="222"/>
        <v>88.125</v>
      </c>
      <c r="BO207" s="17">
        <f t="shared" si="223"/>
        <v>88.125</v>
      </c>
      <c r="BP207" s="17">
        <f t="shared" si="224"/>
        <v>88.125</v>
      </c>
      <c r="BQ207" s="17" t="str">
        <f t="shared" si="225"/>
        <v>Ok</v>
      </c>
      <c r="BR207" s="17">
        <f t="shared" si="226"/>
        <v>40.993432038494099</v>
      </c>
      <c r="BS207" s="17">
        <f t="shared" si="227"/>
        <v>33.625730886262701</v>
      </c>
      <c r="BT207" s="16">
        <f>MongDon!$H$80</f>
        <v>1.2</v>
      </c>
      <c r="BU207" s="17" t="str">
        <f t="shared" si="228"/>
        <v>Ok</v>
      </c>
      <c r="BV207" s="17">
        <f t="shared" si="229"/>
        <v>8.8188240581703905</v>
      </c>
      <c r="BW207" s="16">
        <f>MongDon!$F$86</f>
        <v>1.5</v>
      </c>
      <c r="BX207" s="17" t="str">
        <f t="shared" si="230"/>
        <v>Ok</v>
      </c>
      <c r="BY207" s="17">
        <f t="shared" si="231"/>
        <v>14.077747767173999</v>
      </c>
      <c r="BZ207" s="17">
        <f t="shared" si="232"/>
        <v>31.563386242031601</v>
      </c>
      <c r="CA207" s="17">
        <f t="shared" si="233"/>
        <v>40.323175317674099</v>
      </c>
      <c r="CB207" s="17">
        <f t="shared" si="234"/>
        <v>22.837536842816501</v>
      </c>
      <c r="CC207" s="17">
        <f t="shared" si="235"/>
        <v>29.2626022785348</v>
      </c>
      <c r="CD207" s="17">
        <f t="shared" si="236"/>
        <v>26.514859089628601</v>
      </c>
      <c r="CE207" s="17">
        <f t="shared" si="237"/>
        <v>27.886063995219502</v>
      </c>
      <c r="CF207" s="17">
        <f t="shared" si="238"/>
        <v>29.2626022785348</v>
      </c>
      <c r="CG207" s="17">
        <f t="shared" si="239"/>
        <v>6.3765510848871099</v>
      </c>
      <c r="CH207" s="17">
        <f t="shared" si="240"/>
        <v>6.3765510848871099</v>
      </c>
      <c r="CI207" s="17">
        <f t="shared" si="241"/>
        <v>250</v>
      </c>
      <c r="CJ207" s="17">
        <f t="shared" si="242"/>
        <v>250</v>
      </c>
    </row>
    <row r="208" spans="2:88">
      <c r="B208" s="3">
        <v>285</v>
      </c>
      <c r="C208" s="3" t="s">
        <v>27</v>
      </c>
      <c r="D208" s="4">
        <v>-1.97398498027117</v>
      </c>
      <c r="E208" s="4">
        <v>2.2406613442508201</v>
      </c>
      <c r="F208" s="4">
        <v>9.3937844897166496</v>
      </c>
      <c r="G208" s="4">
        <v>-3.8234304033058599</v>
      </c>
      <c r="H208" s="4">
        <v>-2.0186674525644199</v>
      </c>
      <c r="I208" s="4" t="s">
        <v>17</v>
      </c>
      <c r="J208" s="4">
        <v>-1.6813949271323101</v>
      </c>
      <c r="K208" s="4">
        <v>1.87081758108642</v>
      </c>
      <c r="L208" s="4">
        <v>8.3390089219421899</v>
      </c>
      <c r="M208" s="4">
        <v>-3.1943014786427901</v>
      </c>
      <c r="N208" s="4">
        <v>-1.71824013999944</v>
      </c>
      <c r="O208" s="4">
        <v>1.4</v>
      </c>
      <c r="P208" s="4">
        <v>1.4</v>
      </c>
      <c r="Q208" s="4">
        <v>0.22</v>
      </c>
      <c r="R208" s="4">
        <v>0.22</v>
      </c>
      <c r="S208" s="4">
        <v>0</v>
      </c>
      <c r="T208" s="4">
        <v>0</v>
      </c>
      <c r="U208" s="4">
        <v>0.3</v>
      </c>
      <c r="V208" s="4">
        <v>0.05</v>
      </c>
      <c r="W208" s="4">
        <v>1</v>
      </c>
      <c r="X208" s="4">
        <v>19.100000000000001</v>
      </c>
      <c r="Y208" s="4">
        <v>0</v>
      </c>
      <c r="Z208" s="4">
        <v>1.5</v>
      </c>
      <c r="AA208" s="4">
        <v>139</v>
      </c>
      <c r="AB208" s="4">
        <v>12.1</v>
      </c>
      <c r="AC208" s="4">
        <v>19.5</v>
      </c>
      <c r="AD208" s="3" t="s">
        <v>42</v>
      </c>
      <c r="AE208" s="3" t="s">
        <v>61</v>
      </c>
      <c r="AF208" s="17">
        <f>HLOOKUP(AD208,Data!$B$4:$M$9,2,0)</f>
        <v>13</v>
      </c>
      <c r="AG208" s="17">
        <f>HLOOKUP(AD208,Data!$B$4:$M$9,3,0)</f>
        <v>1</v>
      </c>
      <c r="AH208" s="17">
        <f>HLOOKUP(AE208,Data!$B$13:$I$18,3,0)</f>
        <v>260</v>
      </c>
      <c r="AI208" s="18">
        <f t="shared" si="192"/>
        <v>1.96</v>
      </c>
      <c r="AJ208" s="17">
        <f t="shared" si="193"/>
        <v>0.45733333333333298</v>
      </c>
      <c r="AK208" s="17">
        <f t="shared" si="194"/>
        <v>0.45733333333333298</v>
      </c>
      <c r="AL208" s="17">
        <f t="shared" si="195"/>
        <v>0.25</v>
      </c>
      <c r="AM208" s="17">
        <f t="shared" si="196"/>
        <v>0.59</v>
      </c>
      <c r="AN208" s="17">
        <f t="shared" si="197"/>
        <v>0.59</v>
      </c>
      <c r="AO208" s="17">
        <f t="shared" si="198"/>
        <v>0.59</v>
      </c>
      <c r="AP208" s="17">
        <f t="shared" si="199"/>
        <v>0.59</v>
      </c>
      <c r="AQ208" s="17">
        <f t="shared" si="200"/>
        <v>1.88</v>
      </c>
      <c r="AR208" s="17">
        <f t="shared" si="201"/>
        <v>1.4416</v>
      </c>
      <c r="AS208" s="17">
        <f t="shared" si="202"/>
        <v>9.3937844897166496</v>
      </c>
      <c r="AT208" s="17">
        <f t="shared" si="203"/>
        <v>-4.4956288065810996</v>
      </c>
      <c r="AU208" s="17">
        <f t="shared" si="204"/>
        <v>-2.6108629466457698</v>
      </c>
      <c r="AV208" s="17">
        <f t="shared" si="205"/>
        <v>8.3390089219421899</v>
      </c>
      <c r="AW208" s="17">
        <f t="shared" si="206"/>
        <v>-3.7555467529687201</v>
      </c>
      <c r="AX208" s="17">
        <f t="shared" si="207"/>
        <v>-2.2226586181391301</v>
      </c>
      <c r="AY208" s="17">
        <f t="shared" si="208"/>
        <v>40.9317233254244</v>
      </c>
      <c r="AZ208" s="17">
        <f t="shared" si="209"/>
        <v>9.8537710518374997</v>
      </c>
      <c r="BA208" s="17">
        <f t="shared" si="210"/>
        <v>25.392747188630899</v>
      </c>
      <c r="BB208" s="17">
        <f t="shared" si="211"/>
        <v>37.926474022363799</v>
      </c>
      <c r="BC208" s="17">
        <f t="shared" si="212"/>
        <v>11.7827187551283</v>
      </c>
      <c r="BD208" s="17">
        <f t="shared" si="213"/>
        <v>24.854596388746</v>
      </c>
      <c r="BE208" s="17" t="str">
        <f>IF(AND(BD208&lt;=AA208,BB208&lt;=AA208*MongDon!$J$44,BC208&gt;0),"Ok","FAIL")</f>
        <v>Ok</v>
      </c>
      <c r="BF208" s="17">
        <f t="shared" si="214"/>
        <v>59.007172345931799</v>
      </c>
      <c r="BG208" s="17">
        <f t="shared" si="215"/>
        <v>352.5</v>
      </c>
      <c r="BH208" s="17" t="str">
        <f t="shared" si="216"/>
        <v>Ok</v>
      </c>
      <c r="BI208" s="17">
        <f t="shared" si="217"/>
        <v>16.766071521699299</v>
      </c>
      <c r="BJ208" s="17">
        <f t="shared" si="218"/>
        <v>9.3695188805855896</v>
      </c>
      <c r="BK208" s="17">
        <f t="shared" si="219"/>
        <v>7.4078238018773899</v>
      </c>
      <c r="BL208" s="17">
        <f t="shared" si="220"/>
        <v>14.804376442991099</v>
      </c>
      <c r="BM208" s="17">
        <f t="shared" si="221"/>
        <v>88.125</v>
      </c>
      <c r="BN208" s="17">
        <f t="shared" si="222"/>
        <v>88.125</v>
      </c>
      <c r="BO208" s="17">
        <f t="shared" si="223"/>
        <v>88.125</v>
      </c>
      <c r="BP208" s="17">
        <f t="shared" si="224"/>
        <v>88.125</v>
      </c>
      <c r="BQ208" s="17" t="str">
        <f t="shared" si="225"/>
        <v>Ok</v>
      </c>
      <c r="BR208" s="17">
        <f t="shared" si="226"/>
        <v>40.233852898000499</v>
      </c>
      <c r="BS208" s="17">
        <f t="shared" si="227"/>
        <v>17.956240018704399</v>
      </c>
      <c r="BT208" s="16">
        <f>MongDon!$H$80</f>
        <v>1.2</v>
      </c>
      <c r="BU208" s="17" t="str">
        <f t="shared" si="228"/>
        <v>Ok</v>
      </c>
      <c r="BV208" s="17">
        <f t="shared" si="229"/>
        <v>7.2917161432042903</v>
      </c>
      <c r="BW208" s="16">
        <f>MongDon!$F$86</f>
        <v>1.5</v>
      </c>
      <c r="BX208" s="17" t="str">
        <f t="shared" si="230"/>
        <v>Ok</v>
      </c>
      <c r="BY208" s="17">
        <f t="shared" si="231"/>
        <v>40.9317233254244</v>
      </c>
      <c r="BZ208" s="17">
        <f t="shared" si="232"/>
        <v>29.513955337177599</v>
      </c>
      <c r="CA208" s="17">
        <f t="shared" si="233"/>
        <v>9.8537710518374997</v>
      </c>
      <c r="CB208" s="17">
        <f t="shared" si="234"/>
        <v>21.271539040084299</v>
      </c>
      <c r="CC208" s="17">
        <f t="shared" si="235"/>
        <v>26.040365611974</v>
      </c>
      <c r="CD208" s="17">
        <f t="shared" si="236"/>
        <v>27.834586295841302</v>
      </c>
      <c r="CE208" s="17">
        <f t="shared" si="237"/>
        <v>27.834586295841302</v>
      </c>
      <c r="CF208" s="17">
        <f t="shared" si="238"/>
        <v>24.745128765287902</v>
      </c>
      <c r="CG208" s="17">
        <f t="shared" si="239"/>
        <v>6.36431421145714</v>
      </c>
      <c r="CH208" s="17">
        <f t="shared" si="240"/>
        <v>6.36431421145714</v>
      </c>
      <c r="CI208" s="17">
        <f t="shared" si="241"/>
        <v>250</v>
      </c>
      <c r="CJ208" s="17">
        <f t="shared" si="242"/>
        <v>250</v>
      </c>
    </row>
    <row r="209" spans="2:88">
      <c r="B209" s="3">
        <v>285</v>
      </c>
      <c r="C209" s="3" t="s">
        <v>28</v>
      </c>
      <c r="D209" s="4">
        <v>-1.4661532170883</v>
      </c>
      <c r="E209" s="4">
        <v>-1.8072374147510399</v>
      </c>
      <c r="F209" s="4">
        <v>15.8374993862786</v>
      </c>
      <c r="G209" s="4">
        <v>2.84520557971913</v>
      </c>
      <c r="H209" s="4">
        <v>-1.2362832638977399</v>
      </c>
      <c r="I209" s="4" t="s">
        <v>18</v>
      </c>
      <c r="J209" s="4">
        <v>-1.2582017911465899</v>
      </c>
      <c r="K209" s="4">
        <v>-1.5024313847484601</v>
      </c>
      <c r="L209" s="4">
        <v>13.708771335743799</v>
      </c>
      <c r="M209" s="4">
        <v>2.3628951738780302</v>
      </c>
      <c r="N209" s="4">
        <v>-1.0662533161105401</v>
      </c>
      <c r="O209" s="4">
        <v>1.4</v>
      </c>
      <c r="P209" s="4">
        <v>1.4</v>
      </c>
      <c r="Q209" s="4">
        <v>0.22</v>
      </c>
      <c r="R209" s="4">
        <v>0.22</v>
      </c>
      <c r="S209" s="4">
        <v>0</v>
      </c>
      <c r="T209" s="4">
        <v>0</v>
      </c>
      <c r="U209" s="4">
        <v>0.3</v>
      </c>
      <c r="V209" s="4">
        <v>0.05</v>
      </c>
      <c r="W209" s="4">
        <v>1</v>
      </c>
      <c r="X209" s="4">
        <v>19.100000000000001</v>
      </c>
      <c r="Y209" s="4">
        <v>0</v>
      </c>
      <c r="Z209" s="4">
        <v>1.5</v>
      </c>
      <c r="AA209" s="4">
        <v>139</v>
      </c>
      <c r="AB209" s="4">
        <v>12.1</v>
      </c>
      <c r="AC209" s="4">
        <v>19.5</v>
      </c>
      <c r="AD209" s="3" t="s">
        <v>42</v>
      </c>
      <c r="AE209" s="3" t="s">
        <v>61</v>
      </c>
      <c r="AF209" s="17">
        <f>HLOOKUP(AD209,Data!$B$4:$M$9,2,0)</f>
        <v>13</v>
      </c>
      <c r="AG209" s="17">
        <f>HLOOKUP(AD209,Data!$B$4:$M$9,3,0)</f>
        <v>1</v>
      </c>
      <c r="AH209" s="17">
        <f>HLOOKUP(AE209,Data!$B$13:$I$18,3,0)</f>
        <v>260</v>
      </c>
      <c r="AI209" s="18">
        <f t="shared" si="192"/>
        <v>1.96</v>
      </c>
      <c r="AJ209" s="17">
        <f t="shared" si="193"/>
        <v>0.45733333333333298</v>
      </c>
      <c r="AK209" s="17">
        <f t="shared" si="194"/>
        <v>0.45733333333333298</v>
      </c>
      <c r="AL209" s="17">
        <f t="shared" si="195"/>
        <v>0.25</v>
      </c>
      <c r="AM209" s="17">
        <f t="shared" si="196"/>
        <v>0.59</v>
      </c>
      <c r="AN209" s="17">
        <f t="shared" si="197"/>
        <v>0.59</v>
      </c>
      <c r="AO209" s="17">
        <f t="shared" si="198"/>
        <v>0.59</v>
      </c>
      <c r="AP209" s="17">
        <f t="shared" si="199"/>
        <v>0.59</v>
      </c>
      <c r="AQ209" s="17">
        <f t="shared" si="200"/>
        <v>1.88</v>
      </c>
      <c r="AR209" s="17">
        <f t="shared" si="201"/>
        <v>1.4416</v>
      </c>
      <c r="AS209" s="17">
        <f t="shared" si="202"/>
        <v>15.8374993862786</v>
      </c>
      <c r="AT209" s="17">
        <f t="shared" si="203"/>
        <v>3.3873768041444401</v>
      </c>
      <c r="AU209" s="17">
        <f t="shared" si="204"/>
        <v>-1.67612922902423</v>
      </c>
      <c r="AV209" s="17">
        <f t="shared" si="205"/>
        <v>13.708771335743799</v>
      </c>
      <c r="AW209" s="17">
        <f t="shared" si="206"/>
        <v>2.8136245893025702</v>
      </c>
      <c r="AX209" s="17">
        <f t="shared" si="207"/>
        <v>-1.44371385345451</v>
      </c>
      <c r="AY209" s="17">
        <f t="shared" si="208"/>
        <v>39.752163024709198</v>
      </c>
      <c r="AZ209" s="17">
        <f t="shared" si="209"/>
        <v>17.6085506347587</v>
      </c>
      <c r="BA209" s="17">
        <f t="shared" si="210"/>
        <v>28.680356829733999</v>
      </c>
      <c r="BB209" s="17">
        <f t="shared" si="211"/>
        <v>36.903320162749203</v>
      </c>
      <c r="BC209" s="17">
        <f t="shared" si="212"/>
        <v>18.285222016581201</v>
      </c>
      <c r="BD209" s="17">
        <f t="shared" si="213"/>
        <v>27.594271089665199</v>
      </c>
      <c r="BE209" s="17" t="str">
        <f>IF(AND(BD209&lt;=AA209,BB209&lt;=AA209*MongDon!$J$44,BC209&gt;0),"Ok","FAIL")</f>
        <v>Ok</v>
      </c>
      <c r="BF209" s="17">
        <f t="shared" si="214"/>
        <v>57.306718216420798</v>
      </c>
      <c r="BG209" s="17">
        <f t="shared" si="215"/>
        <v>352.5</v>
      </c>
      <c r="BH209" s="17" t="str">
        <f t="shared" si="216"/>
        <v>Ok</v>
      </c>
      <c r="BI209" s="17">
        <f t="shared" si="217"/>
        <v>10.1262127690888</v>
      </c>
      <c r="BJ209" s="17">
        <f t="shared" si="218"/>
        <v>11.907307184009801</v>
      </c>
      <c r="BK209" s="17">
        <f t="shared" si="219"/>
        <v>17.177486932817999</v>
      </c>
      <c r="BL209" s="17">
        <f t="shared" si="220"/>
        <v>15.396392517897</v>
      </c>
      <c r="BM209" s="17">
        <f t="shared" si="221"/>
        <v>88.125</v>
      </c>
      <c r="BN209" s="17">
        <f t="shared" si="222"/>
        <v>88.125</v>
      </c>
      <c r="BO209" s="17">
        <f t="shared" si="223"/>
        <v>88.125</v>
      </c>
      <c r="BP209" s="17">
        <f t="shared" si="224"/>
        <v>88.125</v>
      </c>
      <c r="BQ209" s="17" t="str">
        <f t="shared" si="225"/>
        <v>Ok</v>
      </c>
      <c r="BR209" s="17">
        <f t="shared" si="226"/>
        <v>41.615265674984698</v>
      </c>
      <c r="BS209" s="17">
        <f t="shared" si="227"/>
        <v>23.027005381424999</v>
      </c>
      <c r="BT209" s="16">
        <f>MongDon!$H$80</f>
        <v>1.2</v>
      </c>
      <c r="BU209" s="17" t="str">
        <f t="shared" si="228"/>
        <v>Ok</v>
      </c>
      <c r="BV209" s="17">
        <f t="shared" si="229"/>
        <v>11.0089463695828</v>
      </c>
      <c r="BW209" s="16">
        <f>MongDon!$F$86</f>
        <v>1.5</v>
      </c>
      <c r="BX209" s="17" t="str">
        <f t="shared" si="230"/>
        <v>Ok</v>
      </c>
      <c r="BY209" s="17">
        <f t="shared" si="231"/>
        <v>24.938561840404098</v>
      </c>
      <c r="BZ209" s="17">
        <f t="shared" si="232"/>
        <v>17.6085506347587</v>
      </c>
      <c r="CA209" s="17">
        <f t="shared" si="233"/>
        <v>32.422151819063899</v>
      </c>
      <c r="CB209" s="17">
        <f t="shared" si="234"/>
        <v>39.752163024709198</v>
      </c>
      <c r="CC209" s="17">
        <f t="shared" si="235"/>
        <v>29.268353185200102</v>
      </c>
      <c r="CD209" s="17">
        <f t="shared" si="236"/>
        <v>30.4202120889444</v>
      </c>
      <c r="CE209" s="17">
        <f t="shared" si="237"/>
        <v>28.092360474267799</v>
      </c>
      <c r="CF209" s="17">
        <f t="shared" si="238"/>
        <v>30.4202120889444</v>
      </c>
      <c r="CG209" s="17">
        <f t="shared" si="239"/>
        <v>6.3774552876606796</v>
      </c>
      <c r="CH209" s="17">
        <f t="shared" si="240"/>
        <v>6.3774552876606796</v>
      </c>
      <c r="CI209" s="17">
        <f t="shared" si="241"/>
        <v>250</v>
      </c>
      <c r="CJ209" s="17">
        <f t="shared" si="242"/>
        <v>250</v>
      </c>
    </row>
    <row r="210" spans="2:88">
      <c r="B210" s="3">
        <v>285</v>
      </c>
      <c r="C210" s="3" t="s">
        <v>29</v>
      </c>
      <c r="D210" s="4">
        <v>-4.82414985213076</v>
      </c>
      <c r="E210" s="4">
        <v>1.6399003968534001</v>
      </c>
      <c r="F210" s="4">
        <v>11.4927242395585</v>
      </c>
      <c r="G210" s="4">
        <v>-2.84703120697265</v>
      </c>
      <c r="H210" s="4">
        <v>-7.3217919777795597</v>
      </c>
      <c r="I210" s="4" t="s">
        <v>19</v>
      </c>
      <c r="J210" s="4">
        <v>-4.0565323203486301</v>
      </c>
      <c r="K210" s="4">
        <v>1.3701834582552299</v>
      </c>
      <c r="L210" s="4">
        <v>10.088125380143801</v>
      </c>
      <c r="M210" s="4">
        <v>-2.3806354816984499</v>
      </c>
      <c r="N210" s="4">
        <v>-6.1375105776787198</v>
      </c>
      <c r="O210" s="4">
        <v>1.4</v>
      </c>
      <c r="P210" s="4">
        <v>1.4</v>
      </c>
      <c r="Q210" s="4">
        <v>0.22</v>
      </c>
      <c r="R210" s="4">
        <v>0.22</v>
      </c>
      <c r="S210" s="4">
        <v>0</v>
      </c>
      <c r="T210" s="4">
        <v>0</v>
      </c>
      <c r="U210" s="4">
        <v>0.3</v>
      </c>
      <c r="V210" s="4">
        <v>0.05</v>
      </c>
      <c r="W210" s="4">
        <v>1</v>
      </c>
      <c r="X210" s="4">
        <v>19.100000000000001</v>
      </c>
      <c r="Y210" s="4">
        <v>0</v>
      </c>
      <c r="Z210" s="4">
        <v>1.5</v>
      </c>
      <c r="AA210" s="4">
        <v>139</v>
      </c>
      <c r="AB210" s="4">
        <v>12.1</v>
      </c>
      <c r="AC210" s="4">
        <v>19.5</v>
      </c>
      <c r="AD210" s="3" t="s">
        <v>42</v>
      </c>
      <c r="AE210" s="3" t="s">
        <v>61</v>
      </c>
      <c r="AF210" s="17">
        <f>HLOOKUP(AD210,Data!$B$4:$M$9,2,0)</f>
        <v>13</v>
      </c>
      <c r="AG210" s="17">
        <f>HLOOKUP(AD210,Data!$B$4:$M$9,3,0)</f>
        <v>1</v>
      </c>
      <c r="AH210" s="17">
        <f>HLOOKUP(AE210,Data!$B$13:$I$18,3,0)</f>
        <v>260</v>
      </c>
      <c r="AI210" s="18">
        <f t="shared" si="192"/>
        <v>1.96</v>
      </c>
      <c r="AJ210" s="17">
        <f t="shared" si="193"/>
        <v>0.45733333333333298</v>
      </c>
      <c r="AK210" s="17">
        <f t="shared" si="194"/>
        <v>0.45733333333333298</v>
      </c>
      <c r="AL210" s="17">
        <f t="shared" si="195"/>
        <v>0.25</v>
      </c>
      <c r="AM210" s="17">
        <f t="shared" si="196"/>
        <v>0.59</v>
      </c>
      <c r="AN210" s="17">
        <f t="shared" si="197"/>
        <v>0.59</v>
      </c>
      <c r="AO210" s="17">
        <f t="shared" si="198"/>
        <v>0.59</v>
      </c>
      <c r="AP210" s="17">
        <f t="shared" si="199"/>
        <v>0.59</v>
      </c>
      <c r="AQ210" s="17">
        <f t="shared" si="200"/>
        <v>1.88</v>
      </c>
      <c r="AR210" s="17">
        <f t="shared" si="201"/>
        <v>1.4416</v>
      </c>
      <c r="AS210" s="17">
        <f t="shared" si="202"/>
        <v>11.4927242395585</v>
      </c>
      <c r="AT210" s="17">
        <f t="shared" si="203"/>
        <v>-3.3390013260286699</v>
      </c>
      <c r="AU210" s="17">
        <f t="shared" si="204"/>
        <v>-8.7690369334187803</v>
      </c>
      <c r="AV210" s="17">
        <f t="shared" si="205"/>
        <v>10.088125380143801</v>
      </c>
      <c r="AW210" s="17">
        <f t="shared" si="206"/>
        <v>-2.7916905191750199</v>
      </c>
      <c r="AX210" s="17">
        <f t="shared" si="207"/>
        <v>-7.3544702737833099</v>
      </c>
      <c r="AY210" s="17">
        <f t="shared" si="208"/>
        <v>52.938937132677303</v>
      </c>
      <c r="AZ210" s="17">
        <f t="shared" si="209"/>
        <v>-1.1667500474757699E-2</v>
      </c>
      <c r="BA210" s="17">
        <f t="shared" si="210"/>
        <v>26.463634816101301</v>
      </c>
      <c r="BB210" s="17">
        <f t="shared" si="211"/>
        <v>47.932485528407902</v>
      </c>
      <c r="BC210" s="17">
        <f t="shared" si="212"/>
        <v>3.5615199615347302</v>
      </c>
      <c r="BD210" s="17">
        <f t="shared" si="213"/>
        <v>25.747002744971301</v>
      </c>
      <c r="BE210" s="17" t="str">
        <f>IF(AND(BD210&lt;=AA210,BB210&lt;=AA210*MongDon!$J$44,BC210&gt;0),"Ok","FAIL")</f>
        <v>Ok</v>
      </c>
      <c r="BF210" s="17">
        <f t="shared" si="214"/>
        <v>76.316771770467696</v>
      </c>
      <c r="BG210" s="17">
        <f t="shared" si="215"/>
        <v>352.5</v>
      </c>
      <c r="BH210" s="17" t="str">
        <f t="shared" si="216"/>
        <v>Ok</v>
      </c>
      <c r="BI210" s="17">
        <f t="shared" si="217"/>
        <v>16.071977266902199</v>
      </c>
      <c r="BJ210" s="17">
        <f t="shared" si="218"/>
        <v>3.4697333642120101</v>
      </c>
      <c r="BK210" s="17">
        <f t="shared" si="219"/>
        <v>9.1214030780262192</v>
      </c>
      <c r="BL210" s="17">
        <f t="shared" si="220"/>
        <v>21.723646980716399</v>
      </c>
      <c r="BM210" s="17">
        <f t="shared" si="221"/>
        <v>88.125</v>
      </c>
      <c r="BN210" s="17">
        <f t="shared" si="222"/>
        <v>88.125</v>
      </c>
      <c r="BO210" s="17">
        <f t="shared" si="223"/>
        <v>88.125</v>
      </c>
      <c r="BP210" s="17">
        <f t="shared" si="224"/>
        <v>88.125</v>
      </c>
      <c r="BQ210" s="17" t="str">
        <f t="shared" si="225"/>
        <v>Ok</v>
      </c>
      <c r="BR210" s="17">
        <f t="shared" si="226"/>
        <v>40.683826590986001</v>
      </c>
      <c r="BS210" s="17">
        <f t="shared" si="227"/>
        <v>8.4333670880925293</v>
      </c>
      <c r="BT210" s="16">
        <f>MongDon!$H$80</f>
        <v>1.2</v>
      </c>
      <c r="BU210" s="17" t="str">
        <f t="shared" si="228"/>
        <v>Ok</v>
      </c>
      <c r="BV210" s="17">
        <f t="shared" si="229"/>
        <v>3.9058002865929198</v>
      </c>
      <c r="BW210" s="16">
        <f>MongDon!$F$86</f>
        <v>1.5</v>
      </c>
      <c r="BX210" s="17" t="str">
        <f t="shared" si="230"/>
        <v>Ok</v>
      </c>
      <c r="BY210" s="17">
        <f t="shared" si="231"/>
        <v>52.938937132677303</v>
      </c>
      <c r="BZ210" s="17">
        <f t="shared" si="232"/>
        <v>14.590379114811</v>
      </c>
      <c r="CA210" s="17">
        <f t="shared" si="233"/>
        <v>-1.1667500474757699E-2</v>
      </c>
      <c r="CB210" s="17">
        <f t="shared" si="234"/>
        <v>38.336890517391602</v>
      </c>
      <c r="CC210" s="17">
        <f t="shared" si="235"/>
        <v>24.5978374916128</v>
      </c>
      <c r="CD210" s="17">
        <f t="shared" si="236"/>
        <v>30.624039465848998</v>
      </c>
      <c r="CE210" s="17">
        <f t="shared" si="237"/>
        <v>30.624039465848998</v>
      </c>
      <c r="CF210" s="17">
        <f t="shared" si="238"/>
        <v>28.329432140589802</v>
      </c>
      <c r="CG210" s="17">
        <f t="shared" si="239"/>
        <v>7.9193860283053299</v>
      </c>
      <c r="CH210" s="17">
        <f t="shared" si="240"/>
        <v>7.9193860283053299</v>
      </c>
      <c r="CI210" s="17">
        <f t="shared" si="241"/>
        <v>250</v>
      </c>
      <c r="CJ210" s="17">
        <f t="shared" si="242"/>
        <v>250</v>
      </c>
    </row>
    <row r="211" spans="2:88">
      <c r="B211" s="3">
        <v>285</v>
      </c>
      <c r="C211" s="3" t="s">
        <v>30</v>
      </c>
      <c r="D211" s="4">
        <v>1.7073570922102701</v>
      </c>
      <c r="E211" s="4">
        <v>-1.2506142102670501</v>
      </c>
      <c r="F211" s="4">
        <v>12.2066413176774</v>
      </c>
      <c r="G211" s="4">
        <v>1.96847612166582</v>
      </c>
      <c r="H211" s="4">
        <v>4.3673753887383802</v>
      </c>
      <c r="I211" s="4" t="s">
        <v>20</v>
      </c>
      <c r="J211" s="4">
        <v>1.3863901332688899</v>
      </c>
      <c r="K211" s="4">
        <v>-1.0385787143451399</v>
      </c>
      <c r="L211" s="4">
        <v>10.683056278576201</v>
      </c>
      <c r="M211" s="4">
        <v>1.63228729216694</v>
      </c>
      <c r="N211" s="4">
        <v>3.6034622277528898</v>
      </c>
      <c r="O211" s="4">
        <v>1.4</v>
      </c>
      <c r="P211" s="4">
        <v>1.4</v>
      </c>
      <c r="Q211" s="4">
        <v>0.22</v>
      </c>
      <c r="R211" s="4">
        <v>0.22</v>
      </c>
      <c r="S211" s="4">
        <v>0</v>
      </c>
      <c r="T211" s="4">
        <v>0</v>
      </c>
      <c r="U211" s="4">
        <v>0.3</v>
      </c>
      <c r="V211" s="4">
        <v>0.05</v>
      </c>
      <c r="W211" s="4">
        <v>1</v>
      </c>
      <c r="X211" s="4">
        <v>19.100000000000001</v>
      </c>
      <c r="Y211" s="4">
        <v>0</v>
      </c>
      <c r="Z211" s="4">
        <v>1.5</v>
      </c>
      <c r="AA211" s="4">
        <v>139</v>
      </c>
      <c r="AB211" s="4">
        <v>12.1</v>
      </c>
      <c r="AC211" s="4">
        <v>19.5</v>
      </c>
      <c r="AD211" s="3" t="s">
        <v>42</v>
      </c>
      <c r="AE211" s="3" t="s">
        <v>61</v>
      </c>
      <c r="AF211" s="17">
        <f>HLOOKUP(AD211,Data!$B$4:$M$9,2,0)</f>
        <v>13</v>
      </c>
      <c r="AG211" s="17">
        <f>HLOOKUP(AD211,Data!$B$4:$M$9,3,0)</f>
        <v>1</v>
      </c>
      <c r="AH211" s="17">
        <f>HLOOKUP(AE211,Data!$B$13:$I$18,3,0)</f>
        <v>260</v>
      </c>
      <c r="AI211" s="18">
        <f t="shared" si="192"/>
        <v>1.96</v>
      </c>
      <c r="AJ211" s="17">
        <f t="shared" si="193"/>
        <v>0.45733333333333298</v>
      </c>
      <c r="AK211" s="17">
        <f t="shared" si="194"/>
        <v>0.45733333333333298</v>
      </c>
      <c r="AL211" s="17">
        <f t="shared" si="195"/>
        <v>0.25</v>
      </c>
      <c r="AM211" s="17">
        <f t="shared" si="196"/>
        <v>0.59</v>
      </c>
      <c r="AN211" s="17">
        <f t="shared" si="197"/>
        <v>0.59</v>
      </c>
      <c r="AO211" s="17">
        <f t="shared" si="198"/>
        <v>0.59</v>
      </c>
      <c r="AP211" s="17">
        <f t="shared" si="199"/>
        <v>0.59</v>
      </c>
      <c r="AQ211" s="17">
        <f t="shared" si="200"/>
        <v>1.88</v>
      </c>
      <c r="AR211" s="17">
        <f t="shared" si="201"/>
        <v>1.4416</v>
      </c>
      <c r="AS211" s="17">
        <f t="shared" si="202"/>
        <v>12.2066413176774</v>
      </c>
      <c r="AT211" s="17">
        <f t="shared" si="203"/>
        <v>2.3436603847459399</v>
      </c>
      <c r="AU211" s="17">
        <f t="shared" si="204"/>
        <v>4.8795825164014603</v>
      </c>
      <c r="AV211" s="17">
        <f t="shared" si="205"/>
        <v>10.683056278576201</v>
      </c>
      <c r="AW211" s="17">
        <f t="shared" si="206"/>
        <v>1.9438609064704799</v>
      </c>
      <c r="AX211" s="17">
        <f t="shared" si="207"/>
        <v>4.0193792677335596</v>
      </c>
      <c r="AY211" s="17">
        <f t="shared" si="208"/>
        <v>42.622141126688298</v>
      </c>
      <c r="AZ211" s="17">
        <f t="shared" si="209"/>
        <v>11.033615319921299</v>
      </c>
      <c r="BA211" s="17">
        <f t="shared" si="210"/>
        <v>26.827878223304801</v>
      </c>
      <c r="BB211" s="17">
        <f t="shared" si="211"/>
        <v>39.089693817503999</v>
      </c>
      <c r="BC211" s="17">
        <f t="shared" si="212"/>
        <v>13.0113840177778</v>
      </c>
      <c r="BD211" s="17">
        <f t="shared" si="213"/>
        <v>26.0505389176409</v>
      </c>
      <c r="BE211" s="17" t="str">
        <f>IF(AND(BD211&lt;=AA211,BB211&lt;=AA211*MongDon!$J$44,BC211&gt;0),"Ok","FAIL")</f>
        <v>Ok</v>
      </c>
      <c r="BF211" s="17">
        <f t="shared" si="214"/>
        <v>61.444078648233898</v>
      </c>
      <c r="BG211" s="17">
        <f t="shared" si="215"/>
        <v>352.5</v>
      </c>
      <c r="BH211" s="17" t="str">
        <f t="shared" si="216"/>
        <v>Ok</v>
      </c>
      <c r="BI211" s="17">
        <f t="shared" si="217"/>
        <v>10.3307500420065</v>
      </c>
      <c r="BJ211" s="17">
        <f t="shared" si="218"/>
        <v>17.848819184017099</v>
      </c>
      <c r="BK211" s="17">
        <f t="shared" si="219"/>
        <v>15.209390026579699</v>
      </c>
      <c r="BL211" s="17">
        <f t="shared" si="220"/>
        <v>7.6913208845691301</v>
      </c>
      <c r="BM211" s="17">
        <f t="shared" si="221"/>
        <v>88.125</v>
      </c>
      <c r="BN211" s="17">
        <f t="shared" si="222"/>
        <v>88.125</v>
      </c>
      <c r="BO211" s="17">
        <f t="shared" si="223"/>
        <v>88.125</v>
      </c>
      <c r="BP211" s="17">
        <f t="shared" si="224"/>
        <v>88.125</v>
      </c>
      <c r="BQ211" s="17" t="str">
        <f t="shared" si="225"/>
        <v>Ok</v>
      </c>
      <c r="BR211" s="17">
        <f t="shared" si="226"/>
        <v>40.836877150989302</v>
      </c>
      <c r="BS211" s="17">
        <f t="shared" si="227"/>
        <v>23.918181695736401</v>
      </c>
      <c r="BT211" s="16">
        <f>MongDon!$H$80</f>
        <v>1.2</v>
      </c>
      <c r="BU211" s="17" t="str">
        <f t="shared" si="228"/>
        <v>Ok</v>
      </c>
      <c r="BV211" s="17">
        <f t="shared" si="229"/>
        <v>7.1214799228359302</v>
      </c>
      <c r="BW211" s="16">
        <f>MongDon!$F$86</f>
        <v>1.5</v>
      </c>
      <c r="BX211" s="17" t="str">
        <f t="shared" si="230"/>
        <v>Ok</v>
      </c>
      <c r="BY211" s="17">
        <f t="shared" si="231"/>
        <v>11.033615319921299</v>
      </c>
      <c r="BZ211" s="17">
        <f t="shared" si="232"/>
        <v>32.372897461618599</v>
      </c>
      <c r="CA211" s="17">
        <f t="shared" si="233"/>
        <v>42.622141126688298</v>
      </c>
      <c r="CB211" s="17">
        <f t="shared" si="234"/>
        <v>21.282858984991002</v>
      </c>
      <c r="CC211" s="17">
        <f t="shared" si="235"/>
        <v>29.309833822407899</v>
      </c>
      <c r="CD211" s="17">
        <f t="shared" si="236"/>
        <v>25.9565180572841</v>
      </c>
      <c r="CE211" s="17">
        <f t="shared" si="237"/>
        <v>27.6992383893256</v>
      </c>
      <c r="CF211" s="17">
        <f t="shared" si="238"/>
        <v>29.309833822407899</v>
      </c>
      <c r="CG211" s="17">
        <f t="shared" si="239"/>
        <v>6.6460479676634403</v>
      </c>
      <c r="CH211" s="17">
        <f t="shared" si="240"/>
        <v>6.6460479676634403</v>
      </c>
      <c r="CI211" s="17">
        <f t="shared" si="241"/>
        <v>250</v>
      </c>
      <c r="CJ211" s="17">
        <f t="shared" si="242"/>
        <v>250</v>
      </c>
    </row>
    <row r="212" spans="2:88">
      <c r="B212" s="3">
        <v>285</v>
      </c>
      <c r="C212" s="3" t="s">
        <v>31</v>
      </c>
      <c r="D212" s="4">
        <v>-1.8405251372840601</v>
      </c>
      <c r="E212" s="4">
        <v>2.44347573718309</v>
      </c>
      <c r="F212" s="4">
        <v>8.2698411694169103</v>
      </c>
      <c r="G212" s="4">
        <v>-4.1440753110006296</v>
      </c>
      <c r="H212" s="4">
        <v>-1.91186617711319</v>
      </c>
      <c r="I212" s="4" t="s">
        <v>21</v>
      </c>
      <c r="J212" s="4">
        <v>-1.57017839130972</v>
      </c>
      <c r="K212" s="4">
        <v>2.0398295751966402</v>
      </c>
      <c r="L212" s="4">
        <v>7.4023894883590797</v>
      </c>
      <c r="M212" s="4">
        <v>-3.4615055683884299</v>
      </c>
      <c r="N212" s="4">
        <v>-1.62923907712341</v>
      </c>
      <c r="O212" s="4">
        <v>1.4</v>
      </c>
      <c r="P212" s="4">
        <v>1.4</v>
      </c>
      <c r="Q212" s="4">
        <v>0.22</v>
      </c>
      <c r="R212" s="4">
        <v>0.22</v>
      </c>
      <c r="S212" s="4">
        <v>0</v>
      </c>
      <c r="T212" s="4">
        <v>0</v>
      </c>
      <c r="U212" s="4">
        <v>0.3</v>
      </c>
      <c r="V212" s="4">
        <v>0.05</v>
      </c>
      <c r="W212" s="4">
        <v>1</v>
      </c>
      <c r="X212" s="4">
        <v>19.100000000000001</v>
      </c>
      <c r="Y212" s="4">
        <v>0</v>
      </c>
      <c r="Z212" s="4">
        <v>1.5</v>
      </c>
      <c r="AA212" s="4">
        <v>139</v>
      </c>
      <c r="AB212" s="4">
        <v>12.1</v>
      </c>
      <c r="AC212" s="4">
        <v>19.5</v>
      </c>
      <c r="AD212" s="3" t="s">
        <v>42</v>
      </c>
      <c r="AE212" s="3" t="s">
        <v>61</v>
      </c>
      <c r="AF212" s="17">
        <f>HLOOKUP(AD212,Data!$B$4:$M$9,2,0)</f>
        <v>13</v>
      </c>
      <c r="AG212" s="17">
        <f>HLOOKUP(AD212,Data!$B$4:$M$9,3,0)</f>
        <v>1</v>
      </c>
      <c r="AH212" s="17">
        <f>HLOOKUP(AE212,Data!$B$13:$I$18,3,0)</f>
        <v>260</v>
      </c>
      <c r="AI212" s="18">
        <f t="shared" si="192"/>
        <v>1.96</v>
      </c>
      <c r="AJ212" s="17">
        <f t="shared" si="193"/>
        <v>0.45733333333333298</v>
      </c>
      <c r="AK212" s="17">
        <f t="shared" si="194"/>
        <v>0.45733333333333298</v>
      </c>
      <c r="AL212" s="17">
        <f t="shared" si="195"/>
        <v>0.25</v>
      </c>
      <c r="AM212" s="17">
        <f t="shared" si="196"/>
        <v>0.59</v>
      </c>
      <c r="AN212" s="17">
        <f t="shared" si="197"/>
        <v>0.59</v>
      </c>
      <c r="AO212" s="17">
        <f t="shared" si="198"/>
        <v>0.59</v>
      </c>
      <c r="AP212" s="17">
        <f t="shared" si="199"/>
        <v>0.59</v>
      </c>
      <c r="AQ212" s="17">
        <f t="shared" si="200"/>
        <v>1.88</v>
      </c>
      <c r="AR212" s="17">
        <f t="shared" si="201"/>
        <v>1.4416</v>
      </c>
      <c r="AS212" s="17">
        <f t="shared" si="202"/>
        <v>8.2698411694169103</v>
      </c>
      <c r="AT212" s="17">
        <f t="shared" si="203"/>
        <v>-4.8771180321555496</v>
      </c>
      <c r="AU212" s="17">
        <f t="shared" si="204"/>
        <v>-2.4640237182983999</v>
      </c>
      <c r="AV212" s="17">
        <f t="shared" si="205"/>
        <v>7.4023894883590797</v>
      </c>
      <c r="AW212" s="17">
        <f t="shared" si="206"/>
        <v>-4.0734544409474296</v>
      </c>
      <c r="AX212" s="17">
        <f t="shared" si="207"/>
        <v>-2.10029259451633</v>
      </c>
      <c r="AY212" s="17">
        <f t="shared" si="208"/>
        <v>40.871365940199503</v>
      </c>
      <c r="AZ212" s="17">
        <f t="shared" si="209"/>
        <v>8.7672474979810193</v>
      </c>
      <c r="BA212" s="17">
        <f t="shared" si="210"/>
        <v>24.819306719090299</v>
      </c>
      <c r="BB212" s="17">
        <f t="shared" si="211"/>
        <v>37.876176201343</v>
      </c>
      <c r="BC212" s="17">
        <f t="shared" si="212"/>
        <v>10.877282460247899</v>
      </c>
      <c r="BD212" s="17">
        <f t="shared" si="213"/>
        <v>24.376729330795399</v>
      </c>
      <c r="BE212" s="17" t="str">
        <f>IF(AND(BD212&lt;=AA212,BB212&lt;=AA212*MongDon!$J$44,BC212&gt;0),"Ok","FAIL")</f>
        <v>Ok</v>
      </c>
      <c r="BF212" s="17">
        <f t="shared" si="214"/>
        <v>58.920161139391602</v>
      </c>
      <c r="BG212" s="17">
        <f t="shared" si="215"/>
        <v>352.5</v>
      </c>
      <c r="BH212" s="17" t="str">
        <f t="shared" si="216"/>
        <v>Ok</v>
      </c>
      <c r="BI212" s="17">
        <f t="shared" si="217"/>
        <v>16.890174072571298</v>
      </c>
      <c r="BJ212" s="17">
        <f t="shared" si="218"/>
        <v>9.2493938833233198</v>
      </c>
      <c r="BK212" s="17">
        <f t="shared" si="219"/>
        <v>6.73780592400262</v>
      </c>
      <c r="BL212" s="17">
        <f t="shared" si="220"/>
        <v>14.3785861132506</v>
      </c>
      <c r="BM212" s="17">
        <f t="shared" si="221"/>
        <v>88.125</v>
      </c>
      <c r="BN212" s="17">
        <f t="shared" si="222"/>
        <v>88.125</v>
      </c>
      <c r="BO212" s="17">
        <f t="shared" si="223"/>
        <v>88.125</v>
      </c>
      <c r="BP212" s="17">
        <f t="shared" si="224"/>
        <v>88.125</v>
      </c>
      <c r="BQ212" s="17" t="str">
        <f t="shared" si="225"/>
        <v>Ok</v>
      </c>
      <c r="BR212" s="17">
        <f t="shared" si="226"/>
        <v>39.992900328218703</v>
      </c>
      <c r="BS212" s="17">
        <f t="shared" si="227"/>
        <v>16.367218106418999</v>
      </c>
      <c r="BT212" s="16">
        <f>MongDon!$H$80</f>
        <v>1.2</v>
      </c>
      <c r="BU212" s="17" t="str">
        <f t="shared" si="228"/>
        <v>Ok</v>
      </c>
      <c r="BV212" s="17">
        <f t="shared" si="229"/>
        <v>6.5600398857788802</v>
      </c>
      <c r="BW212" s="16">
        <f>MongDon!$F$86</f>
        <v>1.5</v>
      </c>
      <c r="BX212" s="17" t="str">
        <f t="shared" si="230"/>
        <v>Ok</v>
      </c>
      <c r="BY212" s="17">
        <f t="shared" si="231"/>
        <v>40.871365940199503</v>
      </c>
      <c r="BZ212" s="17">
        <f t="shared" si="232"/>
        <v>30.0957520117808</v>
      </c>
      <c r="CA212" s="17">
        <f t="shared" si="233"/>
        <v>8.76724749798103</v>
      </c>
      <c r="CB212" s="17">
        <f t="shared" si="234"/>
        <v>19.5428614263997</v>
      </c>
      <c r="CC212" s="17">
        <f t="shared" si="235"/>
        <v>25.648462407941601</v>
      </c>
      <c r="CD212" s="17">
        <f t="shared" si="236"/>
        <v>27.341773168121701</v>
      </c>
      <c r="CE212" s="17">
        <f t="shared" si="237"/>
        <v>27.341773168121701</v>
      </c>
      <c r="CF212" s="17">
        <f t="shared" si="238"/>
        <v>23.990151030238898</v>
      </c>
      <c r="CG212" s="17">
        <f t="shared" si="239"/>
        <v>6.3287193678983398</v>
      </c>
      <c r="CH212" s="17">
        <f t="shared" si="240"/>
        <v>6.3287193678983398</v>
      </c>
      <c r="CI212" s="17">
        <f t="shared" si="241"/>
        <v>250</v>
      </c>
      <c r="CJ212" s="17">
        <f t="shared" si="242"/>
        <v>250</v>
      </c>
    </row>
    <row r="213" spans="2:88">
      <c r="B213" s="3">
        <v>285</v>
      </c>
      <c r="C213" s="3" t="s">
        <v>32</v>
      </c>
      <c r="D213" s="4">
        <v>-1.27626762263643</v>
      </c>
      <c r="E213" s="4">
        <v>-2.05418955059675</v>
      </c>
      <c r="F213" s="4">
        <v>15.4295243878191</v>
      </c>
      <c r="G213" s="4">
        <v>3.2655202256938001</v>
      </c>
      <c r="H213" s="4">
        <v>-1.04255041192799</v>
      </c>
      <c r="I213" s="4" t="s">
        <v>22</v>
      </c>
      <c r="J213" s="4">
        <v>-1.0999637957700299</v>
      </c>
      <c r="K213" s="4">
        <v>-1.70822483128655</v>
      </c>
      <c r="L213" s="4">
        <v>13.3687921703609</v>
      </c>
      <c r="M213" s="4">
        <v>2.7131573788569199</v>
      </c>
      <c r="N213" s="4">
        <v>-0.90480927280241197</v>
      </c>
      <c r="O213" s="4">
        <v>1.4</v>
      </c>
      <c r="P213" s="4">
        <v>1.4</v>
      </c>
      <c r="Q213" s="4">
        <v>0.22</v>
      </c>
      <c r="R213" s="4">
        <v>0.22</v>
      </c>
      <c r="S213" s="4">
        <v>0</v>
      </c>
      <c r="T213" s="4">
        <v>0</v>
      </c>
      <c r="U213" s="4">
        <v>0.3</v>
      </c>
      <c r="V213" s="4">
        <v>0.05</v>
      </c>
      <c r="W213" s="4">
        <v>1</v>
      </c>
      <c r="X213" s="4">
        <v>19.100000000000001</v>
      </c>
      <c r="Y213" s="4">
        <v>0</v>
      </c>
      <c r="Z213" s="4">
        <v>1.5</v>
      </c>
      <c r="AA213" s="4">
        <v>139</v>
      </c>
      <c r="AB213" s="4">
        <v>12.1</v>
      </c>
      <c r="AC213" s="4">
        <v>19.5</v>
      </c>
      <c r="AD213" s="3" t="s">
        <v>42</v>
      </c>
      <c r="AE213" s="3" t="s">
        <v>61</v>
      </c>
      <c r="AF213" s="17">
        <f>HLOOKUP(AD213,Data!$B$4:$M$9,2,0)</f>
        <v>13</v>
      </c>
      <c r="AG213" s="17">
        <f>HLOOKUP(AD213,Data!$B$4:$M$9,3,0)</f>
        <v>1</v>
      </c>
      <c r="AH213" s="17">
        <f>HLOOKUP(AE213,Data!$B$13:$I$18,3,0)</f>
        <v>260</v>
      </c>
      <c r="AI213" s="18">
        <f t="shared" si="192"/>
        <v>1.96</v>
      </c>
      <c r="AJ213" s="17">
        <f t="shared" si="193"/>
        <v>0.45733333333333298</v>
      </c>
      <c r="AK213" s="17">
        <f t="shared" si="194"/>
        <v>0.45733333333333298</v>
      </c>
      <c r="AL213" s="17">
        <f t="shared" si="195"/>
        <v>0.25</v>
      </c>
      <c r="AM213" s="17">
        <f t="shared" si="196"/>
        <v>0.59</v>
      </c>
      <c r="AN213" s="17">
        <f t="shared" si="197"/>
        <v>0.59</v>
      </c>
      <c r="AO213" s="17">
        <f t="shared" si="198"/>
        <v>0.59</v>
      </c>
      <c r="AP213" s="17">
        <f t="shared" si="199"/>
        <v>0.59</v>
      </c>
      <c r="AQ213" s="17">
        <f t="shared" si="200"/>
        <v>1.88</v>
      </c>
      <c r="AR213" s="17">
        <f t="shared" si="201"/>
        <v>1.4416</v>
      </c>
      <c r="AS213" s="17">
        <f t="shared" si="202"/>
        <v>15.4295243878191</v>
      </c>
      <c r="AT213" s="17">
        <f t="shared" si="203"/>
        <v>3.8817770908728302</v>
      </c>
      <c r="AU213" s="17">
        <f t="shared" si="204"/>
        <v>-1.42543069871892</v>
      </c>
      <c r="AV213" s="17">
        <f t="shared" si="205"/>
        <v>13.3687921703609</v>
      </c>
      <c r="AW213" s="17">
        <f t="shared" si="206"/>
        <v>3.2256248282428901</v>
      </c>
      <c r="AX213" s="17">
        <f t="shared" si="207"/>
        <v>-1.2347984115334201</v>
      </c>
      <c r="AY213" s="17">
        <f t="shared" si="208"/>
        <v>40.0768880759829</v>
      </c>
      <c r="AZ213" s="17">
        <f t="shared" si="209"/>
        <v>16.8675245646488</v>
      </c>
      <c r="BA213" s="17">
        <f t="shared" si="210"/>
        <v>28.472206320315799</v>
      </c>
      <c r="BB213" s="17">
        <f t="shared" si="211"/>
        <v>37.173924372144</v>
      </c>
      <c r="BC213" s="17">
        <f t="shared" si="212"/>
        <v>17.667700291489599</v>
      </c>
      <c r="BD213" s="17">
        <f t="shared" si="213"/>
        <v>27.420812331816801</v>
      </c>
      <c r="BE213" s="17" t="str">
        <f>IF(AND(BD213&lt;=AA213,BB213&lt;=AA213*MongDon!$J$44,BC213&gt;0),"Ok","FAIL")</f>
        <v>Ok</v>
      </c>
      <c r="BF213" s="17">
        <f t="shared" si="214"/>
        <v>57.774841850336998</v>
      </c>
      <c r="BG213" s="17">
        <f t="shared" si="215"/>
        <v>352.5</v>
      </c>
      <c r="BH213" s="17" t="str">
        <f t="shared" si="216"/>
        <v>Ok</v>
      </c>
      <c r="BI213" s="17">
        <f t="shared" si="217"/>
        <v>9.5125532363374106</v>
      </c>
      <c r="BJ213" s="17">
        <f t="shared" si="218"/>
        <v>12.0691586649058</v>
      </c>
      <c r="BK213" s="17">
        <f t="shared" si="219"/>
        <v>17.592987180603298</v>
      </c>
      <c r="BL213" s="17">
        <f t="shared" si="220"/>
        <v>15.036381752034901</v>
      </c>
      <c r="BM213" s="17">
        <f t="shared" si="221"/>
        <v>88.125</v>
      </c>
      <c r="BN213" s="17">
        <f t="shared" si="222"/>
        <v>88.125</v>
      </c>
      <c r="BO213" s="17">
        <f t="shared" si="223"/>
        <v>88.125</v>
      </c>
      <c r="BP213" s="17">
        <f t="shared" si="224"/>
        <v>88.125</v>
      </c>
      <c r="BQ213" s="17" t="str">
        <f t="shared" si="225"/>
        <v>Ok</v>
      </c>
      <c r="BR213" s="17">
        <f t="shared" si="226"/>
        <v>41.527803413756601</v>
      </c>
      <c r="BS213" s="17">
        <f t="shared" si="227"/>
        <v>20.216149674061299</v>
      </c>
      <c r="BT213" s="16">
        <f>MongDon!$H$80</f>
        <v>1.2</v>
      </c>
      <c r="BU213" s="17" t="str">
        <f t="shared" si="228"/>
        <v>Ok</v>
      </c>
      <c r="BV213" s="17">
        <f t="shared" si="229"/>
        <v>9.5332282625101801</v>
      </c>
      <c r="BW213" s="16">
        <f>MongDon!$F$86</f>
        <v>1.5</v>
      </c>
      <c r="BX213" s="17" t="str">
        <f t="shared" si="230"/>
        <v>Ok</v>
      </c>
      <c r="BY213" s="17">
        <f t="shared" si="231"/>
        <v>23.101186512399099</v>
      </c>
      <c r="BZ213" s="17">
        <f t="shared" si="232"/>
        <v>16.8675245646488</v>
      </c>
      <c r="CA213" s="17">
        <f t="shared" si="233"/>
        <v>33.843226128232601</v>
      </c>
      <c r="CB213" s="17">
        <f t="shared" si="234"/>
        <v>40.0768880759829</v>
      </c>
      <c r="CC213" s="17">
        <f t="shared" si="235"/>
        <v>29.316223718702801</v>
      </c>
      <c r="CD213" s="17">
        <f t="shared" si="236"/>
        <v>30.295799167635</v>
      </c>
      <c r="CE213" s="17">
        <f t="shared" si="237"/>
        <v>27.628188921928899</v>
      </c>
      <c r="CF213" s="17">
        <f t="shared" si="238"/>
        <v>30.295799167635</v>
      </c>
      <c r="CG213" s="17">
        <f t="shared" si="239"/>
        <v>6.4079161947921701</v>
      </c>
      <c r="CH213" s="17">
        <f t="shared" si="240"/>
        <v>6.4079161947921701</v>
      </c>
      <c r="CI213" s="17">
        <f t="shared" si="241"/>
        <v>250</v>
      </c>
      <c r="CJ213" s="17">
        <f t="shared" si="242"/>
        <v>250</v>
      </c>
    </row>
    <row r="214" spans="2:88">
      <c r="B214" s="3">
        <v>286</v>
      </c>
      <c r="C214" s="3" t="s">
        <v>23</v>
      </c>
      <c r="D214" s="4">
        <v>-1.7929417800733201</v>
      </c>
      <c r="E214" s="4">
        <v>0.89308800328474003</v>
      </c>
      <c r="F214" s="4">
        <v>28.499053482840502</v>
      </c>
      <c r="G214" s="4">
        <v>-1.14404311117087</v>
      </c>
      <c r="H214" s="4">
        <v>-1.6468227561954301</v>
      </c>
      <c r="I214" s="4" t="s">
        <v>13</v>
      </c>
      <c r="J214" s="4">
        <v>-1.52083410242862</v>
      </c>
      <c r="K214" s="4">
        <v>0.75967965567920204</v>
      </c>
      <c r="L214" s="4">
        <v>24.4643917269727</v>
      </c>
      <c r="M214" s="4">
        <v>-0.97342574010813698</v>
      </c>
      <c r="N214" s="4">
        <v>-1.39845603089166</v>
      </c>
      <c r="O214" s="4">
        <v>1.2</v>
      </c>
      <c r="P214" s="4">
        <v>1.2</v>
      </c>
      <c r="Q214" s="4">
        <v>0.22</v>
      </c>
      <c r="R214" s="4">
        <v>0.22</v>
      </c>
      <c r="S214" s="4">
        <v>0</v>
      </c>
      <c r="T214" s="4">
        <v>0</v>
      </c>
      <c r="U214" s="4">
        <v>0.3</v>
      </c>
      <c r="V214" s="4">
        <v>0.05</v>
      </c>
      <c r="W214" s="4">
        <v>1</v>
      </c>
      <c r="X214" s="4">
        <v>19.100000000000001</v>
      </c>
      <c r="Y214" s="4">
        <v>0</v>
      </c>
      <c r="Z214" s="4">
        <v>1.5</v>
      </c>
      <c r="AA214" s="4">
        <v>139</v>
      </c>
      <c r="AB214" s="4">
        <v>12.1</v>
      </c>
      <c r="AC214" s="4">
        <v>19.5</v>
      </c>
      <c r="AD214" s="3" t="s">
        <v>42</v>
      </c>
      <c r="AE214" s="3" t="s">
        <v>61</v>
      </c>
      <c r="AF214" s="17">
        <f>HLOOKUP(AD214,Data!$B$4:$M$9,2,0)</f>
        <v>13</v>
      </c>
      <c r="AG214" s="17">
        <f>HLOOKUP(AD214,Data!$B$4:$M$9,3,0)</f>
        <v>1</v>
      </c>
      <c r="AH214" s="17">
        <f>HLOOKUP(AE214,Data!$B$13:$I$18,3,0)</f>
        <v>260</v>
      </c>
      <c r="AI214" s="18">
        <f t="shared" si="192"/>
        <v>1.44</v>
      </c>
      <c r="AJ214" s="17">
        <f t="shared" si="193"/>
        <v>0.28799999999999998</v>
      </c>
      <c r="AK214" s="17">
        <f t="shared" si="194"/>
        <v>0.28799999999999998</v>
      </c>
      <c r="AL214" s="17">
        <f t="shared" si="195"/>
        <v>0.25</v>
      </c>
      <c r="AM214" s="17">
        <f t="shared" si="196"/>
        <v>0.49</v>
      </c>
      <c r="AN214" s="17">
        <f t="shared" si="197"/>
        <v>0.49</v>
      </c>
      <c r="AO214" s="17">
        <f t="shared" si="198"/>
        <v>0.49</v>
      </c>
      <c r="AP214" s="17">
        <f t="shared" si="199"/>
        <v>0.49</v>
      </c>
      <c r="AQ214" s="17">
        <f t="shared" si="200"/>
        <v>1.88</v>
      </c>
      <c r="AR214" s="17">
        <f t="shared" si="201"/>
        <v>0.92159999999999997</v>
      </c>
      <c r="AS214" s="17">
        <f t="shared" si="202"/>
        <v>28.499053482840502</v>
      </c>
      <c r="AT214" s="17">
        <f t="shared" si="203"/>
        <v>-1.4119695121562901</v>
      </c>
      <c r="AU214" s="17">
        <f t="shared" si="204"/>
        <v>-2.1847052902174302</v>
      </c>
      <c r="AV214" s="17">
        <f t="shared" si="205"/>
        <v>24.4643917269727</v>
      </c>
      <c r="AW214" s="17">
        <f t="shared" si="206"/>
        <v>-1.2013296368119</v>
      </c>
      <c r="AX214" s="17">
        <f t="shared" si="207"/>
        <v>-1.8547062616202501</v>
      </c>
      <c r="AY214" s="17">
        <f t="shared" si="208"/>
        <v>52.8794635379924</v>
      </c>
      <c r="AZ214" s="17">
        <f t="shared" si="209"/>
        <v>27.902555188174901</v>
      </c>
      <c r="BA214" s="17">
        <f t="shared" si="210"/>
        <v>40.391009363083697</v>
      </c>
      <c r="BB214" s="17">
        <f t="shared" si="211"/>
        <v>48.200396679953698</v>
      </c>
      <c r="BC214" s="17">
        <f t="shared" si="212"/>
        <v>26.977925163063802</v>
      </c>
      <c r="BD214" s="17">
        <f t="shared" si="213"/>
        <v>37.5891609215088</v>
      </c>
      <c r="BE214" s="17" t="str">
        <f>IF(AND(BD214&lt;=AA214,BB214&lt;=AA214*MongDon!$J$44,BC214&gt;0),"Ok","FAIL")</f>
        <v>Ok</v>
      </c>
      <c r="BF214" s="17">
        <f t="shared" si="214"/>
        <v>48.733713596613804</v>
      </c>
      <c r="BG214" s="17">
        <f t="shared" si="215"/>
        <v>352.5</v>
      </c>
      <c r="BH214" s="17" t="str">
        <f t="shared" si="216"/>
        <v>Ok</v>
      </c>
      <c r="BI214" s="17">
        <f t="shared" si="217"/>
        <v>13.044580208724399</v>
      </c>
      <c r="BJ214" s="17">
        <f t="shared" si="218"/>
        <v>9.4479054063506709</v>
      </c>
      <c r="BK214" s="17">
        <f t="shared" si="219"/>
        <v>10.2206411844118</v>
      </c>
      <c r="BL214" s="17">
        <f t="shared" si="220"/>
        <v>13.8173159867855</v>
      </c>
      <c r="BM214" s="17">
        <f t="shared" si="221"/>
        <v>88.125</v>
      </c>
      <c r="BN214" s="17">
        <f t="shared" si="222"/>
        <v>88.125</v>
      </c>
      <c r="BO214" s="17">
        <f t="shared" si="223"/>
        <v>88.125</v>
      </c>
      <c r="BP214" s="17">
        <f t="shared" si="224"/>
        <v>88.125</v>
      </c>
      <c r="BQ214" s="17" t="str">
        <f t="shared" si="225"/>
        <v>Ok</v>
      </c>
      <c r="BR214" s="17">
        <f t="shared" si="226"/>
        <v>34.189667675420601</v>
      </c>
      <c r="BS214" s="17">
        <f t="shared" si="227"/>
        <v>19.069033950462401</v>
      </c>
      <c r="BT214" s="16">
        <f>MongDon!$H$80</f>
        <v>1.2</v>
      </c>
      <c r="BU214" s="17" t="str">
        <f t="shared" si="228"/>
        <v>Ok</v>
      </c>
      <c r="BV214" s="17">
        <f t="shared" si="229"/>
        <v>15.3804873545942</v>
      </c>
      <c r="BW214" s="16">
        <f>MongDon!$F$86</f>
        <v>1.5</v>
      </c>
      <c r="BX214" s="17" t="str">
        <f t="shared" si="230"/>
        <v>Ok</v>
      </c>
      <c r="BY214" s="17">
        <f t="shared" si="231"/>
        <v>52.8794635379924</v>
      </c>
      <c r="BZ214" s="17">
        <f t="shared" si="232"/>
        <v>37.707899022593601</v>
      </c>
      <c r="CA214" s="17">
        <f t="shared" si="233"/>
        <v>27.902555188174901</v>
      </c>
      <c r="CB214" s="17">
        <f t="shared" si="234"/>
        <v>43.0741197035737</v>
      </c>
      <c r="CC214" s="17">
        <f t="shared" si="235"/>
        <v>39.8991058006605</v>
      </c>
      <c r="CD214" s="17">
        <f t="shared" si="236"/>
        <v>42.680559295150303</v>
      </c>
      <c r="CE214" s="17">
        <f t="shared" si="237"/>
        <v>42.680559295150303</v>
      </c>
      <c r="CF214" s="17">
        <f t="shared" si="238"/>
        <v>40.882912925506901</v>
      </c>
      <c r="CG214" s="17">
        <f t="shared" si="239"/>
        <v>5.9400534462849199</v>
      </c>
      <c r="CH214" s="17">
        <f t="shared" si="240"/>
        <v>5.9400534462849199</v>
      </c>
      <c r="CI214" s="17">
        <f t="shared" si="241"/>
        <v>250</v>
      </c>
      <c r="CJ214" s="17">
        <f t="shared" si="242"/>
        <v>250</v>
      </c>
    </row>
    <row r="215" spans="2:88">
      <c r="B215" s="3">
        <v>286</v>
      </c>
      <c r="C215" s="3" t="s">
        <v>24</v>
      </c>
      <c r="D215" s="4">
        <v>-2.0329903148769901</v>
      </c>
      <c r="E215" s="4">
        <v>1.00796876735998</v>
      </c>
      <c r="F215" s="4">
        <v>31.675498649181598</v>
      </c>
      <c r="G215" s="4">
        <v>-1.2905927052747199</v>
      </c>
      <c r="H215" s="4">
        <v>-1.86386500062464</v>
      </c>
      <c r="I215" s="4" t="s">
        <v>14</v>
      </c>
      <c r="J215" s="4">
        <v>-1.7208745480983501</v>
      </c>
      <c r="K215" s="4">
        <v>0.85541362574189805</v>
      </c>
      <c r="L215" s="4">
        <v>27.1114293655903</v>
      </c>
      <c r="M215" s="4">
        <v>-1.09555040186134</v>
      </c>
      <c r="N215" s="4">
        <v>-1.579324567916</v>
      </c>
      <c r="O215" s="4">
        <v>1.2</v>
      </c>
      <c r="P215" s="4">
        <v>1.2</v>
      </c>
      <c r="Q215" s="4">
        <v>0.22</v>
      </c>
      <c r="R215" s="4">
        <v>0.22</v>
      </c>
      <c r="S215" s="4">
        <v>0</v>
      </c>
      <c r="T215" s="4">
        <v>0</v>
      </c>
      <c r="U215" s="4">
        <v>0.3</v>
      </c>
      <c r="V215" s="4">
        <v>0.05</v>
      </c>
      <c r="W215" s="4">
        <v>1</v>
      </c>
      <c r="X215" s="4">
        <v>19.100000000000001</v>
      </c>
      <c r="Y215" s="4">
        <v>0</v>
      </c>
      <c r="Z215" s="4">
        <v>1.5</v>
      </c>
      <c r="AA215" s="4">
        <v>139</v>
      </c>
      <c r="AB215" s="4">
        <v>12.1</v>
      </c>
      <c r="AC215" s="4">
        <v>19.5</v>
      </c>
      <c r="AD215" s="3" t="s">
        <v>42</v>
      </c>
      <c r="AE215" s="3" t="s">
        <v>61</v>
      </c>
      <c r="AF215" s="17">
        <f>HLOOKUP(AD215,Data!$B$4:$M$9,2,0)</f>
        <v>13</v>
      </c>
      <c r="AG215" s="17">
        <f>HLOOKUP(AD215,Data!$B$4:$M$9,3,0)</f>
        <v>1</v>
      </c>
      <c r="AH215" s="17">
        <f>HLOOKUP(AE215,Data!$B$13:$I$18,3,0)</f>
        <v>260</v>
      </c>
      <c r="AI215" s="18">
        <f t="shared" si="192"/>
        <v>1.44</v>
      </c>
      <c r="AJ215" s="17">
        <f t="shared" si="193"/>
        <v>0.28799999999999998</v>
      </c>
      <c r="AK215" s="17">
        <f t="shared" si="194"/>
        <v>0.28799999999999998</v>
      </c>
      <c r="AL215" s="17">
        <f t="shared" si="195"/>
        <v>0.25</v>
      </c>
      <c r="AM215" s="17">
        <f t="shared" si="196"/>
        <v>0.49</v>
      </c>
      <c r="AN215" s="17">
        <f t="shared" si="197"/>
        <v>0.49</v>
      </c>
      <c r="AO215" s="17">
        <f t="shared" si="198"/>
        <v>0.49</v>
      </c>
      <c r="AP215" s="17">
        <f t="shared" si="199"/>
        <v>0.49</v>
      </c>
      <c r="AQ215" s="17">
        <f t="shared" si="200"/>
        <v>1.88</v>
      </c>
      <c r="AR215" s="17">
        <f t="shared" si="201"/>
        <v>0.92159999999999997</v>
      </c>
      <c r="AS215" s="17">
        <f t="shared" si="202"/>
        <v>31.675498649181598</v>
      </c>
      <c r="AT215" s="17">
        <f t="shared" si="203"/>
        <v>-1.5929833354827101</v>
      </c>
      <c r="AU215" s="17">
        <f t="shared" si="204"/>
        <v>-2.4737620950877401</v>
      </c>
      <c r="AV215" s="17">
        <f t="shared" si="205"/>
        <v>27.1114293655903</v>
      </c>
      <c r="AW215" s="17">
        <f t="shared" si="206"/>
        <v>-1.3521744895839101</v>
      </c>
      <c r="AX215" s="17">
        <f t="shared" si="207"/>
        <v>-2.0955869323455101</v>
      </c>
      <c r="AY215" s="17">
        <f t="shared" si="208"/>
        <v>56.717517918079103</v>
      </c>
      <c r="AZ215" s="17">
        <f t="shared" si="209"/>
        <v>28.476230205784301</v>
      </c>
      <c r="BA215" s="17">
        <f t="shared" si="210"/>
        <v>42.5968740619317</v>
      </c>
      <c r="BB215" s="17">
        <f t="shared" si="211"/>
        <v>51.398775330025899</v>
      </c>
      <c r="BC215" s="17">
        <f t="shared" si="212"/>
        <v>27.4559876777383</v>
      </c>
      <c r="BD215" s="17">
        <f t="shared" si="213"/>
        <v>39.427381503882103</v>
      </c>
      <c r="BE215" s="17" t="str">
        <f>IF(AND(BD215&lt;=AA215,BB215&lt;=AA215*MongDon!$J$44,BC215&gt;0),"Ok","FAIL")</f>
        <v>Ok</v>
      </c>
      <c r="BF215" s="17">
        <f t="shared" si="214"/>
        <v>52.270864513301703</v>
      </c>
      <c r="BG215" s="17">
        <f t="shared" si="215"/>
        <v>352.5</v>
      </c>
      <c r="BH215" s="17" t="str">
        <f t="shared" si="216"/>
        <v>Ok</v>
      </c>
      <c r="BI215" s="17">
        <f t="shared" si="217"/>
        <v>13.860883065318999</v>
      </c>
      <c r="BJ215" s="17">
        <f t="shared" si="218"/>
        <v>9.79413763474858</v>
      </c>
      <c r="BK215" s="17">
        <f t="shared" si="219"/>
        <v>10.6749163943536</v>
      </c>
      <c r="BL215" s="17">
        <f t="shared" si="220"/>
        <v>14.741661824924099</v>
      </c>
      <c r="BM215" s="17">
        <f t="shared" si="221"/>
        <v>88.125</v>
      </c>
      <c r="BN215" s="17">
        <f t="shared" si="222"/>
        <v>88.125</v>
      </c>
      <c r="BO215" s="17">
        <f t="shared" si="223"/>
        <v>88.125</v>
      </c>
      <c r="BP215" s="17">
        <f t="shared" si="224"/>
        <v>88.125</v>
      </c>
      <c r="BQ215" s="17" t="str">
        <f t="shared" si="225"/>
        <v>Ok</v>
      </c>
      <c r="BR215" s="17">
        <f t="shared" si="226"/>
        <v>34.870638514231999</v>
      </c>
      <c r="BS215" s="17">
        <f t="shared" si="227"/>
        <v>17.152387917963001</v>
      </c>
      <c r="BT215" s="16">
        <f>MongDon!$H$80</f>
        <v>1.2</v>
      </c>
      <c r="BU215" s="17" t="str">
        <f t="shared" si="228"/>
        <v>Ok</v>
      </c>
      <c r="BV215" s="17">
        <f t="shared" si="229"/>
        <v>14.353724337525501</v>
      </c>
      <c r="BW215" s="16">
        <f>MongDon!$F$86</f>
        <v>1.5</v>
      </c>
      <c r="BX215" s="17" t="str">
        <f t="shared" si="230"/>
        <v>Ok</v>
      </c>
      <c r="BY215" s="17">
        <f t="shared" si="231"/>
        <v>56.717517918079103</v>
      </c>
      <c r="BZ215" s="17">
        <f t="shared" si="232"/>
        <v>39.538614479969802</v>
      </c>
      <c r="CA215" s="17">
        <f t="shared" si="233"/>
        <v>28.476230205784301</v>
      </c>
      <c r="CB215" s="17">
        <f t="shared" si="234"/>
        <v>45.655133643893599</v>
      </c>
      <c r="CC215" s="17">
        <f t="shared" si="235"/>
        <v>42.036193138572003</v>
      </c>
      <c r="CD215" s="17">
        <f t="shared" si="236"/>
        <v>45.185658768891997</v>
      </c>
      <c r="CE215" s="17">
        <f t="shared" si="237"/>
        <v>45.185658768891997</v>
      </c>
      <c r="CF215" s="17">
        <f t="shared" si="238"/>
        <v>43.157554985291398</v>
      </c>
      <c r="CG215" s="17">
        <f t="shared" si="239"/>
        <v>6.3474714624454203</v>
      </c>
      <c r="CH215" s="17">
        <f t="shared" si="240"/>
        <v>6.3474714624454203</v>
      </c>
      <c r="CI215" s="17">
        <f t="shared" si="241"/>
        <v>250</v>
      </c>
      <c r="CJ215" s="17">
        <f t="shared" si="242"/>
        <v>250</v>
      </c>
    </row>
    <row r="216" spans="2:88">
      <c r="B216" s="3">
        <v>286</v>
      </c>
      <c r="C216" s="3" t="s">
        <v>25</v>
      </c>
      <c r="D216" s="4">
        <v>-4.64417648690935</v>
      </c>
      <c r="E216" s="4">
        <v>2.52272794960352</v>
      </c>
      <c r="F216" s="4">
        <v>32.361733443763399</v>
      </c>
      <c r="G216" s="4">
        <v>-3.67047255964849</v>
      </c>
      <c r="H216" s="4">
        <v>-6.3777381397697397</v>
      </c>
      <c r="I216" s="4" t="s">
        <v>15</v>
      </c>
      <c r="J216" s="4">
        <v>-3.8968630247919802</v>
      </c>
      <c r="K216" s="4">
        <v>2.1177129442781899</v>
      </c>
      <c r="L216" s="4">
        <v>27.6832916944084</v>
      </c>
      <c r="M216" s="4">
        <v>-3.0787836138394802</v>
      </c>
      <c r="N216" s="4">
        <v>-5.3408855172035903</v>
      </c>
      <c r="O216" s="4">
        <v>1.2</v>
      </c>
      <c r="P216" s="4">
        <v>1.2</v>
      </c>
      <c r="Q216" s="4">
        <v>0.22</v>
      </c>
      <c r="R216" s="4">
        <v>0.22</v>
      </c>
      <c r="S216" s="4">
        <v>0</v>
      </c>
      <c r="T216" s="4">
        <v>0</v>
      </c>
      <c r="U216" s="4">
        <v>0.3</v>
      </c>
      <c r="V216" s="4">
        <v>0.05</v>
      </c>
      <c r="W216" s="4">
        <v>1</v>
      </c>
      <c r="X216" s="4">
        <v>19.100000000000001</v>
      </c>
      <c r="Y216" s="4">
        <v>0</v>
      </c>
      <c r="Z216" s="4">
        <v>1.5</v>
      </c>
      <c r="AA216" s="4">
        <v>139</v>
      </c>
      <c r="AB216" s="4">
        <v>12.1</v>
      </c>
      <c r="AC216" s="4">
        <v>19.5</v>
      </c>
      <c r="AD216" s="3" t="s">
        <v>42</v>
      </c>
      <c r="AE216" s="3" t="s">
        <v>61</v>
      </c>
      <c r="AF216" s="17">
        <f>HLOOKUP(AD216,Data!$B$4:$M$9,2,0)</f>
        <v>13</v>
      </c>
      <c r="AG216" s="17">
        <f>HLOOKUP(AD216,Data!$B$4:$M$9,3,0)</f>
        <v>1</v>
      </c>
      <c r="AH216" s="17">
        <f>HLOOKUP(AE216,Data!$B$13:$I$18,3,0)</f>
        <v>260</v>
      </c>
      <c r="AI216" s="18">
        <f t="shared" si="192"/>
        <v>1.44</v>
      </c>
      <c r="AJ216" s="17">
        <f t="shared" si="193"/>
        <v>0.28799999999999998</v>
      </c>
      <c r="AK216" s="17">
        <f t="shared" si="194"/>
        <v>0.28799999999999998</v>
      </c>
      <c r="AL216" s="17">
        <f t="shared" si="195"/>
        <v>0.25</v>
      </c>
      <c r="AM216" s="17">
        <f t="shared" si="196"/>
        <v>0.49</v>
      </c>
      <c r="AN216" s="17">
        <f t="shared" si="197"/>
        <v>0.49</v>
      </c>
      <c r="AO216" s="17">
        <f t="shared" si="198"/>
        <v>0.49</v>
      </c>
      <c r="AP216" s="17">
        <f t="shared" si="199"/>
        <v>0.49</v>
      </c>
      <c r="AQ216" s="17">
        <f t="shared" si="200"/>
        <v>1.88</v>
      </c>
      <c r="AR216" s="17">
        <f t="shared" si="201"/>
        <v>0.92159999999999997</v>
      </c>
      <c r="AS216" s="17">
        <f t="shared" si="202"/>
        <v>32.361733443763399</v>
      </c>
      <c r="AT216" s="17">
        <f t="shared" si="203"/>
        <v>-4.4272909445295401</v>
      </c>
      <c r="AU216" s="17">
        <f t="shared" si="204"/>
        <v>-7.7709910858425504</v>
      </c>
      <c r="AV216" s="17">
        <f t="shared" si="205"/>
        <v>27.6832916944084</v>
      </c>
      <c r="AW216" s="17">
        <f t="shared" si="206"/>
        <v>-3.7140974971229399</v>
      </c>
      <c r="AX216" s="17">
        <f t="shared" si="207"/>
        <v>-6.5099444246411799</v>
      </c>
      <c r="AY216" s="17">
        <f t="shared" si="208"/>
        <v>85.428571941405394</v>
      </c>
      <c r="AZ216" s="17">
        <f t="shared" si="209"/>
        <v>0.71828006382146403</v>
      </c>
      <c r="BA216" s="17">
        <f t="shared" si="210"/>
        <v>43.073426002613402</v>
      </c>
      <c r="BB216" s="17">
        <f t="shared" si="211"/>
        <v>75.324653682797901</v>
      </c>
      <c r="BC216" s="17">
        <f t="shared" si="212"/>
        <v>4.3243625594359596</v>
      </c>
      <c r="BD216" s="17">
        <f t="shared" si="213"/>
        <v>39.824508121116899</v>
      </c>
      <c r="BE216" s="17" t="str">
        <f>IF(AND(BD216&lt;=AA216,BB216&lt;=AA216*MongDon!$J$44,BC216&gt;0),"Ok","FAIL")</f>
        <v>Ok</v>
      </c>
      <c r="BF216" s="17">
        <f t="shared" si="214"/>
        <v>78.730971901199297</v>
      </c>
      <c r="BG216" s="17">
        <f t="shared" si="215"/>
        <v>352.5</v>
      </c>
      <c r="BH216" s="17" t="str">
        <f t="shared" si="216"/>
        <v>Ok</v>
      </c>
      <c r="BI216" s="17">
        <f t="shared" si="217"/>
        <v>16.832437633282201</v>
      </c>
      <c r="BJ216" s="17">
        <f t="shared" si="218"/>
        <v>4.6341556029101296</v>
      </c>
      <c r="BK216" s="17">
        <f t="shared" si="219"/>
        <v>7.9778557442231302</v>
      </c>
      <c r="BL216" s="17">
        <f t="shared" si="220"/>
        <v>20.176137774595201</v>
      </c>
      <c r="BM216" s="17">
        <f t="shared" si="221"/>
        <v>88.125</v>
      </c>
      <c r="BN216" s="17">
        <f t="shared" si="222"/>
        <v>88.125</v>
      </c>
      <c r="BO216" s="17">
        <f t="shared" si="223"/>
        <v>88.125</v>
      </c>
      <c r="BP216" s="17">
        <f t="shared" si="224"/>
        <v>88.125</v>
      </c>
      <c r="BQ216" s="17" t="str">
        <f t="shared" si="225"/>
        <v>Ok</v>
      </c>
      <c r="BR216" s="17">
        <f t="shared" si="226"/>
        <v>35.017754506864101</v>
      </c>
      <c r="BS216" s="17">
        <f t="shared" si="227"/>
        <v>7.5401429307369199</v>
      </c>
      <c r="BT216" s="16">
        <f>MongDon!$H$80</f>
        <v>1.2</v>
      </c>
      <c r="BU216" s="17" t="str">
        <f t="shared" si="228"/>
        <v>Ok</v>
      </c>
      <c r="BV216" s="17">
        <f t="shared" si="229"/>
        <v>4.6222469784706401</v>
      </c>
      <c r="BW216" s="16">
        <f>MongDon!$F$86</f>
        <v>1.5</v>
      </c>
      <c r="BX216" s="17" t="str">
        <f t="shared" si="230"/>
        <v>Ok</v>
      </c>
      <c r="BY216" s="17">
        <f t="shared" si="231"/>
        <v>85.428571941405394</v>
      </c>
      <c r="BZ216" s="17">
        <f t="shared" si="232"/>
        <v>31.4633560674989</v>
      </c>
      <c r="CA216" s="17">
        <f t="shared" si="233"/>
        <v>0.71828006382146004</v>
      </c>
      <c r="CB216" s="17">
        <f t="shared" si="234"/>
        <v>54.683495937727997</v>
      </c>
      <c r="CC216" s="17">
        <f t="shared" si="235"/>
        <v>40.944913181175799</v>
      </c>
      <c r="CD216" s="17">
        <f t="shared" si="236"/>
        <v>50.838536091392001</v>
      </c>
      <c r="CE216" s="17">
        <f t="shared" si="237"/>
        <v>50.838536091392001</v>
      </c>
      <c r="CF216" s="17">
        <f t="shared" si="238"/>
        <v>45.201938824051098</v>
      </c>
      <c r="CG216" s="17">
        <f t="shared" si="239"/>
        <v>8.8715221269676796</v>
      </c>
      <c r="CH216" s="17">
        <f t="shared" si="240"/>
        <v>8.8715221269676796</v>
      </c>
      <c r="CI216" s="17">
        <f t="shared" si="241"/>
        <v>250</v>
      </c>
      <c r="CJ216" s="17">
        <f t="shared" si="242"/>
        <v>250</v>
      </c>
    </row>
    <row r="217" spans="2:88">
      <c r="B217" s="3">
        <v>286</v>
      </c>
      <c r="C217" s="3" t="s">
        <v>26</v>
      </c>
      <c r="D217" s="4">
        <v>0.62620556411609896</v>
      </c>
      <c r="E217" s="4">
        <v>-0.52976656769861896</v>
      </c>
      <c r="F217" s="4">
        <v>30.353974821331601</v>
      </c>
      <c r="G217" s="4">
        <v>1.1185970679198201</v>
      </c>
      <c r="H217" s="4">
        <v>2.6934165874063001</v>
      </c>
      <c r="I217" s="4" t="s">
        <v>16</v>
      </c>
      <c r="J217" s="4">
        <v>0.49512201772922598</v>
      </c>
      <c r="K217" s="4">
        <v>-0.42603248680693101</v>
      </c>
      <c r="L217" s="4">
        <v>26.010159509048599</v>
      </c>
      <c r="M217" s="4">
        <v>0.91210774246744297</v>
      </c>
      <c r="N217" s="4">
        <v>2.2184100887764502</v>
      </c>
      <c r="O217" s="4">
        <v>1.2</v>
      </c>
      <c r="P217" s="4">
        <v>1.2</v>
      </c>
      <c r="Q217" s="4">
        <v>0.22</v>
      </c>
      <c r="R217" s="4">
        <v>0.22</v>
      </c>
      <c r="S217" s="4">
        <v>0</v>
      </c>
      <c r="T217" s="4">
        <v>0</v>
      </c>
      <c r="U217" s="4">
        <v>0.3</v>
      </c>
      <c r="V217" s="4">
        <v>0.05</v>
      </c>
      <c r="W217" s="4">
        <v>1</v>
      </c>
      <c r="X217" s="4">
        <v>19.100000000000001</v>
      </c>
      <c r="Y217" s="4">
        <v>0</v>
      </c>
      <c r="Z217" s="4">
        <v>1.5</v>
      </c>
      <c r="AA217" s="4">
        <v>139</v>
      </c>
      <c r="AB217" s="4">
        <v>12.1</v>
      </c>
      <c r="AC217" s="4">
        <v>19.5</v>
      </c>
      <c r="AD217" s="3" t="s">
        <v>42</v>
      </c>
      <c r="AE217" s="3" t="s">
        <v>61</v>
      </c>
      <c r="AF217" s="17">
        <f>HLOOKUP(AD217,Data!$B$4:$M$9,2,0)</f>
        <v>13</v>
      </c>
      <c r="AG217" s="17">
        <f>HLOOKUP(AD217,Data!$B$4:$M$9,3,0)</f>
        <v>1</v>
      </c>
      <c r="AH217" s="17">
        <f>HLOOKUP(AE217,Data!$B$13:$I$18,3,0)</f>
        <v>260</v>
      </c>
      <c r="AI217" s="18">
        <f t="shared" si="192"/>
        <v>1.44</v>
      </c>
      <c r="AJ217" s="17">
        <f t="shared" si="193"/>
        <v>0.28799999999999998</v>
      </c>
      <c r="AK217" s="17">
        <f t="shared" si="194"/>
        <v>0.28799999999999998</v>
      </c>
      <c r="AL217" s="17">
        <f t="shared" si="195"/>
        <v>0.25</v>
      </c>
      <c r="AM217" s="17">
        <f t="shared" si="196"/>
        <v>0.49</v>
      </c>
      <c r="AN217" s="17">
        <f t="shared" si="197"/>
        <v>0.49</v>
      </c>
      <c r="AO217" s="17">
        <f t="shared" si="198"/>
        <v>0.49</v>
      </c>
      <c r="AP217" s="17">
        <f t="shared" si="199"/>
        <v>0.49</v>
      </c>
      <c r="AQ217" s="17">
        <f t="shared" si="200"/>
        <v>1.88</v>
      </c>
      <c r="AR217" s="17">
        <f t="shared" si="201"/>
        <v>0.92159999999999997</v>
      </c>
      <c r="AS217" s="17">
        <f t="shared" si="202"/>
        <v>30.353974821331601</v>
      </c>
      <c r="AT217" s="17">
        <f t="shared" si="203"/>
        <v>1.2775270382294099</v>
      </c>
      <c r="AU217" s="17">
        <f t="shared" si="204"/>
        <v>2.8812782566411301</v>
      </c>
      <c r="AV217" s="17">
        <f t="shared" si="205"/>
        <v>26.010159509048599</v>
      </c>
      <c r="AW217" s="17">
        <f t="shared" si="206"/>
        <v>1.0399174885095199</v>
      </c>
      <c r="AX217" s="17">
        <f t="shared" si="207"/>
        <v>2.36694669409522</v>
      </c>
      <c r="AY217" s="17">
        <f t="shared" si="208"/>
        <v>56.119445344225198</v>
      </c>
      <c r="AZ217" s="17">
        <f t="shared" si="209"/>
        <v>27.238853018735401</v>
      </c>
      <c r="BA217" s="17">
        <f t="shared" si="210"/>
        <v>41.679149181480298</v>
      </c>
      <c r="BB217" s="17">
        <f t="shared" si="211"/>
        <v>50.492000293105797</v>
      </c>
      <c r="BC217" s="17">
        <f t="shared" si="212"/>
        <v>26.8332212472395</v>
      </c>
      <c r="BD217" s="17">
        <f t="shared" si="213"/>
        <v>38.662610770172698</v>
      </c>
      <c r="BE217" s="17" t="str">
        <f>IF(AND(BD217&lt;=AA217,BB217&lt;=AA217*MongDon!$J$44,BC217&gt;0),"Ok","FAIL")</f>
        <v>Ok</v>
      </c>
      <c r="BF217" s="17">
        <f t="shared" si="214"/>
        <v>51.719680829238001</v>
      </c>
      <c r="BG217" s="17">
        <f t="shared" si="215"/>
        <v>352.5</v>
      </c>
      <c r="BH217" s="17" t="str">
        <f t="shared" si="216"/>
        <v>Ok</v>
      </c>
      <c r="BI217" s="17">
        <f t="shared" si="217"/>
        <v>10.726067926036899</v>
      </c>
      <c r="BJ217" s="17">
        <f t="shared" si="218"/>
        <v>14.884873220907499</v>
      </c>
      <c r="BK217" s="17">
        <f t="shared" si="219"/>
        <v>13.2811220024957</v>
      </c>
      <c r="BL217" s="17">
        <f t="shared" si="220"/>
        <v>9.1223167076252007</v>
      </c>
      <c r="BM217" s="17">
        <f t="shared" si="221"/>
        <v>88.125</v>
      </c>
      <c r="BN217" s="17">
        <f t="shared" si="222"/>
        <v>88.125</v>
      </c>
      <c r="BO217" s="17">
        <f t="shared" si="223"/>
        <v>88.125</v>
      </c>
      <c r="BP217" s="17">
        <f t="shared" si="224"/>
        <v>88.125</v>
      </c>
      <c r="BQ217" s="17" t="str">
        <f t="shared" si="225"/>
        <v>Ok</v>
      </c>
      <c r="BR217" s="17">
        <f t="shared" si="226"/>
        <v>34.587328353837499</v>
      </c>
      <c r="BS217" s="17">
        <f t="shared" si="227"/>
        <v>55.233185930978202</v>
      </c>
      <c r="BT217" s="16">
        <f>MongDon!$H$80</f>
        <v>1.2</v>
      </c>
      <c r="BU217" s="17" t="str">
        <f t="shared" si="228"/>
        <v>Ok</v>
      </c>
      <c r="BV217" s="17">
        <f t="shared" si="229"/>
        <v>12.048397204533799</v>
      </c>
      <c r="BW217" s="16">
        <f>MongDon!$F$86</f>
        <v>1.5</v>
      </c>
      <c r="BX217" s="17" t="str">
        <f t="shared" si="230"/>
        <v>Ok</v>
      </c>
      <c r="BY217" s="17">
        <f t="shared" si="231"/>
        <v>27.238853018735401</v>
      </c>
      <c r="BZ217" s="17">
        <f t="shared" si="232"/>
        <v>47.247729800965502</v>
      </c>
      <c r="CA217" s="17">
        <f t="shared" si="233"/>
        <v>56.119445344225198</v>
      </c>
      <c r="CB217" s="17">
        <f t="shared" si="234"/>
        <v>36.110568561995201</v>
      </c>
      <c r="CC217" s="17">
        <f t="shared" si="235"/>
        <v>44.326536811316899</v>
      </c>
      <c r="CD217" s="17">
        <f t="shared" si="236"/>
        <v>40.658242734574699</v>
      </c>
      <c r="CE217" s="17">
        <f t="shared" si="237"/>
        <v>42.700055628385897</v>
      </c>
      <c r="CF217" s="17">
        <f t="shared" si="238"/>
        <v>44.326536811316899</v>
      </c>
      <c r="CG217" s="17">
        <f t="shared" si="239"/>
        <v>6.2652265237823599</v>
      </c>
      <c r="CH217" s="17">
        <f t="shared" si="240"/>
        <v>6.2652265237823599</v>
      </c>
      <c r="CI217" s="17">
        <f t="shared" si="241"/>
        <v>250</v>
      </c>
      <c r="CJ217" s="17">
        <f t="shared" si="242"/>
        <v>250</v>
      </c>
    </row>
    <row r="218" spans="2:88">
      <c r="B218" s="3">
        <v>286</v>
      </c>
      <c r="C218" s="3" t="s">
        <v>27</v>
      </c>
      <c r="D218" s="4">
        <v>0.79431230140769304</v>
      </c>
      <c r="E218" s="4">
        <v>3.2464860347410398</v>
      </c>
      <c r="F218" s="4">
        <v>26.754486058631901</v>
      </c>
      <c r="G218" s="4">
        <v>-4.8383574214307297</v>
      </c>
      <c r="H218" s="4">
        <v>3.0091909019318801</v>
      </c>
      <c r="I218" s="4" t="s">
        <v>17</v>
      </c>
      <c r="J218" s="4">
        <v>0.635210965472221</v>
      </c>
      <c r="K218" s="4">
        <v>2.7208446818927898</v>
      </c>
      <c r="L218" s="4">
        <v>23.010585540132201</v>
      </c>
      <c r="M218" s="4">
        <v>-4.05202099865802</v>
      </c>
      <c r="N218" s="4">
        <v>2.4815553508810999</v>
      </c>
      <c r="O218" s="4">
        <v>1.2</v>
      </c>
      <c r="P218" s="4">
        <v>1.2</v>
      </c>
      <c r="Q218" s="4">
        <v>0.22</v>
      </c>
      <c r="R218" s="4">
        <v>0.22</v>
      </c>
      <c r="S218" s="4">
        <v>0</v>
      </c>
      <c r="T218" s="4">
        <v>0</v>
      </c>
      <c r="U218" s="4">
        <v>0.3</v>
      </c>
      <c r="V218" s="4">
        <v>0.05</v>
      </c>
      <c r="W218" s="4">
        <v>1</v>
      </c>
      <c r="X218" s="4">
        <v>19.100000000000001</v>
      </c>
      <c r="Y218" s="4">
        <v>0</v>
      </c>
      <c r="Z218" s="4">
        <v>1.5</v>
      </c>
      <c r="AA218" s="4">
        <v>139</v>
      </c>
      <c r="AB218" s="4">
        <v>12.1</v>
      </c>
      <c r="AC218" s="4">
        <v>19.5</v>
      </c>
      <c r="AD218" s="3" t="s">
        <v>42</v>
      </c>
      <c r="AE218" s="3" t="s">
        <v>61</v>
      </c>
      <c r="AF218" s="17">
        <f>HLOOKUP(AD218,Data!$B$4:$M$9,2,0)</f>
        <v>13</v>
      </c>
      <c r="AG218" s="17">
        <f>HLOOKUP(AD218,Data!$B$4:$M$9,3,0)</f>
        <v>1</v>
      </c>
      <c r="AH218" s="17">
        <f>HLOOKUP(AE218,Data!$B$13:$I$18,3,0)</f>
        <v>260</v>
      </c>
      <c r="AI218" s="18">
        <f t="shared" si="192"/>
        <v>1.44</v>
      </c>
      <c r="AJ218" s="17">
        <f t="shared" si="193"/>
        <v>0.28799999999999998</v>
      </c>
      <c r="AK218" s="17">
        <f t="shared" si="194"/>
        <v>0.28799999999999998</v>
      </c>
      <c r="AL218" s="17">
        <f t="shared" si="195"/>
        <v>0.25</v>
      </c>
      <c r="AM218" s="17">
        <f t="shared" si="196"/>
        <v>0.49</v>
      </c>
      <c r="AN218" s="17">
        <f t="shared" si="197"/>
        <v>0.49</v>
      </c>
      <c r="AO218" s="17">
        <f t="shared" si="198"/>
        <v>0.49</v>
      </c>
      <c r="AP218" s="17">
        <f t="shared" si="199"/>
        <v>0.49</v>
      </c>
      <c r="AQ218" s="17">
        <f t="shared" si="200"/>
        <v>1.88</v>
      </c>
      <c r="AR218" s="17">
        <f t="shared" si="201"/>
        <v>0.92159999999999997</v>
      </c>
      <c r="AS218" s="17">
        <f t="shared" si="202"/>
        <v>26.754486058631901</v>
      </c>
      <c r="AT218" s="17">
        <f t="shared" si="203"/>
        <v>-5.8123032318530496</v>
      </c>
      <c r="AU218" s="17">
        <f t="shared" si="204"/>
        <v>3.2474845923541902</v>
      </c>
      <c r="AV218" s="17">
        <f t="shared" si="205"/>
        <v>23.010585540132201</v>
      </c>
      <c r="AW218" s="17">
        <f t="shared" si="206"/>
        <v>-4.8682744032258602</v>
      </c>
      <c r="AX218" s="17">
        <f t="shared" si="207"/>
        <v>2.6721186405227701</v>
      </c>
      <c r="AY218" s="17">
        <f t="shared" si="208"/>
        <v>70.637100819213998</v>
      </c>
      <c r="AZ218" s="17">
        <f t="shared" si="209"/>
        <v>7.7219075955526</v>
      </c>
      <c r="BA218" s="17">
        <f t="shared" si="210"/>
        <v>39.179504207383303</v>
      </c>
      <c r="BB218" s="17">
        <f t="shared" si="211"/>
        <v>62.761493582552298</v>
      </c>
      <c r="BC218" s="17">
        <f t="shared" si="212"/>
        <v>10.397653000964601</v>
      </c>
      <c r="BD218" s="17">
        <f t="shared" si="213"/>
        <v>36.5795732917585</v>
      </c>
      <c r="BE218" s="17" t="str">
        <f>IF(AND(BD218&lt;=AA218,BB218&lt;=AA218*MongDon!$J$44,BC218&gt;0),"Ok","FAIL")</f>
        <v>Ok</v>
      </c>
      <c r="BF218" s="17">
        <f t="shared" si="214"/>
        <v>65.099152114987604</v>
      </c>
      <c r="BG218" s="17">
        <f t="shared" si="215"/>
        <v>352.5</v>
      </c>
      <c r="BH218" s="17" t="str">
        <f t="shared" si="216"/>
        <v>Ok</v>
      </c>
      <c r="BI218" s="17">
        <f t="shared" si="217"/>
        <v>17.096000443579399</v>
      </c>
      <c r="BJ218" s="17">
        <f t="shared" si="218"/>
        <v>14.5311818040806</v>
      </c>
      <c r="BK218" s="17">
        <f t="shared" si="219"/>
        <v>5.4713939798733398</v>
      </c>
      <c r="BL218" s="17">
        <f t="shared" si="220"/>
        <v>8.0362126193722005</v>
      </c>
      <c r="BM218" s="17">
        <f t="shared" si="221"/>
        <v>88.125</v>
      </c>
      <c r="BN218" s="17">
        <f t="shared" si="222"/>
        <v>88.125</v>
      </c>
      <c r="BO218" s="17">
        <f t="shared" si="223"/>
        <v>88.125</v>
      </c>
      <c r="BP218" s="17">
        <f t="shared" si="224"/>
        <v>88.125</v>
      </c>
      <c r="BQ218" s="17" t="str">
        <f t="shared" si="225"/>
        <v>Ok</v>
      </c>
      <c r="BR218" s="17">
        <f t="shared" si="226"/>
        <v>33.8156648263191</v>
      </c>
      <c r="BS218" s="17">
        <f t="shared" si="227"/>
        <v>10.4160820235952</v>
      </c>
      <c r="BT218" s="16">
        <f>MongDon!$H$80</f>
        <v>1.2</v>
      </c>
      <c r="BU218" s="17" t="str">
        <f t="shared" si="228"/>
        <v>Ok</v>
      </c>
      <c r="BV218" s="17">
        <f t="shared" si="229"/>
        <v>5.6010655907916398</v>
      </c>
      <c r="BW218" s="16">
        <f>MongDon!$F$86</f>
        <v>1.5</v>
      </c>
      <c r="BX218" s="17" t="str">
        <f t="shared" si="230"/>
        <v>Ok</v>
      </c>
      <c r="BY218" s="17">
        <f t="shared" si="231"/>
        <v>48.085124483420998</v>
      </c>
      <c r="BZ218" s="17">
        <f t="shared" si="232"/>
        <v>70.637100819213998</v>
      </c>
      <c r="CA218" s="17">
        <f t="shared" si="233"/>
        <v>30.273883931345601</v>
      </c>
      <c r="CB218" s="17">
        <f t="shared" si="234"/>
        <v>7.7219075955526</v>
      </c>
      <c r="CC218" s="17">
        <f t="shared" si="235"/>
        <v>44.946730252885601</v>
      </c>
      <c r="CD218" s="17">
        <f t="shared" si="236"/>
        <v>40.812201257990203</v>
      </c>
      <c r="CE218" s="17">
        <f t="shared" si="237"/>
        <v>44.946730252885601</v>
      </c>
      <c r="CF218" s="17">
        <f t="shared" si="238"/>
        <v>37.546807156776403</v>
      </c>
      <c r="CG218" s="17">
        <f t="shared" si="239"/>
        <v>7.4519409578507299</v>
      </c>
      <c r="CH218" s="17">
        <f t="shared" si="240"/>
        <v>7.4519409578507299</v>
      </c>
      <c r="CI218" s="17">
        <f t="shared" si="241"/>
        <v>250</v>
      </c>
      <c r="CJ218" s="17">
        <f t="shared" si="242"/>
        <v>250</v>
      </c>
    </row>
    <row r="219" spans="2:88">
      <c r="B219" s="3">
        <v>286</v>
      </c>
      <c r="C219" s="3" t="s">
        <v>28</v>
      </c>
      <c r="D219" s="4">
        <v>-4.8122832242009403</v>
      </c>
      <c r="E219" s="4">
        <v>-1.2535246528361399</v>
      </c>
      <c r="F219" s="4">
        <v>35.961222206463098</v>
      </c>
      <c r="G219" s="4">
        <v>2.2864819297020702</v>
      </c>
      <c r="H219" s="4">
        <v>-6.6935124542953197</v>
      </c>
      <c r="I219" s="4" t="s">
        <v>18</v>
      </c>
      <c r="J219" s="4">
        <v>-4.0369519725349798</v>
      </c>
      <c r="K219" s="4">
        <v>-1.02916422442153</v>
      </c>
      <c r="L219" s="4">
        <v>30.682865663324801</v>
      </c>
      <c r="M219" s="4">
        <v>1.88534512728598</v>
      </c>
      <c r="N219" s="4">
        <v>-5.6040307793082302</v>
      </c>
      <c r="O219" s="4">
        <v>1.2</v>
      </c>
      <c r="P219" s="4">
        <v>1.2</v>
      </c>
      <c r="Q219" s="4">
        <v>0.22</v>
      </c>
      <c r="R219" s="4">
        <v>0.22</v>
      </c>
      <c r="S219" s="4">
        <v>0</v>
      </c>
      <c r="T219" s="4">
        <v>0</v>
      </c>
      <c r="U219" s="4">
        <v>0.3</v>
      </c>
      <c r="V219" s="4">
        <v>0.05</v>
      </c>
      <c r="W219" s="4">
        <v>1</v>
      </c>
      <c r="X219" s="4">
        <v>19.100000000000001</v>
      </c>
      <c r="Y219" s="4">
        <v>0</v>
      </c>
      <c r="Z219" s="4">
        <v>1.5</v>
      </c>
      <c r="AA219" s="4">
        <v>139</v>
      </c>
      <c r="AB219" s="4">
        <v>12.1</v>
      </c>
      <c r="AC219" s="4">
        <v>19.5</v>
      </c>
      <c r="AD219" s="3" t="s">
        <v>42</v>
      </c>
      <c r="AE219" s="3" t="s">
        <v>61</v>
      </c>
      <c r="AF219" s="17">
        <f>HLOOKUP(AD219,Data!$B$4:$M$9,2,0)</f>
        <v>13</v>
      </c>
      <c r="AG219" s="17">
        <f>HLOOKUP(AD219,Data!$B$4:$M$9,3,0)</f>
        <v>1</v>
      </c>
      <c r="AH219" s="17">
        <f>HLOOKUP(AE219,Data!$B$13:$I$18,3,0)</f>
        <v>260</v>
      </c>
      <c r="AI219" s="18">
        <f t="shared" si="192"/>
        <v>1.44</v>
      </c>
      <c r="AJ219" s="17">
        <f t="shared" si="193"/>
        <v>0.28799999999999998</v>
      </c>
      <c r="AK219" s="17">
        <f t="shared" si="194"/>
        <v>0.28799999999999998</v>
      </c>
      <c r="AL219" s="17">
        <f t="shared" si="195"/>
        <v>0.25</v>
      </c>
      <c r="AM219" s="17">
        <f t="shared" si="196"/>
        <v>0.49</v>
      </c>
      <c r="AN219" s="17">
        <f t="shared" si="197"/>
        <v>0.49</v>
      </c>
      <c r="AO219" s="17">
        <f t="shared" si="198"/>
        <v>0.49</v>
      </c>
      <c r="AP219" s="17">
        <f t="shared" si="199"/>
        <v>0.49</v>
      </c>
      <c r="AQ219" s="17">
        <f t="shared" si="200"/>
        <v>1.88</v>
      </c>
      <c r="AR219" s="17">
        <f t="shared" si="201"/>
        <v>0.92159999999999997</v>
      </c>
      <c r="AS219" s="17">
        <f t="shared" si="202"/>
        <v>35.961222206463098</v>
      </c>
      <c r="AT219" s="17">
        <f t="shared" si="203"/>
        <v>2.6625393255529102</v>
      </c>
      <c r="AU219" s="17">
        <f t="shared" si="204"/>
        <v>-8.1371974215555998</v>
      </c>
      <c r="AV219" s="17">
        <f t="shared" si="205"/>
        <v>30.682865663324801</v>
      </c>
      <c r="AW219" s="17">
        <f t="shared" si="206"/>
        <v>2.1940943946124398</v>
      </c>
      <c r="AX219" s="17">
        <f t="shared" si="207"/>
        <v>-6.8151163710687301</v>
      </c>
      <c r="AY219" s="17">
        <f t="shared" si="208"/>
        <v>83.072156904170598</v>
      </c>
      <c r="AZ219" s="17">
        <f t="shared" si="209"/>
        <v>8.0739850492503393</v>
      </c>
      <c r="BA219" s="17">
        <f t="shared" si="210"/>
        <v>45.573070976710497</v>
      </c>
      <c r="BB219" s="17">
        <f t="shared" si="211"/>
        <v>73.189527424812994</v>
      </c>
      <c r="BC219" s="17">
        <f t="shared" si="212"/>
        <v>10.625563774249301</v>
      </c>
      <c r="BD219" s="17">
        <f t="shared" si="213"/>
        <v>41.907545599531097</v>
      </c>
      <c r="BE219" s="17" t="str">
        <f>IF(AND(BD219&lt;=AA219,BB219&lt;=AA219*MongDon!$J$44,BC219&gt;0),"Ok","FAIL")</f>
        <v>Ok</v>
      </c>
      <c r="BF219" s="17">
        <f t="shared" si="214"/>
        <v>76.559299802883601</v>
      </c>
      <c r="BG219" s="17">
        <f t="shared" si="215"/>
        <v>352.5</v>
      </c>
      <c r="BH219" s="17" t="str">
        <f t="shared" si="216"/>
        <v>Ok</v>
      </c>
      <c r="BI219" s="17">
        <f t="shared" si="217"/>
        <v>10.462505115739701</v>
      </c>
      <c r="BJ219" s="17">
        <f t="shared" si="218"/>
        <v>4.9878470197370097</v>
      </c>
      <c r="BK219" s="17">
        <f t="shared" si="219"/>
        <v>15.787583766845501</v>
      </c>
      <c r="BL219" s="17">
        <f t="shared" si="220"/>
        <v>21.2622418628482</v>
      </c>
      <c r="BM219" s="17">
        <f t="shared" si="221"/>
        <v>88.125</v>
      </c>
      <c r="BN219" s="17">
        <f t="shared" si="222"/>
        <v>88.125</v>
      </c>
      <c r="BO219" s="17">
        <f t="shared" si="223"/>
        <v>88.125</v>
      </c>
      <c r="BP219" s="17">
        <f t="shared" si="224"/>
        <v>88.125</v>
      </c>
      <c r="BQ219" s="17" t="str">
        <f t="shared" si="225"/>
        <v>Ok</v>
      </c>
      <c r="BR219" s="17">
        <f t="shared" si="226"/>
        <v>35.789418034382599</v>
      </c>
      <c r="BS219" s="17">
        <f t="shared" si="227"/>
        <v>7.4370971879622196</v>
      </c>
      <c r="BT219" s="16">
        <f>MongDon!$H$80</f>
        <v>1.2</v>
      </c>
      <c r="BU219" s="17" t="str">
        <f t="shared" si="228"/>
        <v>Ok</v>
      </c>
      <c r="BV219" s="17">
        <f t="shared" si="229"/>
        <v>4.6796373924768497</v>
      </c>
      <c r="BW219" s="16">
        <f>MongDon!$F$86</f>
        <v>1.5</v>
      </c>
      <c r="BX219" s="17" t="str">
        <f t="shared" si="230"/>
        <v>Ok</v>
      </c>
      <c r="BY219" s="17">
        <f t="shared" si="231"/>
        <v>64.582300476719794</v>
      </c>
      <c r="BZ219" s="17">
        <f t="shared" si="232"/>
        <v>8.0739850492503393</v>
      </c>
      <c r="CA219" s="17">
        <f t="shared" si="233"/>
        <v>26.5638414767011</v>
      </c>
      <c r="CB219" s="17">
        <f t="shared" si="234"/>
        <v>83.072156904170598</v>
      </c>
      <c r="CC219" s="17">
        <f t="shared" si="235"/>
        <v>42.088045568375399</v>
      </c>
      <c r="CD219" s="17">
        <f t="shared" si="236"/>
        <v>52.447903396744799</v>
      </c>
      <c r="CE219" s="17">
        <f t="shared" si="237"/>
        <v>49.058096385045502</v>
      </c>
      <c r="CF219" s="17">
        <f t="shared" si="238"/>
        <v>52.447903396744799</v>
      </c>
      <c r="CG219" s="17">
        <f t="shared" si="239"/>
        <v>8.7473318918235297</v>
      </c>
      <c r="CH219" s="17">
        <f t="shared" si="240"/>
        <v>8.7473318918235297</v>
      </c>
      <c r="CI219" s="17">
        <f t="shared" si="241"/>
        <v>250</v>
      </c>
      <c r="CJ219" s="17">
        <f t="shared" si="242"/>
        <v>250</v>
      </c>
    </row>
    <row r="220" spans="2:88">
      <c r="B220" s="3">
        <v>286</v>
      </c>
      <c r="C220" s="3" t="s">
        <v>29</v>
      </c>
      <c r="D220" s="4">
        <v>-4.7209318084207901</v>
      </c>
      <c r="E220" s="4">
        <v>2.5889182906748198</v>
      </c>
      <c r="F220" s="4">
        <v>29.614474939747002</v>
      </c>
      <c r="G220" s="4">
        <v>-3.8046373487088201</v>
      </c>
      <c r="H220" s="4">
        <v>-6.6863531601821196</v>
      </c>
      <c r="I220" s="4" t="s">
        <v>19</v>
      </c>
      <c r="J220" s="4">
        <v>-3.9608257927181798</v>
      </c>
      <c r="K220" s="4">
        <v>2.1728715618376002</v>
      </c>
      <c r="L220" s="4">
        <v>25.393909607728101</v>
      </c>
      <c r="M220" s="4">
        <v>-3.1905876047230999</v>
      </c>
      <c r="N220" s="4">
        <v>-5.5980647008805704</v>
      </c>
      <c r="O220" s="4">
        <v>1.2</v>
      </c>
      <c r="P220" s="4">
        <v>1.2</v>
      </c>
      <c r="Q220" s="4">
        <v>0.22</v>
      </c>
      <c r="R220" s="4">
        <v>0.22</v>
      </c>
      <c r="S220" s="4">
        <v>0</v>
      </c>
      <c r="T220" s="4">
        <v>0</v>
      </c>
      <c r="U220" s="4">
        <v>0.3</v>
      </c>
      <c r="V220" s="4">
        <v>0.05</v>
      </c>
      <c r="W220" s="4">
        <v>1</v>
      </c>
      <c r="X220" s="4">
        <v>19.100000000000001</v>
      </c>
      <c r="Y220" s="4">
        <v>0</v>
      </c>
      <c r="Z220" s="4">
        <v>1.5</v>
      </c>
      <c r="AA220" s="4">
        <v>139</v>
      </c>
      <c r="AB220" s="4">
        <v>12.1</v>
      </c>
      <c r="AC220" s="4">
        <v>19.5</v>
      </c>
      <c r="AD220" s="3" t="s">
        <v>42</v>
      </c>
      <c r="AE220" s="3" t="s">
        <v>61</v>
      </c>
      <c r="AF220" s="17">
        <f>HLOOKUP(AD220,Data!$B$4:$M$9,2,0)</f>
        <v>13</v>
      </c>
      <c r="AG220" s="17">
        <f>HLOOKUP(AD220,Data!$B$4:$M$9,3,0)</f>
        <v>1</v>
      </c>
      <c r="AH220" s="17">
        <f>HLOOKUP(AE220,Data!$B$13:$I$18,3,0)</f>
        <v>260</v>
      </c>
      <c r="AI220" s="18">
        <f t="shared" si="192"/>
        <v>1.44</v>
      </c>
      <c r="AJ220" s="17">
        <f t="shared" si="193"/>
        <v>0.28799999999999998</v>
      </c>
      <c r="AK220" s="17">
        <f t="shared" si="194"/>
        <v>0.28799999999999998</v>
      </c>
      <c r="AL220" s="17">
        <f t="shared" si="195"/>
        <v>0.25</v>
      </c>
      <c r="AM220" s="17">
        <f t="shared" si="196"/>
        <v>0.49</v>
      </c>
      <c r="AN220" s="17">
        <f t="shared" si="197"/>
        <v>0.49</v>
      </c>
      <c r="AO220" s="17">
        <f t="shared" si="198"/>
        <v>0.49</v>
      </c>
      <c r="AP220" s="17">
        <f t="shared" si="199"/>
        <v>0.49</v>
      </c>
      <c r="AQ220" s="17">
        <f t="shared" si="200"/>
        <v>1.88</v>
      </c>
      <c r="AR220" s="17">
        <f t="shared" si="201"/>
        <v>0.92159999999999997</v>
      </c>
      <c r="AS220" s="17">
        <f t="shared" si="202"/>
        <v>29.614474939747002</v>
      </c>
      <c r="AT220" s="17">
        <f t="shared" si="203"/>
        <v>-4.5813128359112696</v>
      </c>
      <c r="AU220" s="17">
        <f t="shared" si="204"/>
        <v>-8.1026327027083607</v>
      </c>
      <c r="AV220" s="17">
        <f t="shared" si="205"/>
        <v>25.393909607728101</v>
      </c>
      <c r="AW220" s="17">
        <f t="shared" si="206"/>
        <v>-3.8424490732743801</v>
      </c>
      <c r="AX220" s="17">
        <f t="shared" si="207"/>
        <v>-6.7863124386960303</v>
      </c>
      <c r="AY220" s="17">
        <f t="shared" si="208"/>
        <v>85.207085161698004</v>
      </c>
      <c r="AZ220" s="17">
        <f t="shared" si="209"/>
        <v>-2.8758699676049599</v>
      </c>
      <c r="BA220" s="17">
        <f t="shared" si="210"/>
        <v>41.165607597046503</v>
      </c>
      <c r="BB220" s="17">
        <f t="shared" si="211"/>
        <v>75.140081366375099</v>
      </c>
      <c r="BC220" s="17">
        <f t="shared" si="212"/>
        <v>1.3292375332472699</v>
      </c>
      <c r="BD220" s="17">
        <f t="shared" si="213"/>
        <v>38.234659449811197</v>
      </c>
      <c r="BE220" s="17" t="str">
        <f>IF(AND(BD220&lt;=AA220,BB220&lt;=AA220*MongDon!$J$44,BC220&gt;0),"Ok","FAIL")</f>
        <v>Ok</v>
      </c>
      <c r="BF220" s="17">
        <f t="shared" si="214"/>
        <v>78.526849685020906</v>
      </c>
      <c r="BG220" s="17">
        <f t="shared" si="215"/>
        <v>352.5</v>
      </c>
      <c r="BH220" s="17" t="str">
        <f t="shared" si="216"/>
        <v>Ok</v>
      </c>
      <c r="BI220" s="17">
        <f t="shared" si="217"/>
        <v>16.4370078238607</v>
      </c>
      <c r="BJ220" s="17">
        <f t="shared" si="218"/>
        <v>3.75306228524104</v>
      </c>
      <c r="BK220" s="17">
        <f t="shared" si="219"/>
        <v>7.2743821520381298</v>
      </c>
      <c r="BL220" s="17">
        <f t="shared" si="220"/>
        <v>19.9583276906578</v>
      </c>
      <c r="BM220" s="17">
        <f t="shared" si="221"/>
        <v>88.125</v>
      </c>
      <c r="BN220" s="17">
        <f t="shared" si="222"/>
        <v>88.125</v>
      </c>
      <c r="BO220" s="17">
        <f t="shared" si="223"/>
        <v>88.125</v>
      </c>
      <c r="BP220" s="17">
        <f t="shared" si="224"/>
        <v>88.125</v>
      </c>
      <c r="BQ220" s="17" t="str">
        <f t="shared" si="225"/>
        <v>Ok</v>
      </c>
      <c r="BR220" s="17">
        <f t="shared" si="226"/>
        <v>34.428793315990902</v>
      </c>
      <c r="BS220" s="17">
        <f t="shared" si="227"/>
        <v>7.2927961498151301</v>
      </c>
      <c r="BT220" s="16">
        <f>MongDon!$H$80</f>
        <v>1.2</v>
      </c>
      <c r="BU220" s="17" t="str">
        <f t="shared" si="228"/>
        <v>Ok</v>
      </c>
      <c r="BV220" s="17">
        <f t="shared" si="229"/>
        <v>4.2296234102272496</v>
      </c>
      <c r="BW220" s="16">
        <f>MongDon!$F$86</f>
        <v>1.5</v>
      </c>
      <c r="BX220" s="17" t="str">
        <f t="shared" si="230"/>
        <v>Ok</v>
      </c>
      <c r="BY220" s="17">
        <f t="shared" si="231"/>
        <v>85.207085161698004</v>
      </c>
      <c r="BZ220" s="17">
        <f t="shared" si="232"/>
        <v>28.938802504001099</v>
      </c>
      <c r="CA220" s="17">
        <f t="shared" si="233"/>
        <v>-2.8758699676049799</v>
      </c>
      <c r="CB220" s="17">
        <f t="shared" si="234"/>
        <v>53.392412690092002</v>
      </c>
      <c r="CC220" s="17">
        <f t="shared" si="235"/>
        <v>38.924026663321499</v>
      </c>
      <c r="CD220" s="17">
        <f t="shared" si="236"/>
        <v>49.239878483899297</v>
      </c>
      <c r="CE220" s="17">
        <f t="shared" si="237"/>
        <v>49.239878483899297</v>
      </c>
      <c r="CF220" s="17">
        <f t="shared" si="238"/>
        <v>43.407188530771499</v>
      </c>
      <c r="CG220" s="17">
        <f t="shared" si="239"/>
        <v>8.7898228531052691</v>
      </c>
      <c r="CH220" s="17">
        <f t="shared" si="240"/>
        <v>8.7898228531052691</v>
      </c>
      <c r="CI220" s="17">
        <f t="shared" si="241"/>
        <v>250</v>
      </c>
      <c r="CJ220" s="17">
        <f t="shared" si="242"/>
        <v>250</v>
      </c>
    </row>
    <row r="221" spans="2:88">
      <c r="B221" s="3">
        <v>286</v>
      </c>
      <c r="C221" s="3" t="s">
        <v>30</v>
      </c>
      <c r="D221" s="4">
        <v>1.13504824827415</v>
      </c>
      <c r="E221" s="4">
        <v>-0.80274228410533899</v>
      </c>
      <c r="F221" s="4">
        <v>27.383632025933998</v>
      </c>
      <c r="G221" s="4">
        <v>1.5165511263670799</v>
      </c>
      <c r="H221" s="4">
        <v>3.3927076477912599</v>
      </c>
      <c r="I221" s="4" t="s">
        <v>20</v>
      </c>
      <c r="J221" s="4">
        <v>0.91915758786093504</v>
      </c>
      <c r="K221" s="4">
        <v>-0.65351225047919703</v>
      </c>
      <c r="L221" s="4">
        <v>23.534873846217199</v>
      </c>
      <c r="M221" s="4">
        <v>1.2437361245068199</v>
      </c>
      <c r="N221" s="4">
        <v>2.8011526390972499</v>
      </c>
      <c r="O221" s="4">
        <v>1.2</v>
      </c>
      <c r="P221" s="4">
        <v>1.2</v>
      </c>
      <c r="Q221" s="4">
        <v>0.22</v>
      </c>
      <c r="R221" s="4">
        <v>0.22</v>
      </c>
      <c r="S221" s="4">
        <v>0</v>
      </c>
      <c r="T221" s="4">
        <v>0</v>
      </c>
      <c r="U221" s="4">
        <v>0.3</v>
      </c>
      <c r="V221" s="4">
        <v>0.05</v>
      </c>
      <c r="W221" s="4">
        <v>1</v>
      </c>
      <c r="X221" s="4">
        <v>19.100000000000001</v>
      </c>
      <c r="Y221" s="4">
        <v>0</v>
      </c>
      <c r="Z221" s="4">
        <v>1.5</v>
      </c>
      <c r="AA221" s="4">
        <v>139</v>
      </c>
      <c r="AB221" s="4">
        <v>12.1</v>
      </c>
      <c r="AC221" s="4">
        <v>19.5</v>
      </c>
      <c r="AD221" s="3" t="s">
        <v>42</v>
      </c>
      <c r="AE221" s="3" t="s">
        <v>61</v>
      </c>
      <c r="AF221" s="17">
        <f>HLOOKUP(AD221,Data!$B$4:$M$9,2,0)</f>
        <v>13</v>
      </c>
      <c r="AG221" s="17">
        <f>HLOOKUP(AD221,Data!$B$4:$M$9,3,0)</f>
        <v>1</v>
      </c>
      <c r="AH221" s="17">
        <f>HLOOKUP(AE221,Data!$B$13:$I$18,3,0)</f>
        <v>260</v>
      </c>
      <c r="AI221" s="18">
        <f t="shared" si="192"/>
        <v>1.44</v>
      </c>
      <c r="AJ221" s="17">
        <f t="shared" si="193"/>
        <v>0.28799999999999998</v>
      </c>
      <c r="AK221" s="17">
        <f t="shared" si="194"/>
        <v>0.28799999999999998</v>
      </c>
      <c r="AL221" s="17">
        <f t="shared" si="195"/>
        <v>0.25</v>
      </c>
      <c r="AM221" s="17">
        <f t="shared" si="196"/>
        <v>0.49</v>
      </c>
      <c r="AN221" s="17">
        <f t="shared" si="197"/>
        <v>0.49</v>
      </c>
      <c r="AO221" s="17">
        <f t="shared" si="198"/>
        <v>0.49</v>
      </c>
      <c r="AP221" s="17">
        <f t="shared" si="199"/>
        <v>0.49</v>
      </c>
      <c r="AQ221" s="17">
        <f t="shared" si="200"/>
        <v>1.88</v>
      </c>
      <c r="AR221" s="17">
        <f t="shared" si="201"/>
        <v>0.92159999999999997</v>
      </c>
      <c r="AS221" s="17">
        <f t="shared" si="202"/>
        <v>27.383632025933998</v>
      </c>
      <c r="AT221" s="17">
        <f t="shared" si="203"/>
        <v>1.7573738115986799</v>
      </c>
      <c r="AU221" s="17">
        <f t="shared" si="204"/>
        <v>3.7332221222734998</v>
      </c>
      <c r="AV221" s="17">
        <f t="shared" si="205"/>
        <v>23.534873846217199</v>
      </c>
      <c r="AW221" s="17">
        <f t="shared" si="206"/>
        <v>1.43978979965058</v>
      </c>
      <c r="AX221" s="17">
        <f t="shared" si="207"/>
        <v>3.0768999154555301</v>
      </c>
      <c r="AY221" s="17">
        <f t="shared" si="208"/>
        <v>58.680980343954801</v>
      </c>
      <c r="AZ221" s="17">
        <f t="shared" si="209"/>
        <v>20.5518419142869</v>
      </c>
      <c r="BA221" s="17">
        <f t="shared" si="210"/>
        <v>39.616411129120799</v>
      </c>
      <c r="BB221" s="17">
        <f t="shared" si="211"/>
        <v>52.626612792880401</v>
      </c>
      <c r="BC221" s="17">
        <f t="shared" si="212"/>
        <v>21.2607119935324</v>
      </c>
      <c r="BD221" s="17">
        <f t="shared" si="213"/>
        <v>36.943662393206402</v>
      </c>
      <c r="BE221" s="17" t="str">
        <f>IF(AND(BD221&lt;=AA221,BB221&lt;=AA221*MongDon!$J$44,BC221&gt;0),"Ok","FAIL")</f>
        <v>Ok</v>
      </c>
      <c r="BF221" s="17">
        <f t="shared" si="214"/>
        <v>54.080391484988702</v>
      </c>
      <c r="BG221" s="17">
        <f t="shared" si="215"/>
        <v>352.5</v>
      </c>
      <c r="BH221" s="17" t="str">
        <f t="shared" si="216"/>
        <v>Ok</v>
      </c>
      <c r="BI221" s="17">
        <f t="shared" si="217"/>
        <v>9.6521525935881201</v>
      </c>
      <c r="BJ221" s="17">
        <f t="shared" si="218"/>
        <v>15.1427485274603</v>
      </c>
      <c r="BK221" s="17">
        <f t="shared" si="219"/>
        <v>13.1669002167855</v>
      </c>
      <c r="BL221" s="17">
        <f t="shared" si="220"/>
        <v>7.6763042829132901</v>
      </c>
      <c r="BM221" s="17">
        <f t="shared" si="221"/>
        <v>88.125</v>
      </c>
      <c r="BN221" s="17">
        <f t="shared" si="222"/>
        <v>88.125</v>
      </c>
      <c r="BO221" s="17">
        <f t="shared" si="223"/>
        <v>88.125</v>
      </c>
      <c r="BP221" s="17">
        <f t="shared" si="224"/>
        <v>88.125</v>
      </c>
      <c r="BQ221" s="17" t="str">
        <f t="shared" si="225"/>
        <v>Ok</v>
      </c>
      <c r="BR221" s="17">
        <f t="shared" si="226"/>
        <v>33.950542034850301</v>
      </c>
      <c r="BS221" s="17">
        <f t="shared" si="227"/>
        <v>29.911100331172999</v>
      </c>
      <c r="BT221" s="16">
        <f>MongDon!$H$80</f>
        <v>1.2</v>
      </c>
      <c r="BU221" s="17" t="str">
        <f t="shared" si="228"/>
        <v>Ok</v>
      </c>
      <c r="BV221" s="17">
        <f t="shared" si="229"/>
        <v>8.8214893560913197</v>
      </c>
      <c r="BW221" s="16">
        <f>MongDon!$F$86</f>
        <v>1.5</v>
      </c>
      <c r="BX221" s="17" t="str">
        <f t="shared" si="230"/>
        <v>Ok</v>
      </c>
      <c r="BY221" s="17">
        <f t="shared" si="231"/>
        <v>20.551841914286801</v>
      </c>
      <c r="BZ221" s="17">
        <f t="shared" si="232"/>
        <v>46.476995541186199</v>
      </c>
      <c r="CA221" s="17">
        <f t="shared" si="233"/>
        <v>58.680980343954801</v>
      </c>
      <c r="CB221" s="17">
        <f t="shared" si="234"/>
        <v>32.755826717055498</v>
      </c>
      <c r="CC221" s="17">
        <f t="shared" si="235"/>
        <v>43.111582151840402</v>
      </c>
      <c r="CD221" s="17">
        <f t="shared" si="236"/>
        <v>38.358637320242202</v>
      </c>
      <c r="CE221" s="17">
        <f t="shared" si="237"/>
        <v>40.874184937999502</v>
      </c>
      <c r="CF221" s="17">
        <f t="shared" si="238"/>
        <v>43.111582151840402</v>
      </c>
      <c r="CG221" s="17">
        <f t="shared" si="239"/>
        <v>6.4216162726373298</v>
      </c>
      <c r="CH221" s="17">
        <f t="shared" si="240"/>
        <v>6.4216162726373298</v>
      </c>
      <c r="CI221" s="17">
        <f t="shared" si="241"/>
        <v>250</v>
      </c>
      <c r="CJ221" s="17">
        <f t="shared" si="242"/>
        <v>250</v>
      </c>
    </row>
    <row r="222" spans="2:88">
      <c r="B222" s="3">
        <v>286</v>
      </c>
      <c r="C222" s="3" t="s">
        <v>31</v>
      </c>
      <c r="D222" s="4">
        <v>1.3218335119314799</v>
      </c>
      <c r="E222" s="4">
        <v>3.3930939408276202</v>
      </c>
      <c r="F222" s="4">
        <v>23.3842000673787</v>
      </c>
      <c r="G222" s="4">
        <v>-5.10228719513354</v>
      </c>
      <c r="H222" s="4">
        <v>3.7435679972641198</v>
      </c>
      <c r="I222" s="4" t="s">
        <v>21</v>
      </c>
      <c r="J222" s="4">
        <v>1.0748119742420399</v>
      </c>
      <c r="K222" s="4">
        <v>2.8430179369649302</v>
      </c>
      <c r="L222" s="4">
        <v>20.2020138807545</v>
      </c>
      <c r="M222" s="4">
        <v>-4.2719624767436999</v>
      </c>
      <c r="N222" s="4">
        <v>3.09353626365797</v>
      </c>
      <c r="O222" s="4">
        <v>1.2</v>
      </c>
      <c r="P222" s="4">
        <v>1.2</v>
      </c>
      <c r="Q222" s="4">
        <v>0.22</v>
      </c>
      <c r="R222" s="4">
        <v>0.22</v>
      </c>
      <c r="S222" s="4">
        <v>0</v>
      </c>
      <c r="T222" s="4">
        <v>0</v>
      </c>
      <c r="U222" s="4">
        <v>0.3</v>
      </c>
      <c r="V222" s="4">
        <v>0.05</v>
      </c>
      <c r="W222" s="4">
        <v>1</v>
      </c>
      <c r="X222" s="4">
        <v>19.100000000000001</v>
      </c>
      <c r="Y222" s="4">
        <v>0</v>
      </c>
      <c r="Z222" s="4">
        <v>1.5</v>
      </c>
      <c r="AA222" s="4">
        <v>139</v>
      </c>
      <c r="AB222" s="4">
        <v>12.1</v>
      </c>
      <c r="AC222" s="4">
        <v>19.5</v>
      </c>
      <c r="AD222" s="3" t="s">
        <v>42</v>
      </c>
      <c r="AE222" s="3" t="s">
        <v>61</v>
      </c>
      <c r="AF222" s="17">
        <f>HLOOKUP(AD222,Data!$B$4:$M$9,2,0)</f>
        <v>13</v>
      </c>
      <c r="AG222" s="17">
        <f>HLOOKUP(AD222,Data!$B$4:$M$9,3,0)</f>
        <v>1</v>
      </c>
      <c r="AH222" s="17">
        <f>HLOOKUP(AE222,Data!$B$13:$I$18,3,0)</f>
        <v>260</v>
      </c>
      <c r="AI222" s="18">
        <f t="shared" si="192"/>
        <v>1.44</v>
      </c>
      <c r="AJ222" s="17">
        <f t="shared" si="193"/>
        <v>0.28799999999999998</v>
      </c>
      <c r="AK222" s="17">
        <f t="shared" si="194"/>
        <v>0.28799999999999998</v>
      </c>
      <c r="AL222" s="17">
        <f t="shared" si="195"/>
        <v>0.25</v>
      </c>
      <c r="AM222" s="17">
        <f t="shared" si="196"/>
        <v>0.49</v>
      </c>
      <c r="AN222" s="17">
        <f t="shared" si="197"/>
        <v>0.49</v>
      </c>
      <c r="AO222" s="17">
        <f t="shared" si="198"/>
        <v>0.49</v>
      </c>
      <c r="AP222" s="17">
        <f t="shared" si="199"/>
        <v>0.49</v>
      </c>
      <c r="AQ222" s="17">
        <f t="shared" si="200"/>
        <v>1.88</v>
      </c>
      <c r="AR222" s="17">
        <f t="shared" si="201"/>
        <v>0.92159999999999997</v>
      </c>
      <c r="AS222" s="17">
        <f t="shared" si="202"/>
        <v>23.3842000673787</v>
      </c>
      <c r="AT222" s="17">
        <f t="shared" si="203"/>
        <v>-6.1202153773818297</v>
      </c>
      <c r="AU222" s="17">
        <f t="shared" si="204"/>
        <v>4.1401180508435704</v>
      </c>
      <c r="AV222" s="17">
        <f t="shared" si="205"/>
        <v>20.2020138807545</v>
      </c>
      <c r="AW222" s="17">
        <f t="shared" si="206"/>
        <v>-5.1248678578331797</v>
      </c>
      <c r="AX222" s="17">
        <f t="shared" si="207"/>
        <v>3.4159798559305798</v>
      </c>
      <c r="AY222" s="17">
        <f t="shared" si="208"/>
        <v>72.465185561462306</v>
      </c>
      <c r="AZ222" s="17">
        <f t="shared" si="209"/>
        <v>1.2128700876748399</v>
      </c>
      <c r="BA222" s="17">
        <f t="shared" si="210"/>
        <v>36.839027824568603</v>
      </c>
      <c r="BB222" s="17">
        <f t="shared" si="211"/>
        <v>64.284897534425895</v>
      </c>
      <c r="BC222" s="17">
        <f t="shared" si="212"/>
        <v>4.9734550777331599</v>
      </c>
      <c r="BD222" s="17">
        <f t="shared" si="213"/>
        <v>34.629176306079501</v>
      </c>
      <c r="BE222" s="17" t="str">
        <f>IF(AND(BD222&lt;=AA222,BB222&lt;=AA222*MongDon!$J$44,BC222&gt;0),"Ok","FAIL")</f>
        <v>Ok</v>
      </c>
      <c r="BF222" s="17">
        <f t="shared" si="214"/>
        <v>66.783915013443703</v>
      </c>
      <c r="BG222" s="17">
        <f t="shared" si="215"/>
        <v>352.5</v>
      </c>
      <c r="BH222" s="17" t="str">
        <f t="shared" si="216"/>
        <v>Ok</v>
      </c>
      <c r="BI222" s="17">
        <f t="shared" si="217"/>
        <v>16.729855390857601</v>
      </c>
      <c r="BJ222" s="17">
        <f t="shared" si="218"/>
        <v>14.7497580643193</v>
      </c>
      <c r="BK222" s="17">
        <f t="shared" si="219"/>
        <v>4.4894246360939203</v>
      </c>
      <c r="BL222" s="17">
        <f t="shared" si="220"/>
        <v>6.4695219626321796</v>
      </c>
      <c r="BM222" s="17">
        <f t="shared" si="221"/>
        <v>88.125</v>
      </c>
      <c r="BN222" s="17">
        <f t="shared" si="222"/>
        <v>88.125</v>
      </c>
      <c r="BO222" s="17">
        <f t="shared" si="223"/>
        <v>88.125</v>
      </c>
      <c r="BP222" s="17">
        <f t="shared" si="224"/>
        <v>88.125</v>
      </c>
      <c r="BQ222" s="17" t="str">
        <f t="shared" si="225"/>
        <v>Ok</v>
      </c>
      <c r="BR222" s="17">
        <f t="shared" si="226"/>
        <v>33.093138115385301</v>
      </c>
      <c r="BS222" s="17">
        <f t="shared" si="227"/>
        <v>9.7530863254889599</v>
      </c>
      <c r="BT222" s="16">
        <f>MongDon!$H$80</f>
        <v>1.2</v>
      </c>
      <c r="BU222" s="17" t="str">
        <f t="shared" si="228"/>
        <v>Ok</v>
      </c>
      <c r="BV222" s="17">
        <f t="shared" si="229"/>
        <v>4.9888636522933796</v>
      </c>
      <c r="BW222" s="16">
        <f>MongDon!$F$86</f>
        <v>1.5</v>
      </c>
      <c r="BX222" s="17" t="str">
        <f t="shared" si="230"/>
        <v>Ok</v>
      </c>
      <c r="BY222" s="17">
        <f t="shared" si="231"/>
        <v>43.714365763937501</v>
      </c>
      <c r="BZ222" s="17">
        <f t="shared" si="232"/>
        <v>72.465185561462306</v>
      </c>
      <c r="CA222" s="17">
        <f t="shared" si="233"/>
        <v>29.963689885199599</v>
      </c>
      <c r="CB222" s="17">
        <f t="shared" si="234"/>
        <v>1.21287008767483</v>
      </c>
      <c r="CC222" s="17">
        <f t="shared" si="235"/>
        <v>43.370490076332402</v>
      </c>
      <c r="CD222" s="17">
        <f t="shared" si="236"/>
        <v>38.099506446786201</v>
      </c>
      <c r="CE222" s="17">
        <f t="shared" si="237"/>
        <v>43.370490076332402</v>
      </c>
      <c r="CF222" s="17">
        <f t="shared" si="238"/>
        <v>35.578549202350899</v>
      </c>
      <c r="CG222" s="17">
        <f t="shared" si="239"/>
        <v>7.5351727956569396</v>
      </c>
      <c r="CH222" s="17">
        <f t="shared" si="240"/>
        <v>7.5351727956569396</v>
      </c>
      <c r="CI222" s="17">
        <f t="shared" si="241"/>
        <v>250</v>
      </c>
      <c r="CJ222" s="17">
        <f t="shared" si="242"/>
        <v>250</v>
      </c>
    </row>
    <row r="223" spans="2:88">
      <c r="B223" s="3">
        <v>286</v>
      </c>
      <c r="C223" s="3" t="s">
        <v>32</v>
      </c>
      <c r="D223" s="4">
        <v>-4.9077170720781202</v>
      </c>
      <c r="E223" s="4">
        <v>-1.6069179342581399</v>
      </c>
      <c r="F223" s="4">
        <v>33.613906898302197</v>
      </c>
      <c r="G223" s="4">
        <v>2.8142009727918</v>
      </c>
      <c r="H223" s="4">
        <v>-7.0372135096549897</v>
      </c>
      <c r="I223" s="4" t="s">
        <v>22</v>
      </c>
      <c r="J223" s="4">
        <v>-4.1164801790992902</v>
      </c>
      <c r="K223" s="4">
        <v>-1.3236586256065299</v>
      </c>
      <c r="L223" s="4">
        <v>28.726769573190801</v>
      </c>
      <c r="M223" s="4">
        <v>2.3251109965274201</v>
      </c>
      <c r="N223" s="4">
        <v>-5.89044832544129</v>
      </c>
      <c r="O223" s="4">
        <v>1.2</v>
      </c>
      <c r="P223" s="4">
        <v>1.2</v>
      </c>
      <c r="Q223" s="4">
        <v>0.22</v>
      </c>
      <c r="R223" s="4">
        <v>0.22</v>
      </c>
      <c r="S223" s="4">
        <v>0</v>
      </c>
      <c r="T223" s="4">
        <v>0</v>
      </c>
      <c r="U223" s="4">
        <v>0.3</v>
      </c>
      <c r="V223" s="4">
        <v>0.05</v>
      </c>
      <c r="W223" s="4">
        <v>1</v>
      </c>
      <c r="X223" s="4">
        <v>19.100000000000001</v>
      </c>
      <c r="Y223" s="4">
        <v>0</v>
      </c>
      <c r="Z223" s="4">
        <v>1.5</v>
      </c>
      <c r="AA223" s="4">
        <v>139</v>
      </c>
      <c r="AB223" s="4">
        <v>12.1</v>
      </c>
      <c r="AC223" s="4">
        <v>19.5</v>
      </c>
      <c r="AD223" s="3" t="s">
        <v>42</v>
      </c>
      <c r="AE223" s="3" t="s">
        <v>61</v>
      </c>
      <c r="AF223" s="17">
        <f>HLOOKUP(AD223,Data!$B$4:$M$9,2,0)</f>
        <v>13</v>
      </c>
      <c r="AG223" s="17">
        <f>HLOOKUP(AD223,Data!$B$4:$M$9,3,0)</f>
        <v>1</v>
      </c>
      <c r="AH223" s="17">
        <f>HLOOKUP(AE223,Data!$B$13:$I$18,3,0)</f>
        <v>260</v>
      </c>
      <c r="AI223" s="18">
        <f t="shared" si="192"/>
        <v>1.44</v>
      </c>
      <c r="AJ223" s="17">
        <f t="shared" si="193"/>
        <v>0.28799999999999998</v>
      </c>
      <c r="AK223" s="17">
        <f t="shared" si="194"/>
        <v>0.28799999999999998</v>
      </c>
      <c r="AL223" s="17">
        <f t="shared" si="195"/>
        <v>0.25</v>
      </c>
      <c r="AM223" s="17">
        <f t="shared" si="196"/>
        <v>0.49</v>
      </c>
      <c r="AN223" s="17">
        <f t="shared" si="197"/>
        <v>0.49</v>
      </c>
      <c r="AO223" s="17">
        <f t="shared" si="198"/>
        <v>0.49</v>
      </c>
      <c r="AP223" s="17">
        <f t="shared" si="199"/>
        <v>0.49</v>
      </c>
      <c r="AQ223" s="17">
        <f t="shared" si="200"/>
        <v>1.88</v>
      </c>
      <c r="AR223" s="17">
        <f t="shared" si="201"/>
        <v>0.92159999999999997</v>
      </c>
      <c r="AS223" s="17">
        <f t="shared" si="202"/>
        <v>33.613906898302197</v>
      </c>
      <c r="AT223" s="17">
        <f t="shared" si="203"/>
        <v>3.2962763530692398</v>
      </c>
      <c r="AU223" s="17">
        <f t="shared" si="204"/>
        <v>-8.5095286312784193</v>
      </c>
      <c r="AV223" s="17">
        <f t="shared" si="205"/>
        <v>28.726769573190801</v>
      </c>
      <c r="AW223" s="17">
        <f t="shared" si="206"/>
        <v>2.7222085842093802</v>
      </c>
      <c r="AX223" s="17">
        <f t="shared" si="207"/>
        <v>-7.12539237917108</v>
      </c>
      <c r="AY223" s="17">
        <f t="shared" si="208"/>
        <v>84.935369319472599</v>
      </c>
      <c r="AZ223" s="17">
        <f t="shared" si="209"/>
        <v>2.9506124837249601</v>
      </c>
      <c r="BA223" s="17">
        <f t="shared" si="210"/>
        <v>43.942990901598797</v>
      </c>
      <c r="BB223" s="17">
        <f t="shared" si="211"/>
        <v>74.742204437564595</v>
      </c>
      <c r="BC223" s="17">
        <f t="shared" si="212"/>
        <v>6.3560866363114599</v>
      </c>
      <c r="BD223" s="17">
        <f t="shared" si="213"/>
        <v>40.549145536937999</v>
      </c>
      <c r="BE223" s="17" t="str">
        <f>IF(AND(BD223&lt;=AA223,BB223&lt;=AA223*MongDon!$J$44,BC223&gt;0),"Ok","FAIL")</f>
        <v>Ok</v>
      </c>
      <c r="BF223" s="17">
        <f t="shared" si="214"/>
        <v>78.276436364825997</v>
      </c>
      <c r="BG223" s="17">
        <f t="shared" si="215"/>
        <v>352.5</v>
      </c>
      <c r="BH223" s="17" t="str">
        <f t="shared" si="216"/>
        <v>Ok</v>
      </c>
      <c r="BI223" s="17">
        <f t="shared" si="217"/>
        <v>9.3593050265912101</v>
      </c>
      <c r="BJ223" s="17">
        <f t="shared" si="218"/>
        <v>4.1460527483820302</v>
      </c>
      <c r="BK223" s="17">
        <f t="shared" si="219"/>
        <v>15.9518577327297</v>
      </c>
      <c r="BL223" s="17">
        <f t="shared" si="220"/>
        <v>21.1651100109389</v>
      </c>
      <c r="BM223" s="17">
        <f t="shared" si="221"/>
        <v>88.125</v>
      </c>
      <c r="BN223" s="17">
        <f t="shared" si="222"/>
        <v>88.125</v>
      </c>
      <c r="BO223" s="17">
        <f t="shared" si="223"/>
        <v>88.125</v>
      </c>
      <c r="BP223" s="17">
        <f t="shared" si="224"/>
        <v>88.125</v>
      </c>
      <c r="BQ223" s="17" t="str">
        <f t="shared" si="225"/>
        <v>Ok</v>
      </c>
      <c r="BR223" s="17">
        <f t="shared" si="226"/>
        <v>35.286197235455901</v>
      </c>
      <c r="BS223" s="17">
        <f t="shared" si="227"/>
        <v>7.1899412124249302</v>
      </c>
      <c r="BT223" s="16">
        <f>MongDon!$H$80</f>
        <v>1.2</v>
      </c>
      <c r="BU223" s="17" t="str">
        <f t="shared" si="228"/>
        <v>Ok</v>
      </c>
      <c r="BV223" s="17">
        <f t="shared" si="229"/>
        <v>4.3093743176550197</v>
      </c>
      <c r="BW223" s="16">
        <f>MongDon!$F$86</f>
        <v>1.5</v>
      </c>
      <c r="BX223" s="17" t="str">
        <f t="shared" si="230"/>
        <v>Ok</v>
      </c>
      <c r="BY223" s="17">
        <f t="shared" si="231"/>
        <v>62.0445613120473</v>
      </c>
      <c r="BZ223" s="17">
        <f t="shared" si="232"/>
        <v>2.9506124837249499</v>
      </c>
      <c r="CA223" s="17">
        <f t="shared" si="233"/>
        <v>25.841420491150199</v>
      </c>
      <c r="CB223" s="17">
        <f t="shared" si="234"/>
        <v>84.935369319472599</v>
      </c>
      <c r="CC223" s="17">
        <f t="shared" si="235"/>
        <v>40.624369659683197</v>
      </c>
      <c r="CD223" s="17">
        <f t="shared" si="236"/>
        <v>51.458260278209004</v>
      </c>
      <c r="CE223" s="17">
        <f t="shared" si="237"/>
        <v>47.261612143514299</v>
      </c>
      <c r="CF223" s="17">
        <f t="shared" si="238"/>
        <v>51.458260278209004</v>
      </c>
      <c r="CG223" s="17">
        <f t="shared" si="239"/>
        <v>8.8568487733347894</v>
      </c>
      <c r="CH223" s="17">
        <f t="shared" si="240"/>
        <v>8.8568487733347894</v>
      </c>
      <c r="CI223" s="17">
        <f t="shared" si="241"/>
        <v>250</v>
      </c>
      <c r="CJ223" s="17">
        <f t="shared" si="242"/>
        <v>250</v>
      </c>
    </row>
    <row r="224" spans="2:88">
      <c r="B224" s="3">
        <v>287</v>
      </c>
      <c r="C224" s="3" t="s">
        <v>23</v>
      </c>
      <c r="D224" s="4">
        <v>-1.4951892049694899</v>
      </c>
      <c r="E224" s="4">
        <v>0.51683554956844602</v>
      </c>
      <c r="F224" s="4">
        <v>15.3986190536223</v>
      </c>
      <c r="G224" s="4">
        <v>-0.76438571707138103</v>
      </c>
      <c r="H224" s="4">
        <v>-1.3201227740456301</v>
      </c>
      <c r="I224" s="4" t="s">
        <v>13</v>
      </c>
      <c r="J224" s="4">
        <v>-1.27542055354703</v>
      </c>
      <c r="K224" s="4">
        <v>0.43944936337269003</v>
      </c>
      <c r="L224" s="4">
        <v>13.3956197258261</v>
      </c>
      <c r="M224" s="4">
        <v>-0.65029748649020302</v>
      </c>
      <c r="N224" s="4">
        <v>-1.12889160547639</v>
      </c>
      <c r="O224" s="4">
        <v>1.4</v>
      </c>
      <c r="P224" s="4">
        <v>1.4</v>
      </c>
      <c r="Q224" s="4">
        <v>0.22</v>
      </c>
      <c r="R224" s="4">
        <v>0.22</v>
      </c>
      <c r="S224" s="4">
        <v>0</v>
      </c>
      <c r="T224" s="4">
        <v>0</v>
      </c>
      <c r="U224" s="4">
        <v>0.3</v>
      </c>
      <c r="V224" s="4">
        <v>0.05</v>
      </c>
      <c r="W224" s="4">
        <v>1</v>
      </c>
      <c r="X224" s="4">
        <v>19.100000000000001</v>
      </c>
      <c r="Y224" s="4">
        <v>0</v>
      </c>
      <c r="Z224" s="4">
        <v>1.5</v>
      </c>
      <c r="AA224" s="4">
        <v>139</v>
      </c>
      <c r="AB224" s="4">
        <v>12.1</v>
      </c>
      <c r="AC224" s="4">
        <v>19.5</v>
      </c>
      <c r="AD224" s="3" t="s">
        <v>42</v>
      </c>
      <c r="AE224" s="3" t="s">
        <v>61</v>
      </c>
      <c r="AF224" s="17">
        <f>HLOOKUP(AD224,Data!$B$4:$M$9,2,0)</f>
        <v>13</v>
      </c>
      <c r="AG224" s="17">
        <f>HLOOKUP(AD224,Data!$B$4:$M$9,3,0)</f>
        <v>1</v>
      </c>
      <c r="AH224" s="17">
        <f>HLOOKUP(AE224,Data!$B$13:$I$18,3,0)</f>
        <v>260</v>
      </c>
      <c r="AI224" s="18">
        <f t="shared" si="192"/>
        <v>1.96</v>
      </c>
      <c r="AJ224" s="17">
        <f t="shared" si="193"/>
        <v>0.45733333333333298</v>
      </c>
      <c r="AK224" s="17">
        <f t="shared" si="194"/>
        <v>0.45733333333333298</v>
      </c>
      <c r="AL224" s="17">
        <f t="shared" si="195"/>
        <v>0.25</v>
      </c>
      <c r="AM224" s="17">
        <f t="shared" si="196"/>
        <v>0.59</v>
      </c>
      <c r="AN224" s="17">
        <f t="shared" si="197"/>
        <v>0.59</v>
      </c>
      <c r="AO224" s="17">
        <f t="shared" si="198"/>
        <v>0.59</v>
      </c>
      <c r="AP224" s="17">
        <f t="shared" si="199"/>
        <v>0.59</v>
      </c>
      <c r="AQ224" s="17">
        <f t="shared" si="200"/>
        <v>1.88</v>
      </c>
      <c r="AR224" s="17">
        <f t="shared" si="201"/>
        <v>1.4416</v>
      </c>
      <c r="AS224" s="17">
        <f t="shared" si="202"/>
        <v>15.3986190536223</v>
      </c>
      <c r="AT224" s="17">
        <f t="shared" si="203"/>
        <v>-0.91943638194191402</v>
      </c>
      <c r="AU224" s="17">
        <f t="shared" si="204"/>
        <v>-1.7686795355364799</v>
      </c>
      <c r="AV224" s="17">
        <f t="shared" si="205"/>
        <v>13.3956197258261</v>
      </c>
      <c r="AW224" s="17">
        <f t="shared" si="206"/>
        <v>-0.78213229550201002</v>
      </c>
      <c r="AX224" s="17">
        <f t="shared" si="207"/>
        <v>-1.5115177715404999</v>
      </c>
      <c r="AY224" s="17">
        <f t="shared" si="208"/>
        <v>34.334242776946603</v>
      </c>
      <c r="AZ224" s="17">
        <f t="shared" si="209"/>
        <v>22.5786338083822</v>
      </c>
      <c r="BA224" s="17">
        <f t="shared" si="210"/>
        <v>28.456438292664402</v>
      </c>
      <c r="BB224" s="17">
        <f t="shared" si="211"/>
        <v>32.4497696860101</v>
      </c>
      <c r="BC224" s="17">
        <f t="shared" si="212"/>
        <v>22.4192300342206</v>
      </c>
      <c r="BD224" s="17">
        <f t="shared" si="213"/>
        <v>27.434499860115299</v>
      </c>
      <c r="BE224" s="17" t="str">
        <f>IF(AND(BD224&lt;=AA224,BB224&lt;=AA224*MongDon!$J$44,BC224&gt;0),"Ok","FAIL")</f>
        <v>Ok</v>
      </c>
      <c r="BF224" s="17">
        <f t="shared" si="214"/>
        <v>49.4962443872463</v>
      </c>
      <c r="BG224" s="17">
        <f t="shared" si="215"/>
        <v>352.5</v>
      </c>
      <c r="BH224" s="17" t="str">
        <f t="shared" si="216"/>
        <v>Ok</v>
      </c>
      <c r="BI224" s="17">
        <f t="shared" si="217"/>
        <v>14.5022290248396</v>
      </c>
      <c r="BJ224" s="17">
        <f t="shared" si="218"/>
        <v>11.7043940903213</v>
      </c>
      <c r="BK224" s="17">
        <f t="shared" si="219"/>
        <v>12.5883002297769</v>
      </c>
      <c r="BL224" s="17">
        <f t="shared" si="220"/>
        <v>15.386135164295199</v>
      </c>
      <c r="BM224" s="17">
        <f t="shared" si="221"/>
        <v>88.125</v>
      </c>
      <c r="BN224" s="17">
        <f t="shared" si="222"/>
        <v>88.125</v>
      </c>
      <c r="BO224" s="17">
        <f t="shared" si="223"/>
        <v>88.125</v>
      </c>
      <c r="BP224" s="17">
        <f t="shared" si="224"/>
        <v>88.125</v>
      </c>
      <c r="BQ224" s="17" t="str">
        <f t="shared" si="225"/>
        <v>Ok</v>
      </c>
      <c r="BR224" s="17">
        <f t="shared" si="226"/>
        <v>41.5211778841946</v>
      </c>
      <c r="BS224" s="17">
        <f t="shared" si="227"/>
        <v>27.769848622630899</v>
      </c>
      <c r="BT224" s="16">
        <f>MongDon!$H$80</f>
        <v>1.2</v>
      </c>
      <c r="BU224" s="17" t="str">
        <f t="shared" si="228"/>
        <v>Ok</v>
      </c>
      <c r="BV224" s="17">
        <f t="shared" si="229"/>
        <v>20.9106469512678</v>
      </c>
      <c r="BW224" s="16">
        <f>MongDon!$F$86</f>
        <v>1.5</v>
      </c>
      <c r="BX224" s="17" t="str">
        <f t="shared" si="230"/>
        <v>Ok</v>
      </c>
      <c r="BY224" s="17">
        <f t="shared" si="231"/>
        <v>34.334242776946603</v>
      </c>
      <c r="BZ224" s="17">
        <f t="shared" si="232"/>
        <v>26.599492621539301</v>
      </c>
      <c r="CA224" s="17">
        <f t="shared" si="233"/>
        <v>22.5786338083822</v>
      </c>
      <c r="CB224" s="17">
        <f t="shared" si="234"/>
        <v>30.313383963789601</v>
      </c>
      <c r="CC224" s="17">
        <f t="shared" si="235"/>
        <v>28.164632544344801</v>
      </c>
      <c r="CD224" s="17">
        <f t="shared" si="236"/>
        <v>29.3800932830516</v>
      </c>
      <c r="CE224" s="17">
        <f t="shared" si="237"/>
        <v>29.3800932830516</v>
      </c>
      <c r="CF224" s="17">
        <f t="shared" si="238"/>
        <v>28.748244040984101</v>
      </c>
      <c r="CG224" s="17">
        <f t="shared" si="239"/>
        <v>5.6884517155234198</v>
      </c>
      <c r="CH224" s="17">
        <f t="shared" si="240"/>
        <v>5.6884517155234198</v>
      </c>
      <c r="CI224" s="17">
        <f t="shared" si="241"/>
        <v>250</v>
      </c>
      <c r="CJ224" s="17">
        <f t="shared" si="242"/>
        <v>250</v>
      </c>
    </row>
    <row r="225" spans="2:88">
      <c r="B225" s="3">
        <v>287</v>
      </c>
      <c r="C225" s="3" t="s">
        <v>24</v>
      </c>
      <c r="D225" s="4">
        <v>-1.6796423971050001</v>
      </c>
      <c r="E225" s="4">
        <v>0.58371804928541804</v>
      </c>
      <c r="F225" s="4">
        <v>16.7254937640494</v>
      </c>
      <c r="G225" s="4">
        <v>-0.86250268093569504</v>
      </c>
      <c r="H225" s="4">
        <v>-1.47680679008882</v>
      </c>
      <c r="I225" s="4" t="s">
        <v>14</v>
      </c>
      <c r="J225" s="4">
        <v>-1.4291315469932899</v>
      </c>
      <c r="K225" s="4">
        <v>0.49518477980350101</v>
      </c>
      <c r="L225" s="4">
        <v>14.501348651181999</v>
      </c>
      <c r="M225" s="4">
        <v>-0.73206162304379796</v>
      </c>
      <c r="N225" s="4">
        <v>-1.2594616188457199</v>
      </c>
      <c r="O225" s="4">
        <v>1.4</v>
      </c>
      <c r="P225" s="4">
        <v>1.4</v>
      </c>
      <c r="Q225" s="4">
        <v>0.22</v>
      </c>
      <c r="R225" s="4">
        <v>0.22</v>
      </c>
      <c r="S225" s="4">
        <v>0</v>
      </c>
      <c r="T225" s="4">
        <v>0</v>
      </c>
      <c r="U225" s="4">
        <v>0.3</v>
      </c>
      <c r="V225" s="4">
        <v>0.05</v>
      </c>
      <c r="W225" s="4">
        <v>1</v>
      </c>
      <c r="X225" s="4">
        <v>19.100000000000001</v>
      </c>
      <c r="Y225" s="4">
        <v>0</v>
      </c>
      <c r="Z225" s="4">
        <v>1.5</v>
      </c>
      <c r="AA225" s="4">
        <v>139</v>
      </c>
      <c r="AB225" s="4">
        <v>12.1</v>
      </c>
      <c r="AC225" s="4">
        <v>19.5</v>
      </c>
      <c r="AD225" s="3" t="s">
        <v>42</v>
      </c>
      <c r="AE225" s="3" t="s">
        <v>61</v>
      </c>
      <c r="AF225" s="17">
        <f>HLOOKUP(AD225,Data!$B$4:$M$9,2,0)</f>
        <v>13</v>
      </c>
      <c r="AG225" s="17">
        <f>HLOOKUP(AD225,Data!$B$4:$M$9,3,0)</f>
        <v>1</v>
      </c>
      <c r="AH225" s="17">
        <f>HLOOKUP(AE225,Data!$B$13:$I$18,3,0)</f>
        <v>260</v>
      </c>
      <c r="AI225" s="18">
        <f t="shared" si="192"/>
        <v>1.96</v>
      </c>
      <c r="AJ225" s="17">
        <f t="shared" si="193"/>
        <v>0.45733333333333298</v>
      </c>
      <c r="AK225" s="17">
        <f t="shared" si="194"/>
        <v>0.45733333333333298</v>
      </c>
      <c r="AL225" s="17">
        <f t="shared" si="195"/>
        <v>0.25</v>
      </c>
      <c r="AM225" s="17">
        <f t="shared" si="196"/>
        <v>0.59</v>
      </c>
      <c r="AN225" s="17">
        <f t="shared" si="197"/>
        <v>0.59</v>
      </c>
      <c r="AO225" s="17">
        <f t="shared" si="198"/>
        <v>0.59</v>
      </c>
      <c r="AP225" s="17">
        <f t="shared" si="199"/>
        <v>0.59</v>
      </c>
      <c r="AQ225" s="17">
        <f t="shared" si="200"/>
        <v>1.88</v>
      </c>
      <c r="AR225" s="17">
        <f t="shared" si="201"/>
        <v>1.4416</v>
      </c>
      <c r="AS225" s="17">
        <f t="shared" si="202"/>
        <v>16.7254937640494</v>
      </c>
      <c r="AT225" s="17">
        <f t="shared" si="203"/>
        <v>-1.0376180957213199</v>
      </c>
      <c r="AU225" s="17">
        <f t="shared" si="204"/>
        <v>-1.9806995092203199</v>
      </c>
      <c r="AV225" s="17">
        <f t="shared" si="205"/>
        <v>14.501348651181999</v>
      </c>
      <c r="AW225" s="17">
        <f t="shared" si="206"/>
        <v>-0.88061705698484904</v>
      </c>
      <c r="AX225" s="17">
        <f t="shared" si="207"/>
        <v>-1.68820108294371</v>
      </c>
      <c r="AY225" s="17">
        <f t="shared" si="208"/>
        <v>35.733235021617702</v>
      </c>
      <c r="AZ225" s="17">
        <f t="shared" si="209"/>
        <v>22.533595349861301</v>
      </c>
      <c r="BA225" s="17">
        <f t="shared" si="210"/>
        <v>29.133415185739501</v>
      </c>
      <c r="BB225" s="17">
        <f t="shared" si="211"/>
        <v>33.615596556569301</v>
      </c>
      <c r="BC225" s="17">
        <f t="shared" si="212"/>
        <v>22.381697985453201</v>
      </c>
      <c r="BD225" s="17">
        <f t="shared" si="213"/>
        <v>27.998647271011201</v>
      </c>
      <c r="BE225" s="17" t="str">
        <f>IF(AND(BD225&lt;=AA225,BB225&lt;=AA225*MongDon!$J$44,BC225&gt;0),"Ok","FAIL")</f>
        <v>Ok</v>
      </c>
      <c r="BF225" s="17">
        <f t="shared" si="214"/>
        <v>51.513031607164102</v>
      </c>
      <c r="BG225" s="17">
        <f t="shared" si="215"/>
        <v>352.5</v>
      </c>
      <c r="BH225" s="17" t="str">
        <f t="shared" si="216"/>
        <v>Ok</v>
      </c>
      <c r="BI225" s="17">
        <f t="shared" si="217"/>
        <v>14.9474754831424</v>
      </c>
      <c r="BJ225" s="17">
        <f t="shared" si="218"/>
        <v>11.805961241264299</v>
      </c>
      <c r="BK225" s="17">
        <f t="shared" si="219"/>
        <v>12.787535773681601</v>
      </c>
      <c r="BL225" s="17">
        <f t="shared" si="220"/>
        <v>15.929050015559699</v>
      </c>
      <c r="BM225" s="17">
        <f t="shared" si="221"/>
        <v>88.125</v>
      </c>
      <c r="BN225" s="17">
        <f t="shared" si="222"/>
        <v>88.125</v>
      </c>
      <c r="BO225" s="17">
        <f t="shared" si="223"/>
        <v>88.125</v>
      </c>
      <c r="BP225" s="17">
        <f t="shared" si="224"/>
        <v>88.125</v>
      </c>
      <c r="BQ225" s="17" t="str">
        <f t="shared" si="225"/>
        <v>Ok</v>
      </c>
      <c r="BR225" s="17">
        <f t="shared" si="226"/>
        <v>41.805635174416899</v>
      </c>
      <c r="BS225" s="17">
        <f t="shared" si="227"/>
        <v>24.889604624455998</v>
      </c>
      <c r="BT225" s="16">
        <f>MongDon!$H$80</f>
        <v>1.2</v>
      </c>
      <c r="BU225" s="17" t="str">
        <f t="shared" si="228"/>
        <v>Ok</v>
      </c>
      <c r="BV225" s="17">
        <f t="shared" si="229"/>
        <v>19.141240485165</v>
      </c>
      <c r="BW225" s="16">
        <f>MongDon!$F$86</f>
        <v>1.5</v>
      </c>
      <c r="BX225" s="17" t="str">
        <f t="shared" si="230"/>
        <v>Ok</v>
      </c>
      <c r="BY225" s="17">
        <f t="shared" si="231"/>
        <v>35.733235021617702</v>
      </c>
      <c r="BZ225" s="17">
        <f t="shared" si="232"/>
        <v>27.0712838151148</v>
      </c>
      <c r="CA225" s="17">
        <f t="shared" si="233"/>
        <v>22.533595349861301</v>
      </c>
      <c r="CB225" s="17">
        <f t="shared" si="234"/>
        <v>31.1955465563641</v>
      </c>
      <c r="CC225" s="17">
        <f t="shared" si="235"/>
        <v>28.8093659703556</v>
      </c>
      <c r="CD225" s="17">
        <f t="shared" si="236"/>
        <v>30.170529731377499</v>
      </c>
      <c r="CE225" s="17">
        <f t="shared" si="237"/>
        <v>30.170529731377499</v>
      </c>
      <c r="CF225" s="17">
        <f t="shared" si="238"/>
        <v>29.457464401123399</v>
      </c>
      <c r="CG225" s="17">
        <f t="shared" si="239"/>
        <v>5.8966399369237896</v>
      </c>
      <c r="CH225" s="17">
        <f t="shared" si="240"/>
        <v>5.8966399369237896</v>
      </c>
      <c r="CI225" s="17">
        <f t="shared" si="241"/>
        <v>250</v>
      </c>
      <c r="CJ225" s="17">
        <f t="shared" si="242"/>
        <v>250</v>
      </c>
    </row>
    <row r="226" spans="2:88">
      <c r="B226" s="3">
        <v>287</v>
      </c>
      <c r="C226" s="3" t="s">
        <v>25</v>
      </c>
      <c r="D226" s="4">
        <v>-3.9660335979046399</v>
      </c>
      <c r="E226" s="4">
        <v>1.96314907782611</v>
      </c>
      <c r="F226" s="4">
        <v>20.164026373656199</v>
      </c>
      <c r="G226" s="4">
        <v>-3.1058297137247801</v>
      </c>
      <c r="H226" s="4">
        <v>-5.4997902386179396</v>
      </c>
      <c r="I226" s="4" t="s">
        <v>15</v>
      </c>
      <c r="J226" s="4">
        <v>-3.3344575476596598</v>
      </c>
      <c r="K226" s="4">
        <v>1.64471063692075</v>
      </c>
      <c r="L226" s="4">
        <v>17.366792492521</v>
      </c>
      <c r="M226" s="4">
        <v>-2.6015008170347</v>
      </c>
      <c r="N226" s="4">
        <v>-4.6119478259533198</v>
      </c>
      <c r="O226" s="4">
        <v>1.4</v>
      </c>
      <c r="P226" s="4">
        <v>1.4</v>
      </c>
      <c r="Q226" s="4">
        <v>0.22</v>
      </c>
      <c r="R226" s="4">
        <v>0.22</v>
      </c>
      <c r="S226" s="4">
        <v>0</v>
      </c>
      <c r="T226" s="4">
        <v>0</v>
      </c>
      <c r="U226" s="4">
        <v>0.3</v>
      </c>
      <c r="V226" s="4">
        <v>0.05</v>
      </c>
      <c r="W226" s="4">
        <v>1</v>
      </c>
      <c r="X226" s="4">
        <v>19.100000000000001</v>
      </c>
      <c r="Y226" s="4">
        <v>0</v>
      </c>
      <c r="Z226" s="4">
        <v>1.5</v>
      </c>
      <c r="AA226" s="4">
        <v>139</v>
      </c>
      <c r="AB226" s="4">
        <v>12.1</v>
      </c>
      <c r="AC226" s="4">
        <v>19.5</v>
      </c>
      <c r="AD226" s="3" t="s">
        <v>42</v>
      </c>
      <c r="AE226" s="3" t="s">
        <v>61</v>
      </c>
      <c r="AF226" s="17">
        <f>HLOOKUP(AD226,Data!$B$4:$M$9,2,0)</f>
        <v>13</v>
      </c>
      <c r="AG226" s="17">
        <f>HLOOKUP(AD226,Data!$B$4:$M$9,3,0)</f>
        <v>1</v>
      </c>
      <c r="AH226" s="17">
        <f>HLOOKUP(AE226,Data!$B$13:$I$18,3,0)</f>
        <v>260</v>
      </c>
      <c r="AI226" s="18">
        <f t="shared" si="192"/>
        <v>1.96</v>
      </c>
      <c r="AJ226" s="17">
        <f t="shared" si="193"/>
        <v>0.45733333333333298</v>
      </c>
      <c r="AK226" s="17">
        <f t="shared" si="194"/>
        <v>0.45733333333333298</v>
      </c>
      <c r="AL226" s="17">
        <f t="shared" si="195"/>
        <v>0.25</v>
      </c>
      <c r="AM226" s="17">
        <f t="shared" si="196"/>
        <v>0.59</v>
      </c>
      <c r="AN226" s="17">
        <f t="shared" si="197"/>
        <v>0.59</v>
      </c>
      <c r="AO226" s="17">
        <f t="shared" si="198"/>
        <v>0.59</v>
      </c>
      <c r="AP226" s="17">
        <f t="shared" si="199"/>
        <v>0.59</v>
      </c>
      <c r="AQ226" s="17">
        <f t="shared" si="200"/>
        <v>1.88</v>
      </c>
      <c r="AR226" s="17">
        <f t="shared" si="201"/>
        <v>1.4416</v>
      </c>
      <c r="AS226" s="17">
        <f t="shared" si="202"/>
        <v>20.164026373656199</v>
      </c>
      <c r="AT226" s="17">
        <f t="shared" si="203"/>
        <v>-3.6947744370726201</v>
      </c>
      <c r="AU226" s="17">
        <f t="shared" si="204"/>
        <v>-6.6896003179893304</v>
      </c>
      <c r="AV226" s="17">
        <f t="shared" si="205"/>
        <v>17.366792492521</v>
      </c>
      <c r="AW226" s="17">
        <f t="shared" si="206"/>
        <v>-3.0949140081109299</v>
      </c>
      <c r="AX226" s="17">
        <f t="shared" si="207"/>
        <v>-5.6122850902512198</v>
      </c>
      <c r="AY226" s="17">
        <f t="shared" si="208"/>
        <v>53.5941273518551</v>
      </c>
      <c r="AZ226" s="17">
        <f t="shared" si="209"/>
        <v>8.1814097641206001</v>
      </c>
      <c r="BA226" s="17">
        <f t="shared" si="210"/>
        <v>30.887768557987801</v>
      </c>
      <c r="BB226" s="17">
        <f t="shared" si="211"/>
        <v>48.4996734984338</v>
      </c>
      <c r="BC226" s="17">
        <f t="shared" si="212"/>
        <v>10.4215433306693</v>
      </c>
      <c r="BD226" s="17">
        <f t="shared" si="213"/>
        <v>29.460608414551501</v>
      </c>
      <c r="BE226" s="17" t="str">
        <f>IF(AND(BD226&lt;=AA226,BB226&lt;=AA226*MongDon!$J$44,BC226&gt;0),"Ok","FAIL")</f>
        <v>Ok</v>
      </c>
      <c r="BF226" s="17">
        <f t="shared" si="214"/>
        <v>77.261293990434297</v>
      </c>
      <c r="BG226" s="17">
        <f t="shared" si="215"/>
        <v>352.5</v>
      </c>
      <c r="BH226" s="17" t="str">
        <f t="shared" si="216"/>
        <v>Ok</v>
      </c>
      <c r="BI226" s="17">
        <f t="shared" si="217"/>
        <v>18.548159390555298</v>
      </c>
      <c r="BJ226" s="17">
        <f t="shared" si="218"/>
        <v>7.7399326046745403</v>
      </c>
      <c r="BK226" s="17">
        <f t="shared" si="219"/>
        <v>10.856996276649101</v>
      </c>
      <c r="BL226" s="17">
        <f t="shared" si="220"/>
        <v>21.6652230625299</v>
      </c>
      <c r="BM226" s="17">
        <f t="shared" si="221"/>
        <v>88.125</v>
      </c>
      <c r="BN226" s="17">
        <f t="shared" si="222"/>
        <v>88.125</v>
      </c>
      <c r="BO226" s="17">
        <f t="shared" si="223"/>
        <v>88.125</v>
      </c>
      <c r="BP226" s="17">
        <f t="shared" si="224"/>
        <v>88.125</v>
      </c>
      <c r="BQ226" s="17" t="str">
        <f t="shared" si="225"/>
        <v>Ok</v>
      </c>
      <c r="BR226" s="17">
        <f t="shared" si="226"/>
        <v>42.542792692593601</v>
      </c>
      <c r="BS226" s="17">
        <f t="shared" si="227"/>
        <v>10.726785752664799</v>
      </c>
      <c r="BT226" s="16">
        <f>MongDon!$H$80</f>
        <v>1.2</v>
      </c>
      <c r="BU226" s="17" t="str">
        <f t="shared" si="228"/>
        <v>Ok</v>
      </c>
      <c r="BV226" s="17">
        <f t="shared" si="229"/>
        <v>6.0272686774922501</v>
      </c>
      <c r="BW226" s="16">
        <f>MongDon!$F$86</f>
        <v>1.5</v>
      </c>
      <c r="BX226" s="17" t="str">
        <f t="shared" si="230"/>
        <v>Ok</v>
      </c>
      <c r="BY226" s="17">
        <f t="shared" si="231"/>
        <v>53.5941273518551</v>
      </c>
      <c r="BZ226" s="17">
        <f t="shared" si="232"/>
        <v>24.339315465604301</v>
      </c>
      <c r="CA226" s="17">
        <f t="shared" si="233"/>
        <v>8.1814097641206107</v>
      </c>
      <c r="CB226" s="17">
        <f t="shared" si="234"/>
        <v>37.436221650371301</v>
      </c>
      <c r="CC226" s="17">
        <f t="shared" si="235"/>
        <v>29.8587259291847</v>
      </c>
      <c r="CD226" s="17">
        <f t="shared" si="236"/>
        <v>34.455910654166999</v>
      </c>
      <c r="CE226" s="17">
        <f t="shared" si="237"/>
        <v>34.455910654166999</v>
      </c>
      <c r="CF226" s="17">
        <f t="shared" si="238"/>
        <v>31.916811186791001</v>
      </c>
      <c r="CG226" s="17">
        <f t="shared" si="239"/>
        <v>8.2177223268461699</v>
      </c>
      <c r="CH226" s="17">
        <f t="shared" si="240"/>
        <v>8.2177223268461699</v>
      </c>
      <c r="CI226" s="17">
        <f t="shared" si="241"/>
        <v>250</v>
      </c>
      <c r="CJ226" s="17">
        <f t="shared" si="242"/>
        <v>250</v>
      </c>
    </row>
    <row r="227" spans="2:88">
      <c r="B227" s="3">
        <v>287</v>
      </c>
      <c r="C227" s="3" t="s">
        <v>26</v>
      </c>
      <c r="D227" s="4">
        <v>0.64363944212173996</v>
      </c>
      <c r="E227" s="4">
        <v>-0.80908947919867003</v>
      </c>
      <c r="F227" s="4">
        <v>13.021586212357199</v>
      </c>
      <c r="G227" s="4">
        <v>1.40044774462626</v>
      </c>
      <c r="H227" s="4">
        <v>2.5775134616489299</v>
      </c>
      <c r="I227" s="4" t="s">
        <v>16</v>
      </c>
      <c r="J227" s="4">
        <v>0.50693665236232599</v>
      </c>
      <c r="K227" s="4">
        <v>-0.66548816059990601</v>
      </c>
      <c r="L227" s="4">
        <v>11.4147590247719</v>
      </c>
      <c r="M227" s="4">
        <v>1.15373039825783</v>
      </c>
      <c r="N227" s="4">
        <v>2.1191385909357399</v>
      </c>
      <c r="O227" s="4">
        <v>1.4</v>
      </c>
      <c r="P227" s="4">
        <v>1.4</v>
      </c>
      <c r="Q227" s="4">
        <v>0.22</v>
      </c>
      <c r="R227" s="4">
        <v>0.22</v>
      </c>
      <c r="S227" s="4">
        <v>0</v>
      </c>
      <c r="T227" s="4">
        <v>0</v>
      </c>
      <c r="U227" s="4">
        <v>0.3</v>
      </c>
      <c r="V227" s="4">
        <v>0.05</v>
      </c>
      <c r="W227" s="4">
        <v>1</v>
      </c>
      <c r="X227" s="4">
        <v>19.100000000000001</v>
      </c>
      <c r="Y227" s="4">
        <v>0</v>
      </c>
      <c r="Z227" s="4">
        <v>1.5</v>
      </c>
      <c r="AA227" s="4">
        <v>139</v>
      </c>
      <c r="AB227" s="4">
        <v>12.1</v>
      </c>
      <c r="AC227" s="4">
        <v>19.5</v>
      </c>
      <c r="AD227" s="3" t="s">
        <v>42</v>
      </c>
      <c r="AE227" s="3" t="s">
        <v>61</v>
      </c>
      <c r="AF227" s="17">
        <f>HLOOKUP(AD227,Data!$B$4:$M$9,2,0)</f>
        <v>13</v>
      </c>
      <c r="AG227" s="17">
        <f>HLOOKUP(AD227,Data!$B$4:$M$9,3,0)</f>
        <v>1</v>
      </c>
      <c r="AH227" s="17">
        <f>HLOOKUP(AE227,Data!$B$13:$I$18,3,0)</f>
        <v>260</v>
      </c>
      <c r="AI227" s="18">
        <f t="shared" si="192"/>
        <v>1.96</v>
      </c>
      <c r="AJ227" s="17">
        <f t="shared" si="193"/>
        <v>0.45733333333333298</v>
      </c>
      <c r="AK227" s="17">
        <f t="shared" si="194"/>
        <v>0.45733333333333298</v>
      </c>
      <c r="AL227" s="17">
        <f t="shared" si="195"/>
        <v>0.25</v>
      </c>
      <c r="AM227" s="17">
        <f t="shared" si="196"/>
        <v>0.59</v>
      </c>
      <c r="AN227" s="17">
        <f t="shared" si="197"/>
        <v>0.59</v>
      </c>
      <c r="AO227" s="17">
        <f t="shared" si="198"/>
        <v>0.59</v>
      </c>
      <c r="AP227" s="17">
        <f t="shared" si="199"/>
        <v>0.59</v>
      </c>
      <c r="AQ227" s="17">
        <f t="shared" si="200"/>
        <v>1.88</v>
      </c>
      <c r="AR227" s="17">
        <f t="shared" si="201"/>
        <v>1.4416</v>
      </c>
      <c r="AS227" s="17">
        <f t="shared" si="202"/>
        <v>13.021586212357199</v>
      </c>
      <c r="AT227" s="17">
        <f t="shared" si="203"/>
        <v>1.6431745883858599</v>
      </c>
      <c r="AU227" s="17">
        <f t="shared" si="204"/>
        <v>2.77060529428545</v>
      </c>
      <c r="AV227" s="17">
        <f t="shared" si="205"/>
        <v>11.4147590247719</v>
      </c>
      <c r="AW227" s="17">
        <f t="shared" si="206"/>
        <v>1.3533768464378</v>
      </c>
      <c r="AX227" s="17">
        <f t="shared" si="207"/>
        <v>2.27121958664444</v>
      </c>
      <c r="AY227" s="17">
        <f t="shared" si="208"/>
        <v>36.894788627306099</v>
      </c>
      <c r="AZ227" s="17">
        <f t="shared" si="209"/>
        <v>17.592544242446099</v>
      </c>
      <c r="BA227" s="17">
        <f t="shared" si="210"/>
        <v>27.243666434876101</v>
      </c>
      <c r="BB227" s="17">
        <f t="shared" si="211"/>
        <v>34.349359049990497</v>
      </c>
      <c r="BC227" s="17">
        <f t="shared" si="212"/>
        <v>18.498354240592999</v>
      </c>
      <c r="BD227" s="17">
        <f t="shared" si="213"/>
        <v>26.423856645291799</v>
      </c>
      <c r="BE227" s="17" t="str">
        <f>IF(AND(BD227&lt;=AA227,BB227&lt;=AA227*MongDon!$J$44,BC227&gt;0),"Ok","FAIL")</f>
        <v>Ok</v>
      </c>
      <c r="BF227" s="17">
        <f t="shared" si="214"/>
        <v>53.187527285124503</v>
      </c>
      <c r="BG227" s="17">
        <f t="shared" si="215"/>
        <v>352.5</v>
      </c>
      <c r="BH227" s="17" t="str">
        <f t="shared" si="216"/>
        <v>Ok</v>
      </c>
      <c r="BI227" s="17">
        <f t="shared" si="217"/>
        <v>11.257742284068801</v>
      </c>
      <c r="BJ227" s="17">
        <f t="shared" si="218"/>
        <v>15.851676447665501</v>
      </c>
      <c r="BK227" s="17">
        <f t="shared" si="219"/>
        <v>14.678228161933299</v>
      </c>
      <c r="BL227" s="17">
        <f t="shared" si="220"/>
        <v>10.0842939983366</v>
      </c>
      <c r="BM227" s="17">
        <f t="shared" si="221"/>
        <v>88.125</v>
      </c>
      <c r="BN227" s="17">
        <f t="shared" si="222"/>
        <v>88.125</v>
      </c>
      <c r="BO227" s="17">
        <f t="shared" si="223"/>
        <v>88.125</v>
      </c>
      <c r="BP227" s="17">
        <f t="shared" si="224"/>
        <v>88.125</v>
      </c>
      <c r="BQ227" s="17" t="str">
        <f t="shared" si="225"/>
        <v>Ok</v>
      </c>
      <c r="BR227" s="17">
        <f t="shared" si="226"/>
        <v>41.011586198195801</v>
      </c>
      <c r="BS227" s="17">
        <f t="shared" si="227"/>
        <v>50.688566904632196</v>
      </c>
      <c r="BT227" s="16">
        <f>MongDon!$H$80</f>
        <v>1.2</v>
      </c>
      <c r="BU227" s="17" t="str">
        <f t="shared" si="228"/>
        <v>Ok</v>
      </c>
      <c r="BV227" s="17">
        <f t="shared" si="229"/>
        <v>12.748228851471699</v>
      </c>
      <c r="BW227" s="16">
        <f>MongDon!$F$86</f>
        <v>1.5</v>
      </c>
      <c r="BX227" s="17" t="str">
        <f t="shared" si="230"/>
        <v>Ok</v>
      </c>
      <c r="BY227" s="17">
        <f t="shared" si="231"/>
        <v>17.592544242446099</v>
      </c>
      <c r="BZ227" s="17">
        <f t="shared" si="232"/>
        <v>29.7088939259102</v>
      </c>
      <c r="CA227" s="17">
        <f t="shared" si="233"/>
        <v>36.894788627306099</v>
      </c>
      <c r="CB227" s="17">
        <f t="shared" si="234"/>
        <v>24.778438943842001</v>
      </c>
      <c r="CC227" s="17">
        <f t="shared" si="235"/>
        <v>28.760271350829399</v>
      </c>
      <c r="CD227" s="17">
        <f t="shared" si="236"/>
        <v>26.8562735434279</v>
      </c>
      <c r="CE227" s="17">
        <f t="shared" si="237"/>
        <v>27.631059326324301</v>
      </c>
      <c r="CF227" s="17">
        <f t="shared" si="238"/>
        <v>28.760271350829399</v>
      </c>
      <c r="CG227" s="17">
        <f t="shared" si="239"/>
        <v>5.9496003832590398</v>
      </c>
      <c r="CH227" s="17">
        <f t="shared" si="240"/>
        <v>5.9496003832590398</v>
      </c>
      <c r="CI227" s="17">
        <f t="shared" si="241"/>
        <v>250</v>
      </c>
      <c r="CJ227" s="17">
        <f t="shared" si="242"/>
        <v>250</v>
      </c>
    </row>
    <row r="228" spans="2:88">
      <c r="B228" s="3">
        <v>287</v>
      </c>
      <c r="C228" s="3" t="s">
        <v>27</v>
      </c>
      <c r="D228" s="4">
        <v>2.1358015442351701</v>
      </c>
      <c r="E228" s="4">
        <v>2.50838925186742</v>
      </c>
      <c r="F228" s="4">
        <v>17.512257233860499</v>
      </c>
      <c r="G228" s="4">
        <v>-4.09358114579131</v>
      </c>
      <c r="H228" s="4">
        <v>5.2376777635797103</v>
      </c>
      <c r="I228" s="4" t="s">
        <v>17</v>
      </c>
      <c r="J228" s="4">
        <v>1.7504050707901799</v>
      </c>
      <c r="K228" s="4">
        <v>2.09907744862184</v>
      </c>
      <c r="L228" s="4">
        <v>15.1569848760246</v>
      </c>
      <c r="M228" s="4">
        <v>-3.4246270104234799</v>
      </c>
      <c r="N228" s="4">
        <v>4.3359421758780599</v>
      </c>
      <c r="O228" s="4">
        <v>1.4</v>
      </c>
      <c r="P228" s="4">
        <v>1.4</v>
      </c>
      <c r="Q228" s="4">
        <v>0.22</v>
      </c>
      <c r="R228" s="4">
        <v>0.22</v>
      </c>
      <c r="S228" s="4">
        <v>0</v>
      </c>
      <c r="T228" s="4">
        <v>0</v>
      </c>
      <c r="U228" s="4">
        <v>0.3</v>
      </c>
      <c r="V228" s="4">
        <v>0.05</v>
      </c>
      <c r="W228" s="4">
        <v>1</v>
      </c>
      <c r="X228" s="4">
        <v>19.100000000000001</v>
      </c>
      <c r="Y228" s="4">
        <v>0</v>
      </c>
      <c r="Z228" s="4">
        <v>1.5</v>
      </c>
      <c r="AA228" s="4">
        <v>139</v>
      </c>
      <c r="AB228" s="4">
        <v>12.1</v>
      </c>
      <c r="AC228" s="4">
        <v>19.5</v>
      </c>
      <c r="AD228" s="3" t="s">
        <v>42</v>
      </c>
      <c r="AE228" s="3" t="s">
        <v>61</v>
      </c>
      <c r="AF228" s="17">
        <f>HLOOKUP(AD228,Data!$B$4:$M$9,2,0)</f>
        <v>13</v>
      </c>
      <c r="AG228" s="17">
        <f>HLOOKUP(AD228,Data!$B$4:$M$9,3,0)</f>
        <v>1</v>
      </c>
      <c r="AH228" s="17">
        <f>HLOOKUP(AE228,Data!$B$13:$I$18,3,0)</f>
        <v>260</v>
      </c>
      <c r="AI228" s="18">
        <f t="shared" si="192"/>
        <v>1.96</v>
      </c>
      <c r="AJ228" s="17">
        <f t="shared" si="193"/>
        <v>0.45733333333333298</v>
      </c>
      <c r="AK228" s="17">
        <f t="shared" si="194"/>
        <v>0.45733333333333298</v>
      </c>
      <c r="AL228" s="17">
        <f t="shared" si="195"/>
        <v>0.25</v>
      </c>
      <c r="AM228" s="17">
        <f t="shared" si="196"/>
        <v>0.59</v>
      </c>
      <c r="AN228" s="17">
        <f t="shared" si="197"/>
        <v>0.59</v>
      </c>
      <c r="AO228" s="17">
        <f t="shared" si="198"/>
        <v>0.59</v>
      </c>
      <c r="AP228" s="17">
        <f t="shared" si="199"/>
        <v>0.59</v>
      </c>
      <c r="AQ228" s="17">
        <f t="shared" si="200"/>
        <v>1.88</v>
      </c>
      <c r="AR228" s="17">
        <f t="shared" si="201"/>
        <v>1.4416</v>
      </c>
      <c r="AS228" s="17">
        <f t="shared" si="202"/>
        <v>17.512257233860499</v>
      </c>
      <c r="AT228" s="17">
        <f t="shared" si="203"/>
        <v>-4.8460979213515403</v>
      </c>
      <c r="AU228" s="17">
        <f t="shared" si="204"/>
        <v>5.8784182268502603</v>
      </c>
      <c r="AV228" s="17">
        <f t="shared" si="205"/>
        <v>15.1569848760246</v>
      </c>
      <c r="AW228" s="17">
        <f t="shared" si="206"/>
        <v>-4.0543502450100304</v>
      </c>
      <c r="AX228" s="17">
        <f t="shared" si="207"/>
        <v>4.8610636971151102</v>
      </c>
      <c r="AY228" s="17">
        <f t="shared" si="208"/>
        <v>52.984933315093102</v>
      </c>
      <c r="AZ228" s="17">
        <f t="shared" si="209"/>
        <v>6.08471692354005</v>
      </c>
      <c r="BA228" s="17">
        <f t="shared" si="210"/>
        <v>29.534825119316601</v>
      </c>
      <c r="BB228" s="17">
        <f t="shared" si="211"/>
        <v>47.827500903493203</v>
      </c>
      <c r="BC228" s="17">
        <f t="shared" si="212"/>
        <v>8.8388101944910993</v>
      </c>
      <c r="BD228" s="17">
        <f t="shared" si="213"/>
        <v>28.333155548992099</v>
      </c>
      <c r="BE228" s="17" t="str">
        <f>IF(AND(BD228&lt;=AA228,BB228&lt;=AA228*MongDon!$J$44,BC228&gt;0),"Ok","FAIL")</f>
        <v>Ok</v>
      </c>
      <c r="BF228" s="17">
        <f t="shared" si="214"/>
        <v>76.383079867038205</v>
      </c>
      <c r="BG228" s="17">
        <f t="shared" si="215"/>
        <v>352.5</v>
      </c>
      <c r="BH228" s="17" t="str">
        <f t="shared" si="216"/>
        <v>Ok</v>
      </c>
      <c r="BI228" s="17">
        <f t="shared" si="217"/>
        <v>19.102474593303398</v>
      </c>
      <c r="BJ228" s="17">
        <f t="shared" si="218"/>
        <v>20.1769304214756</v>
      </c>
      <c r="BK228" s="17">
        <f t="shared" si="219"/>
        <v>9.0146789202859505</v>
      </c>
      <c r="BL228" s="17">
        <f t="shared" si="220"/>
        <v>7.9402230921138104</v>
      </c>
      <c r="BM228" s="17">
        <f t="shared" si="221"/>
        <v>88.125</v>
      </c>
      <c r="BN228" s="17">
        <f t="shared" si="222"/>
        <v>88.125</v>
      </c>
      <c r="BO228" s="17">
        <f t="shared" si="223"/>
        <v>88.125</v>
      </c>
      <c r="BP228" s="17">
        <f t="shared" si="224"/>
        <v>88.125</v>
      </c>
      <c r="BQ228" s="17" t="str">
        <f t="shared" si="225"/>
        <v>Ok</v>
      </c>
      <c r="BR228" s="17">
        <f t="shared" si="226"/>
        <v>41.9743026476227</v>
      </c>
      <c r="BS228" s="17">
        <f t="shared" si="227"/>
        <v>16.733568211701598</v>
      </c>
      <c r="BT228" s="16">
        <f>MongDon!$H$80</f>
        <v>1.2</v>
      </c>
      <c r="BU228" s="17" t="str">
        <f t="shared" si="228"/>
        <v>Ok</v>
      </c>
      <c r="BV228" s="17">
        <f t="shared" si="229"/>
        <v>6.5432193796649596</v>
      </c>
      <c r="BW228" s="16">
        <f>MongDon!$F$86</f>
        <v>1.5</v>
      </c>
      <c r="BX228" s="17" t="str">
        <f t="shared" si="230"/>
        <v>Ok</v>
      </c>
      <c r="BY228" s="17">
        <f t="shared" si="231"/>
        <v>27.2775649760978</v>
      </c>
      <c r="BZ228" s="17">
        <f t="shared" si="232"/>
        <v>52.984933315093102</v>
      </c>
      <c r="CA228" s="17">
        <f t="shared" si="233"/>
        <v>31.792085262535299</v>
      </c>
      <c r="CB228" s="17">
        <f t="shared" si="234"/>
        <v>6.08471692354005</v>
      </c>
      <c r="CC228" s="17">
        <f t="shared" si="235"/>
        <v>33.219842121509998</v>
      </c>
      <c r="CD228" s="17">
        <f t="shared" si="236"/>
        <v>29.1801128110965</v>
      </c>
      <c r="CE228" s="17">
        <f t="shared" si="237"/>
        <v>33.219842121509998</v>
      </c>
      <c r="CF228" s="17">
        <f t="shared" si="238"/>
        <v>29.889537427536698</v>
      </c>
      <c r="CG228" s="17">
        <f t="shared" si="239"/>
        <v>8.0753229360775691</v>
      </c>
      <c r="CH228" s="17">
        <f t="shared" si="240"/>
        <v>8.0753229360775691</v>
      </c>
      <c r="CI228" s="17">
        <f t="shared" si="241"/>
        <v>250</v>
      </c>
      <c r="CJ228" s="17">
        <f t="shared" si="242"/>
        <v>250</v>
      </c>
    </row>
    <row r="229" spans="2:88">
      <c r="B229" s="3">
        <v>287</v>
      </c>
      <c r="C229" s="3" t="s">
        <v>28</v>
      </c>
      <c r="D229" s="4">
        <v>-5.4581957000180603</v>
      </c>
      <c r="E229" s="4">
        <v>-1.35432965323998</v>
      </c>
      <c r="F229" s="4">
        <v>15.6733553521529</v>
      </c>
      <c r="G229" s="4">
        <v>2.3881991766927801</v>
      </c>
      <c r="H229" s="4">
        <v>-8.1599545405487195</v>
      </c>
      <c r="I229" s="4" t="s">
        <v>18</v>
      </c>
      <c r="J229" s="4">
        <v>-4.57792596608751</v>
      </c>
      <c r="K229" s="4">
        <v>-1.1198549723010001</v>
      </c>
      <c r="L229" s="4">
        <v>13.6245666412683</v>
      </c>
      <c r="M229" s="4">
        <v>1.9768565916466001</v>
      </c>
      <c r="N229" s="4">
        <v>-6.82875141089563</v>
      </c>
      <c r="O229" s="4">
        <v>1.4</v>
      </c>
      <c r="P229" s="4">
        <v>1.4</v>
      </c>
      <c r="Q229" s="4">
        <v>0.22</v>
      </c>
      <c r="R229" s="4">
        <v>0.22</v>
      </c>
      <c r="S229" s="4">
        <v>0</v>
      </c>
      <c r="T229" s="4">
        <v>0</v>
      </c>
      <c r="U229" s="4">
        <v>0.3</v>
      </c>
      <c r="V229" s="4">
        <v>0.05</v>
      </c>
      <c r="W229" s="4">
        <v>1</v>
      </c>
      <c r="X229" s="4">
        <v>19.100000000000001</v>
      </c>
      <c r="Y229" s="4">
        <v>0</v>
      </c>
      <c r="Z229" s="4">
        <v>1.5</v>
      </c>
      <c r="AA229" s="4">
        <v>139</v>
      </c>
      <c r="AB229" s="4">
        <v>12.1</v>
      </c>
      <c r="AC229" s="4">
        <v>19.5</v>
      </c>
      <c r="AD229" s="3" t="s">
        <v>42</v>
      </c>
      <c r="AE229" s="3" t="s">
        <v>61</v>
      </c>
      <c r="AF229" s="17">
        <f>HLOOKUP(AD229,Data!$B$4:$M$9,2,0)</f>
        <v>13</v>
      </c>
      <c r="AG229" s="17">
        <f>HLOOKUP(AD229,Data!$B$4:$M$9,3,0)</f>
        <v>1</v>
      </c>
      <c r="AH229" s="17">
        <f>HLOOKUP(AE229,Data!$B$13:$I$18,3,0)</f>
        <v>260</v>
      </c>
      <c r="AI229" s="18">
        <f t="shared" si="192"/>
        <v>1.96</v>
      </c>
      <c r="AJ229" s="17">
        <f t="shared" si="193"/>
        <v>0.45733333333333298</v>
      </c>
      <c r="AK229" s="17">
        <f t="shared" si="194"/>
        <v>0.45733333333333298</v>
      </c>
      <c r="AL229" s="17">
        <f t="shared" si="195"/>
        <v>0.25</v>
      </c>
      <c r="AM229" s="17">
        <f t="shared" si="196"/>
        <v>0.59</v>
      </c>
      <c r="AN229" s="17">
        <f t="shared" si="197"/>
        <v>0.59</v>
      </c>
      <c r="AO229" s="17">
        <f t="shared" si="198"/>
        <v>0.59</v>
      </c>
      <c r="AP229" s="17">
        <f t="shared" si="199"/>
        <v>0.59</v>
      </c>
      <c r="AQ229" s="17">
        <f t="shared" si="200"/>
        <v>1.88</v>
      </c>
      <c r="AR229" s="17">
        <f t="shared" si="201"/>
        <v>1.4416</v>
      </c>
      <c r="AS229" s="17">
        <f t="shared" si="202"/>
        <v>15.6733553521529</v>
      </c>
      <c r="AT229" s="17">
        <f t="shared" si="203"/>
        <v>2.7944980726647799</v>
      </c>
      <c r="AU229" s="17">
        <f t="shared" si="204"/>
        <v>-9.7974132505541398</v>
      </c>
      <c r="AV229" s="17">
        <f t="shared" si="205"/>
        <v>13.6245666412683</v>
      </c>
      <c r="AW229" s="17">
        <f t="shared" si="206"/>
        <v>2.3128130833368998</v>
      </c>
      <c r="AX229" s="17">
        <f t="shared" si="207"/>
        <v>-8.20212920072189</v>
      </c>
      <c r="AY229" s="17">
        <f t="shared" si="208"/>
        <v>56.129943670673299</v>
      </c>
      <c r="AZ229" s="17">
        <f t="shared" si="209"/>
        <v>1.0632760764214999</v>
      </c>
      <c r="BA229" s="17">
        <f t="shared" si="210"/>
        <v>28.596609873547401</v>
      </c>
      <c r="BB229" s="17">
        <f t="shared" si="211"/>
        <v>50.5431658171021</v>
      </c>
      <c r="BC229" s="17">
        <f t="shared" si="212"/>
        <v>4.5594532046001799</v>
      </c>
      <c r="BD229" s="17">
        <f t="shared" si="213"/>
        <v>27.551309510851201</v>
      </c>
      <c r="BE229" s="17" t="str">
        <f>IF(AND(BD229&lt;=AA229,BB229&lt;=AA229*MongDon!$J$44,BC229&gt;0),"Ok","FAIL")</f>
        <v>Ok</v>
      </c>
      <c r="BF229" s="17">
        <f t="shared" si="214"/>
        <v>80.916926795642695</v>
      </c>
      <c r="BG229" s="17">
        <f t="shared" si="215"/>
        <v>352.5</v>
      </c>
      <c r="BH229" s="17" t="str">
        <f t="shared" si="216"/>
        <v>Ok</v>
      </c>
      <c r="BI229" s="17">
        <f t="shared" si="217"/>
        <v>10.703427081320701</v>
      </c>
      <c r="BJ229" s="17">
        <f t="shared" si="218"/>
        <v>3.4146786308644601</v>
      </c>
      <c r="BK229" s="17">
        <f t="shared" si="219"/>
        <v>16.520545518296402</v>
      </c>
      <c r="BL229" s="17">
        <f t="shared" si="220"/>
        <v>23.809293968752701</v>
      </c>
      <c r="BM229" s="17">
        <f t="shared" si="221"/>
        <v>88.125</v>
      </c>
      <c r="BN229" s="17">
        <f t="shared" si="222"/>
        <v>88.125</v>
      </c>
      <c r="BO229" s="17">
        <f t="shared" si="223"/>
        <v>88.125</v>
      </c>
      <c r="BP229" s="17">
        <f t="shared" si="224"/>
        <v>88.125</v>
      </c>
      <c r="BQ229" s="17" t="str">
        <f t="shared" si="225"/>
        <v>Ok</v>
      </c>
      <c r="BR229" s="17">
        <f t="shared" si="226"/>
        <v>41.580076243166701</v>
      </c>
      <c r="BS229" s="17">
        <f t="shared" si="227"/>
        <v>7.6179159796393998</v>
      </c>
      <c r="BT229" s="16">
        <f>MongDon!$H$80</f>
        <v>1.2</v>
      </c>
      <c r="BU229" s="17" t="str">
        <f t="shared" si="228"/>
        <v>Ok</v>
      </c>
      <c r="BV229" s="17">
        <f t="shared" si="229"/>
        <v>3.7945269629618199</v>
      </c>
      <c r="BW229" s="16">
        <f>MongDon!$F$86</f>
        <v>1.5</v>
      </c>
      <c r="BX229" s="17" t="str">
        <f t="shared" si="230"/>
        <v>Ok</v>
      </c>
      <c r="BY229" s="17">
        <f t="shared" si="231"/>
        <v>43.909106618203403</v>
      </c>
      <c r="BZ229" s="17">
        <f t="shared" si="232"/>
        <v>1.0632760764214999</v>
      </c>
      <c r="CA229" s="17">
        <f t="shared" si="233"/>
        <v>13.2841131288914</v>
      </c>
      <c r="CB229" s="17">
        <f t="shared" si="234"/>
        <v>56.129943670673299</v>
      </c>
      <c r="CC229" s="17">
        <f t="shared" si="235"/>
        <v>26.190360385101499</v>
      </c>
      <c r="CD229" s="17">
        <f t="shared" si="236"/>
        <v>32.923276613095801</v>
      </c>
      <c r="CE229" s="17">
        <f t="shared" si="237"/>
        <v>31.002859361993298</v>
      </c>
      <c r="CF229" s="17">
        <f t="shared" si="238"/>
        <v>32.923276613095801</v>
      </c>
      <c r="CG229" s="17">
        <f t="shared" si="239"/>
        <v>8.4230432287568995</v>
      </c>
      <c r="CH229" s="17">
        <f t="shared" si="240"/>
        <v>8.4230432287568995</v>
      </c>
      <c r="CI229" s="17">
        <f t="shared" si="241"/>
        <v>250</v>
      </c>
      <c r="CJ229" s="17">
        <f t="shared" si="242"/>
        <v>250</v>
      </c>
    </row>
    <row r="230" spans="2:88">
      <c r="B230" s="3">
        <v>287</v>
      </c>
      <c r="C230" s="3" t="s">
        <v>29</v>
      </c>
      <c r="D230" s="4">
        <v>-4.0561186716508102</v>
      </c>
      <c r="E230" s="4">
        <v>2.05696808124888</v>
      </c>
      <c r="F230" s="4">
        <v>19.366641365454999</v>
      </c>
      <c r="G230" s="4">
        <v>-3.2678731939330699</v>
      </c>
      <c r="H230" s="4">
        <v>-5.8075137186383401</v>
      </c>
      <c r="I230" s="4" t="s">
        <v>19</v>
      </c>
      <c r="J230" s="4">
        <v>-3.4095284424481398</v>
      </c>
      <c r="K230" s="4">
        <v>1.72289313977305</v>
      </c>
      <c r="L230" s="4">
        <v>16.702304985686698</v>
      </c>
      <c r="M230" s="4">
        <v>-2.7365370505416098</v>
      </c>
      <c r="N230" s="4">
        <v>-4.8683840593036498</v>
      </c>
      <c r="O230" s="4">
        <v>1.4</v>
      </c>
      <c r="P230" s="4">
        <v>1.4</v>
      </c>
      <c r="Q230" s="4">
        <v>0.22</v>
      </c>
      <c r="R230" s="4">
        <v>0.22</v>
      </c>
      <c r="S230" s="4">
        <v>0</v>
      </c>
      <c r="T230" s="4">
        <v>0</v>
      </c>
      <c r="U230" s="4">
        <v>0.3</v>
      </c>
      <c r="V230" s="4">
        <v>0.05</v>
      </c>
      <c r="W230" s="4">
        <v>1</v>
      </c>
      <c r="X230" s="4">
        <v>19.100000000000001</v>
      </c>
      <c r="Y230" s="4">
        <v>0</v>
      </c>
      <c r="Z230" s="4">
        <v>1.5</v>
      </c>
      <c r="AA230" s="4">
        <v>139</v>
      </c>
      <c r="AB230" s="4">
        <v>12.1</v>
      </c>
      <c r="AC230" s="4">
        <v>19.5</v>
      </c>
      <c r="AD230" s="3" t="s">
        <v>42</v>
      </c>
      <c r="AE230" s="3" t="s">
        <v>61</v>
      </c>
      <c r="AF230" s="17">
        <f>HLOOKUP(AD230,Data!$B$4:$M$9,2,0)</f>
        <v>13</v>
      </c>
      <c r="AG230" s="17">
        <f>HLOOKUP(AD230,Data!$B$4:$M$9,3,0)</f>
        <v>1</v>
      </c>
      <c r="AH230" s="17">
        <f>HLOOKUP(AE230,Data!$B$13:$I$18,3,0)</f>
        <v>260</v>
      </c>
      <c r="AI230" s="18">
        <f t="shared" si="192"/>
        <v>1.96</v>
      </c>
      <c r="AJ230" s="17">
        <f t="shared" si="193"/>
        <v>0.45733333333333298</v>
      </c>
      <c r="AK230" s="17">
        <f t="shared" si="194"/>
        <v>0.45733333333333298</v>
      </c>
      <c r="AL230" s="17">
        <f t="shared" si="195"/>
        <v>0.25</v>
      </c>
      <c r="AM230" s="17">
        <f t="shared" si="196"/>
        <v>0.59</v>
      </c>
      <c r="AN230" s="17">
        <f t="shared" si="197"/>
        <v>0.59</v>
      </c>
      <c r="AO230" s="17">
        <f t="shared" si="198"/>
        <v>0.59</v>
      </c>
      <c r="AP230" s="17">
        <f t="shared" si="199"/>
        <v>0.59</v>
      </c>
      <c r="AQ230" s="17">
        <f t="shared" si="200"/>
        <v>1.88</v>
      </c>
      <c r="AR230" s="17">
        <f t="shared" si="201"/>
        <v>1.4416</v>
      </c>
      <c r="AS230" s="17">
        <f t="shared" si="202"/>
        <v>19.366641365454999</v>
      </c>
      <c r="AT230" s="17">
        <f t="shared" si="203"/>
        <v>-3.8849636183077298</v>
      </c>
      <c r="AU230" s="17">
        <f t="shared" si="204"/>
        <v>-7.02434932013358</v>
      </c>
      <c r="AV230" s="17">
        <f t="shared" si="205"/>
        <v>16.702304985686698</v>
      </c>
      <c r="AW230" s="17">
        <f t="shared" si="206"/>
        <v>-3.2534049924735302</v>
      </c>
      <c r="AX230" s="17">
        <f t="shared" si="207"/>
        <v>-5.8912425920380898</v>
      </c>
      <c r="AY230" s="17">
        <f t="shared" si="208"/>
        <v>54.335122282173799</v>
      </c>
      <c r="AZ230" s="17">
        <f t="shared" si="209"/>
        <v>6.6267566621680496</v>
      </c>
      <c r="BA230" s="17">
        <f t="shared" si="210"/>
        <v>30.480939472170899</v>
      </c>
      <c r="BB230" s="17">
        <f t="shared" si="211"/>
        <v>49.117169273699403</v>
      </c>
      <c r="BC230" s="17">
        <f t="shared" si="212"/>
        <v>9.1259990790421597</v>
      </c>
      <c r="BD230" s="17">
        <f t="shared" si="213"/>
        <v>29.121584176370799</v>
      </c>
      <c r="BE230" s="17" t="str">
        <f>IF(AND(BD230&lt;=AA230,BB230&lt;=AA230*MongDon!$J$44,BC230&gt;0),"Ok","FAIL")</f>
        <v>Ok</v>
      </c>
      <c r="BF230" s="17">
        <f t="shared" si="214"/>
        <v>78.329512281981806</v>
      </c>
      <c r="BG230" s="17">
        <f t="shared" si="215"/>
        <v>352.5</v>
      </c>
      <c r="BH230" s="17" t="str">
        <f t="shared" si="216"/>
        <v>Ok</v>
      </c>
      <c r="BI230" s="17">
        <f t="shared" si="217"/>
        <v>18.552460750665499</v>
      </c>
      <c r="BJ230" s="17">
        <f t="shared" si="218"/>
        <v>7.1978697331041204</v>
      </c>
      <c r="BK230" s="17">
        <f t="shared" si="219"/>
        <v>10.4653936268412</v>
      </c>
      <c r="BL230" s="17">
        <f t="shared" si="220"/>
        <v>21.819984644402599</v>
      </c>
      <c r="BM230" s="17">
        <f t="shared" si="221"/>
        <v>88.125</v>
      </c>
      <c r="BN230" s="17">
        <f t="shared" si="222"/>
        <v>88.125</v>
      </c>
      <c r="BO230" s="17">
        <f t="shared" si="223"/>
        <v>88.125</v>
      </c>
      <c r="BP230" s="17">
        <f t="shared" si="224"/>
        <v>88.125</v>
      </c>
      <c r="BQ230" s="17" t="str">
        <f t="shared" si="225"/>
        <v>Ok</v>
      </c>
      <c r="BR230" s="17">
        <f t="shared" si="226"/>
        <v>42.371848158859997</v>
      </c>
      <c r="BS230" s="17">
        <f t="shared" si="227"/>
        <v>10.446402482010001</v>
      </c>
      <c r="BT230" s="16">
        <f>MongDon!$H$80</f>
        <v>1.2</v>
      </c>
      <c r="BU230" s="17" t="str">
        <f t="shared" si="228"/>
        <v>Ok</v>
      </c>
      <c r="BV230" s="17">
        <f t="shared" si="229"/>
        <v>5.66057397542159</v>
      </c>
      <c r="BW230" s="16">
        <f>MongDon!$F$86</f>
        <v>1.5</v>
      </c>
      <c r="BX230" s="17" t="str">
        <f t="shared" si="230"/>
        <v>Ok</v>
      </c>
      <c r="BY230" s="17">
        <f t="shared" si="231"/>
        <v>54.335122282173799</v>
      </c>
      <c r="BZ230" s="17">
        <f t="shared" si="232"/>
        <v>23.616393476924902</v>
      </c>
      <c r="CA230" s="17">
        <f t="shared" si="233"/>
        <v>6.6267566621680496</v>
      </c>
      <c r="CB230" s="17">
        <f t="shared" si="234"/>
        <v>37.3454854674169</v>
      </c>
      <c r="CC230" s="17">
        <f t="shared" si="235"/>
        <v>29.4022251014894</v>
      </c>
      <c r="CD230" s="17">
        <f t="shared" si="236"/>
        <v>34.229453913742802</v>
      </c>
      <c r="CE230" s="17">
        <f t="shared" si="237"/>
        <v>34.229453913742802</v>
      </c>
      <c r="CF230" s="17">
        <f t="shared" si="238"/>
        <v>31.559653842852398</v>
      </c>
      <c r="CG230" s="17">
        <f t="shared" si="239"/>
        <v>8.2905641733705497</v>
      </c>
      <c r="CH230" s="17">
        <f t="shared" si="240"/>
        <v>8.2905641733705497</v>
      </c>
      <c r="CI230" s="17">
        <f t="shared" si="241"/>
        <v>250</v>
      </c>
      <c r="CJ230" s="17">
        <f t="shared" si="242"/>
        <v>250</v>
      </c>
    </row>
    <row r="231" spans="2:88">
      <c r="B231" s="3">
        <v>287</v>
      </c>
      <c r="C231" s="3" t="s">
        <v>30</v>
      </c>
      <c r="D231" s="4">
        <v>1.0657402617118299</v>
      </c>
      <c r="E231" s="4">
        <v>-1.0232969821119899</v>
      </c>
      <c r="F231" s="4">
        <v>11.4305967417895</v>
      </c>
      <c r="G231" s="4">
        <v>1.73910175979031</v>
      </c>
      <c r="H231" s="4">
        <v>3.16726817054708</v>
      </c>
      <c r="I231" s="4" t="s">
        <v>20</v>
      </c>
      <c r="J231" s="4">
        <v>0.85868733535406805</v>
      </c>
      <c r="K231" s="4">
        <v>-0.84399441302767197</v>
      </c>
      <c r="L231" s="4">
        <v>10.0889344659654</v>
      </c>
      <c r="M231" s="4">
        <v>1.4359420775612</v>
      </c>
      <c r="N231" s="4">
        <v>2.61060084835086</v>
      </c>
      <c r="O231" s="4">
        <v>1.4</v>
      </c>
      <c r="P231" s="4">
        <v>1.4</v>
      </c>
      <c r="Q231" s="4">
        <v>0.22</v>
      </c>
      <c r="R231" s="4">
        <v>0.22</v>
      </c>
      <c r="S231" s="4">
        <v>0</v>
      </c>
      <c r="T231" s="4">
        <v>0</v>
      </c>
      <c r="U231" s="4">
        <v>0.3</v>
      </c>
      <c r="V231" s="4">
        <v>0.05</v>
      </c>
      <c r="W231" s="4">
        <v>1</v>
      </c>
      <c r="X231" s="4">
        <v>19.100000000000001</v>
      </c>
      <c r="Y231" s="4">
        <v>0</v>
      </c>
      <c r="Z231" s="4">
        <v>1.5</v>
      </c>
      <c r="AA231" s="4">
        <v>139</v>
      </c>
      <c r="AB231" s="4">
        <v>12.1</v>
      </c>
      <c r="AC231" s="4">
        <v>19.5</v>
      </c>
      <c r="AD231" s="3" t="s">
        <v>42</v>
      </c>
      <c r="AE231" s="3" t="s">
        <v>61</v>
      </c>
      <c r="AF231" s="17">
        <f>HLOOKUP(AD231,Data!$B$4:$M$9,2,0)</f>
        <v>13</v>
      </c>
      <c r="AG231" s="17">
        <f>HLOOKUP(AD231,Data!$B$4:$M$9,3,0)</f>
        <v>1</v>
      </c>
      <c r="AH231" s="17">
        <f>HLOOKUP(AE231,Data!$B$13:$I$18,3,0)</f>
        <v>260</v>
      </c>
      <c r="AI231" s="18">
        <f t="shared" si="192"/>
        <v>1.96</v>
      </c>
      <c r="AJ231" s="17">
        <f t="shared" si="193"/>
        <v>0.45733333333333298</v>
      </c>
      <c r="AK231" s="17">
        <f t="shared" si="194"/>
        <v>0.45733333333333298</v>
      </c>
      <c r="AL231" s="17">
        <f t="shared" si="195"/>
        <v>0.25</v>
      </c>
      <c r="AM231" s="17">
        <f t="shared" si="196"/>
        <v>0.59</v>
      </c>
      <c r="AN231" s="17">
        <f t="shared" si="197"/>
        <v>0.59</v>
      </c>
      <c r="AO231" s="17">
        <f t="shared" si="198"/>
        <v>0.59</v>
      </c>
      <c r="AP231" s="17">
        <f t="shared" si="199"/>
        <v>0.59</v>
      </c>
      <c r="AQ231" s="17">
        <f t="shared" si="200"/>
        <v>1.88</v>
      </c>
      <c r="AR231" s="17">
        <f t="shared" si="201"/>
        <v>1.4416</v>
      </c>
      <c r="AS231" s="17">
        <f t="shared" si="202"/>
        <v>11.4305967417895</v>
      </c>
      <c r="AT231" s="17">
        <f t="shared" si="203"/>
        <v>2.0460908544239</v>
      </c>
      <c r="AU231" s="17">
        <f t="shared" si="204"/>
        <v>3.4869902490606299</v>
      </c>
      <c r="AV231" s="17">
        <f t="shared" si="205"/>
        <v>10.0889344659654</v>
      </c>
      <c r="AW231" s="17">
        <f t="shared" si="206"/>
        <v>1.6891404014695</v>
      </c>
      <c r="AX231" s="17">
        <f t="shared" si="207"/>
        <v>2.8682070489570801</v>
      </c>
      <c r="AY231" s="17">
        <f t="shared" si="208"/>
        <v>38.530510954596402</v>
      </c>
      <c r="AZ231" s="17">
        <f t="shared" si="209"/>
        <v>14.333363271719399</v>
      </c>
      <c r="BA231" s="17">
        <f t="shared" si="210"/>
        <v>26.4319371131579</v>
      </c>
      <c r="BB231" s="17">
        <f t="shared" si="211"/>
        <v>35.712460989399098</v>
      </c>
      <c r="BC231" s="17">
        <f t="shared" si="212"/>
        <v>15.782370098320699</v>
      </c>
      <c r="BD231" s="17">
        <f t="shared" si="213"/>
        <v>25.747415543859901</v>
      </c>
      <c r="BE231" s="17" t="str">
        <f>IF(AND(BD231&lt;=AA231,BB231&lt;=AA231*MongDon!$J$44,BC231&gt;0),"Ok","FAIL")</f>
        <v>Ok</v>
      </c>
      <c r="BF231" s="17">
        <f t="shared" si="214"/>
        <v>55.545584592146199</v>
      </c>
      <c r="BG231" s="17">
        <f t="shared" si="215"/>
        <v>352.5</v>
      </c>
      <c r="BH231" s="17" t="str">
        <f t="shared" si="216"/>
        <v>Ok</v>
      </c>
      <c r="BI231" s="17">
        <f t="shared" si="217"/>
        <v>10.451997299013801</v>
      </c>
      <c r="BJ231" s="17">
        <f t="shared" si="218"/>
        <v>16.2109184475385</v>
      </c>
      <c r="BK231" s="17">
        <f t="shared" si="219"/>
        <v>14.711206832712501</v>
      </c>
      <c r="BL231" s="17">
        <f t="shared" si="220"/>
        <v>8.9522856841878191</v>
      </c>
      <c r="BM231" s="17">
        <f t="shared" si="221"/>
        <v>88.125</v>
      </c>
      <c r="BN231" s="17">
        <f t="shared" si="222"/>
        <v>88.125</v>
      </c>
      <c r="BO231" s="17">
        <f t="shared" si="223"/>
        <v>88.125</v>
      </c>
      <c r="BP231" s="17">
        <f t="shared" si="224"/>
        <v>88.125</v>
      </c>
      <c r="BQ231" s="17" t="str">
        <f t="shared" si="225"/>
        <v>Ok</v>
      </c>
      <c r="BR231" s="17">
        <f t="shared" si="226"/>
        <v>40.670507609529203</v>
      </c>
      <c r="BS231" s="17">
        <f t="shared" si="227"/>
        <v>38.161744536330801</v>
      </c>
      <c r="BT231" s="16">
        <f>MongDon!$H$80</f>
        <v>1.2</v>
      </c>
      <c r="BU231" s="17" t="str">
        <f t="shared" si="228"/>
        <v>Ok</v>
      </c>
      <c r="BV231" s="17">
        <f t="shared" si="229"/>
        <v>9.8097830151568992</v>
      </c>
      <c r="BW231" s="16">
        <f>MongDon!$F$86</f>
        <v>1.5</v>
      </c>
      <c r="BX231" s="17" t="str">
        <f t="shared" si="230"/>
        <v>Ok</v>
      </c>
      <c r="BY231" s="17">
        <f t="shared" si="231"/>
        <v>14.333363271719399</v>
      </c>
      <c r="BZ231" s="17">
        <f t="shared" si="232"/>
        <v>29.582591766153701</v>
      </c>
      <c r="CA231" s="17">
        <f t="shared" si="233"/>
        <v>38.530510954596402</v>
      </c>
      <c r="CB231" s="17">
        <f t="shared" si="234"/>
        <v>23.281282460162199</v>
      </c>
      <c r="CC231" s="17">
        <f t="shared" si="235"/>
        <v>28.333141573955398</v>
      </c>
      <c r="CD231" s="17">
        <f t="shared" si="236"/>
        <v>25.936834239115701</v>
      </c>
      <c r="CE231" s="17">
        <f t="shared" si="237"/>
        <v>26.9270399872001</v>
      </c>
      <c r="CF231" s="17">
        <f t="shared" si="238"/>
        <v>28.333141573955398</v>
      </c>
      <c r="CG231" s="17">
        <f t="shared" si="239"/>
        <v>6.1146180514139798</v>
      </c>
      <c r="CH231" s="17">
        <f t="shared" si="240"/>
        <v>6.1146180514139798</v>
      </c>
      <c r="CI231" s="17">
        <f t="shared" si="241"/>
        <v>250</v>
      </c>
      <c r="CJ231" s="17">
        <f t="shared" si="242"/>
        <v>250</v>
      </c>
    </row>
    <row r="232" spans="2:88">
      <c r="B232" s="3">
        <v>287</v>
      </c>
      <c r="C232" s="3" t="s">
        <v>31</v>
      </c>
      <c r="D232" s="4">
        <v>2.7236981529489701</v>
      </c>
      <c r="E232" s="4">
        <v>2.6627904968503402</v>
      </c>
      <c r="F232" s="4">
        <v>16.420231210126499</v>
      </c>
      <c r="G232" s="4">
        <v>-4.3653747851181004</v>
      </c>
      <c r="H232" s="4">
        <v>6.1230062838035</v>
      </c>
      <c r="I232" s="4" t="s">
        <v>21</v>
      </c>
      <c r="J232" s="4">
        <v>2.2403189113850202</v>
      </c>
      <c r="K232" s="4">
        <v>2.2277451527742702</v>
      </c>
      <c r="L232" s="4">
        <v>14.246963189579599</v>
      </c>
      <c r="M232" s="4">
        <v>-3.65112170986247</v>
      </c>
      <c r="N232" s="4">
        <v>5.0737159427312104</v>
      </c>
      <c r="O232" s="4">
        <v>1.4</v>
      </c>
      <c r="P232" s="4">
        <v>1.4</v>
      </c>
      <c r="Q232" s="4">
        <v>0.22</v>
      </c>
      <c r="R232" s="4">
        <v>0.22</v>
      </c>
      <c r="S232" s="4">
        <v>0</v>
      </c>
      <c r="T232" s="4">
        <v>0</v>
      </c>
      <c r="U232" s="4">
        <v>0.3</v>
      </c>
      <c r="V232" s="4">
        <v>0.05</v>
      </c>
      <c r="W232" s="4">
        <v>1</v>
      </c>
      <c r="X232" s="4">
        <v>19.100000000000001</v>
      </c>
      <c r="Y232" s="4">
        <v>0</v>
      </c>
      <c r="Z232" s="4">
        <v>1.5</v>
      </c>
      <c r="AA232" s="4">
        <v>139</v>
      </c>
      <c r="AB232" s="4">
        <v>12.1</v>
      </c>
      <c r="AC232" s="4">
        <v>19.5</v>
      </c>
      <c r="AD232" s="3" t="s">
        <v>42</v>
      </c>
      <c r="AE232" s="3" t="s">
        <v>61</v>
      </c>
      <c r="AF232" s="17">
        <f>HLOOKUP(AD232,Data!$B$4:$M$9,2,0)</f>
        <v>13</v>
      </c>
      <c r="AG232" s="17">
        <f>HLOOKUP(AD232,Data!$B$4:$M$9,3,0)</f>
        <v>1</v>
      </c>
      <c r="AH232" s="17">
        <f>HLOOKUP(AE232,Data!$B$13:$I$18,3,0)</f>
        <v>260</v>
      </c>
      <c r="AI232" s="18">
        <f t="shared" si="192"/>
        <v>1.96</v>
      </c>
      <c r="AJ232" s="17">
        <f t="shared" si="193"/>
        <v>0.45733333333333298</v>
      </c>
      <c r="AK232" s="17">
        <f t="shared" si="194"/>
        <v>0.45733333333333298</v>
      </c>
      <c r="AL232" s="17">
        <f t="shared" si="195"/>
        <v>0.25</v>
      </c>
      <c r="AM232" s="17">
        <f t="shared" si="196"/>
        <v>0.59</v>
      </c>
      <c r="AN232" s="17">
        <f t="shared" si="197"/>
        <v>0.59</v>
      </c>
      <c r="AO232" s="17">
        <f t="shared" si="198"/>
        <v>0.59</v>
      </c>
      <c r="AP232" s="17">
        <f t="shared" si="199"/>
        <v>0.59</v>
      </c>
      <c r="AQ232" s="17">
        <f t="shared" si="200"/>
        <v>1.88</v>
      </c>
      <c r="AR232" s="17">
        <f t="shared" si="201"/>
        <v>1.4416</v>
      </c>
      <c r="AS232" s="17">
        <f t="shared" si="202"/>
        <v>16.420231210126499</v>
      </c>
      <c r="AT232" s="17">
        <f t="shared" si="203"/>
        <v>-5.1642119341732</v>
      </c>
      <c r="AU232" s="17">
        <f t="shared" si="204"/>
        <v>6.9401157296881903</v>
      </c>
      <c r="AV232" s="17">
        <f t="shared" si="205"/>
        <v>14.246963189579599</v>
      </c>
      <c r="AW232" s="17">
        <f t="shared" si="206"/>
        <v>-4.3194452556947498</v>
      </c>
      <c r="AX232" s="17">
        <f t="shared" si="207"/>
        <v>5.7458116161467201</v>
      </c>
      <c r="AY232" s="17">
        <f t="shared" si="208"/>
        <v>55.444857754134603</v>
      </c>
      <c r="AZ232" s="17">
        <f t="shared" si="209"/>
        <v>2.5104802153821901</v>
      </c>
      <c r="BA232" s="17">
        <f t="shared" si="210"/>
        <v>28.977668984758399</v>
      </c>
      <c r="BB232" s="17">
        <f t="shared" si="211"/>
        <v>49.877437936027803</v>
      </c>
      <c r="BC232" s="17">
        <f t="shared" si="212"/>
        <v>5.86027960435956</v>
      </c>
      <c r="BD232" s="17">
        <f t="shared" si="213"/>
        <v>27.8688587701937</v>
      </c>
      <c r="BE232" s="17" t="str">
        <f>IF(AND(BD232&lt;=AA232,BB232&lt;=AA232*MongDon!$J$44,BC232&gt;0),"Ok","FAIL")</f>
        <v>Ok</v>
      </c>
      <c r="BF232" s="17">
        <f t="shared" si="214"/>
        <v>79.929306938360497</v>
      </c>
      <c r="BG232" s="17">
        <f t="shared" si="215"/>
        <v>352.5</v>
      </c>
      <c r="BH232" s="17" t="str">
        <f t="shared" si="216"/>
        <v>Ok</v>
      </c>
      <c r="BI232" s="17">
        <f t="shared" si="217"/>
        <v>19.168366531496702</v>
      </c>
      <c r="BJ232" s="17">
        <f t="shared" si="218"/>
        <v>21.016756196216399</v>
      </c>
      <c r="BK232" s="17">
        <f t="shared" si="219"/>
        <v>8.4183743419932995</v>
      </c>
      <c r="BL232" s="17">
        <f t="shared" si="220"/>
        <v>6.5699846772736201</v>
      </c>
      <c r="BM232" s="17">
        <f t="shared" si="221"/>
        <v>88.125</v>
      </c>
      <c r="BN232" s="17">
        <f t="shared" si="222"/>
        <v>88.125</v>
      </c>
      <c r="BO232" s="17">
        <f t="shared" si="223"/>
        <v>88.125</v>
      </c>
      <c r="BP232" s="17">
        <f t="shared" si="224"/>
        <v>88.125</v>
      </c>
      <c r="BQ232" s="17" t="str">
        <f t="shared" si="225"/>
        <v>Ok</v>
      </c>
      <c r="BR232" s="17">
        <f t="shared" si="226"/>
        <v>41.740192553336797</v>
      </c>
      <c r="BS232" s="17">
        <f t="shared" si="227"/>
        <v>15.324823166672999</v>
      </c>
      <c r="BT232" s="16">
        <f>MongDon!$H$80</f>
        <v>1.2</v>
      </c>
      <c r="BU232" s="17" t="str">
        <f t="shared" si="228"/>
        <v>Ok</v>
      </c>
      <c r="BV232" s="17">
        <f t="shared" si="229"/>
        <v>5.4320941199610697</v>
      </c>
      <c r="BW232" s="16">
        <f>MongDon!$F$86</f>
        <v>1.5</v>
      </c>
      <c r="BX232" s="17" t="str">
        <f t="shared" si="230"/>
        <v>Ok</v>
      </c>
      <c r="BY232" s="17">
        <f t="shared" si="231"/>
        <v>25.094497420221298</v>
      </c>
      <c r="BZ232" s="17">
        <f t="shared" si="232"/>
        <v>55.444857754134603</v>
      </c>
      <c r="CA232" s="17">
        <f t="shared" si="233"/>
        <v>32.860840549295503</v>
      </c>
      <c r="CB232" s="17">
        <f t="shared" si="234"/>
        <v>2.5104802153821901</v>
      </c>
      <c r="CC232" s="17">
        <f t="shared" si="235"/>
        <v>33.136798648517498</v>
      </c>
      <c r="CD232" s="17">
        <f t="shared" si="236"/>
        <v>28.3674563103311</v>
      </c>
      <c r="CE232" s="17">
        <f t="shared" si="237"/>
        <v>33.136798648517498</v>
      </c>
      <c r="CF232" s="17">
        <f t="shared" si="238"/>
        <v>29.587881659185701</v>
      </c>
      <c r="CG232" s="17">
        <f t="shared" si="239"/>
        <v>8.35593826299624</v>
      </c>
      <c r="CH232" s="17">
        <f t="shared" si="240"/>
        <v>8.35593826299624</v>
      </c>
      <c r="CI232" s="17">
        <f t="shared" si="241"/>
        <v>250</v>
      </c>
      <c r="CJ232" s="17">
        <f t="shared" si="242"/>
        <v>250</v>
      </c>
    </row>
    <row r="233" spans="2:88">
      <c r="B233" s="3">
        <v>287</v>
      </c>
      <c r="C233" s="3" t="s">
        <v>32</v>
      </c>
      <c r="D233" s="4">
        <v>-5.71407656288795</v>
      </c>
      <c r="E233" s="4">
        <v>-1.6291193977134499</v>
      </c>
      <c r="F233" s="4">
        <v>14.3770068971181</v>
      </c>
      <c r="G233" s="4">
        <v>2.8366033509753401</v>
      </c>
      <c r="H233" s="4">
        <v>-8.7632518318947596</v>
      </c>
      <c r="I233" s="4" t="s">
        <v>22</v>
      </c>
      <c r="J233" s="4">
        <v>-4.7911600184790801</v>
      </c>
      <c r="K233" s="4">
        <v>-1.3488464260288899</v>
      </c>
      <c r="L233" s="4">
        <v>12.5442762620726</v>
      </c>
      <c r="M233" s="4">
        <v>2.3505267368820602</v>
      </c>
      <c r="N233" s="4">
        <v>-7.3314991536839997</v>
      </c>
      <c r="O233" s="4">
        <v>1.4</v>
      </c>
      <c r="P233" s="4">
        <v>1.4</v>
      </c>
      <c r="Q233" s="4">
        <v>0.22</v>
      </c>
      <c r="R233" s="4">
        <v>0.22</v>
      </c>
      <c r="S233" s="4">
        <v>0</v>
      </c>
      <c r="T233" s="4">
        <v>0</v>
      </c>
      <c r="U233" s="4">
        <v>0.3</v>
      </c>
      <c r="V233" s="4">
        <v>0.05</v>
      </c>
      <c r="W233" s="4">
        <v>1</v>
      </c>
      <c r="X233" s="4">
        <v>19.100000000000001</v>
      </c>
      <c r="Y233" s="4">
        <v>0</v>
      </c>
      <c r="Z233" s="4">
        <v>1.5</v>
      </c>
      <c r="AA233" s="4">
        <v>139</v>
      </c>
      <c r="AB233" s="4">
        <v>12.1</v>
      </c>
      <c r="AC233" s="4">
        <v>19.5</v>
      </c>
      <c r="AD233" s="3" t="s">
        <v>42</v>
      </c>
      <c r="AE233" s="3" t="s">
        <v>61</v>
      </c>
      <c r="AF233" s="17">
        <f>HLOOKUP(AD233,Data!$B$4:$M$9,2,0)</f>
        <v>13</v>
      </c>
      <c r="AG233" s="17">
        <f>HLOOKUP(AD233,Data!$B$4:$M$9,3,0)</f>
        <v>1</v>
      </c>
      <c r="AH233" s="17">
        <f>HLOOKUP(AE233,Data!$B$13:$I$18,3,0)</f>
        <v>260</v>
      </c>
      <c r="AI233" s="18">
        <f t="shared" si="192"/>
        <v>1.96</v>
      </c>
      <c r="AJ233" s="17">
        <f t="shared" si="193"/>
        <v>0.45733333333333298</v>
      </c>
      <c r="AK233" s="17">
        <f t="shared" si="194"/>
        <v>0.45733333333333298</v>
      </c>
      <c r="AL233" s="17">
        <f t="shared" si="195"/>
        <v>0.25</v>
      </c>
      <c r="AM233" s="17">
        <f t="shared" si="196"/>
        <v>0.59</v>
      </c>
      <c r="AN233" s="17">
        <f t="shared" si="197"/>
        <v>0.59</v>
      </c>
      <c r="AO233" s="17">
        <f t="shared" si="198"/>
        <v>0.59</v>
      </c>
      <c r="AP233" s="17">
        <f t="shared" si="199"/>
        <v>0.59</v>
      </c>
      <c r="AQ233" s="17">
        <f t="shared" si="200"/>
        <v>1.88</v>
      </c>
      <c r="AR233" s="17">
        <f t="shared" si="201"/>
        <v>1.4416</v>
      </c>
      <c r="AS233" s="17">
        <f t="shared" si="202"/>
        <v>14.3770068971181</v>
      </c>
      <c r="AT233" s="17">
        <f t="shared" si="203"/>
        <v>3.3253391702893702</v>
      </c>
      <c r="AU233" s="17">
        <f t="shared" si="204"/>
        <v>-10.477474800761099</v>
      </c>
      <c r="AV233" s="17">
        <f t="shared" si="205"/>
        <v>12.5442762620726</v>
      </c>
      <c r="AW233" s="17">
        <f t="shared" si="206"/>
        <v>2.7551806646907302</v>
      </c>
      <c r="AX233" s="17">
        <f t="shared" si="207"/>
        <v>-8.76884715922772</v>
      </c>
      <c r="AY233" s="17">
        <f t="shared" si="208"/>
        <v>58.1162877121969</v>
      </c>
      <c r="AZ233" s="17">
        <f t="shared" si="209"/>
        <v>-2.24587251105604</v>
      </c>
      <c r="BA233" s="17">
        <f t="shared" si="210"/>
        <v>27.935207600570401</v>
      </c>
      <c r="BB233" s="17">
        <f t="shared" si="211"/>
        <v>52.198452518371802</v>
      </c>
      <c r="BC233" s="17">
        <f t="shared" si="212"/>
        <v>1.8018293817022299</v>
      </c>
      <c r="BD233" s="17">
        <f t="shared" si="213"/>
        <v>27.000140950037</v>
      </c>
      <c r="BE233" s="17" t="str">
        <f>IF(AND(BD233&lt;=AA233,BB233&lt;=AA233*MongDon!$J$44,BC233&gt;0),"Ok","FAIL")</f>
        <v>Ok</v>
      </c>
      <c r="BF233" s="17">
        <f t="shared" si="214"/>
        <v>83.780440365903104</v>
      </c>
      <c r="BG233" s="17">
        <f t="shared" si="215"/>
        <v>352.5</v>
      </c>
      <c r="BH233" s="17" t="str">
        <f t="shared" si="216"/>
        <v>Ok</v>
      </c>
      <c r="BI233" s="17">
        <f t="shared" si="217"/>
        <v>9.8360915181825899</v>
      </c>
      <c r="BJ233" s="17">
        <f t="shared" si="218"/>
        <v>2.3920319844262599</v>
      </c>
      <c r="BK233" s="17">
        <f t="shared" si="219"/>
        <v>16.758226117560501</v>
      </c>
      <c r="BL233" s="17">
        <f t="shared" si="220"/>
        <v>24.202285651316799</v>
      </c>
      <c r="BM233" s="17">
        <f t="shared" si="221"/>
        <v>88.125</v>
      </c>
      <c r="BN233" s="17">
        <f t="shared" si="222"/>
        <v>88.125</v>
      </c>
      <c r="BO233" s="17">
        <f t="shared" si="223"/>
        <v>88.125</v>
      </c>
      <c r="BP233" s="17">
        <f t="shared" si="224"/>
        <v>88.125</v>
      </c>
      <c r="BQ233" s="17" t="str">
        <f t="shared" si="225"/>
        <v>Ok</v>
      </c>
      <c r="BR233" s="17">
        <f t="shared" si="226"/>
        <v>41.302163215052403</v>
      </c>
      <c r="BS233" s="17">
        <f t="shared" si="227"/>
        <v>7.2281431234757303</v>
      </c>
      <c r="BT233" s="16">
        <f>MongDon!$H$80</f>
        <v>1.2</v>
      </c>
      <c r="BU233" s="17" t="str">
        <f t="shared" si="228"/>
        <v>Ok</v>
      </c>
      <c r="BV233" s="17">
        <f t="shared" si="229"/>
        <v>3.46162653861481</v>
      </c>
      <c r="BW233" s="16">
        <f>MongDon!$F$86</f>
        <v>1.5</v>
      </c>
      <c r="BX233" s="17" t="str">
        <f t="shared" si="230"/>
        <v>Ok</v>
      </c>
      <c r="BY233" s="17">
        <f t="shared" si="231"/>
        <v>43.573988133672003</v>
      </c>
      <c r="BZ233" s="17">
        <f t="shared" si="232"/>
        <v>-2.2458725110560498</v>
      </c>
      <c r="CA233" s="17">
        <f t="shared" si="233"/>
        <v>12.296427067468899</v>
      </c>
      <c r="CB233" s="17">
        <f t="shared" si="234"/>
        <v>58.1162877121969</v>
      </c>
      <c r="CC233" s="17">
        <f t="shared" si="235"/>
        <v>25.4776849453688</v>
      </c>
      <c r="CD233" s="17">
        <f t="shared" si="236"/>
        <v>32.677948760968903</v>
      </c>
      <c r="CE233" s="17">
        <f t="shared" si="237"/>
        <v>30.392730255772101</v>
      </c>
      <c r="CF233" s="17">
        <f t="shared" si="238"/>
        <v>32.677948760968903</v>
      </c>
      <c r="CG233" s="17">
        <f t="shared" si="239"/>
        <v>8.6392922448207994</v>
      </c>
      <c r="CH233" s="17">
        <f t="shared" si="240"/>
        <v>8.6392922448207994</v>
      </c>
      <c r="CI233" s="17">
        <f t="shared" si="241"/>
        <v>250</v>
      </c>
      <c r="CJ233" s="17">
        <f t="shared" si="242"/>
        <v>250</v>
      </c>
    </row>
    <row r="234" spans="2:88">
      <c r="B234" s="3">
        <v>288</v>
      </c>
      <c r="C234" s="3" t="s">
        <v>23</v>
      </c>
      <c r="D234" s="4">
        <v>-2.3015652391536998E-2</v>
      </c>
      <c r="E234" s="4">
        <v>1.1776045186986701</v>
      </c>
      <c r="F234" s="4">
        <v>38.722896749266198</v>
      </c>
      <c r="G234" s="4">
        <v>-1.3674252210056499</v>
      </c>
      <c r="H234" s="4">
        <v>0.16537338448675401</v>
      </c>
      <c r="I234" s="4" t="s">
        <v>13</v>
      </c>
      <c r="J234" s="4">
        <v>-3.1764128354623701E-2</v>
      </c>
      <c r="K234" s="4">
        <v>1.0008493961623299</v>
      </c>
      <c r="L234" s="4">
        <v>33.287318759887697</v>
      </c>
      <c r="M234" s="4">
        <v>-1.1635593650766101</v>
      </c>
      <c r="N234" s="4">
        <v>0.12601943332221699</v>
      </c>
      <c r="O234" s="4">
        <v>1.2</v>
      </c>
      <c r="P234" s="4">
        <v>1.2</v>
      </c>
      <c r="Q234" s="4">
        <v>0.22</v>
      </c>
      <c r="R234" s="4">
        <v>0.22</v>
      </c>
      <c r="S234" s="4">
        <v>0</v>
      </c>
      <c r="T234" s="4">
        <v>0</v>
      </c>
      <c r="U234" s="4">
        <v>0.3</v>
      </c>
      <c r="V234" s="4">
        <v>0.05</v>
      </c>
      <c r="W234" s="4">
        <v>1</v>
      </c>
      <c r="X234" s="4">
        <v>19.100000000000001</v>
      </c>
      <c r="Y234" s="4">
        <v>0</v>
      </c>
      <c r="Z234" s="4">
        <v>1.5</v>
      </c>
      <c r="AA234" s="4">
        <v>139</v>
      </c>
      <c r="AB234" s="4">
        <v>12.1</v>
      </c>
      <c r="AC234" s="4">
        <v>19.5</v>
      </c>
      <c r="AD234" s="3" t="s">
        <v>42</v>
      </c>
      <c r="AE234" s="3" t="s">
        <v>61</v>
      </c>
      <c r="AF234" s="17">
        <f>HLOOKUP(AD234,Data!$B$4:$M$9,2,0)</f>
        <v>13</v>
      </c>
      <c r="AG234" s="17">
        <f>HLOOKUP(AD234,Data!$B$4:$M$9,3,0)</f>
        <v>1</v>
      </c>
      <c r="AH234" s="17">
        <f>HLOOKUP(AE234,Data!$B$13:$I$18,3,0)</f>
        <v>260</v>
      </c>
      <c r="AI234" s="18">
        <f t="shared" si="192"/>
        <v>1.44</v>
      </c>
      <c r="AJ234" s="17">
        <f t="shared" si="193"/>
        <v>0.28799999999999998</v>
      </c>
      <c r="AK234" s="17">
        <f t="shared" si="194"/>
        <v>0.28799999999999998</v>
      </c>
      <c r="AL234" s="17">
        <f t="shared" si="195"/>
        <v>0.25</v>
      </c>
      <c r="AM234" s="17">
        <f t="shared" si="196"/>
        <v>0.49</v>
      </c>
      <c r="AN234" s="17">
        <f t="shared" si="197"/>
        <v>0.49</v>
      </c>
      <c r="AO234" s="17">
        <f t="shared" si="198"/>
        <v>0.49</v>
      </c>
      <c r="AP234" s="17">
        <f t="shared" si="199"/>
        <v>0.49</v>
      </c>
      <c r="AQ234" s="17">
        <f t="shared" si="200"/>
        <v>1.88</v>
      </c>
      <c r="AR234" s="17">
        <f t="shared" si="201"/>
        <v>0.92159999999999997</v>
      </c>
      <c r="AS234" s="17">
        <f t="shared" si="202"/>
        <v>38.722896749266198</v>
      </c>
      <c r="AT234" s="17">
        <f t="shared" si="203"/>
        <v>-1.7207065766152501</v>
      </c>
      <c r="AU234" s="17">
        <f t="shared" si="204"/>
        <v>0.15846868876929199</v>
      </c>
      <c r="AV234" s="17">
        <f t="shared" si="205"/>
        <v>33.287318759887697</v>
      </c>
      <c r="AW234" s="17">
        <f t="shared" si="206"/>
        <v>-1.46381418392531</v>
      </c>
      <c r="AX234" s="17">
        <f t="shared" si="207"/>
        <v>0.11649019481583001</v>
      </c>
      <c r="AY234" s="17">
        <f t="shared" si="208"/>
        <v>54.015814636242297</v>
      </c>
      <c r="AZ234" s="17">
        <f t="shared" si="209"/>
        <v>40.9659864044052</v>
      </c>
      <c r="BA234" s="17">
        <f t="shared" si="210"/>
        <v>47.490900520323699</v>
      </c>
      <c r="BB234" s="17">
        <f t="shared" si="211"/>
        <v>49.203361564995397</v>
      </c>
      <c r="BC234" s="17">
        <f t="shared" si="212"/>
        <v>38.229025601515303</v>
      </c>
      <c r="BD234" s="17">
        <f t="shared" si="213"/>
        <v>43.716193583255397</v>
      </c>
      <c r="BE234" s="17" t="str">
        <f>IF(AND(BD234&lt;=AA234,BB234&lt;=AA234*MongDon!$J$44,BC234&gt;0),"Ok","FAIL")</f>
        <v>Ok</v>
      </c>
      <c r="BF234" s="17">
        <f t="shared" si="214"/>
        <v>49.780974768760899</v>
      </c>
      <c r="BG234" s="17">
        <f t="shared" si="215"/>
        <v>352.5</v>
      </c>
      <c r="BH234" s="17" t="str">
        <f t="shared" si="216"/>
        <v>Ok</v>
      </c>
      <c r="BI234" s="17">
        <f t="shared" si="217"/>
        <v>15.3980859264685</v>
      </c>
      <c r="BJ234" s="17">
        <f t="shared" si="218"/>
        <v>13.835848038622499</v>
      </c>
      <c r="BK234" s="17">
        <f t="shared" si="219"/>
        <v>11.956672773237999</v>
      </c>
      <c r="BL234" s="17">
        <f t="shared" si="220"/>
        <v>13.5189106610839</v>
      </c>
      <c r="BM234" s="17">
        <f t="shared" si="221"/>
        <v>88.125</v>
      </c>
      <c r="BN234" s="17">
        <f t="shared" si="222"/>
        <v>88.125</v>
      </c>
      <c r="BO234" s="17">
        <f t="shared" si="223"/>
        <v>88.125</v>
      </c>
      <c r="BP234" s="17">
        <f t="shared" si="224"/>
        <v>88.125</v>
      </c>
      <c r="BQ234" s="17" t="str">
        <f t="shared" si="225"/>
        <v>Ok</v>
      </c>
      <c r="BR234" s="17">
        <f t="shared" si="226"/>
        <v>36.381469756183002</v>
      </c>
      <c r="BS234" s="17">
        <f t="shared" si="227"/>
        <v>30.894471937307902</v>
      </c>
      <c r="BT234" s="16">
        <f>MongDon!$H$80</f>
        <v>1.2</v>
      </c>
      <c r="BU234" s="17" t="str">
        <f t="shared" si="228"/>
        <v>Ok</v>
      </c>
      <c r="BV234" s="17">
        <f t="shared" si="229"/>
        <v>23.092919263273501</v>
      </c>
      <c r="BW234" s="16">
        <f>MongDon!$F$86</f>
        <v>1.5</v>
      </c>
      <c r="BX234" s="17" t="str">
        <f t="shared" si="230"/>
        <v>Ok</v>
      </c>
      <c r="BY234" s="17">
        <f t="shared" si="231"/>
        <v>52.915337630899998</v>
      </c>
      <c r="BZ234" s="17">
        <f t="shared" si="232"/>
        <v>54.015814636242297</v>
      </c>
      <c r="CA234" s="17">
        <f t="shared" si="233"/>
        <v>42.066463409747499</v>
      </c>
      <c r="CB234" s="17">
        <f t="shared" si="234"/>
        <v>40.9659864044052</v>
      </c>
      <c r="CC234" s="17">
        <f t="shared" si="235"/>
        <v>48.687134774908799</v>
      </c>
      <c r="CD234" s="17">
        <f t="shared" si="236"/>
        <v>48.485380657262702</v>
      </c>
      <c r="CE234" s="17">
        <f t="shared" si="237"/>
        <v>48.687134774908799</v>
      </c>
      <c r="CF234" s="17">
        <f t="shared" si="238"/>
        <v>46.496420383384802</v>
      </c>
      <c r="CG234" s="17">
        <f t="shared" si="239"/>
        <v>6.2713625412965301</v>
      </c>
      <c r="CH234" s="17">
        <f t="shared" si="240"/>
        <v>6.2713625412965301</v>
      </c>
      <c r="CI234" s="17">
        <f t="shared" si="241"/>
        <v>250</v>
      </c>
      <c r="CJ234" s="17">
        <f t="shared" si="242"/>
        <v>250</v>
      </c>
    </row>
    <row r="235" spans="2:88">
      <c r="B235" s="3">
        <v>288</v>
      </c>
      <c r="C235" s="3" t="s">
        <v>24</v>
      </c>
      <c r="D235" s="4">
        <v>8.3412520556094805E-4</v>
      </c>
      <c r="E235" s="4">
        <v>1.33094488453888</v>
      </c>
      <c r="F235" s="4">
        <v>42.936588976045599</v>
      </c>
      <c r="G235" s="4">
        <v>-1.5424450598484101</v>
      </c>
      <c r="H235" s="4">
        <v>0.21887740015138299</v>
      </c>
      <c r="I235" s="4" t="s">
        <v>14</v>
      </c>
      <c r="J235" s="4">
        <v>-1.1889313690375301E-2</v>
      </c>
      <c r="K235" s="4">
        <v>1.1286330343625</v>
      </c>
      <c r="L235" s="4">
        <v>36.798728948870597</v>
      </c>
      <c r="M235" s="4">
        <v>-1.30940923077891</v>
      </c>
      <c r="N235" s="4">
        <v>0.17060611304274201</v>
      </c>
      <c r="O235" s="4">
        <v>1.2</v>
      </c>
      <c r="P235" s="4">
        <v>1.2</v>
      </c>
      <c r="Q235" s="4">
        <v>0.22</v>
      </c>
      <c r="R235" s="4">
        <v>0.22</v>
      </c>
      <c r="S235" s="4">
        <v>0</v>
      </c>
      <c r="T235" s="4">
        <v>0</v>
      </c>
      <c r="U235" s="4">
        <v>0.3</v>
      </c>
      <c r="V235" s="4">
        <v>0.05</v>
      </c>
      <c r="W235" s="4">
        <v>1</v>
      </c>
      <c r="X235" s="4">
        <v>19.100000000000001</v>
      </c>
      <c r="Y235" s="4">
        <v>0</v>
      </c>
      <c r="Z235" s="4">
        <v>1.5</v>
      </c>
      <c r="AA235" s="4">
        <v>139</v>
      </c>
      <c r="AB235" s="4">
        <v>12.1</v>
      </c>
      <c r="AC235" s="4">
        <v>19.5</v>
      </c>
      <c r="AD235" s="3" t="s">
        <v>42</v>
      </c>
      <c r="AE235" s="3" t="s">
        <v>61</v>
      </c>
      <c r="AF235" s="17">
        <f>HLOOKUP(AD235,Data!$B$4:$M$9,2,0)</f>
        <v>13</v>
      </c>
      <c r="AG235" s="17">
        <f>HLOOKUP(AD235,Data!$B$4:$M$9,3,0)</f>
        <v>1</v>
      </c>
      <c r="AH235" s="17">
        <f>HLOOKUP(AE235,Data!$B$13:$I$18,3,0)</f>
        <v>260</v>
      </c>
      <c r="AI235" s="18">
        <f t="shared" si="192"/>
        <v>1.44</v>
      </c>
      <c r="AJ235" s="17">
        <f t="shared" si="193"/>
        <v>0.28799999999999998</v>
      </c>
      <c r="AK235" s="17">
        <f t="shared" si="194"/>
        <v>0.28799999999999998</v>
      </c>
      <c r="AL235" s="17">
        <f t="shared" si="195"/>
        <v>0.25</v>
      </c>
      <c r="AM235" s="17">
        <f t="shared" si="196"/>
        <v>0.49</v>
      </c>
      <c r="AN235" s="17">
        <f t="shared" si="197"/>
        <v>0.49</v>
      </c>
      <c r="AO235" s="17">
        <f t="shared" si="198"/>
        <v>0.49</v>
      </c>
      <c r="AP235" s="17">
        <f t="shared" si="199"/>
        <v>0.49</v>
      </c>
      <c r="AQ235" s="17">
        <f t="shared" si="200"/>
        <v>1.88</v>
      </c>
      <c r="AR235" s="17">
        <f t="shared" si="201"/>
        <v>0.92159999999999997</v>
      </c>
      <c r="AS235" s="17">
        <f t="shared" si="202"/>
        <v>42.936588976045599</v>
      </c>
      <c r="AT235" s="17">
        <f t="shared" si="203"/>
        <v>-1.94172852521008</v>
      </c>
      <c r="AU235" s="17">
        <f t="shared" si="204"/>
        <v>0.21912763771305199</v>
      </c>
      <c r="AV235" s="17">
        <f t="shared" si="205"/>
        <v>36.798728948870597</v>
      </c>
      <c r="AW235" s="17">
        <f t="shared" si="206"/>
        <v>-1.64799914108766</v>
      </c>
      <c r="AX235" s="17">
        <f t="shared" si="207"/>
        <v>0.16703931893562901</v>
      </c>
      <c r="AY235" s="17">
        <f t="shared" si="208"/>
        <v>57.920048465736997</v>
      </c>
      <c r="AZ235" s="17">
        <f t="shared" si="209"/>
        <v>42.914102889881903</v>
      </c>
      <c r="BA235" s="17">
        <f t="shared" si="210"/>
        <v>50.4170756778095</v>
      </c>
      <c r="BB235" s="17">
        <f t="shared" si="211"/>
        <v>52.456889756240997</v>
      </c>
      <c r="BC235" s="17">
        <f t="shared" si="212"/>
        <v>39.852456006079301</v>
      </c>
      <c r="BD235" s="17">
        <f t="shared" si="213"/>
        <v>46.154672881160103</v>
      </c>
      <c r="BE235" s="17" t="str">
        <f>IF(AND(BD235&lt;=AA235,BB235&lt;=AA235*MongDon!$J$44,BC235&gt;0),"Ok","FAIL")</f>
        <v>Ok</v>
      </c>
      <c r="BF235" s="17">
        <f t="shared" si="214"/>
        <v>53.379116666023201</v>
      </c>
      <c r="BG235" s="17">
        <f t="shared" si="215"/>
        <v>352.5</v>
      </c>
      <c r="BH235" s="17" t="str">
        <f t="shared" si="216"/>
        <v>Ok</v>
      </c>
      <c r="BI235" s="17">
        <f t="shared" si="217"/>
        <v>16.461846320419198</v>
      </c>
      <c r="BJ235" s="17">
        <f t="shared" si="218"/>
        <v>14.7392454329222</v>
      </c>
      <c r="BK235" s="17">
        <f t="shared" si="219"/>
        <v>12.5783892699991</v>
      </c>
      <c r="BL235" s="17">
        <f t="shared" si="220"/>
        <v>14.3009901574961</v>
      </c>
      <c r="BM235" s="17">
        <f t="shared" si="221"/>
        <v>88.125</v>
      </c>
      <c r="BN235" s="17">
        <f t="shared" si="222"/>
        <v>88.125</v>
      </c>
      <c r="BO235" s="17">
        <f t="shared" si="223"/>
        <v>88.125</v>
      </c>
      <c r="BP235" s="17">
        <f t="shared" si="224"/>
        <v>88.125</v>
      </c>
      <c r="BQ235" s="17" t="str">
        <f t="shared" si="225"/>
        <v>Ok</v>
      </c>
      <c r="BR235" s="17">
        <f t="shared" si="226"/>
        <v>37.284807097109997</v>
      </c>
      <c r="BS235" s="17">
        <f t="shared" si="227"/>
        <v>28.013787445471699</v>
      </c>
      <c r="BT235" s="16">
        <f>MongDon!$H$80</f>
        <v>1.2</v>
      </c>
      <c r="BU235" s="17" t="str">
        <f t="shared" si="228"/>
        <v>Ok</v>
      </c>
      <c r="BV235" s="17">
        <f t="shared" si="229"/>
        <v>21.766355511028401</v>
      </c>
      <c r="BW235" s="16">
        <f>MongDon!$F$86</f>
        <v>1.5</v>
      </c>
      <c r="BX235" s="17" t="str">
        <f t="shared" si="230"/>
        <v>Ok</v>
      </c>
      <c r="BY235" s="17">
        <f t="shared" si="231"/>
        <v>56.398328759396399</v>
      </c>
      <c r="BZ235" s="17">
        <f t="shared" si="232"/>
        <v>57.920048465736997</v>
      </c>
      <c r="CA235" s="17">
        <f t="shared" si="233"/>
        <v>44.4358225962226</v>
      </c>
      <c r="CB235" s="17">
        <f t="shared" si="234"/>
        <v>42.914102889881903</v>
      </c>
      <c r="CC235" s="17">
        <f t="shared" si="235"/>
        <v>51.792620688929503</v>
      </c>
      <c r="CD235" s="17">
        <f t="shared" si="236"/>
        <v>51.5136387427671</v>
      </c>
      <c r="CE235" s="17">
        <f t="shared" si="237"/>
        <v>51.792620688929503</v>
      </c>
      <c r="CF235" s="17">
        <f t="shared" si="238"/>
        <v>49.3205126128519</v>
      </c>
      <c r="CG235" s="17">
        <f t="shared" si="239"/>
        <v>6.70810258344315</v>
      </c>
      <c r="CH235" s="17">
        <f t="shared" si="240"/>
        <v>6.70810258344315</v>
      </c>
      <c r="CI235" s="17">
        <f t="shared" si="241"/>
        <v>250</v>
      </c>
      <c r="CJ235" s="17">
        <f t="shared" si="242"/>
        <v>250</v>
      </c>
    </row>
    <row r="236" spans="2:88">
      <c r="B236" s="3">
        <v>288</v>
      </c>
      <c r="C236" s="3" t="s">
        <v>25</v>
      </c>
      <c r="D236" s="4">
        <v>-2.7042445660737102</v>
      </c>
      <c r="E236" s="4">
        <v>2.0672417211445602</v>
      </c>
      <c r="F236" s="4">
        <v>43.242381310789703</v>
      </c>
      <c r="G236" s="4">
        <v>-2.74088003613535</v>
      </c>
      <c r="H236" s="4">
        <v>-4.2265825000460397</v>
      </c>
      <c r="I236" s="4" t="s">
        <v>15</v>
      </c>
      <c r="J236" s="4">
        <v>-2.2661215564231001</v>
      </c>
      <c r="K236" s="4">
        <v>1.7422137315339099</v>
      </c>
      <c r="L236" s="4">
        <v>37.0535558944907</v>
      </c>
      <c r="M236" s="4">
        <v>-2.3081050443513602</v>
      </c>
      <c r="N236" s="4">
        <v>-3.5339438037884499</v>
      </c>
      <c r="O236" s="4">
        <v>1.2</v>
      </c>
      <c r="P236" s="4">
        <v>1.2</v>
      </c>
      <c r="Q236" s="4">
        <v>0.22</v>
      </c>
      <c r="R236" s="4">
        <v>0.22</v>
      </c>
      <c r="S236" s="4">
        <v>0</v>
      </c>
      <c r="T236" s="4">
        <v>0</v>
      </c>
      <c r="U236" s="4">
        <v>0.3</v>
      </c>
      <c r="V236" s="4">
        <v>0.05</v>
      </c>
      <c r="W236" s="4">
        <v>1</v>
      </c>
      <c r="X236" s="4">
        <v>19.100000000000001</v>
      </c>
      <c r="Y236" s="4">
        <v>0</v>
      </c>
      <c r="Z236" s="4">
        <v>1.5</v>
      </c>
      <c r="AA236" s="4">
        <v>139</v>
      </c>
      <c r="AB236" s="4">
        <v>12.1</v>
      </c>
      <c r="AC236" s="4">
        <v>19.5</v>
      </c>
      <c r="AD236" s="3" t="s">
        <v>42</v>
      </c>
      <c r="AE236" s="3" t="s">
        <v>61</v>
      </c>
      <c r="AF236" s="17">
        <f>HLOOKUP(AD236,Data!$B$4:$M$9,2,0)</f>
        <v>13</v>
      </c>
      <c r="AG236" s="17">
        <f>HLOOKUP(AD236,Data!$B$4:$M$9,3,0)</f>
        <v>1</v>
      </c>
      <c r="AH236" s="17">
        <f>HLOOKUP(AE236,Data!$B$13:$I$18,3,0)</f>
        <v>260</v>
      </c>
      <c r="AI236" s="18">
        <f t="shared" si="192"/>
        <v>1.44</v>
      </c>
      <c r="AJ236" s="17">
        <f t="shared" si="193"/>
        <v>0.28799999999999998</v>
      </c>
      <c r="AK236" s="17">
        <f t="shared" si="194"/>
        <v>0.28799999999999998</v>
      </c>
      <c r="AL236" s="17">
        <f t="shared" si="195"/>
        <v>0.25</v>
      </c>
      <c r="AM236" s="17">
        <f t="shared" si="196"/>
        <v>0.49</v>
      </c>
      <c r="AN236" s="17">
        <f t="shared" si="197"/>
        <v>0.49</v>
      </c>
      <c r="AO236" s="17">
        <f t="shared" si="198"/>
        <v>0.49</v>
      </c>
      <c r="AP236" s="17">
        <f t="shared" si="199"/>
        <v>0.49</v>
      </c>
      <c r="AQ236" s="17">
        <f t="shared" si="200"/>
        <v>1.88</v>
      </c>
      <c r="AR236" s="17">
        <f t="shared" si="201"/>
        <v>0.92159999999999997</v>
      </c>
      <c r="AS236" s="17">
        <f t="shared" si="202"/>
        <v>43.242381310789703</v>
      </c>
      <c r="AT236" s="17">
        <f t="shared" si="203"/>
        <v>-3.36105255247872</v>
      </c>
      <c r="AU236" s="17">
        <f t="shared" si="204"/>
        <v>-5.0378558698681601</v>
      </c>
      <c r="AV236" s="17">
        <f t="shared" si="205"/>
        <v>37.0535558944907</v>
      </c>
      <c r="AW236" s="17">
        <f t="shared" si="206"/>
        <v>-2.8307691638115302</v>
      </c>
      <c r="AX236" s="17">
        <f t="shared" si="207"/>
        <v>-4.2137802707153797</v>
      </c>
      <c r="AY236" s="17">
        <f t="shared" si="208"/>
        <v>79.792307932308404</v>
      </c>
      <c r="AZ236" s="17">
        <f t="shared" si="209"/>
        <v>21.466554999344002</v>
      </c>
      <c r="BA236" s="17">
        <f t="shared" si="210"/>
        <v>50.629431465826201</v>
      </c>
      <c r="BB236" s="17">
        <f t="shared" si="211"/>
        <v>70.791877129948105</v>
      </c>
      <c r="BC236" s="17">
        <f t="shared" si="212"/>
        <v>21.8713949457334</v>
      </c>
      <c r="BD236" s="17">
        <f t="shared" si="213"/>
        <v>46.331636037840703</v>
      </c>
      <c r="BE236" s="17" t="str">
        <f>IF(AND(BD236&lt;=AA236,BB236&lt;=AA236*MongDon!$J$44,BC236&gt;0),"Ok","FAIL")</f>
        <v>Ok</v>
      </c>
      <c r="BF236" s="17">
        <f t="shared" si="214"/>
        <v>73.536590990415405</v>
      </c>
      <c r="BG236" s="17">
        <f t="shared" si="215"/>
        <v>352.5</v>
      </c>
      <c r="BH236" s="17" t="str">
        <f t="shared" si="216"/>
        <v>Ok</v>
      </c>
      <c r="BI236" s="17">
        <f t="shared" si="217"/>
        <v>17.942328814636699</v>
      </c>
      <c r="BJ236" s="17">
        <f t="shared" si="218"/>
        <v>9.5434203922897893</v>
      </c>
      <c r="BK236" s="17">
        <f t="shared" si="219"/>
        <v>11.2202237096792</v>
      </c>
      <c r="BL236" s="17">
        <f t="shared" si="220"/>
        <v>19.619132132026099</v>
      </c>
      <c r="BM236" s="17">
        <f t="shared" si="221"/>
        <v>88.125</v>
      </c>
      <c r="BN236" s="17">
        <f t="shared" si="222"/>
        <v>88.125</v>
      </c>
      <c r="BO236" s="17">
        <f t="shared" si="223"/>
        <v>88.125</v>
      </c>
      <c r="BP236" s="17">
        <f t="shared" si="224"/>
        <v>88.125</v>
      </c>
      <c r="BQ236" s="17" t="str">
        <f t="shared" si="225"/>
        <v>Ok</v>
      </c>
      <c r="BR236" s="17">
        <f t="shared" si="226"/>
        <v>37.350363293356999</v>
      </c>
      <c r="BS236" s="17">
        <f t="shared" si="227"/>
        <v>13.8117549580902</v>
      </c>
      <c r="BT236" s="16">
        <f>MongDon!$H$80</f>
        <v>1.2</v>
      </c>
      <c r="BU236" s="17" t="str">
        <f t="shared" si="228"/>
        <v>Ok</v>
      </c>
      <c r="BV236" s="17">
        <f t="shared" si="229"/>
        <v>8.4257727658224404</v>
      </c>
      <c r="BW236" s="16">
        <f>MongDon!$F$86</f>
        <v>1.5</v>
      </c>
      <c r="BX236" s="17" t="str">
        <f t="shared" si="230"/>
        <v>Ok</v>
      </c>
      <c r="BY236" s="17">
        <f t="shared" si="231"/>
        <v>79.792307932308404</v>
      </c>
      <c r="BZ236" s="17">
        <f t="shared" si="232"/>
        <v>44.807197724890699</v>
      </c>
      <c r="CA236" s="17">
        <f t="shared" si="233"/>
        <v>21.466554999344002</v>
      </c>
      <c r="CB236" s="17">
        <f t="shared" si="234"/>
        <v>56.451665206761803</v>
      </c>
      <c r="CC236" s="17">
        <f t="shared" si="235"/>
        <v>49.562021946654703</v>
      </c>
      <c r="CD236" s="17">
        <f t="shared" si="236"/>
        <v>55.975958818014597</v>
      </c>
      <c r="CE236" s="17">
        <f t="shared" si="237"/>
        <v>55.975958818014597</v>
      </c>
      <c r="CF236" s="17">
        <f t="shared" si="238"/>
        <v>51.696840984997699</v>
      </c>
      <c r="CG236" s="17">
        <f t="shared" si="239"/>
        <v>8.6260156635499694</v>
      </c>
      <c r="CH236" s="17">
        <f t="shared" si="240"/>
        <v>8.6260156635499694</v>
      </c>
      <c r="CI236" s="17">
        <f t="shared" si="241"/>
        <v>250</v>
      </c>
      <c r="CJ236" s="17">
        <f t="shared" si="242"/>
        <v>250</v>
      </c>
    </row>
    <row r="237" spans="2:88">
      <c r="B237" s="3">
        <v>288</v>
      </c>
      <c r="C237" s="3" t="s">
        <v>26</v>
      </c>
      <c r="D237" s="4">
        <v>2.70114286096541</v>
      </c>
      <c r="E237" s="4">
        <v>0.56397997476514805</v>
      </c>
      <c r="F237" s="4">
        <v>41.788058195945602</v>
      </c>
      <c r="G237" s="4">
        <v>-0.30900611579292198</v>
      </c>
      <c r="H237" s="4">
        <v>4.6536364972158797</v>
      </c>
      <c r="I237" s="4" t="s">
        <v>16</v>
      </c>
      <c r="J237" s="4">
        <v>2.2383679661095002</v>
      </c>
      <c r="K237" s="4">
        <v>0.48949560955106403</v>
      </c>
      <c r="L237" s="4">
        <v>35.841619965453901</v>
      </c>
      <c r="M237" s="4">
        <v>-0.28154344406600001</v>
      </c>
      <c r="N237" s="4">
        <v>3.8662386939298199</v>
      </c>
      <c r="O237" s="4">
        <v>1.2</v>
      </c>
      <c r="P237" s="4">
        <v>1.2</v>
      </c>
      <c r="Q237" s="4">
        <v>0.22</v>
      </c>
      <c r="R237" s="4">
        <v>0.22</v>
      </c>
      <c r="S237" s="4">
        <v>0</v>
      </c>
      <c r="T237" s="4">
        <v>0</v>
      </c>
      <c r="U237" s="4">
        <v>0.3</v>
      </c>
      <c r="V237" s="4">
        <v>0.05</v>
      </c>
      <c r="W237" s="4">
        <v>1</v>
      </c>
      <c r="X237" s="4">
        <v>19.100000000000001</v>
      </c>
      <c r="Y237" s="4">
        <v>0</v>
      </c>
      <c r="Z237" s="4">
        <v>1.5</v>
      </c>
      <c r="AA237" s="4">
        <v>139</v>
      </c>
      <c r="AB237" s="4">
        <v>12.1</v>
      </c>
      <c r="AC237" s="4">
        <v>19.5</v>
      </c>
      <c r="AD237" s="3" t="s">
        <v>42</v>
      </c>
      <c r="AE237" s="3" t="s">
        <v>61</v>
      </c>
      <c r="AF237" s="17">
        <f>HLOOKUP(AD237,Data!$B$4:$M$9,2,0)</f>
        <v>13</v>
      </c>
      <c r="AG237" s="17">
        <f>HLOOKUP(AD237,Data!$B$4:$M$9,3,0)</f>
        <v>1</v>
      </c>
      <c r="AH237" s="17">
        <f>HLOOKUP(AE237,Data!$B$13:$I$18,3,0)</f>
        <v>260</v>
      </c>
      <c r="AI237" s="18">
        <f t="shared" si="192"/>
        <v>1.44</v>
      </c>
      <c r="AJ237" s="17">
        <f t="shared" si="193"/>
        <v>0.28799999999999998</v>
      </c>
      <c r="AK237" s="17">
        <f t="shared" si="194"/>
        <v>0.28799999999999998</v>
      </c>
      <c r="AL237" s="17">
        <f t="shared" si="195"/>
        <v>0.25</v>
      </c>
      <c r="AM237" s="17">
        <f t="shared" si="196"/>
        <v>0.49</v>
      </c>
      <c r="AN237" s="17">
        <f t="shared" si="197"/>
        <v>0.49</v>
      </c>
      <c r="AO237" s="17">
        <f t="shared" si="198"/>
        <v>0.49</v>
      </c>
      <c r="AP237" s="17">
        <f t="shared" si="199"/>
        <v>0.49</v>
      </c>
      <c r="AQ237" s="17">
        <f t="shared" si="200"/>
        <v>1.88</v>
      </c>
      <c r="AR237" s="17">
        <f t="shared" si="201"/>
        <v>0.92159999999999997</v>
      </c>
      <c r="AS237" s="17">
        <f t="shared" si="202"/>
        <v>41.788058195945602</v>
      </c>
      <c r="AT237" s="17">
        <f t="shared" si="203"/>
        <v>-0.478200108222466</v>
      </c>
      <c r="AU237" s="17">
        <f t="shared" si="204"/>
        <v>5.4639793555055096</v>
      </c>
      <c r="AV237" s="17">
        <f t="shared" si="205"/>
        <v>35.841619965453901</v>
      </c>
      <c r="AW237" s="17">
        <f t="shared" si="206"/>
        <v>-0.42839212693131901</v>
      </c>
      <c r="AX237" s="17">
        <f t="shared" si="207"/>
        <v>4.5377490837626802</v>
      </c>
      <c r="AY237" s="17">
        <f t="shared" si="208"/>
        <v>70.252052440684395</v>
      </c>
      <c r="AZ237" s="17">
        <f t="shared" si="209"/>
        <v>28.986917275906801</v>
      </c>
      <c r="BA237" s="17">
        <f t="shared" si="210"/>
        <v>49.6194848582956</v>
      </c>
      <c r="BB237" s="17">
        <f t="shared" si="211"/>
        <v>62.733559735363798</v>
      </c>
      <c r="BC237" s="17">
        <f t="shared" si="212"/>
        <v>28.246467994433299</v>
      </c>
      <c r="BD237" s="17">
        <f t="shared" si="213"/>
        <v>45.4900138648986</v>
      </c>
      <c r="BE237" s="17" t="str">
        <f>IF(AND(BD237&lt;=AA237,BB237&lt;=AA237*MongDon!$J$44,BC237&gt;0),"Ok","FAIL")</f>
        <v>Ok</v>
      </c>
      <c r="BF237" s="17">
        <f t="shared" si="214"/>
        <v>64.744291529334703</v>
      </c>
      <c r="BG237" s="17">
        <f t="shared" si="215"/>
        <v>352.5</v>
      </c>
      <c r="BH237" s="17" t="str">
        <f t="shared" si="216"/>
        <v>Ok</v>
      </c>
      <c r="BI237" s="17">
        <f t="shared" si="217"/>
        <v>14.768611747411599</v>
      </c>
      <c r="BJ237" s="17">
        <f t="shared" si="218"/>
        <v>19.754390994694599</v>
      </c>
      <c r="BK237" s="17">
        <f t="shared" si="219"/>
        <v>13.8122115309667</v>
      </c>
      <c r="BL237" s="17">
        <f t="shared" si="220"/>
        <v>8.8264322836836193</v>
      </c>
      <c r="BM237" s="17">
        <f t="shared" si="221"/>
        <v>88.125</v>
      </c>
      <c r="BN237" s="17">
        <f t="shared" si="222"/>
        <v>88.125</v>
      </c>
      <c r="BO237" s="17">
        <f t="shared" si="223"/>
        <v>88.125</v>
      </c>
      <c r="BP237" s="17">
        <f t="shared" si="224"/>
        <v>88.125</v>
      </c>
      <c r="BQ237" s="17" t="str">
        <f t="shared" si="225"/>
        <v>Ok</v>
      </c>
      <c r="BR237" s="17">
        <f t="shared" si="226"/>
        <v>37.038583432677498</v>
      </c>
      <c r="BS237" s="17">
        <f t="shared" si="227"/>
        <v>13.712189743062901</v>
      </c>
      <c r="BT237" s="16">
        <f>MongDon!$H$80</f>
        <v>1.2</v>
      </c>
      <c r="BU237" s="17" t="str">
        <f t="shared" si="228"/>
        <v>Ok</v>
      </c>
      <c r="BV237" s="17">
        <f t="shared" si="229"/>
        <v>7.6089663251886499</v>
      </c>
      <c r="BW237" s="16">
        <f>MongDon!$F$86</f>
        <v>1.5</v>
      </c>
      <c r="BX237" s="17" t="str">
        <f t="shared" si="230"/>
        <v>Ok</v>
      </c>
      <c r="BY237" s="17">
        <f t="shared" si="231"/>
        <v>32.307751360784998</v>
      </c>
      <c r="BZ237" s="17">
        <f t="shared" si="232"/>
        <v>70.252052440684395</v>
      </c>
      <c r="CA237" s="17">
        <f t="shared" si="233"/>
        <v>66.931218355806195</v>
      </c>
      <c r="CB237" s="17">
        <f t="shared" si="234"/>
        <v>28.986917275906801</v>
      </c>
      <c r="CC237" s="17">
        <f t="shared" si="235"/>
        <v>53.402122248400197</v>
      </c>
      <c r="CD237" s="17">
        <f t="shared" si="236"/>
        <v>46.445667050418599</v>
      </c>
      <c r="CE237" s="17">
        <f t="shared" si="237"/>
        <v>53.402122248400197</v>
      </c>
      <c r="CF237" s="17">
        <f t="shared" si="238"/>
        <v>52.793302666172501</v>
      </c>
      <c r="CG237" s="17">
        <f t="shared" si="239"/>
        <v>7.75948085564292</v>
      </c>
      <c r="CH237" s="17">
        <f t="shared" si="240"/>
        <v>7.75948085564292</v>
      </c>
      <c r="CI237" s="17">
        <f t="shared" si="241"/>
        <v>250</v>
      </c>
      <c r="CJ237" s="17">
        <f t="shared" si="242"/>
        <v>250</v>
      </c>
    </row>
    <row r="238" spans="2:88">
      <c r="B238" s="3">
        <v>288</v>
      </c>
      <c r="C238" s="3" t="s">
        <v>27</v>
      </c>
      <c r="D238" s="4">
        <v>4.7638564324042996</v>
      </c>
      <c r="E238" s="4">
        <v>9.0529063777462698E-2</v>
      </c>
      <c r="F238" s="4">
        <v>40.893465191552401</v>
      </c>
      <c r="G238" s="4">
        <v>0.46922195871351702</v>
      </c>
      <c r="H238" s="4">
        <v>7.88951554041736</v>
      </c>
      <c r="I238" s="4" t="s">
        <v>17</v>
      </c>
      <c r="J238" s="4">
        <v>3.9572959423085798</v>
      </c>
      <c r="K238" s="4">
        <v>9.4953183727993107E-2</v>
      </c>
      <c r="L238" s="4">
        <v>35.096125795126198</v>
      </c>
      <c r="M238" s="4">
        <v>0.36697995135603201</v>
      </c>
      <c r="N238" s="4">
        <v>6.5628045632643897</v>
      </c>
      <c r="O238" s="4">
        <v>1.2</v>
      </c>
      <c r="P238" s="4">
        <v>1.2</v>
      </c>
      <c r="Q238" s="4">
        <v>0.22</v>
      </c>
      <c r="R238" s="4">
        <v>0.22</v>
      </c>
      <c r="S238" s="4">
        <v>0</v>
      </c>
      <c r="T238" s="4">
        <v>0</v>
      </c>
      <c r="U238" s="4">
        <v>0.3</v>
      </c>
      <c r="V238" s="4">
        <v>0.05</v>
      </c>
      <c r="W238" s="4">
        <v>1</v>
      </c>
      <c r="X238" s="4">
        <v>19.100000000000001</v>
      </c>
      <c r="Y238" s="4">
        <v>0</v>
      </c>
      <c r="Z238" s="4">
        <v>1.5</v>
      </c>
      <c r="AA238" s="4">
        <v>139</v>
      </c>
      <c r="AB238" s="4">
        <v>12.1</v>
      </c>
      <c r="AC238" s="4">
        <v>19.5</v>
      </c>
      <c r="AD238" s="3" t="s">
        <v>42</v>
      </c>
      <c r="AE238" s="3" t="s">
        <v>61</v>
      </c>
      <c r="AF238" s="17">
        <f>HLOOKUP(AD238,Data!$B$4:$M$9,2,0)</f>
        <v>13</v>
      </c>
      <c r="AG238" s="17">
        <f>HLOOKUP(AD238,Data!$B$4:$M$9,3,0)</f>
        <v>1</v>
      </c>
      <c r="AH238" s="17">
        <f>HLOOKUP(AE238,Data!$B$13:$I$18,3,0)</f>
        <v>260</v>
      </c>
      <c r="AI238" s="18">
        <f t="shared" si="192"/>
        <v>1.44</v>
      </c>
      <c r="AJ238" s="17">
        <f t="shared" si="193"/>
        <v>0.28799999999999998</v>
      </c>
      <c r="AK238" s="17">
        <f t="shared" si="194"/>
        <v>0.28799999999999998</v>
      </c>
      <c r="AL238" s="17">
        <f t="shared" si="195"/>
        <v>0.25</v>
      </c>
      <c r="AM238" s="17">
        <f t="shared" si="196"/>
        <v>0.49</v>
      </c>
      <c r="AN238" s="17">
        <f t="shared" si="197"/>
        <v>0.49</v>
      </c>
      <c r="AO238" s="17">
        <f t="shared" si="198"/>
        <v>0.49</v>
      </c>
      <c r="AP238" s="17">
        <f t="shared" si="199"/>
        <v>0.49</v>
      </c>
      <c r="AQ238" s="17">
        <f t="shared" si="200"/>
        <v>1.88</v>
      </c>
      <c r="AR238" s="17">
        <f t="shared" si="201"/>
        <v>0.92159999999999997</v>
      </c>
      <c r="AS238" s="17">
        <f t="shared" si="202"/>
        <v>40.893465191552401</v>
      </c>
      <c r="AT238" s="17">
        <f t="shared" si="203"/>
        <v>0.44206323958027799</v>
      </c>
      <c r="AU238" s="17">
        <f t="shared" si="204"/>
        <v>9.3186724701386492</v>
      </c>
      <c r="AV238" s="17">
        <f t="shared" si="205"/>
        <v>35.096125795126198</v>
      </c>
      <c r="AW238" s="17">
        <f t="shared" si="206"/>
        <v>0.33849399623763399</v>
      </c>
      <c r="AX238" s="17">
        <f t="shared" si="207"/>
        <v>7.7499933459569599</v>
      </c>
      <c r="AY238" s="17">
        <f t="shared" si="208"/>
        <v>82.889683152879897</v>
      </c>
      <c r="AZ238" s="17">
        <f t="shared" si="209"/>
        <v>15.1067962798318</v>
      </c>
      <c r="BA238" s="17">
        <f t="shared" si="210"/>
        <v>48.998239716355798</v>
      </c>
      <c r="BB238" s="17">
        <f t="shared" si="211"/>
        <v>73.057335073679994</v>
      </c>
      <c r="BC238" s="17">
        <f t="shared" si="212"/>
        <v>16.887284086217502</v>
      </c>
      <c r="BD238" s="17">
        <f t="shared" si="213"/>
        <v>44.972309579948799</v>
      </c>
      <c r="BE238" s="17" t="str">
        <f>IF(AND(BD238&lt;=AA238,BB238&lt;=AA238*MongDon!$J$44,BC238&gt;0),"Ok","FAIL")</f>
        <v>Ok</v>
      </c>
      <c r="BF238" s="17">
        <f t="shared" si="214"/>
        <v>76.391131993694103</v>
      </c>
      <c r="BG238" s="17">
        <f t="shared" si="215"/>
        <v>352.5</v>
      </c>
      <c r="BH238" s="17" t="str">
        <f t="shared" si="216"/>
        <v>Ok</v>
      </c>
      <c r="BI238" s="17">
        <f t="shared" si="217"/>
        <v>13.669429798730199</v>
      </c>
      <c r="BJ238" s="17">
        <f t="shared" si="218"/>
        <v>23.4301655084491</v>
      </c>
      <c r="BK238" s="17">
        <f t="shared" si="219"/>
        <v>14.553556277890801</v>
      </c>
      <c r="BL238" s="17">
        <f t="shared" si="220"/>
        <v>4.7928205681718303</v>
      </c>
      <c r="BM238" s="17">
        <f t="shared" si="221"/>
        <v>88.125</v>
      </c>
      <c r="BN238" s="17">
        <f t="shared" si="222"/>
        <v>88.125</v>
      </c>
      <c r="BO238" s="17">
        <f t="shared" si="223"/>
        <v>88.125</v>
      </c>
      <c r="BP238" s="17">
        <f t="shared" si="224"/>
        <v>88.125</v>
      </c>
      <c r="BQ238" s="17" t="str">
        <f t="shared" si="225"/>
        <v>Ok</v>
      </c>
      <c r="BR238" s="17">
        <f t="shared" si="226"/>
        <v>36.846799310271798</v>
      </c>
      <c r="BS238" s="17">
        <f t="shared" si="227"/>
        <v>7.7346577994323198</v>
      </c>
      <c r="BT238" s="16">
        <f>MongDon!$H$80</f>
        <v>1.2</v>
      </c>
      <c r="BU238" s="17" t="str">
        <f t="shared" si="228"/>
        <v>Ok</v>
      </c>
      <c r="BV238" s="17">
        <f t="shared" si="229"/>
        <v>4.4038975773038196</v>
      </c>
      <c r="BW238" s="16">
        <f>MongDon!$F$86</f>
        <v>1.5</v>
      </c>
      <c r="BX238" s="17" t="str">
        <f t="shared" si="230"/>
        <v>Ok</v>
      </c>
      <c r="BY238" s="17">
        <f t="shared" si="231"/>
        <v>15.1067962798318</v>
      </c>
      <c r="BZ238" s="17">
        <f t="shared" si="232"/>
        <v>79.819799544683505</v>
      </c>
      <c r="CA238" s="17">
        <f t="shared" si="233"/>
        <v>82.889683152879897</v>
      </c>
      <c r="CB238" s="17">
        <f t="shared" si="234"/>
        <v>18.176679888028101</v>
      </c>
      <c r="CC238" s="17">
        <f t="shared" si="235"/>
        <v>55.211671013051898</v>
      </c>
      <c r="CD238" s="17">
        <f t="shared" si="236"/>
        <v>43.3476204144958</v>
      </c>
      <c r="CE238" s="17">
        <f t="shared" si="237"/>
        <v>54.648859018215902</v>
      </c>
      <c r="CF238" s="17">
        <f t="shared" si="238"/>
        <v>55.211671013051898</v>
      </c>
      <c r="CG238" s="17">
        <f t="shared" si="239"/>
        <v>8.8433246767077804</v>
      </c>
      <c r="CH238" s="17">
        <f t="shared" si="240"/>
        <v>8.8433246767077804</v>
      </c>
      <c r="CI238" s="17">
        <f t="shared" si="241"/>
        <v>250</v>
      </c>
      <c r="CJ238" s="17">
        <f t="shared" si="242"/>
        <v>250</v>
      </c>
    </row>
    <row r="239" spans="2:88">
      <c r="B239" s="3">
        <v>288</v>
      </c>
      <c r="C239" s="3" t="s">
        <v>28</v>
      </c>
      <c r="D239" s="4">
        <v>-4.7669581375126002</v>
      </c>
      <c r="E239" s="4">
        <v>2.5406926321322501</v>
      </c>
      <c r="F239" s="4">
        <v>44.136974315182997</v>
      </c>
      <c r="G239" s="4">
        <v>-3.5191081106417901</v>
      </c>
      <c r="H239" s="4">
        <v>-7.4624615432475201</v>
      </c>
      <c r="I239" s="4" t="s">
        <v>18</v>
      </c>
      <c r="J239" s="4">
        <v>-3.9850495326221802</v>
      </c>
      <c r="K239" s="4">
        <v>2.13675615735698</v>
      </c>
      <c r="L239" s="4">
        <v>37.799050064818402</v>
      </c>
      <c r="M239" s="4">
        <v>-2.95662843977339</v>
      </c>
      <c r="N239" s="4">
        <v>-6.2305096731230103</v>
      </c>
      <c r="O239" s="4">
        <v>1.2</v>
      </c>
      <c r="P239" s="4">
        <v>1.2</v>
      </c>
      <c r="Q239" s="4">
        <v>0.22</v>
      </c>
      <c r="R239" s="4">
        <v>0.22</v>
      </c>
      <c r="S239" s="4">
        <v>0</v>
      </c>
      <c r="T239" s="4">
        <v>0</v>
      </c>
      <c r="U239" s="4">
        <v>0.3</v>
      </c>
      <c r="V239" s="4">
        <v>0.05</v>
      </c>
      <c r="W239" s="4">
        <v>1</v>
      </c>
      <c r="X239" s="4">
        <v>19.100000000000001</v>
      </c>
      <c r="Y239" s="4">
        <v>0</v>
      </c>
      <c r="Z239" s="4">
        <v>1.5</v>
      </c>
      <c r="AA239" s="4">
        <v>139</v>
      </c>
      <c r="AB239" s="4">
        <v>12.1</v>
      </c>
      <c r="AC239" s="4">
        <v>19.5</v>
      </c>
      <c r="AD239" s="3" t="s">
        <v>42</v>
      </c>
      <c r="AE239" s="3" t="s">
        <v>61</v>
      </c>
      <c r="AF239" s="17">
        <f>HLOOKUP(AD239,Data!$B$4:$M$9,2,0)</f>
        <v>13</v>
      </c>
      <c r="AG239" s="17">
        <f>HLOOKUP(AD239,Data!$B$4:$M$9,3,0)</f>
        <v>1</v>
      </c>
      <c r="AH239" s="17">
        <f>HLOOKUP(AE239,Data!$B$13:$I$18,3,0)</f>
        <v>260</v>
      </c>
      <c r="AI239" s="18">
        <f t="shared" si="192"/>
        <v>1.44</v>
      </c>
      <c r="AJ239" s="17">
        <f t="shared" si="193"/>
        <v>0.28799999999999998</v>
      </c>
      <c r="AK239" s="17">
        <f t="shared" si="194"/>
        <v>0.28799999999999998</v>
      </c>
      <c r="AL239" s="17">
        <f t="shared" si="195"/>
        <v>0.25</v>
      </c>
      <c r="AM239" s="17">
        <f t="shared" si="196"/>
        <v>0.49</v>
      </c>
      <c r="AN239" s="17">
        <f t="shared" si="197"/>
        <v>0.49</v>
      </c>
      <c r="AO239" s="17">
        <f t="shared" si="198"/>
        <v>0.49</v>
      </c>
      <c r="AP239" s="17">
        <f t="shared" si="199"/>
        <v>0.49</v>
      </c>
      <c r="AQ239" s="17">
        <f t="shared" si="200"/>
        <v>1.88</v>
      </c>
      <c r="AR239" s="17">
        <f t="shared" si="201"/>
        <v>0.92159999999999997</v>
      </c>
      <c r="AS239" s="17">
        <f t="shared" si="202"/>
        <v>44.136974315182997</v>
      </c>
      <c r="AT239" s="17">
        <f t="shared" si="203"/>
        <v>-4.28131590028147</v>
      </c>
      <c r="AU239" s="17">
        <f t="shared" si="204"/>
        <v>-8.8925489845012997</v>
      </c>
      <c r="AV239" s="17">
        <f t="shared" si="205"/>
        <v>37.799050064818402</v>
      </c>
      <c r="AW239" s="17">
        <f t="shared" si="206"/>
        <v>-3.5976552869804799</v>
      </c>
      <c r="AX239" s="17">
        <f t="shared" si="207"/>
        <v>-7.4260245329096604</v>
      </c>
      <c r="AY239" s="17">
        <f t="shared" si="208"/>
        <v>96.993263013261696</v>
      </c>
      <c r="AZ239" s="17">
        <f t="shared" si="209"/>
        <v>5.5080902022702496</v>
      </c>
      <c r="BA239" s="17">
        <f t="shared" si="210"/>
        <v>51.250676607766003</v>
      </c>
      <c r="BB239" s="17">
        <f t="shared" si="211"/>
        <v>85.126006364075806</v>
      </c>
      <c r="BC239" s="17">
        <f t="shared" si="212"/>
        <v>8.5726742815052894</v>
      </c>
      <c r="BD239" s="17">
        <f t="shared" si="213"/>
        <v>46.849340322790503</v>
      </c>
      <c r="BE239" s="17" t="str">
        <f>IF(AND(BD239&lt;=AA239,BB239&lt;=AA239*MongDon!$J$44,BC239&gt;0),"Ok","FAIL")</f>
        <v>Ok</v>
      </c>
      <c r="BF239" s="17">
        <f t="shared" si="214"/>
        <v>89.388991193021994</v>
      </c>
      <c r="BG239" s="17">
        <f t="shared" si="215"/>
        <v>352.5</v>
      </c>
      <c r="BH239" s="17" t="str">
        <f t="shared" si="216"/>
        <v>Ok</v>
      </c>
      <c r="BI239" s="17">
        <f t="shared" si="217"/>
        <v>19.041510763318101</v>
      </c>
      <c r="BJ239" s="17">
        <f t="shared" si="218"/>
        <v>5.8676458785353001</v>
      </c>
      <c r="BK239" s="17">
        <f t="shared" si="219"/>
        <v>10.4788789627551</v>
      </c>
      <c r="BL239" s="17">
        <f t="shared" si="220"/>
        <v>23.652743847537899</v>
      </c>
      <c r="BM239" s="17">
        <f t="shared" si="221"/>
        <v>88.125</v>
      </c>
      <c r="BN239" s="17">
        <f t="shared" si="222"/>
        <v>88.125</v>
      </c>
      <c r="BO239" s="17">
        <f t="shared" si="223"/>
        <v>88.125</v>
      </c>
      <c r="BP239" s="17">
        <f t="shared" si="224"/>
        <v>88.125</v>
      </c>
      <c r="BQ239" s="17" t="str">
        <f t="shared" si="225"/>
        <v>Ok</v>
      </c>
      <c r="BR239" s="17">
        <f t="shared" si="226"/>
        <v>37.542147415762699</v>
      </c>
      <c r="BS239" s="17">
        <f t="shared" si="227"/>
        <v>7.8754934137836203</v>
      </c>
      <c r="BT239" s="16">
        <f>MongDon!$H$80</f>
        <v>1.2</v>
      </c>
      <c r="BU239" s="17" t="str">
        <f t="shared" si="228"/>
        <v>Ok</v>
      </c>
      <c r="BV239" s="17">
        <f t="shared" si="229"/>
        <v>4.8337754072569101</v>
      </c>
      <c r="BW239" s="16">
        <f>MongDon!$F$86</f>
        <v>1.5</v>
      </c>
      <c r="BX239" s="17" t="str">
        <f t="shared" si="230"/>
        <v>Ok</v>
      </c>
      <c r="BY239" s="17">
        <f t="shared" si="231"/>
        <v>96.993263013261696</v>
      </c>
      <c r="BZ239" s="17">
        <f t="shared" si="232"/>
        <v>35.239450620891503</v>
      </c>
      <c r="CA239" s="17">
        <f t="shared" si="233"/>
        <v>5.5080902022702398</v>
      </c>
      <c r="CB239" s="17">
        <f t="shared" si="234"/>
        <v>67.261902594640404</v>
      </c>
      <c r="CC239" s="17">
        <f t="shared" si="235"/>
        <v>48.315285176838998</v>
      </c>
      <c r="CD239" s="17">
        <f t="shared" si="236"/>
        <v>59.636817448773499</v>
      </c>
      <c r="CE239" s="17">
        <f t="shared" si="237"/>
        <v>59.636817448773499</v>
      </c>
      <c r="CF239" s="17">
        <f t="shared" si="238"/>
        <v>54.186068038693001</v>
      </c>
      <c r="CG239" s="17">
        <f t="shared" si="239"/>
        <v>10.149160794736501</v>
      </c>
      <c r="CH239" s="17">
        <f t="shared" si="240"/>
        <v>10.149160794736501</v>
      </c>
      <c r="CI239" s="17">
        <f t="shared" si="241"/>
        <v>250</v>
      </c>
      <c r="CJ239" s="17">
        <f t="shared" si="242"/>
        <v>250</v>
      </c>
    </row>
    <row r="240" spans="2:88">
      <c r="B240" s="3">
        <v>288</v>
      </c>
      <c r="C240" s="3" t="s">
        <v>29</v>
      </c>
      <c r="D240" s="4">
        <v>-3.02600866741327</v>
      </c>
      <c r="E240" s="4">
        <v>2.0127499333538998</v>
      </c>
      <c r="F240" s="4">
        <v>39.530854035290702</v>
      </c>
      <c r="G240" s="4">
        <v>-2.7184662878625598</v>
      </c>
      <c r="H240" s="4">
        <v>-4.7680816139920896</v>
      </c>
      <c r="I240" s="4" t="s">
        <v>19</v>
      </c>
      <c r="J240" s="4">
        <v>-2.5342583075394001</v>
      </c>
      <c r="K240" s="4">
        <v>1.6968039083750199</v>
      </c>
      <c r="L240" s="4">
        <v>33.9606164982415</v>
      </c>
      <c r="M240" s="4">
        <v>-2.2894269207906901</v>
      </c>
      <c r="N240" s="4">
        <v>-3.9851930654101602</v>
      </c>
      <c r="O240" s="4">
        <v>1.2</v>
      </c>
      <c r="P240" s="4">
        <v>1.2</v>
      </c>
      <c r="Q240" s="4">
        <v>0.22</v>
      </c>
      <c r="R240" s="4">
        <v>0.22</v>
      </c>
      <c r="S240" s="4">
        <v>0</v>
      </c>
      <c r="T240" s="4">
        <v>0</v>
      </c>
      <c r="U240" s="4">
        <v>0.3</v>
      </c>
      <c r="V240" s="4">
        <v>0.05</v>
      </c>
      <c r="W240" s="4">
        <v>1</v>
      </c>
      <c r="X240" s="4">
        <v>19.100000000000001</v>
      </c>
      <c r="Y240" s="4">
        <v>0</v>
      </c>
      <c r="Z240" s="4">
        <v>1.5</v>
      </c>
      <c r="AA240" s="4">
        <v>139</v>
      </c>
      <c r="AB240" s="4">
        <v>12.1</v>
      </c>
      <c r="AC240" s="4">
        <v>19.5</v>
      </c>
      <c r="AD240" s="3" t="s">
        <v>42</v>
      </c>
      <c r="AE240" s="3" t="s">
        <v>61</v>
      </c>
      <c r="AF240" s="17">
        <f>HLOOKUP(AD240,Data!$B$4:$M$9,2,0)</f>
        <v>13</v>
      </c>
      <c r="AG240" s="17">
        <f>HLOOKUP(AD240,Data!$B$4:$M$9,3,0)</f>
        <v>1</v>
      </c>
      <c r="AH240" s="17">
        <f>HLOOKUP(AE240,Data!$B$13:$I$18,3,0)</f>
        <v>260</v>
      </c>
      <c r="AI240" s="18">
        <f t="shared" si="192"/>
        <v>1.44</v>
      </c>
      <c r="AJ240" s="17">
        <f t="shared" si="193"/>
        <v>0.28799999999999998</v>
      </c>
      <c r="AK240" s="17">
        <f t="shared" si="194"/>
        <v>0.28799999999999998</v>
      </c>
      <c r="AL240" s="17">
        <f t="shared" si="195"/>
        <v>0.25</v>
      </c>
      <c r="AM240" s="17">
        <f t="shared" si="196"/>
        <v>0.49</v>
      </c>
      <c r="AN240" s="17">
        <f t="shared" si="197"/>
        <v>0.49</v>
      </c>
      <c r="AO240" s="17">
        <f t="shared" si="198"/>
        <v>0.49</v>
      </c>
      <c r="AP240" s="17">
        <f t="shared" si="199"/>
        <v>0.49</v>
      </c>
      <c r="AQ240" s="17">
        <f t="shared" si="200"/>
        <v>1.88</v>
      </c>
      <c r="AR240" s="17">
        <f t="shared" si="201"/>
        <v>0.92159999999999997</v>
      </c>
      <c r="AS240" s="17">
        <f t="shared" si="202"/>
        <v>39.530854035290702</v>
      </c>
      <c r="AT240" s="17">
        <f t="shared" si="203"/>
        <v>-3.32229126786872</v>
      </c>
      <c r="AU240" s="17">
        <f t="shared" si="204"/>
        <v>-5.6758842142160804</v>
      </c>
      <c r="AV240" s="17">
        <f t="shared" si="205"/>
        <v>33.9606164982415</v>
      </c>
      <c r="AW240" s="17">
        <f t="shared" si="206"/>
        <v>-2.7984680933032</v>
      </c>
      <c r="AX240" s="17">
        <f t="shared" si="207"/>
        <v>-4.7454705576719798</v>
      </c>
      <c r="AY240" s="17">
        <f t="shared" si="208"/>
        <v>79.295646837301902</v>
      </c>
      <c r="AZ240" s="17">
        <f t="shared" si="209"/>
        <v>16.808317100601901</v>
      </c>
      <c r="BA240" s="17">
        <f t="shared" si="210"/>
        <v>48.0519819689519</v>
      </c>
      <c r="BB240" s="17">
        <f t="shared" si="211"/>
        <v>70.377992884109304</v>
      </c>
      <c r="BC240" s="17">
        <f t="shared" si="212"/>
        <v>17.989530030114999</v>
      </c>
      <c r="BD240" s="17">
        <f t="shared" si="213"/>
        <v>44.183761457112098</v>
      </c>
      <c r="BE240" s="17" t="str">
        <f>IF(AND(BD240&lt;=AA240,BB240&lt;=AA240*MongDon!$J$44,BC240&gt;0),"Ok","FAIL")</f>
        <v>Ok</v>
      </c>
      <c r="BF240" s="17">
        <f t="shared" si="214"/>
        <v>73.078868125257401</v>
      </c>
      <c r="BG240" s="17">
        <f t="shared" si="215"/>
        <v>352.5</v>
      </c>
      <c r="BH240" s="17" t="str">
        <f t="shared" si="216"/>
        <v>Ok</v>
      </c>
      <c r="BI240" s="17">
        <f t="shared" si="217"/>
        <v>17.161262074926899</v>
      </c>
      <c r="BJ240" s="17">
        <f t="shared" si="218"/>
        <v>8.1630865928420597</v>
      </c>
      <c r="BK240" s="17">
        <f t="shared" si="219"/>
        <v>10.516679539189401</v>
      </c>
      <c r="BL240" s="17">
        <f t="shared" si="220"/>
        <v>19.514855021274201</v>
      </c>
      <c r="BM240" s="17">
        <f t="shared" si="221"/>
        <v>88.125</v>
      </c>
      <c r="BN240" s="17">
        <f t="shared" si="222"/>
        <v>88.125</v>
      </c>
      <c r="BO240" s="17">
        <f t="shared" si="223"/>
        <v>88.125</v>
      </c>
      <c r="BP240" s="17">
        <f t="shared" si="224"/>
        <v>88.125</v>
      </c>
      <c r="BQ240" s="17" t="str">
        <f t="shared" si="225"/>
        <v>Ok</v>
      </c>
      <c r="BR240" s="17">
        <f t="shared" si="226"/>
        <v>36.554680789893801</v>
      </c>
      <c r="BS240" s="17">
        <f t="shared" si="227"/>
        <v>12.0801639412163</v>
      </c>
      <c r="BT240" s="16">
        <f>MongDon!$H$80</f>
        <v>1.2</v>
      </c>
      <c r="BU240" s="17" t="str">
        <f t="shared" si="228"/>
        <v>Ok</v>
      </c>
      <c r="BV240" s="17">
        <f t="shared" si="229"/>
        <v>7.0862813445762898</v>
      </c>
      <c r="BW240" s="16">
        <f>MongDon!$F$86</f>
        <v>1.5</v>
      </c>
      <c r="BX240" s="17" t="str">
        <f t="shared" si="230"/>
        <v>Ok</v>
      </c>
      <c r="BY240" s="17">
        <f t="shared" si="231"/>
        <v>79.295646837301902</v>
      </c>
      <c r="BZ240" s="17">
        <f t="shared" si="232"/>
        <v>39.879784238579099</v>
      </c>
      <c r="CA240" s="17">
        <f t="shared" si="233"/>
        <v>16.808317100601901</v>
      </c>
      <c r="CB240" s="17">
        <f t="shared" si="234"/>
        <v>56.224179699324601</v>
      </c>
      <c r="CC240" s="17">
        <f t="shared" si="235"/>
        <v>46.553745718383503</v>
      </c>
      <c r="CD240" s="17">
        <f t="shared" si="236"/>
        <v>53.779987194816002</v>
      </c>
      <c r="CE240" s="17">
        <f t="shared" si="237"/>
        <v>53.779987194816002</v>
      </c>
      <c r="CF240" s="17">
        <f t="shared" si="238"/>
        <v>49.550218219520197</v>
      </c>
      <c r="CG240" s="17">
        <f t="shared" si="239"/>
        <v>8.4983907561246195</v>
      </c>
      <c r="CH240" s="17">
        <f t="shared" si="240"/>
        <v>8.4983907561246195</v>
      </c>
      <c r="CI240" s="17">
        <f t="shared" si="241"/>
        <v>250</v>
      </c>
      <c r="CJ240" s="17">
        <f t="shared" si="242"/>
        <v>250</v>
      </c>
    </row>
    <row r="241" spans="2:88">
      <c r="B241" s="3">
        <v>288</v>
      </c>
      <c r="C241" s="3" t="s">
        <v>30</v>
      </c>
      <c r="D241" s="4">
        <v>2.9799773626302</v>
      </c>
      <c r="E241" s="4">
        <v>0.34245910404343799</v>
      </c>
      <c r="F241" s="4">
        <v>37.914939463241701</v>
      </c>
      <c r="G241" s="4">
        <v>-1.6384154148742801E-2</v>
      </c>
      <c r="H241" s="4">
        <v>5.0988283829655998</v>
      </c>
      <c r="I241" s="4" t="s">
        <v>20</v>
      </c>
      <c r="J241" s="4">
        <v>2.4707300508301602</v>
      </c>
      <c r="K241" s="4">
        <v>0.30489488394963898</v>
      </c>
      <c r="L241" s="4">
        <v>32.614021021534001</v>
      </c>
      <c r="M241" s="4">
        <v>-3.7691809362517398E-2</v>
      </c>
      <c r="N241" s="4">
        <v>4.2372319320545904</v>
      </c>
      <c r="O241" s="4">
        <v>1.2</v>
      </c>
      <c r="P241" s="4">
        <v>1.2</v>
      </c>
      <c r="Q241" s="4">
        <v>0.22</v>
      </c>
      <c r="R241" s="4">
        <v>0.22</v>
      </c>
      <c r="S241" s="4">
        <v>0</v>
      </c>
      <c r="T241" s="4">
        <v>0</v>
      </c>
      <c r="U241" s="4">
        <v>0.3</v>
      </c>
      <c r="V241" s="4">
        <v>0.05</v>
      </c>
      <c r="W241" s="4">
        <v>1</v>
      </c>
      <c r="X241" s="4">
        <v>19.100000000000001</v>
      </c>
      <c r="Y241" s="4">
        <v>0</v>
      </c>
      <c r="Z241" s="4">
        <v>1.5</v>
      </c>
      <c r="AA241" s="4">
        <v>139</v>
      </c>
      <c r="AB241" s="4">
        <v>12.1</v>
      </c>
      <c r="AC241" s="4">
        <v>19.5</v>
      </c>
      <c r="AD241" s="3" t="s">
        <v>42</v>
      </c>
      <c r="AE241" s="3" t="s">
        <v>61</v>
      </c>
      <c r="AF241" s="17">
        <f>HLOOKUP(AD241,Data!$B$4:$M$9,2,0)</f>
        <v>13</v>
      </c>
      <c r="AG241" s="17">
        <f>HLOOKUP(AD241,Data!$B$4:$M$9,3,0)</f>
        <v>1</v>
      </c>
      <c r="AH241" s="17">
        <f>HLOOKUP(AE241,Data!$B$13:$I$18,3,0)</f>
        <v>260</v>
      </c>
      <c r="AI241" s="18">
        <f t="shared" si="192"/>
        <v>1.44</v>
      </c>
      <c r="AJ241" s="17">
        <f t="shared" si="193"/>
        <v>0.28799999999999998</v>
      </c>
      <c r="AK241" s="17">
        <f t="shared" si="194"/>
        <v>0.28799999999999998</v>
      </c>
      <c r="AL241" s="17">
        <f t="shared" si="195"/>
        <v>0.25</v>
      </c>
      <c r="AM241" s="17">
        <f t="shared" si="196"/>
        <v>0.49</v>
      </c>
      <c r="AN241" s="17">
        <f t="shared" si="197"/>
        <v>0.49</v>
      </c>
      <c r="AO241" s="17">
        <f t="shared" si="198"/>
        <v>0.49</v>
      </c>
      <c r="AP241" s="17">
        <f t="shared" si="199"/>
        <v>0.49</v>
      </c>
      <c r="AQ241" s="17">
        <f t="shared" si="200"/>
        <v>1.88</v>
      </c>
      <c r="AR241" s="17">
        <f t="shared" si="201"/>
        <v>0.92159999999999997</v>
      </c>
      <c r="AS241" s="17">
        <f t="shared" si="202"/>
        <v>37.914939463241701</v>
      </c>
      <c r="AT241" s="17">
        <f t="shared" si="203"/>
        <v>-0.119121885361774</v>
      </c>
      <c r="AU241" s="17">
        <f t="shared" si="204"/>
        <v>5.9928215917546597</v>
      </c>
      <c r="AV241" s="17">
        <f t="shared" si="205"/>
        <v>32.614021021534001</v>
      </c>
      <c r="AW241" s="17">
        <f t="shared" si="206"/>
        <v>-0.129160274547409</v>
      </c>
      <c r="AX241" s="17">
        <f t="shared" si="207"/>
        <v>4.9784509473036396</v>
      </c>
      <c r="AY241" s="17">
        <f t="shared" si="208"/>
        <v>68.151845033905502</v>
      </c>
      <c r="AZ241" s="17">
        <f t="shared" si="209"/>
        <v>25.707793109485799</v>
      </c>
      <c r="BA241" s="17">
        <f t="shared" si="210"/>
        <v>46.929819071695597</v>
      </c>
      <c r="BB241" s="17">
        <f t="shared" si="211"/>
        <v>60.983386896381397</v>
      </c>
      <c r="BC241" s="17">
        <f t="shared" si="212"/>
        <v>25.513864522415801</v>
      </c>
      <c r="BD241" s="17">
        <f t="shared" si="213"/>
        <v>43.248625709398603</v>
      </c>
      <c r="BE241" s="17" t="str">
        <f>IF(AND(BD241&lt;=AA241,BB241&lt;=AA241*MongDon!$J$44,BC241&gt;0),"Ok","FAIL")</f>
        <v>Ok</v>
      </c>
      <c r="BF241" s="17">
        <f t="shared" si="214"/>
        <v>62.808740383247297</v>
      </c>
      <c r="BG241" s="17">
        <f t="shared" si="215"/>
        <v>352.5</v>
      </c>
      <c r="BH241" s="17" t="str">
        <f t="shared" si="216"/>
        <v>Ok</v>
      </c>
      <c r="BI241" s="17">
        <f t="shared" si="217"/>
        <v>13.634909778010099</v>
      </c>
      <c r="BJ241" s="17">
        <f t="shared" si="218"/>
        <v>19.508609484402999</v>
      </c>
      <c r="BK241" s="17">
        <f t="shared" si="219"/>
        <v>13.3966660072866</v>
      </c>
      <c r="BL241" s="17">
        <f t="shared" si="220"/>
        <v>7.52296630089368</v>
      </c>
      <c r="BM241" s="17">
        <f t="shared" si="221"/>
        <v>88.125</v>
      </c>
      <c r="BN241" s="17">
        <f t="shared" si="222"/>
        <v>88.125</v>
      </c>
      <c r="BO241" s="17">
        <f t="shared" si="223"/>
        <v>88.125</v>
      </c>
      <c r="BP241" s="17">
        <f t="shared" si="224"/>
        <v>88.125</v>
      </c>
      <c r="BQ241" s="17" t="str">
        <f t="shared" si="225"/>
        <v>Ok</v>
      </c>
      <c r="BR241" s="17">
        <f t="shared" si="226"/>
        <v>36.208258722472102</v>
      </c>
      <c r="BS241" s="17">
        <f t="shared" si="227"/>
        <v>12.1505146906599</v>
      </c>
      <c r="BT241" s="16">
        <f>MongDon!$H$80</f>
        <v>1.2</v>
      </c>
      <c r="BU241" s="17" t="str">
        <f t="shared" si="228"/>
        <v>Ok</v>
      </c>
      <c r="BV241" s="17">
        <f t="shared" si="229"/>
        <v>6.5497300523595996</v>
      </c>
      <c r="BW241" s="16">
        <f>MongDon!$F$86</f>
        <v>1.5</v>
      </c>
      <c r="BX241" s="17" t="str">
        <f t="shared" si="230"/>
        <v>Ok</v>
      </c>
      <c r="BY241" s="17">
        <f t="shared" si="231"/>
        <v>26.535028424498101</v>
      </c>
      <c r="BZ241" s="17">
        <f t="shared" si="232"/>
        <v>68.151845033905502</v>
      </c>
      <c r="CA241" s="17">
        <f t="shared" si="233"/>
        <v>67.3246097188932</v>
      </c>
      <c r="CB241" s="17">
        <f t="shared" si="234"/>
        <v>25.707793109485799</v>
      </c>
      <c r="CC241" s="17">
        <f t="shared" si="235"/>
        <v>50.820523831434102</v>
      </c>
      <c r="CD241" s="17">
        <f t="shared" si="236"/>
        <v>43.190774119709403</v>
      </c>
      <c r="CE241" s="17">
        <f t="shared" si="237"/>
        <v>50.820523831434102</v>
      </c>
      <c r="CF241" s="17">
        <f t="shared" si="238"/>
        <v>50.668864023681799</v>
      </c>
      <c r="CG241" s="17">
        <f t="shared" si="239"/>
        <v>7.4880872928681201</v>
      </c>
      <c r="CH241" s="17">
        <f t="shared" si="240"/>
        <v>7.4880872928681201</v>
      </c>
      <c r="CI241" s="17">
        <f t="shared" si="241"/>
        <v>250</v>
      </c>
      <c r="CJ241" s="17">
        <f t="shared" si="242"/>
        <v>250</v>
      </c>
    </row>
    <row r="242" spans="2:88">
      <c r="B242" s="3">
        <v>288</v>
      </c>
      <c r="C242" s="3" t="s">
        <v>31</v>
      </c>
      <c r="D242" s="4">
        <v>5.2718813308956296</v>
      </c>
      <c r="E242" s="4">
        <v>-0.18359746372065699</v>
      </c>
      <c r="F242" s="4">
        <v>36.920947236138097</v>
      </c>
      <c r="G242" s="4">
        <v>0.84831370641396597</v>
      </c>
      <c r="H242" s="4">
        <v>8.6942495420783494</v>
      </c>
      <c r="I242" s="4" t="s">
        <v>21</v>
      </c>
      <c r="J242" s="4">
        <v>4.38065002438469</v>
      </c>
      <c r="K242" s="4">
        <v>-0.13348558918710701</v>
      </c>
      <c r="L242" s="4">
        <v>31.785694165614299</v>
      </c>
      <c r="M242" s="4">
        <v>0.68288974110640699</v>
      </c>
      <c r="N242" s="4">
        <v>7.2334162313152204</v>
      </c>
      <c r="O242" s="4">
        <v>1.2</v>
      </c>
      <c r="P242" s="4">
        <v>1.2</v>
      </c>
      <c r="Q242" s="4">
        <v>0.22</v>
      </c>
      <c r="R242" s="4">
        <v>0.22</v>
      </c>
      <c r="S242" s="4">
        <v>0</v>
      </c>
      <c r="T242" s="4">
        <v>0</v>
      </c>
      <c r="U242" s="4">
        <v>0.3</v>
      </c>
      <c r="V242" s="4">
        <v>0.05</v>
      </c>
      <c r="W242" s="4">
        <v>1</v>
      </c>
      <c r="X242" s="4">
        <v>19.100000000000001</v>
      </c>
      <c r="Y242" s="4">
        <v>0</v>
      </c>
      <c r="Z242" s="4">
        <v>1.5</v>
      </c>
      <c r="AA242" s="4">
        <v>139</v>
      </c>
      <c r="AB242" s="4">
        <v>12.1</v>
      </c>
      <c r="AC242" s="4">
        <v>19.5</v>
      </c>
      <c r="AD242" s="3" t="s">
        <v>42</v>
      </c>
      <c r="AE242" s="3" t="s">
        <v>61</v>
      </c>
      <c r="AF242" s="17">
        <f>HLOOKUP(AD242,Data!$B$4:$M$9,2,0)</f>
        <v>13</v>
      </c>
      <c r="AG242" s="17">
        <f>HLOOKUP(AD242,Data!$B$4:$M$9,3,0)</f>
        <v>1</v>
      </c>
      <c r="AH242" s="17">
        <f>HLOOKUP(AE242,Data!$B$13:$I$18,3,0)</f>
        <v>260</v>
      </c>
      <c r="AI242" s="18">
        <f t="shared" si="192"/>
        <v>1.44</v>
      </c>
      <c r="AJ242" s="17">
        <f t="shared" si="193"/>
        <v>0.28799999999999998</v>
      </c>
      <c r="AK242" s="17">
        <f t="shared" si="194"/>
        <v>0.28799999999999998</v>
      </c>
      <c r="AL242" s="17">
        <f t="shared" si="195"/>
        <v>0.25</v>
      </c>
      <c r="AM242" s="17">
        <f t="shared" si="196"/>
        <v>0.49</v>
      </c>
      <c r="AN242" s="17">
        <f t="shared" si="197"/>
        <v>0.49</v>
      </c>
      <c r="AO242" s="17">
        <f t="shared" si="198"/>
        <v>0.49</v>
      </c>
      <c r="AP242" s="17">
        <f t="shared" si="199"/>
        <v>0.49</v>
      </c>
      <c r="AQ242" s="17">
        <f t="shared" si="200"/>
        <v>1.88</v>
      </c>
      <c r="AR242" s="17">
        <f t="shared" si="201"/>
        <v>0.92159999999999997</v>
      </c>
      <c r="AS242" s="17">
        <f t="shared" si="202"/>
        <v>36.920947236138097</v>
      </c>
      <c r="AT242" s="17">
        <f t="shared" si="203"/>
        <v>0.90339294553016303</v>
      </c>
      <c r="AU242" s="17">
        <f t="shared" si="204"/>
        <v>10.275813941347</v>
      </c>
      <c r="AV242" s="17">
        <f t="shared" si="205"/>
        <v>31.785694165614299</v>
      </c>
      <c r="AW242" s="17">
        <f t="shared" si="206"/>
        <v>0.72293541786253901</v>
      </c>
      <c r="AX242" s="17">
        <f t="shared" si="207"/>
        <v>8.5476112386306191</v>
      </c>
      <c r="AY242" s="17">
        <f t="shared" si="208"/>
        <v>85.056237271197304</v>
      </c>
      <c r="AZ242" s="17">
        <f t="shared" si="209"/>
        <v>7.4228561123278203</v>
      </c>
      <c r="BA242" s="17">
        <f t="shared" si="210"/>
        <v>46.239546691762598</v>
      </c>
      <c r="BB242" s="17">
        <f t="shared" si="211"/>
        <v>74.862796838944504</v>
      </c>
      <c r="BC242" s="17">
        <f t="shared" si="212"/>
        <v>10.484000613297599</v>
      </c>
      <c r="BD242" s="17">
        <f t="shared" si="213"/>
        <v>42.673398726121</v>
      </c>
      <c r="BE242" s="17" t="str">
        <f>IF(AND(BD242&lt;=AA242,BB242&lt;=AA242*MongDon!$J$44,BC242&gt;0),"Ok","FAIL")</f>
        <v>Ok</v>
      </c>
      <c r="BF242" s="17">
        <f t="shared" si="214"/>
        <v>78.387828269135397</v>
      </c>
      <c r="BG242" s="17">
        <f t="shared" si="215"/>
        <v>352.5</v>
      </c>
      <c r="BH242" s="17" t="str">
        <f t="shared" si="216"/>
        <v>Ok</v>
      </c>
      <c r="BI242" s="17">
        <f t="shared" si="217"/>
        <v>12.4135965016975</v>
      </c>
      <c r="BJ242" s="17">
        <f t="shared" si="218"/>
        <v>23.592803388574701</v>
      </c>
      <c r="BK242" s="17">
        <f t="shared" si="219"/>
        <v>14.2203823927578</v>
      </c>
      <c r="BL242" s="17">
        <f t="shared" si="220"/>
        <v>3.0411755058805698</v>
      </c>
      <c r="BM242" s="17">
        <f t="shared" si="221"/>
        <v>88.125</v>
      </c>
      <c r="BN242" s="17">
        <f t="shared" si="222"/>
        <v>88.125</v>
      </c>
      <c r="BO242" s="17">
        <f t="shared" si="223"/>
        <v>88.125</v>
      </c>
      <c r="BP242" s="17">
        <f t="shared" si="224"/>
        <v>88.125</v>
      </c>
      <c r="BQ242" s="17" t="str">
        <f t="shared" si="225"/>
        <v>Ok</v>
      </c>
      <c r="BR242" s="17">
        <f t="shared" si="226"/>
        <v>35.995165253132399</v>
      </c>
      <c r="BS242" s="17">
        <f t="shared" si="227"/>
        <v>6.8277646998964698</v>
      </c>
      <c r="BT242" s="16">
        <f>MongDon!$H$80</f>
        <v>1.2</v>
      </c>
      <c r="BU242" s="17" t="str">
        <f t="shared" si="228"/>
        <v>Ok</v>
      </c>
      <c r="BV242" s="17">
        <f t="shared" si="229"/>
        <v>3.76174272542498</v>
      </c>
      <c r="BW242" s="16">
        <f>MongDon!$F$86</f>
        <v>1.5</v>
      </c>
      <c r="BX242" s="17" t="str">
        <f t="shared" si="230"/>
        <v>Ok</v>
      </c>
      <c r="BY242" s="17">
        <f t="shared" si="231"/>
        <v>7.4228561123278096</v>
      </c>
      <c r="BZ242" s="17">
        <f t="shared" si="232"/>
        <v>78.782675149460104</v>
      </c>
      <c r="CA242" s="17">
        <f t="shared" si="233"/>
        <v>85.056237271197304</v>
      </c>
      <c r="CB242" s="17">
        <f t="shared" si="234"/>
        <v>13.696418234065099</v>
      </c>
      <c r="CC242" s="17">
        <f t="shared" si="235"/>
        <v>53.355939964658901</v>
      </c>
      <c r="CD242" s="17">
        <f t="shared" si="236"/>
        <v>40.273306474518002</v>
      </c>
      <c r="CE242" s="17">
        <f t="shared" si="237"/>
        <v>52.205786909007102</v>
      </c>
      <c r="CF242" s="17">
        <f t="shared" si="238"/>
        <v>53.355939964658901</v>
      </c>
      <c r="CG242" s="17">
        <f t="shared" si="239"/>
        <v>8.9424610538572598</v>
      </c>
      <c r="CH242" s="17">
        <f t="shared" si="240"/>
        <v>8.9424610538572598</v>
      </c>
      <c r="CI242" s="17">
        <f t="shared" si="241"/>
        <v>250</v>
      </c>
      <c r="CJ242" s="17">
        <f t="shared" si="242"/>
        <v>250</v>
      </c>
    </row>
    <row r="243" spans="2:88">
      <c r="B243" s="3">
        <v>288</v>
      </c>
      <c r="C243" s="3" t="s">
        <v>32</v>
      </c>
      <c r="D243" s="4">
        <v>-5.3179126356787103</v>
      </c>
      <c r="E243" s="4">
        <v>2.5388065011179899</v>
      </c>
      <c r="F243" s="4">
        <v>40.524846262394298</v>
      </c>
      <c r="G243" s="4">
        <v>-3.5831641484252601</v>
      </c>
      <c r="H243" s="4">
        <v>-8.3635027731048499</v>
      </c>
      <c r="I243" s="4" t="s">
        <v>22</v>
      </c>
      <c r="J243" s="4">
        <v>-4.4441782810939303</v>
      </c>
      <c r="K243" s="4">
        <v>2.1351843815117699</v>
      </c>
      <c r="L243" s="4">
        <v>34.788943354161098</v>
      </c>
      <c r="M243" s="4">
        <v>-3.0100084712596198</v>
      </c>
      <c r="N243" s="4">
        <v>-6.98137736467078</v>
      </c>
      <c r="O243" s="4">
        <v>1.2</v>
      </c>
      <c r="P243" s="4">
        <v>1.2</v>
      </c>
      <c r="Q243" s="4">
        <v>0.22</v>
      </c>
      <c r="R243" s="4">
        <v>0.22</v>
      </c>
      <c r="S243" s="4">
        <v>0</v>
      </c>
      <c r="T243" s="4">
        <v>0</v>
      </c>
      <c r="U243" s="4">
        <v>0.3</v>
      </c>
      <c r="V243" s="4">
        <v>0.05</v>
      </c>
      <c r="W243" s="4">
        <v>1</v>
      </c>
      <c r="X243" s="4">
        <v>19.100000000000001</v>
      </c>
      <c r="Y243" s="4">
        <v>0</v>
      </c>
      <c r="Z243" s="4">
        <v>1.5</v>
      </c>
      <c r="AA243" s="4">
        <v>139</v>
      </c>
      <c r="AB243" s="4">
        <v>12.1</v>
      </c>
      <c r="AC243" s="4">
        <v>19.5</v>
      </c>
      <c r="AD243" s="3" t="s">
        <v>42</v>
      </c>
      <c r="AE243" s="3" t="s">
        <v>61</v>
      </c>
      <c r="AF243" s="17">
        <f>HLOOKUP(AD243,Data!$B$4:$M$9,2,0)</f>
        <v>13</v>
      </c>
      <c r="AG243" s="17">
        <f>HLOOKUP(AD243,Data!$B$4:$M$9,3,0)</f>
        <v>1</v>
      </c>
      <c r="AH243" s="17">
        <f>HLOOKUP(AE243,Data!$B$13:$I$18,3,0)</f>
        <v>260</v>
      </c>
      <c r="AI243" s="18">
        <f t="shared" si="192"/>
        <v>1.44</v>
      </c>
      <c r="AJ243" s="17">
        <f t="shared" si="193"/>
        <v>0.28799999999999998</v>
      </c>
      <c r="AK243" s="17">
        <f t="shared" si="194"/>
        <v>0.28799999999999998</v>
      </c>
      <c r="AL243" s="17">
        <f t="shared" si="195"/>
        <v>0.25</v>
      </c>
      <c r="AM243" s="17">
        <f t="shared" si="196"/>
        <v>0.49</v>
      </c>
      <c r="AN243" s="17">
        <f t="shared" si="197"/>
        <v>0.49</v>
      </c>
      <c r="AO243" s="17">
        <f t="shared" si="198"/>
        <v>0.49</v>
      </c>
      <c r="AP243" s="17">
        <f t="shared" si="199"/>
        <v>0.49</v>
      </c>
      <c r="AQ243" s="17">
        <f t="shared" si="200"/>
        <v>1.88</v>
      </c>
      <c r="AR243" s="17">
        <f t="shared" si="201"/>
        <v>0.92159999999999997</v>
      </c>
      <c r="AS243" s="17">
        <f t="shared" si="202"/>
        <v>40.524846262394298</v>
      </c>
      <c r="AT243" s="17">
        <f t="shared" si="203"/>
        <v>-4.3448060987606603</v>
      </c>
      <c r="AU243" s="17">
        <f t="shared" si="204"/>
        <v>-9.9588765638084595</v>
      </c>
      <c r="AV243" s="17">
        <f t="shared" si="205"/>
        <v>34.788943354161098</v>
      </c>
      <c r="AW243" s="17">
        <f t="shared" si="206"/>
        <v>-3.6505637857131501</v>
      </c>
      <c r="AX243" s="17">
        <f t="shared" si="207"/>
        <v>-8.3146308489989593</v>
      </c>
      <c r="AY243" s="17">
        <f t="shared" si="208"/>
        <v>98.407819149472203</v>
      </c>
      <c r="AZ243" s="17">
        <f t="shared" si="209"/>
        <v>-0.92331045170229198</v>
      </c>
      <c r="BA243" s="17">
        <f t="shared" si="210"/>
        <v>48.742254348884899</v>
      </c>
      <c r="BB243" s="17">
        <f t="shared" si="211"/>
        <v>86.304803144251196</v>
      </c>
      <c r="BC243" s="17">
        <f t="shared" si="212"/>
        <v>3.2131737365281698</v>
      </c>
      <c r="BD243" s="17">
        <f t="shared" si="213"/>
        <v>44.7589884403897</v>
      </c>
      <c r="BE243" s="17" t="str">
        <f>IF(AND(BD243&lt;=AA243,BB243&lt;=AA243*MongDon!$J$44,BC243&gt;0),"Ok","FAIL")</f>
        <v>Ok</v>
      </c>
      <c r="BF243" s="17">
        <f t="shared" si="214"/>
        <v>90.692646128153598</v>
      </c>
      <c r="BG243" s="17">
        <f t="shared" si="215"/>
        <v>352.5</v>
      </c>
      <c r="BH243" s="17" t="str">
        <f t="shared" si="216"/>
        <v>Ok</v>
      </c>
      <c r="BI243" s="17">
        <f t="shared" si="217"/>
        <v>18.382575351239499</v>
      </c>
      <c r="BJ243" s="17">
        <f t="shared" si="218"/>
        <v>4.0788926886703996</v>
      </c>
      <c r="BK243" s="17">
        <f t="shared" si="219"/>
        <v>9.6929631537181997</v>
      </c>
      <c r="BL243" s="17">
        <f t="shared" si="220"/>
        <v>23.996645816287302</v>
      </c>
      <c r="BM243" s="17">
        <f t="shared" si="221"/>
        <v>88.125</v>
      </c>
      <c r="BN243" s="17">
        <f t="shared" si="222"/>
        <v>88.125</v>
      </c>
      <c r="BO243" s="17">
        <f t="shared" si="223"/>
        <v>88.125</v>
      </c>
      <c r="BP243" s="17">
        <f t="shared" si="224"/>
        <v>88.125</v>
      </c>
      <c r="BQ243" s="17" t="str">
        <f t="shared" si="225"/>
        <v>Ok</v>
      </c>
      <c r="BR243" s="17">
        <f t="shared" si="226"/>
        <v>36.767774259233498</v>
      </c>
      <c r="BS243" s="17">
        <f t="shared" si="227"/>
        <v>6.9139485317138796</v>
      </c>
      <c r="BT243" s="16">
        <f>MongDon!$H$80</f>
        <v>1.2</v>
      </c>
      <c r="BU243" s="17" t="str">
        <f t="shared" si="228"/>
        <v>Ok</v>
      </c>
      <c r="BV243" s="17">
        <f t="shared" si="229"/>
        <v>4.0985855679515799</v>
      </c>
      <c r="BW243" s="16">
        <f>MongDon!$F$86</f>
        <v>1.5</v>
      </c>
      <c r="BX243" s="17" t="str">
        <f t="shared" si="230"/>
        <v>Ok</v>
      </c>
      <c r="BY243" s="17">
        <f t="shared" si="231"/>
        <v>98.407819149472203</v>
      </c>
      <c r="BZ243" s="17">
        <f t="shared" si="232"/>
        <v>29.2489541230245</v>
      </c>
      <c r="CA243" s="17">
        <f t="shared" si="233"/>
        <v>-0.92331045170229897</v>
      </c>
      <c r="CB243" s="17">
        <f t="shared" si="234"/>
        <v>68.235554574745393</v>
      </c>
      <c r="CC243" s="17">
        <f t="shared" si="235"/>
        <v>45.168482640810502</v>
      </c>
      <c r="CD243" s="17">
        <f t="shared" si="236"/>
        <v>57.847607895659301</v>
      </c>
      <c r="CE243" s="17">
        <f t="shared" si="237"/>
        <v>57.847607895659301</v>
      </c>
      <c r="CF243" s="17">
        <f t="shared" si="238"/>
        <v>52.316026056959302</v>
      </c>
      <c r="CG243" s="17">
        <f t="shared" si="239"/>
        <v>10.190774235220699</v>
      </c>
      <c r="CH243" s="17">
        <f t="shared" si="240"/>
        <v>10.190774235220699</v>
      </c>
      <c r="CI243" s="17">
        <f t="shared" si="241"/>
        <v>250</v>
      </c>
      <c r="CJ243" s="17">
        <f t="shared" si="242"/>
        <v>250</v>
      </c>
    </row>
  </sheetData>
  <mergeCells count="14">
    <mergeCell ref="C1:H1"/>
    <mergeCell ref="I1:N1"/>
    <mergeCell ref="O1:AE1"/>
    <mergeCell ref="AF1:CJ1"/>
    <mergeCell ref="AS2:AU2"/>
    <mergeCell ref="AV2:AX2"/>
    <mergeCell ref="AY2:BA2"/>
    <mergeCell ref="BB2:BE2"/>
    <mergeCell ref="BF2:BH2"/>
    <mergeCell ref="BI2:BQ2"/>
    <mergeCell ref="BR2:BU2"/>
    <mergeCell ref="BV2:BX2"/>
    <mergeCell ref="BY2:CF2"/>
    <mergeCell ref="CG2:CJ2"/>
  </mergeCells>
  <conditionalFormatting sqref="BE2:BE15001">
    <cfRule type="cellIs" dxfId="1" priority="2" operator="equal">
      <formula>"FAIL"</formula>
    </cfRule>
  </conditionalFormatting>
  <conditionalFormatting sqref="BH2:BH15001 BU2:BU15001 BQ2:BQ15001 BX2:BX15001 BE2:BE15001">
    <cfRule type="cellIs" dxfId="0" priority="1" operator="equal">
      <formula>"FAIL"</formula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Ko</vt:lpstr>
      <vt:lpstr>SLS</vt:lpstr>
      <vt:lpstr>ULS</vt:lpstr>
      <vt:lpstr>POINT</vt:lpstr>
      <vt:lpstr>Data</vt:lpstr>
      <vt:lpstr>Ref</vt:lpstr>
      <vt:lpstr>Rtc</vt:lpstr>
      <vt:lpstr>MongDon</vt:lpstr>
      <vt:lpstr>MainTH</vt:lpstr>
      <vt:lpstr>MainAll</vt:lpstr>
      <vt:lpstr>Af</vt:lpstr>
      <vt:lpstr>Bqu</vt:lpstr>
      <vt:lpstr>Cu</vt:lpstr>
      <vt:lpstr>Df</vt:lpstr>
      <vt:lpstr>ex</vt:lpstr>
      <vt:lpstr>ey</vt:lpstr>
      <vt:lpstr>Hf</vt:lpstr>
      <vt:lpstr>ho</vt:lpstr>
      <vt:lpstr>LX</vt:lpstr>
      <vt:lpstr>LY</vt:lpstr>
      <vt:lpstr>out_a</vt:lpstr>
      <vt:lpstr>out_htn</vt:lpstr>
      <vt:lpstr>out_pg</vt:lpstr>
      <vt:lpstr>MongDon!Print_Area</vt:lpstr>
      <vt:lpstr>phi</vt:lpstr>
      <vt:lpstr>Rb</vt:lpstr>
      <vt:lpstr>Rbt</vt:lpstr>
      <vt:lpstr>RS</vt:lpstr>
      <vt:lpstr>Rtcc</vt:lpstr>
      <vt:lpstr>Wx</vt:lpstr>
      <vt:lpstr>WY</vt:lpstr>
      <vt:lpstr>xc</vt:lpstr>
      <vt:lpstr>y_2</vt:lpstr>
      <vt:lpstr>yc</vt:lpstr>
      <vt:lpstr>ytb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P</dc:creator>
  <cp:lastModifiedBy>C P</cp:lastModifiedBy>
  <cp:lastPrinted>2024-07-02T07:44:00Z</cp:lastPrinted>
  <dcterms:created xsi:type="dcterms:W3CDTF">2024-06-29T23:51:00Z</dcterms:created>
  <dcterms:modified xsi:type="dcterms:W3CDTF">2026-09-16T07:22:25Z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281630D93D124FF38A776F3C347A5D12_12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