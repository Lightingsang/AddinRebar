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 firstSheet="1" activeTab="2"/>
  </bookViews>
  <sheets>
    <sheet name="TongHopDL" sheetId="4" state="hidden" r:id="rId1"/>
    <sheet name="DaTaBoTru" sheetId="6" r:id="rId2"/>
    <sheet name="DATALT" sheetId="1" r:id="rId3"/>
    <sheet name="CauThang" sheetId="2" r:id="rId4"/>
    <sheet name="DATABEAM" sheetId="3" r:id="rId5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0" i="2" l="1"/>
  <c r="BL26" i="2"/>
  <c r="CA25" i="2"/>
  <c r="BZ25" i="2"/>
  <c r="BY25" i="2"/>
  <c r="CD24" i="2"/>
  <c r="CC24" i="2"/>
  <c r="CA24" i="2"/>
  <c r="BZ24" i="2"/>
  <c r="BY24" i="2"/>
  <c r="CD23" i="2"/>
  <c r="CC23" i="2"/>
  <c r="CA23" i="2"/>
  <c r="BZ23" i="2"/>
  <c r="BY23" i="2"/>
  <c r="CA22" i="2"/>
  <c r="BZ22" i="2"/>
  <c r="BY22" i="2"/>
  <c r="CD21" i="2"/>
  <c r="CC21" i="2"/>
  <c r="CA21" i="2"/>
  <c r="BZ21" i="2"/>
  <c r="BY21" i="2"/>
  <c r="AV21" i="2"/>
  <c r="CD20" i="2"/>
  <c r="CC20" i="2"/>
  <c r="CA20" i="2"/>
  <c r="BZ20" i="2"/>
  <c r="BY20" i="2"/>
  <c r="CA19" i="2"/>
  <c r="BZ19" i="2"/>
  <c r="BY19" i="2"/>
  <c r="CA18" i="2"/>
  <c r="BZ18" i="2"/>
  <c r="BY18" i="2"/>
  <c r="CA17" i="2"/>
  <c r="BZ17" i="2"/>
  <c r="BY17" i="2"/>
  <c r="CD16" i="2"/>
  <c r="CC16" i="2"/>
  <c r="BY16" i="2"/>
  <c r="CD15" i="2"/>
  <c r="CC15" i="2"/>
  <c r="BY15" i="2"/>
  <c r="BY14" i="2"/>
  <c r="CD13" i="2"/>
  <c r="CC13" i="2"/>
  <c r="CA13" i="2"/>
  <c r="BZ13" i="2"/>
  <c r="BY13" i="2"/>
  <c r="CD12" i="2"/>
  <c r="CC12" i="2"/>
  <c r="CA12" i="2"/>
  <c r="BZ12" i="2"/>
  <c r="BY12" i="2"/>
  <c r="CA11" i="2"/>
  <c r="BZ11" i="2"/>
  <c r="BY11" i="2"/>
  <c r="CD10" i="2"/>
  <c r="CC10" i="2"/>
  <c r="CA10" i="2"/>
  <c r="BZ10" i="2"/>
  <c r="BY10" i="2"/>
  <c r="CD9" i="2"/>
  <c r="CC9" i="2"/>
  <c r="CA9" i="2"/>
  <c r="BZ9" i="2"/>
  <c r="BY9" i="2"/>
  <c r="CA8" i="2"/>
  <c r="BZ8" i="2"/>
  <c r="BY8" i="2"/>
  <c r="CA7" i="2"/>
  <c r="BZ7" i="2"/>
  <c r="BY7" i="2"/>
  <c r="CA6" i="2"/>
  <c r="BZ6" i="2"/>
  <c r="BY6" i="2"/>
  <c r="CD5" i="2"/>
  <c r="CC5" i="2"/>
  <c r="CA5" i="2"/>
  <c r="BZ5" i="2"/>
  <c r="BY5" i="2"/>
  <c r="CI4" i="2"/>
  <c r="CD4" i="2"/>
  <c r="CC4" i="2"/>
  <c r="CA4" i="2"/>
  <c r="BZ4" i="2"/>
  <c r="BY4" i="2"/>
  <c r="CI3" i="2"/>
  <c r="CA3" i="2"/>
  <c r="BZ3" i="2"/>
  <c r="BY3" i="2"/>
  <c r="CI2" i="2"/>
  <c r="CI1" i="2"/>
  <c r="CD1" i="2"/>
  <c r="CC1" i="2"/>
  <c r="W18" i="4"/>
  <c r="W17" i="4"/>
  <c r="S17" i="4"/>
  <c r="W16" i="4"/>
  <c r="S16" i="4"/>
  <c r="W15" i="4"/>
  <c r="S15" i="4"/>
  <c r="W14" i="4"/>
  <c r="S14" i="4"/>
  <c r="W13" i="4"/>
  <c r="S13" i="4"/>
  <c r="W12" i="4"/>
  <c r="S12" i="4"/>
  <c r="S11" i="4"/>
  <c r="J11" i="4"/>
  <c r="S10" i="4"/>
  <c r="J10" i="4"/>
  <c r="W9" i="4"/>
  <c r="S9" i="4"/>
  <c r="J9" i="4"/>
  <c r="W8" i="4"/>
  <c r="S8" i="4"/>
  <c r="J8" i="4"/>
  <c r="W7" i="4"/>
  <c r="S7" i="4"/>
  <c r="J7" i="4"/>
  <c r="W6" i="4"/>
  <c r="S6" i="4"/>
  <c r="J6" i="4"/>
  <c r="W5" i="4"/>
  <c r="S5" i="4"/>
  <c r="J5" i="4"/>
  <c r="W4" i="4"/>
  <c r="S4" i="4"/>
  <c r="J4" i="4"/>
  <c r="W3" i="4"/>
  <c r="W2" i="4"/>
  <c r="CE15" i="2"/>
  <c r="CE20" i="2"/>
  <c r="CE12" i="2"/>
  <c r="CE9" i="2"/>
  <c r="CE24" i="2"/>
  <c r="CE16" i="2"/>
  <c r="CE13" i="2"/>
  <c r="CE10" i="2"/>
  <c r="CE21" i="2"/>
  <c r="CE23" i="2"/>
  <c r="CG1" i="2" l="1"/>
  <c r="CG3" i="2"/>
  <c r="CG4" i="2" l="1"/>
  <c r="CA15" i="2" s="1"/>
  <c r="BZ15" i="2"/>
  <c r="CG2" i="2"/>
  <c r="CA16" i="2" s="1"/>
  <c r="BZ16" i="2"/>
  <c r="CA14" i="2" l="1"/>
  <c r="BZ14" i="2"/>
</calcChain>
</file>

<file path=xl/comments1.xml><?xml version="1.0" encoding="utf-8"?>
<comments xmlns="http://schemas.openxmlformats.org/spreadsheetml/2006/main">
  <authors>
    <author>phatpv</author>
    <author>Windows User</author>
    <author>Duy Nguyen Van</author>
  </authors>
  <commentList>
    <comment ref="B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CƯỜNG ĐỘ ĐẶC TRƯNG CỦA MẪU LĂNG TRỤ</t>
        </r>
      </text>
    </comment>
    <comment ref="D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CƯỜNG ĐỘ CHỊU NÉN TÍNH TOÁN CỦA MẪU LĂNG TRỤ THEO BẢNG 13 TCVN 5574 : 2012
BẢNG 7 TCVN 5574 - 2018</t>
        </r>
      </text>
    </comment>
    <comment ref="E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CƯỜNG ĐỘ CHỊU KÉO DỌC TRỤC THEO BẢNG 13 TCVN 5574 : 2012
BẢNG 7 TCVN 5574 2018</t>
        </r>
      </text>
    </comment>
    <comment ref="F2" authorId="1" shapeId="0">
      <text>
        <r>
          <rPr>
            <b/>
            <sz val="9"/>
            <rFont val="Tahoma"/>
            <charset val="134"/>
          </rPr>
          <t>Windows User:</t>
        </r>
        <r>
          <rPr>
            <sz val="9"/>
            <rFont val="Tahoma"/>
            <charset val="134"/>
          </rPr>
          <t xml:space="preserve">
BẢNG 10 TCVN 5574 2018</t>
        </r>
      </text>
    </comment>
    <comment ref="G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HÊ SỐ ĐIỀU KIỆN LÀM VIỆC VIỆC CỦA BÊ TÔNG THEO BẢNG 15 TCVN 5574 : 2012
6.1.2.3 TCVN 55742015</t>
        </r>
      </text>
    </comment>
    <comment ref="H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ỨNG SUẤT GIỚI HẠN CỦA CỐT THÉP TRONG VÙNG BÊ TÔNG CHỊU NÉN THEO MỤC 6.2.2.3 a TCVN 5574 : 2012</t>
        </r>
      </text>
    </comment>
    <comment ref="I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HỆ SỐ LẤY THEO MỤC 6.2.2.3 TCVN 5574 : 2012</t>
        </r>
      </text>
    </comment>
    <comment ref="J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ĐẶC TRƯNG VÙNG BÊ TÔNG CHỊU NÉN THEO CÔNG THỨC (26) TCVN 5574 : 2012</t>
        </r>
      </text>
    </comment>
    <comment ref="O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CƯỜNG ĐỘ CHỊU KÉO ĐẶC TRƯNG THEO BẢNG 18 TCVN 5574 : 2012</t>
        </r>
      </text>
    </comment>
    <comment ref="P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CƯỜNG ĐỘ CHỊU KÉO TÍNH TOÀN THEO 21 TCVN 5574 : 2012</t>
        </r>
      </text>
    </comment>
    <comment ref="Q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CUONG ĐỘ CHỊU NÉN TÍNH TOÀN THEO BẢNG 21 TCVN 5574 : 2012</t>
        </r>
      </text>
    </comment>
    <comment ref="R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CUONG ĐỘ CHỊU KÉO TÍNH TOÁN CỦA THÉP ĐAI THEO BẢNG 21 TCVN 5574 : 2012</t>
        </r>
      </text>
    </comment>
    <comment ref="S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HỆ SỐ ĐIỀU KIỆN LÀM VIỆC CỦA THÉP THEO BẢNG 20 HOẶC PHỤ LỤC B TCVN 5574 : 2012</t>
        </r>
      </text>
    </comment>
    <comment ref="V2" authorId="0" shapeId="0">
      <text>
        <r>
          <rPr>
            <sz val="9"/>
            <rFont val="Arial"/>
            <charset val="134"/>
          </rPr>
          <t>ỨNG SUẤT GIỚI HẠN CỦA CỐT THÉP TRONG VÙNG BÊ TÔNG CHỊU NÉN THEO MỤC 6.2.2.3 a TCVN 5574 : 2012 (Mpa)</t>
        </r>
      </text>
    </comment>
    <comment ref="V3" authorId="0" shapeId="0">
      <text>
        <r>
          <rPr>
            <sz val="9"/>
            <rFont val="Arial"/>
            <charset val="134"/>
          </rPr>
          <t>HỆ SỐ LẤY THEO MỤC 6.2.2.3 TCVN 5574 : 2012 (Mpa)</t>
        </r>
      </text>
    </comment>
    <comment ref="V4" authorId="0" shapeId="0">
      <text>
        <r>
          <rPr>
            <sz val="9"/>
            <rFont val="Arial"/>
            <charset val="134"/>
          </rPr>
          <t>ĐẶC TRƯNG VÙNG BÊ TÔNG CHỊU NÉN THEO CÔNG THỨC (26) TCVN 5574 : 2012</t>
        </r>
      </text>
    </comment>
    <comment ref="V5" authorId="0" shapeId="0">
      <text>
        <r>
          <rPr>
            <sz val="9"/>
            <rFont val="Arial"/>
            <charset val="134"/>
          </rPr>
          <t>HÊ SỐ ĐIỀU KIỆN LÀM VIỆC VIỆC CỦA BÊ TÔNG THEO BẢNG 15 TCVN 5574 : 2012</t>
        </r>
      </text>
    </comment>
    <comment ref="V6" authorId="0" shapeId="0">
      <text>
        <r>
          <rPr>
            <sz val="9"/>
            <rFont val="Arial"/>
            <charset val="134"/>
          </rPr>
          <t>CƯỜNG ĐỘ CHỊU NÉN TÍNH TOÁN CỦA MẪU LĂNG TRỤ THEO BẢNG 13 TCVN 5574 : 2012 (Mpa)</t>
        </r>
      </text>
    </comment>
    <comment ref="V7" authorId="0" shapeId="0">
      <text>
        <r>
          <rPr>
            <sz val="9"/>
            <rFont val="Arial"/>
            <charset val="134"/>
          </rPr>
          <t>CƯỜNG ĐỘ CHỊU KÉO DỌC TRỤC THEO BẢNG 13 TCVN 5574 : 2012 (Mpa)</t>
        </r>
      </text>
    </comment>
    <comment ref="V8" authorId="2" shapeId="0">
      <text>
        <r>
          <rPr>
            <b/>
            <sz val="9"/>
            <rFont val="Tahoma"/>
            <charset val="134"/>
          </rPr>
          <t>Duy Nguyen Van:</t>
        </r>
        <r>
          <rPr>
            <sz val="9"/>
            <rFont val="Tahoma"/>
            <charset val="134"/>
          </rPr>
          <t xml:space="preserve">
MPa</t>
        </r>
      </text>
    </comment>
    <comment ref="V9" authorId="2" shapeId="0">
      <text>
        <r>
          <rPr>
            <b/>
            <sz val="9"/>
            <rFont val="Tahoma"/>
            <charset val="134"/>
          </rPr>
          <t>Duy Nguyen Van:</t>
        </r>
        <r>
          <rPr>
            <sz val="9"/>
            <rFont val="Tahoma"/>
            <charset val="134"/>
          </rPr>
          <t xml:space="preserve">
MPa</t>
        </r>
      </text>
    </comment>
    <comment ref="V12" authorId="0" shapeId="0">
      <text>
        <r>
          <rPr>
            <b/>
            <sz val="9"/>
            <rFont val="Tahoma"/>
            <charset val="134"/>
          </rPr>
          <t>phatpv:</t>
        </r>
        <r>
          <rPr>
            <sz val="9"/>
            <rFont val="Tahoma"/>
            <charset val="134"/>
          </rPr>
          <t xml:space="preserve">
HỆ SỐ ĐIỀU KIỆN LÀM VIỆC CỦA THÉP THEO BẢNG 20 HOẶC PHỤ LỤC B TCVN 5574 : 2012</t>
        </r>
      </text>
    </comment>
    <comment ref="V13" authorId="0" shapeId="0">
      <text>
        <r>
          <rPr>
            <sz val="9"/>
            <rFont val="Tahoma"/>
            <charset val="134"/>
          </rPr>
          <t>CƯỜNG ĐỘ CHỊU KÉO TÍNH TOÀN THEO 21 TCVN 5574 : 2012 (Mpa)</t>
        </r>
      </text>
    </comment>
    <comment ref="V14" authorId="0" shapeId="0">
      <text>
        <r>
          <rPr>
            <sz val="9"/>
            <rFont val="Tahoma"/>
            <charset val="134"/>
          </rPr>
          <t>CUONG ĐỘ CHỊU NÉN TÍNH TOÀN THEO BẢNG 21 TCVN 5574 : 2012 (Mpa)</t>
        </r>
      </text>
    </comment>
    <comment ref="V15" authorId="0" shapeId="0">
      <text>
        <r>
          <rPr>
            <sz val="9"/>
            <rFont val="Tahoma"/>
            <charset val="134"/>
          </rPr>
          <t>TỶ SỐ CHIỀU CAO VÙNG BÊ TÔNG CHỊU NÉN THEO CÔNG THỨC (25) TCVN 5574 : 2012</t>
        </r>
      </text>
    </comment>
    <comment ref="V16" authorId="0" shapeId="0">
      <text>
        <r>
          <rPr>
            <sz val="9"/>
            <rFont val="Tahoma"/>
            <charset val="134"/>
          </rPr>
          <t>HÀM LƯỢNG THÉP TỐI ĐA TÍNH THEO MỤC 6.2.2.6 TCVN 5574 : 2012  (%)</t>
        </r>
      </text>
    </comment>
  </commentList>
</comments>
</file>

<file path=xl/comments2.xml><?xml version="1.0" encoding="utf-8"?>
<comments xmlns="http://schemas.openxmlformats.org/spreadsheetml/2006/main">
  <authors>
    <author>Windows User</author>
    <author>PC</author>
  </authors>
  <commentList>
    <comment ref="AI23" authorId="0" shapeId="0">
      <text>
        <r>
          <rPr>
            <b/>
            <sz val="9"/>
            <rFont val="Tahoma"/>
            <charset val="134"/>
          </rPr>
          <t>Điền = 0 nếu không muốn vẽ bậc thang</t>
        </r>
      </text>
    </comment>
    <comment ref="I25" authorId="1" shapeId="0">
      <text>
        <r>
          <rPr>
            <b/>
            <sz val="9"/>
            <rFont val="Tahoma"/>
            <charset val="134"/>
          </rPr>
          <t>THỐNG KÊ CHẤM THÉP CHIẾU NGHỈ TRÊN</t>
        </r>
      </text>
    </comment>
    <comment ref="I26" authorId="1" shapeId="0">
      <text>
        <r>
          <rPr>
            <b/>
            <sz val="9"/>
            <rFont val="Tahoma"/>
            <charset val="134"/>
          </rPr>
          <t>THỐNG KÊ CHẤM THÉP CHIẾU NGHỈ DƯỚI</t>
        </r>
      </text>
    </comment>
    <comment ref="U28" authorId="0" shapeId="0">
      <text>
        <r>
          <rPr>
            <b/>
            <sz val="9"/>
            <rFont val="Tahoma"/>
            <charset val="134"/>
          </rPr>
          <t>Điền = 0 nếu không muốn vẽ bậc thang</t>
        </r>
      </text>
    </comment>
    <comment ref="AT29" authorId="0" shapeId="0">
      <text>
        <r>
          <rPr>
            <b/>
            <sz val="9"/>
            <rFont val="Tahoma"/>
            <charset val="134"/>
          </rPr>
          <t>Dùng để thống kê, tính số lượng thép dọc cho cầu thang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E5" authorId="0" shapeId="0">
      <text>
        <r>
          <rPr>
            <b/>
            <sz val="9"/>
            <rFont val="Tahoma"/>
            <charset val="134"/>
          </rPr>
          <t>Chiều dài phương chịu tải vuông góc với dầm.</t>
        </r>
      </text>
    </comment>
    <comment ref="K6" authorId="0" shapeId="0">
      <text>
        <r>
          <rPr>
            <b/>
            <sz val="9"/>
            <rFont val="Tahoma"/>
            <charset val="134"/>
          </rPr>
          <t>Thép chạy suốt dầm</t>
        </r>
      </text>
    </comment>
    <comment ref="AB6" authorId="0" shapeId="0">
      <text>
        <r>
          <rPr>
            <b/>
            <sz val="9"/>
            <rFont val="Tahoma"/>
            <charset val="134"/>
          </rPr>
          <t>Thép chạy suốt dầm</t>
        </r>
      </text>
    </comment>
  </commentList>
</comments>
</file>

<file path=xl/sharedStrings.xml><?xml version="1.0" encoding="utf-8"?>
<sst xmlns="http://schemas.openxmlformats.org/spreadsheetml/2006/main" count="883" uniqueCount="356">
  <si>
    <t>Bê tông theo TCVN</t>
  </si>
  <si>
    <t>Thép theo TCVN</t>
  </si>
  <si>
    <t>BÊ TÔNG</t>
  </si>
  <si>
    <r>
      <rPr>
        <b/>
        <sz val="10"/>
        <rFont val="Arial"/>
        <charset val="134"/>
      </rPr>
      <t>Vị trí thép đai tăng cường tương ứng số lượng thép [</t>
    </r>
    <r>
      <rPr>
        <b/>
        <sz val="10"/>
        <color rgb="FFFF0000"/>
        <rFont val="Arial"/>
        <charset val="134"/>
      </rPr>
      <t>chạy suốt</t>
    </r>
    <r>
      <rPr>
        <b/>
        <sz val="10"/>
        <rFont val="Arial"/>
        <charset val="134"/>
      </rPr>
      <t xml:space="preserve"> Max (trên và dưới)] [Dùng trong trường hợp có gia cường lớp thứ nhất]</t>
    </r>
  </si>
  <si>
    <r>
      <rPr>
        <b/>
        <sz val="10"/>
        <rFont val="Arial"/>
        <charset val="134"/>
      </rPr>
      <t>Vị trí thép đai tăng cường tương ứng số lượng thép: [</t>
    </r>
    <r>
      <rPr>
        <b/>
        <sz val="10"/>
        <color rgb="FFFF0000"/>
        <rFont val="Arial"/>
        <charset val="134"/>
      </rPr>
      <t>chạy suốt + tăng cường lớp thứ nhất</t>
    </r>
    <r>
      <rPr>
        <b/>
        <sz val="10"/>
        <rFont val="Arial"/>
        <charset val="134"/>
      </rPr>
      <t xml:space="preserve"> Max (trên và dưới)] [ dùng trong trường hợp không gia cường thép lớp 1)</t>
    </r>
  </si>
  <si>
    <t>Gợi ý số thanh thép có thể có ở lớp trên và lớp dưới</t>
  </si>
  <si>
    <t>B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</si>
  <si>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bn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</si>
  <si>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</si>
  <si>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bt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</si>
  <si>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b</t>
    </r>
  </si>
  <si>
    <r>
      <rPr>
        <b/>
        <sz val="10"/>
        <color theme="1"/>
        <rFont val="Symbol"/>
        <charset val="2"/>
      </rPr>
      <t>g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</si>
  <si>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Times New Roman"/>
        <charset val="134"/>
      </rPr>
      <t>σ</t>
    </r>
    <r>
      <rPr>
        <b/>
        <vertAlign val="subscript"/>
        <sz val="10"/>
        <color theme="1"/>
        <rFont val="Arial"/>
        <charset val="134"/>
      </rPr>
      <t>scu</t>
    </r>
  </si>
  <si>
    <t>a</t>
  </si>
  <si>
    <t>w</t>
  </si>
  <si>
    <r>
      <rPr>
        <b/>
        <sz val="10"/>
        <rFont val="Arial"/>
        <charset val="134"/>
      </rPr>
      <t>f</t>
    </r>
    <r>
      <rPr>
        <b/>
        <vertAlign val="subscript"/>
        <sz val="10"/>
        <rFont val="Arial"/>
        <charset val="134"/>
      </rPr>
      <t>cu</t>
    </r>
  </si>
  <si>
    <t>Rbt,ser</t>
  </si>
  <si>
    <t>Loại thép</t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</si>
  <si>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</si>
  <si>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</si>
  <si>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sc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</si>
  <si>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sw</t>
    </r>
  </si>
  <si>
    <r>
      <rPr>
        <b/>
        <sz val="10"/>
        <color theme="1"/>
        <rFont val="Symbol"/>
        <charset val="2"/>
      </rPr>
      <t>g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</si>
  <si>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s</t>
    </r>
  </si>
  <si>
    <r>
      <rPr>
        <b/>
        <sz val="10"/>
        <rFont val="Arial"/>
        <charset val="134"/>
      </rPr>
      <t>σ</t>
    </r>
    <r>
      <rPr>
        <b/>
        <vertAlign val="subscript"/>
        <sz val="10"/>
        <rFont val="Arial"/>
        <charset val="134"/>
      </rPr>
      <t>scu</t>
    </r>
  </si>
  <si>
    <t>SL thép</t>
  </si>
  <si>
    <t>Tiết diện</t>
  </si>
  <si>
    <t>Cấp độ bền</t>
  </si>
  <si>
    <t>Mpa</t>
  </si>
  <si>
    <t>MPa</t>
  </si>
  <si>
    <t>-</t>
  </si>
  <si>
    <t>(B)</t>
  </si>
  <si>
    <t>B15/M200</t>
  </si>
  <si>
    <t>CI</t>
  </si>
  <si>
    <t>Đai □</t>
  </si>
  <si>
    <t>L1</t>
  </si>
  <si>
    <t>B20/M250</t>
  </si>
  <si>
    <t>CII</t>
  </si>
  <si>
    <r>
      <rPr>
        <b/>
        <sz val="10"/>
        <rFont val="Arial"/>
        <charset val="134"/>
      </rPr>
      <t>g</t>
    </r>
    <r>
      <rPr>
        <b/>
        <vertAlign val="subscript"/>
        <sz val="10"/>
        <rFont val="Arial"/>
        <charset val="134"/>
      </rPr>
      <t>b</t>
    </r>
  </si>
  <si>
    <t>Đai C</t>
  </si>
  <si>
    <t>1</t>
  </si>
  <si>
    <t>L2</t>
  </si>
  <si>
    <t>B22.5/M300</t>
  </si>
  <si>
    <t>CIII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</si>
  <si>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b</t>
    </r>
  </si>
  <si>
    <t>B25/M350</t>
  </si>
  <si>
    <t>AI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</si>
  <si>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bt</t>
    </r>
  </si>
  <si>
    <t>B30/M400</t>
  </si>
  <si>
    <t>AII</t>
  </si>
  <si>
    <t>B35/M450</t>
  </si>
  <si>
    <t>AIII</t>
  </si>
  <si>
    <t>B40/M500</t>
  </si>
  <si>
    <t>CB240 -T</t>
  </si>
  <si>
    <t>2-3</t>
  </si>
  <si>
    <t>B45/M600</t>
  </si>
  <si>
    <t>CB300 - T</t>
  </si>
  <si>
    <t>THÉP</t>
  </si>
  <si>
    <t>CB300 - V</t>
  </si>
  <si>
    <r>
      <rPr>
        <b/>
        <sz val="10"/>
        <rFont val="Arial"/>
        <charset val="134"/>
      </rPr>
      <t>g</t>
    </r>
    <r>
      <rPr>
        <b/>
        <vertAlign val="subscript"/>
        <sz val="10"/>
        <rFont val="Arial"/>
        <charset val="134"/>
      </rPr>
      <t>s</t>
    </r>
  </si>
  <si>
    <t>2-4</t>
  </si>
  <si>
    <t>CB400 - V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</si>
  <si>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s</t>
    </r>
  </si>
  <si>
    <t>3</t>
  </si>
  <si>
    <t>CB500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</si>
  <si>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sc</t>
    </r>
  </si>
  <si>
    <t>2-5</t>
  </si>
  <si>
    <t>3-4</t>
  </si>
  <si>
    <t>SD295</t>
  </si>
  <si>
    <r>
      <rPr>
        <b/>
        <sz val="10"/>
        <rFont val="Arial"/>
        <charset val="134"/>
      </rPr>
      <t>x</t>
    </r>
    <r>
      <rPr>
        <b/>
        <vertAlign val="subscript"/>
        <sz val="10"/>
        <rFont val="Arial"/>
        <charset val="134"/>
      </rPr>
      <t>R</t>
    </r>
  </si>
  <si>
    <t>SD390</t>
  </si>
  <si>
    <r>
      <rPr>
        <b/>
        <sz val="10"/>
        <rFont val="Arial"/>
        <charset val="134"/>
      </rPr>
      <t>m</t>
    </r>
    <r>
      <rPr>
        <b/>
        <vertAlign val="subscript"/>
        <sz val="10"/>
        <rFont val="Arial"/>
        <charset val="134"/>
      </rPr>
      <t>max</t>
    </r>
  </si>
  <si>
    <t>2-6</t>
  </si>
  <si>
    <t>3-5</t>
  </si>
  <si>
    <t>SD490</t>
  </si>
  <si>
    <t>Es</t>
  </si>
  <si>
    <t>Rbn</t>
  </si>
  <si>
    <t>2-7</t>
  </si>
  <si>
    <t>3-6</t>
  </si>
  <si>
    <t>4-5</t>
  </si>
  <si>
    <t>2-8</t>
  </si>
  <si>
    <t>3-7</t>
  </si>
  <si>
    <t>4-6</t>
  </si>
  <si>
    <t>5</t>
  </si>
  <si>
    <t>2-9</t>
  </si>
  <si>
    <t>3-8</t>
  </si>
  <si>
    <t>4-7</t>
  </si>
  <si>
    <t>5-6</t>
  </si>
  <si>
    <t>2-10</t>
  </si>
  <si>
    <t>3-9</t>
  </si>
  <si>
    <t>4-8</t>
  </si>
  <si>
    <t>5-7</t>
  </si>
  <si>
    <t>7-9</t>
  </si>
  <si>
    <t>2-11</t>
  </si>
  <si>
    <t>3-10</t>
  </si>
  <si>
    <t>4-9</t>
  </si>
  <si>
    <t>5-8</t>
  </si>
  <si>
    <t>6-7</t>
  </si>
  <si>
    <t>8-10</t>
  </si>
  <si>
    <t>2-12</t>
  </si>
  <si>
    <t>3-11</t>
  </si>
  <si>
    <t>4-10</t>
  </si>
  <si>
    <t>5-9</t>
  </si>
  <si>
    <t>6-8</t>
  </si>
  <si>
    <t>9-11</t>
  </si>
  <si>
    <t>7</t>
  </si>
  <si>
    <t>2-13</t>
  </si>
  <si>
    <t>3-12</t>
  </si>
  <si>
    <t>4-11</t>
  </si>
  <si>
    <t>5-10</t>
  </si>
  <si>
    <t>6-9</t>
  </si>
  <si>
    <t>7-8</t>
  </si>
  <si>
    <t>10-12</t>
  </si>
  <si>
    <t>2-14</t>
  </si>
  <si>
    <t>3-13</t>
  </si>
  <si>
    <t>4-12</t>
  </si>
  <si>
    <t>5-11</t>
  </si>
  <si>
    <t>6-10</t>
  </si>
  <si>
    <t>11-13</t>
  </si>
  <si>
    <t>2-15</t>
  </si>
  <si>
    <t>3-14</t>
  </si>
  <si>
    <t>4-13</t>
  </si>
  <si>
    <t>5-12</t>
  </si>
  <si>
    <t>6-11</t>
  </si>
  <si>
    <t>7-10</t>
  </si>
  <si>
    <t>8-9</t>
  </si>
  <si>
    <t>12-14</t>
  </si>
  <si>
    <t>2-16</t>
  </si>
  <si>
    <t>3-15</t>
  </si>
  <si>
    <t>4-14</t>
  </si>
  <si>
    <t>5-13</t>
  </si>
  <si>
    <t>6-12</t>
  </si>
  <si>
    <t>7-11</t>
  </si>
  <si>
    <t>13-15</t>
  </si>
  <si>
    <t>9</t>
  </si>
  <si>
    <t>2-17</t>
  </si>
  <si>
    <t>3-16</t>
  </si>
  <si>
    <t>4-15</t>
  </si>
  <si>
    <t>5-14</t>
  </si>
  <si>
    <t>6-13</t>
  </si>
  <si>
    <t>7-12</t>
  </si>
  <si>
    <t>8-11</t>
  </si>
  <si>
    <t>9-10</t>
  </si>
  <si>
    <t>14-16</t>
  </si>
  <si>
    <t>2-18</t>
  </si>
  <si>
    <t>3-17</t>
  </si>
  <si>
    <t>4-16</t>
  </si>
  <si>
    <t>5-15</t>
  </si>
  <si>
    <t>6-14</t>
  </si>
  <si>
    <t>7-13</t>
  </si>
  <si>
    <t>8-12</t>
  </si>
  <si>
    <t>15-17</t>
  </si>
  <si>
    <t>2-19</t>
  </si>
  <si>
    <t>3-18</t>
  </si>
  <si>
    <t>4-17</t>
  </si>
  <si>
    <t>5-16</t>
  </si>
  <si>
    <t>6-15</t>
  </si>
  <si>
    <t>7-14</t>
  </si>
  <si>
    <t>8-13</t>
  </si>
  <si>
    <t>9-12</t>
  </si>
  <si>
    <t>10-11</t>
  </si>
  <si>
    <t>16-18</t>
  </si>
  <si>
    <t>BTBV đến tim thép đai</t>
  </si>
  <si>
    <t>mm</t>
  </si>
  <si>
    <t>Móc đai</t>
  </si>
  <si>
    <t>d</t>
  </si>
  <si>
    <t>Cộng neo dưới bổ trụ</t>
  </si>
  <si>
    <t>Cộng neo trên bổ trụ</t>
  </si>
  <si>
    <t>Số bổ trụ 1 hàng</t>
  </si>
  <si>
    <t>Đường kính thép dọc</t>
  </si>
  <si>
    <t>Bố trí 1 thanh thép khi cạnh X hoặc Y bổ trụ nhỏ hơn:</t>
  </si>
  <si>
    <t>Đường kính thép đai</t>
  </si>
  <si>
    <t>6a150</t>
  </si>
  <si>
    <t>KT chiều Rộng lanh tô</t>
  </si>
  <si>
    <t>Nhịp</t>
  </si>
  <si>
    <t>Chiều cao</t>
  </si>
  <si>
    <t>Thép bố trí</t>
  </si>
  <si>
    <t>Dày/Dài
ô Văng</t>
  </si>
  <si>
    <t>Từ (&gt;=)</t>
  </si>
  <si>
    <t>Đến (&lt;)</t>
  </si>
  <si>
    <t>Thép Đai</t>
  </si>
  <si>
    <t>Thép chủ Trên</t>
  </si>
  <si>
    <t>Thép chủ Dưới</t>
  </si>
  <si>
    <t>Cộng gối kê Trái LT</t>
  </si>
  <si>
    <t>1T12</t>
  </si>
  <si>
    <t>80/500</t>
  </si>
  <si>
    <t>Cộng gối kê Phải LT</t>
  </si>
  <si>
    <t>1T16</t>
  </si>
  <si>
    <t>Số Lanh tô 1 hàng</t>
  </si>
  <si>
    <t>Lanh tô</t>
  </si>
  <si>
    <t>BTBV 2 đầu Thép chủ</t>
  </si>
  <si>
    <t>2T12</t>
  </si>
  <si>
    <t>Bẻ ke trái trên</t>
  </si>
  <si>
    <t>2T14</t>
  </si>
  <si>
    <t>Bẻ Ke phải trên</t>
  </si>
  <si>
    <t>2T16</t>
  </si>
  <si>
    <t>Bẻ ke trái dưới</t>
  </si>
  <si>
    <t>2T18</t>
  </si>
  <si>
    <t>Bẻ Ke phải dưới</t>
  </si>
  <si>
    <t xml:space="preserve">AAAAAAAAAAA </t>
  </si>
  <si>
    <t>Https://www.dcejsc.com/</t>
  </si>
  <si>
    <t>STT</t>
  </si>
  <si>
    <t>X</t>
  </si>
  <si>
    <t>Y</t>
  </si>
  <si>
    <t>Alpha</t>
  </si>
  <si>
    <t>GD dưới X</t>
  </si>
  <si>
    <t>BaoMinX</t>
  </si>
  <si>
    <t>Https://www.youtube.com/channel/UCsI6J-lc4bszNC9fgsmQ6gQ/playlists</t>
  </si>
  <si>
    <t>GD Dưới Y</t>
  </si>
  <si>
    <t>BaoMaxX</t>
  </si>
  <si>
    <t>Xiên dưới</t>
  </si>
  <si>
    <t>GD Trên X</t>
  </si>
  <si>
    <t>BaoMinY</t>
  </si>
  <si>
    <t>A</t>
  </si>
  <si>
    <t>GD trên Y</t>
  </si>
  <si>
    <t>BaoMaxY</t>
  </si>
  <si>
    <t>Tọa độ điểm dưới</t>
  </si>
  <si>
    <t>điểm</t>
  </si>
  <si>
    <t>GD</t>
  </si>
  <si>
    <t>Tọa độ điểm trên</t>
  </si>
  <si>
    <t>Vẽ thép Chiếu nghỉ trên</t>
  </si>
  <si>
    <t>Yes</t>
  </si>
  <si>
    <t>Vẽ thép Chiếu nghỉ dưới</t>
  </si>
  <si>
    <t>Bậc</t>
  </si>
  <si>
    <t>TK Chấm thép CN trên:</t>
  </si>
  <si>
    <t>TK Chấm thép CN dưới:</t>
  </si>
  <si>
    <t xml:space="preserve">Max = </t>
  </si>
  <si>
    <t>Lớp bảo vệ</t>
  </si>
  <si>
    <t>Bề rộng bản thang</t>
  </si>
  <si>
    <t>+0.050</t>
  </si>
  <si>
    <t>Vị trí thép chiếu nghỉ</t>
  </si>
  <si>
    <t>Trong</t>
  </si>
  <si>
    <t>Bề rộng bản chiếu nghỉ</t>
  </si>
  <si>
    <t>Thép chiếu nghỉ dưới</t>
  </si>
  <si>
    <t>12a150</t>
  </si>
  <si>
    <t>THANG T1-T2</t>
  </si>
  <si>
    <t>Thép chiếu nghỉ trên</t>
  </si>
  <si>
    <t>MẶT CẮT 1-1</t>
  </si>
  <si>
    <t>Thép dọc lớp dưới</t>
  </si>
  <si>
    <t>Thép dọc lớp trên</t>
  </si>
  <si>
    <t>Thép cấu tạo</t>
  </si>
  <si>
    <t>12a100</t>
  </si>
  <si>
    <t>Loại bố trí thép thang:</t>
  </si>
  <si>
    <t>2 lớp</t>
  </si>
  <si>
    <t>Neo Thép cầu thang (d)</t>
  </si>
  <si>
    <t>Số hiệu thép bắt đầu:</t>
  </si>
  <si>
    <t>Số cấu kiện:</t>
  </si>
  <si>
    <t>Kiểu vẽ Thép</t>
  </si>
  <si>
    <t>Tim - Tim</t>
  </si>
  <si>
    <t>KT dầm</t>
  </si>
  <si>
    <t>Tên dầm</t>
  </si>
  <si>
    <t>Chiều rộng Cột trái/phải</t>
  </si>
  <si>
    <t>THÉP GỐI</t>
  </si>
  <si>
    <t>THÉP NHỊP</t>
  </si>
  <si>
    <t>Đai</t>
  </si>
  <si>
    <t>T.Giá</t>
  </si>
  <si>
    <t>H sàn</t>
  </si>
  <si>
    <t>L dầm
thông thủy</t>
  </si>
  <si>
    <t>Vẽ tách Gối nhịp</t>
  </si>
  <si>
    <t>Cao độ</t>
  </si>
  <si>
    <t>Đai Xoắn</t>
  </si>
  <si>
    <t>Số lượng CK</t>
  </si>
  <si>
    <t>Chế độ vẽ</t>
  </si>
  <si>
    <t>THÔNG SỐ</t>
  </si>
  <si>
    <t>Rộng</t>
  </si>
  <si>
    <t>Cao</t>
  </si>
  <si>
    <t>CS</t>
  </si>
  <si>
    <t>Tăng cường</t>
  </si>
  <si>
    <t>n</t>
  </si>
  <si>
    <t>Kc 2 hàng:</t>
  </si>
  <si>
    <t>Số dầm tối đa sắp xếp trên 1 hàng</t>
  </si>
  <si>
    <t>n1</t>
  </si>
  <si>
    <t>d1</t>
  </si>
  <si>
    <t>n2</t>
  </si>
  <si>
    <t>d2</t>
  </si>
  <si>
    <t>n3</t>
  </si>
  <si>
    <t>d3</t>
  </si>
  <si>
    <t>Cao khung</t>
  </si>
  <si>
    <t>Rộng khung</t>
  </si>
  <si>
    <t>B1-1</t>
  </si>
  <si>
    <t>100/200</t>
  </si>
  <si>
    <t>200</t>
  </si>
  <si>
    <t>No</t>
  </si>
  <si>
    <t>-0.050</t>
  </si>
  <si>
    <t>B1-2</t>
  </si>
  <si>
    <t>120</t>
  </si>
  <si>
    <t>B1-3</t>
  </si>
  <si>
    <t>B2-1</t>
  </si>
  <si>
    <t>100/150</t>
  </si>
  <si>
    <t>130</t>
  </si>
  <si>
    <t>B2-2</t>
  </si>
  <si>
    <t>B2-3</t>
  </si>
  <si>
    <t>B2-4</t>
  </si>
  <si>
    <t>B3-1</t>
  </si>
  <si>
    <t>B3-2</t>
  </si>
  <si>
    <t>B3-3</t>
  </si>
  <si>
    <t>B3-4</t>
  </si>
  <si>
    <t>B4-1</t>
  </si>
  <si>
    <t>B4-2</t>
  </si>
  <si>
    <t>B4-3</t>
  </si>
  <si>
    <t>B4-4</t>
  </si>
  <si>
    <t>B5-1</t>
  </si>
  <si>
    <t>B5-2</t>
  </si>
  <si>
    <t>B5-3</t>
  </si>
  <si>
    <t>B5-4</t>
  </si>
  <si>
    <t>B5-5</t>
  </si>
  <si>
    <t>B5-6</t>
  </si>
  <si>
    <t>B5-7</t>
  </si>
  <si>
    <t>B6</t>
  </si>
  <si>
    <t>B7-1</t>
  </si>
  <si>
    <t>B7-2</t>
  </si>
  <si>
    <t>B7-3</t>
  </si>
  <si>
    <t>B7-4</t>
  </si>
  <si>
    <t>B7-5</t>
  </si>
  <si>
    <t>B7-6</t>
  </si>
  <si>
    <t>B8-1</t>
  </si>
  <si>
    <t>B8-2</t>
  </si>
  <si>
    <t>B8-3</t>
  </si>
  <si>
    <t>B8-4</t>
  </si>
  <si>
    <t>B9-1</t>
  </si>
  <si>
    <t>B9-2</t>
  </si>
  <si>
    <t>B10-1</t>
  </si>
  <si>
    <t>B10-2</t>
  </si>
  <si>
    <t>B10-3</t>
  </si>
  <si>
    <t>B10-4</t>
  </si>
  <si>
    <t>B11-1</t>
  </si>
  <si>
    <t>B11-2</t>
  </si>
  <si>
    <t>B11-3</t>
  </si>
  <si>
    <t>B11-4</t>
  </si>
  <si>
    <t>B11-5</t>
  </si>
  <si>
    <t>B12-1</t>
  </si>
  <si>
    <t>B12-2</t>
  </si>
  <si>
    <t>B12-3</t>
  </si>
  <si>
    <t>B12-4</t>
  </si>
  <si>
    <t>B13-1</t>
  </si>
  <si>
    <t>B13-2</t>
  </si>
  <si>
    <t>B14-1</t>
  </si>
  <si>
    <t>B14-2</t>
  </si>
  <si>
    <t>B14-3</t>
  </si>
  <si>
    <t>B14-4</t>
  </si>
  <si>
    <t>B15</t>
  </si>
  <si>
    <t>B16-1</t>
  </si>
  <si>
    <t>B16-2</t>
  </si>
  <si>
    <t>B16-3</t>
  </si>
  <si>
    <t>B17-1</t>
  </si>
  <si>
    <t>B17-2</t>
  </si>
  <si>
    <t>B17-3</t>
  </si>
  <si>
    <t>B18-1</t>
  </si>
  <si>
    <t>B18-2</t>
  </si>
  <si>
    <t>B18-3</t>
  </si>
  <si>
    <t>B19-1</t>
  </si>
  <si>
    <t>B19-2</t>
  </si>
  <si>
    <t>B19-3</t>
  </si>
  <si>
    <t>B20-1</t>
  </si>
  <si>
    <t>B20-2</t>
  </si>
  <si>
    <t>B20-3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</si>
</sst>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8" formatCode="#,##0.0000000"/>
    <numFmt numFmtId="169" formatCode="0.0"/>
    <numFmt numFmtId="170" formatCode="0.000"/>
  </numFmts>
  <fonts count="31">
    <font>
      <sz val="11"/>
      <color theme="1"/>
      <name val="Calibri"/>
      <charset val="134"/>
      <scheme val="minor"/>
    </font>
    <font>
      <sz val="11"/>
      <color rgb="FF0000FF"/>
      <name val="Times New Roman"/>
      <charset val="134"/>
    </font>
    <font>
      <sz val="11"/>
      <name val="Times New Roman"/>
      <charset val="134"/>
    </font>
    <font>
      <sz val="11"/>
      <color theme="1"/>
      <name val="Times New Roman"/>
      <charset val="134"/>
    </font>
    <font>
      <b/>
      <sz val="11"/>
      <color rgb="FF0000FF"/>
      <name val="Times New Roman"/>
      <charset val="134"/>
    </font>
    <font>
      <b/>
      <sz val="11"/>
      <name val="Times New Roman"/>
      <charset val="134"/>
    </font>
    <font>
      <b/>
      <sz val="12"/>
      <name val="Times New Roman"/>
      <charset val="134"/>
    </font>
    <font>
      <b/>
      <sz val="11"/>
      <color rgb="FFFF0000"/>
      <name val="Times New Roman"/>
      <charset val="134"/>
    </font>
    <font>
      <sz val="11"/>
      <color theme="0" tint="-0.499984740745262"/>
      <name val="Calibri"/>
      <charset val="134"/>
      <scheme val="minor"/>
    </font>
    <font>
      <sz val="11"/>
      <name val="Calibri"/>
      <charset val="134"/>
      <scheme val="minor"/>
    </font>
    <font>
      <sz val="11"/>
      <color theme="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rgb="FF0000FF"/>
      <name val="Calibri"/>
      <charset val="134"/>
      <scheme val="minor"/>
    </font>
    <font>
      <sz val="12"/>
      <color theme="1"/>
      <name val="Times New Roman"/>
      <charset val="134"/>
    </font>
    <font>
      <sz val="10"/>
      <name val="Arial"/>
      <charset val="134"/>
    </font>
    <font>
      <b/>
      <sz val="10"/>
      <name val="Arial"/>
      <charset val="134"/>
    </font>
    <font>
      <b/>
      <sz val="12"/>
      <name val="Arial"/>
      <charset val="134"/>
    </font>
    <font>
      <b/>
      <sz val="10"/>
      <color theme="1"/>
      <name val="Arial"/>
      <charset val="134"/>
    </font>
    <font>
      <b/>
      <sz val="10"/>
      <color theme="1"/>
      <name val="Symbol"/>
      <charset val="2"/>
    </font>
    <font>
      <b/>
      <sz val="9"/>
      <name val="Arial"/>
      <charset val="134"/>
    </font>
    <font>
      <b/>
      <sz val="10"/>
      <color rgb="FF0000FF"/>
      <name val="Arial"/>
      <charset val="134"/>
    </font>
    <font>
      <sz val="10"/>
      <color theme="1"/>
      <name val="Times New Roman"/>
      <charset val="134"/>
    </font>
    <font>
      <sz val="10"/>
      <color theme="1"/>
      <name val="Arial"/>
      <charset val="134"/>
    </font>
    <font>
      <sz val="11"/>
      <color indexed="8"/>
      <name val="Calibri"/>
      <charset val="134"/>
    </font>
    <font>
      <b/>
      <vertAlign val="subscript"/>
      <sz val="10"/>
      <color theme="1"/>
      <name val="Arial"/>
      <charset val="134"/>
    </font>
    <font>
      <b/>
      <vertAlign val="subscript"/>
      <sz val="10"/>
      <name val="Arial"/>
      <charset val="134"/>
    </font>
    <font>
      <b/>
      <sz val="10"/>
      <color rgb="FFFF0000"/>
      <name val="Arial"/>
      <charset val="134"/>
    </font>
    <font>
      <b/>
      <sz val="10"/>
      <color theme="1"/>
      <name val="Times New Roman"/>
      <charset val="134"/>
    </font>
    <font>
      <b/>
      <sz val="9"/>
      <name val="Tahoma"/>
      <charset val="134"/>
    </font>
    <font>
      <sz val="9"/>
      <name val="Tahoma"/>
      <charset val="134"/>
    </font>
    <font>
      <sz val="9"/>
      <name val="Arial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6">
    <xf numFmtId="0" fontId="0" fillId="0" borderId="0"/>
    <xf numFmtId="0" fontId="11" fillId="0" borderId="0" applyNumberFormat="0" applyFill="0" applyBorder="0" applyAlignment="0" applyProtection="0"/>
    <xf numFmtId="0" fontId="2" fillId="0" borderId="0"/>
    <xf numFmtId="0" fontId="2" fillId="0" borderId="0"/>
    <xf numFmtId="0" fontId="23" fillId="0" borderId="0"/>
    <xf numFmtId="0" fontId="14" fillId="0" borderId="0"/>
  </cellStyleXfs>
  <cellXfs count="22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4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4" borderId="6" xfId="0" applyFont="1" applyFill="1" applyBorder="1" applyAlignment="1">
      <alignment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horizontal="center" vertical="center" wrapText="1"/>
    </xf>
    <xf numFmtId="2" fontId="5" fillId="5" borderId="3" xfId="0" applyNumberFormat="1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horizontal="center" vertical="center"/>
    </xf>
    <xf numFmtId="3" fontId="6" fillId="5" borderId="1" xfId="0" applyNumberFormat="1" applyFont="1" applyFill="1" applyBorder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 wrapText="1"/>
    </xf>
    <xf numFmtId="2" fontId="5" fillId="5" borderId="1" xfId="0" applyNumberFormat="1" applyFont="1" applyFill="1" applyBorder="1" applyAlignment="1">
      <alignment vertical="center" wrapText="1"/>
    </xf>
    <xf numFmtId="2" fontId="5" fillId="5" borderId="3" xfId="0" applyNumberFormat="1" applyFont="1" applyFill="1" applyBorder="1" applyAlignment="1">
      <alignment horizontal="center" vertical="center" wrapText="1"/>
    </xf>
    <xf numFmtId="2" fontId="5" fillId="5" borderId="1" xfId="0" applyNumberFormat="1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7" fillId="6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3" fontId="6" fillId="5" borderId="2" xfId="0" applyNumberFormat="1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8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9" fillId="6" borderId="0" xfId="0" applyFont="1" applyFill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center" vertical="center"/>
    </xf>
    <xf numFmtId="0" fontId="8" fillId="2" borderId="0" xfId="0" applyNumberFormat="1" applyFont="1" applyFill="1" applyBorder="1" applyAlignment="1" applyProtection="1">
      <alignment horizontal="center" vertical="center"/>
    </xf>
    <xf numFmtId="1" fontId="8" fillId="2" borderId="0" xfId="0" applyNumberFormat="1" applyFont="1" applyFill="1" applyBorder="1" applyAlignment="1" applyProtection="1">
      <alignment horizontal="center" vertical="center"/>
    </xf>
    <xf numFmtId="3" fontId="8" fillId="2" borderId="0" xfId="0" applyNumberFormat="1" applyFont="1" applyFill="1" applyBorder="1" applyAlignment="1" applyProtection="1">
      <alignment horizontal="center" vertic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9" fillId="2" borderId="0" xfId="0" applyFont="1" applyFill="1" applyProtection="1">
      <protection locked="0"/>
    </xf>
    <xf numFmtId="0" fontId="8" fillId="2" borderId="0" xfId="0" applyFont="1" applyFill="1" applyProtection="1">
      <protection locked="0"/>
    </xf>
    <xf numFmtId="0" fontId="9" fillId="2" borderId="0" xfId="0" applyFont="1" applyFill="1" applyBorder="1" applyAlignment="1" applyProtection="1">
      <alignment horizontal="center" vertical="center"/>
    </xf>
    <xf numFmtId="0" fontId="9" fillId="2" borderId="0" xfId="0" applyNumberFormat="1" applyFont="1" applyFill="1" applyBorder="1" applyAlignment="1" applyProtection="1">
      <alignment horizontal="center" vertical="center"/>
    </xf>
    <xf numFmtId="1" fontId="9" fillId="2" borderId="0" xfId="0" applyNumberFormat="1" applyFont="1" applyFill="1" applyBorder="1" applyAlignment="1" applyProtection="1">
      <alignment horizontal="center" vertical="center"/>
    </xf>
    <xf numFmtId="168" fontId="9" fillId="2" borderId="0" xfId="0" applyNumberFormat="1" applyFont="1" applyFill="1" applyBorder="1" applyAlignment="1" applyProtection="1">
      <alignment horizontal="center" vertical="center"/>
    </xf>
    <xf numFmtId="3" fontId="9" fillId="2" borderId="0" xfId="0" applyNumberFormat="1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/>
    </xf>
    <xf numFmtId="3" fontId="9" fillId="2" borderId="0" xfId="0" applyNumberFormat="1" applyFont="1" applyFill="1" applyBorder="1" applyAlignment="1" applyProtection="1">
      <alignment horizontal="center"/>
    </xf>
    <xf numFmtId="0" fontId="0" fillId="6" borderId="0" xfId="0" applyFill="1" applyBorder="1" applyAlignment="1" applyProtection="1">
      <protection locked="0"/>
    </xf>
    <xf numFmtId="0" fontId="8" fillId="6" borderId="0" xfId="0" applyFont="1" applyFill="1" applyAlignment="1" applyProtection="1">
      <protection locked="0"/>
    </xf>
    <xf numFmtId="0" fontId="0" fillId="6" borderId="0" xfId="0" applyFill="1" applyBorder="1" applyAlignment="1" applyProtection="1">
      <alignment vertical="center"/>
      <protection locked="0"/>
    </xf>
    <xf numFmtId="1" fontId="9" fillId="2" borderId="0" xfId="0" applyNumberFormat="1" applyFont="1" applyFill="1" applyBorder="1" applyAlignment="1" applyProtection="1">
      <alignment horizontal="center"/>
    </xf>
    <xf numFmtId="0" fontId="0" fillId="6" borderId="0" xfId="0" applyFill="1" applyBorder="1" applyAlignment="1" applyProtection="1"/>
    <xf numFmtId="49" fontId="0" fillId="6" borderId="0" xfId="0" applyNumberFormat="1" applyFill="1" applyBorder="1" applyAlignment="1" applyProtection="1">
      <protection locked="0"/>
    </xf>
    <xf numFmtId="0" fontId="13" fillId="0" borderId="1" xfId="0" applyFont="1" applyBorder="1" applyAlignment="1">
      <alignment horizontal="center"/>
    </xf>
    <xf numFmtId="0" fontId="13" fillId="0" borderId="1" xfId="0" applyFont="1" applyBorder="1"/>
    <xf numFmtId="3" fontId="1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3" fillId="5" borderId="1" xfId="0" applyFont="1" applyFill="1" applyBorder="1" applyAlignment="1">
      <alignment horizontal="center"/>
    </xf>
    <xf numFmtId="3" fontId="13" fillId="5" borderId="1" xfId="0" applyNumberFormat="1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3" fontId="13" fillId="2" borderId="1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5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2" fontId="0" fillId="0" borderId="0" xfId="0" applyNumberFormat="1"/>
    <xf numFmtId="0" fontId="0" fillId="0" borderId="0" xfId="0" applyFill="1"/>
    <xf numFmtId="0" fontId="14" fillId="6" borderId="1" xfId="2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15" fillId="8" borderId="1" xfId="2" applyFont="1" applyFill="1" applyBorder="1" applyAlignment="1"/>
    <xf numFmtId="0" fontId="15" fillId="8" borderId="1" xfId="2" applyFont="1" applyFill="1" applyBorder="1" applyAlignment="1" applyProtection="1">
      <alignment horizontal="center" vertical="center"/>
      <protection locked="0"/>
    </xf>
    <xf numFmtId="0" fontId="15" fillId="0" borderId="1" xfId="2" applyFont="1" applyFill="1" applyBorder="1" applyAlignment="1" applyProtection="1">
      <alignment vertical="center" wrapText="1"/>
      <protection locked="0"/>
    </xf>
    <xf numFmtId="0" fontId="15" fillId="8" borderId="1" xfId="4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vertical="center"/>
    </xf>
    <xf numFmtId="2" fontId="17" fillId="8" borderId="1" xfId="0" applyNumberFormat="1" applyFont="1" applyFill="1" applyBorder="1" applyAlignment="1">
      <alignment horizontal="center" vertical="center"/>
    </xf>
    <xf numFmtId="0" fontId="17" fillId="8" borderId="1" xfId="5" applyFont="1" applyFill="1" applyBorder="1" applyAlignment="1" applyProtection="1">
      <alignment vertical="center"/>
    </xf>
    <xf numFmtId="2" fontId="18" fillId="8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0" fontId="15" fillId="8" borderId="1" xfId="2" applyFont="1" applyFill="1" applyBorder="1" applyAlignment="1">
      <alignment horizontal="center"/>
    </xf>
    <xf numFmtId="1" fontId="15" fillId="9" borderId="1" xfId="5" applyNumberFormat="1" applyFont="1" applyFill="1" applyBorder="1" applyAlignment="1" applyProtection="1">
      <alignment horizontal="center" vertical="center"/>
    </xf>
    <xf numFmtId="0" fontId="19" fillId="8" borderId="1" xfId="2" applyFont="1" applyFill="1" applyBorder="1" applyAlignment="1">
      <alignment horizontal="center" vertical="center"/>
    </xf>
    <xf numFmtId="169" fontId="15" fillId="8" borderId="1" xfId="4" applyNumberFormat="1" applyFont="1" applyFill="1" applyBorder="1" applyAlignment="1">
      <alignment horizontal="center" vertical="center"/>
    </xf>
    <xf numFmtId="2" fontId="15" fillId="8" borderId="1" xfId="4" applyNumberFormat="1" applyFont="1" applyFill="1" applyBorder="1" applyAlignment="1">
      <alignment horizontal="center" vertical="center"/>
    </xf>
    <xf numFmtId="1" fontId="15" fillId="8" borderId="1" xfId="4" applyNumberFormat="1" applyFont="1" applyFill="1" applyBorder="1" applyAlignment="1">
      <alignment horizontal="center" vertical="center"/>
    </xf>
    <xf numFmtId="0" fontId="15" fillId="8" borderId="1" xfId="4" applyFont="1" applyFill="1" applyBorder="1" applyAlignment="1">
      <alignment horizontal="center"/>
    </xf>
    <xf numFmtId="2" fontId="15" fillId="9" borderId="1" xfId="0" applyNumberFormat="1" applyFont="1" applyFill="1" applyBorder="1" applyAlignment="1">
      <alignment horizontal="center" vertical="center"/>
    </xf>
    <xf numFmtId="0" fontId="15" fillId="8" borderId="1" xfId="2" applyFont="1" applyFill="1" applyBorder="1" applyAlignment="1">
      <alignment horizontal="center" vertical="top"/>
    </xf>
    <xf numFmtId="0" fontId="20" fillId="6" borderId="1" xfId="4" applyFont="1" applyFill="1" applyBorder="1" applyAlignment="1">
      <alignment horizontal="left" vertical="center"/>
    </xf>
    <xf numFmtId="169" fontId="20" fillId="6" borderId="1" xfId="4" applyNumberFormat="1" applyFont="1" applyFill="1" applyBorder="1" applyAlignment="1">
      <alignment horizontal="right" vertical="center"/>
    </xf>
    <xf numFmtId="2" fontId="20" fillId="6" borderId="1" xfId="4" applyNumberFormat="1" applyFont="1" applyFill="1" applyBorder="1" applyAlignment="1">
      <alignment horizontal="right" vertical="center"/>
    </xf>
    <xf numFmtId="0" fontId="20" fillId="7" borderId="1" xfId="4" applyFont="1" applyFill="1" applyBorder="1" applyAlignment="1">
      <alignment horizontal="right" vertical="center"/>
    </xf>
    <xf numFmtId="1" fontId="20" fillId="6" borderId="1" xfId="2" applyNumberFormat="1" applyFont="1" applyFill="1" applyBorder="1" applyAlignment="1">
      <alignment horizontal="right" vertical="center"/>
    </xf>
    <xf numFmtId="2" fontId="20" fillId="6" borderId="1" xfId="2" applyNumberFormat="1" applyFont="1" applyFill="1" applyBorder="1" applyAlignment="1">
      <alignment horizontal="right" vertical="center"/>
    </xf>
    <xf numFmtId="170" fontId="20" fillId="6" borderId="1" xfId="2" applyNumberFormat="1" applyFont="1" applyFill="1" applyBorder="1" applyAlignment="1">
      <alignment horizontal="right" vertical="center"/>
    </xf>
    <xf numFmtId="2" fontId="20" fillId="6" borderId="1" xfId="4" applyNumberFormat="1" applyFont="1" applyFill="1" applyBorder="1" applyAlignment="1">
      <alignment horizontal="center" vertical="center"/>
    </xf>
    <xf numFmtId="0" fontId="20" fillId="10" borderId="1" xfId="4" applyFont="1" applyFill="1" applyBorder="1" applyAlignment="1">
      <alignment horizontal="left" vertical="center"/>
    </xf>
    <xf numFmtId="2" fontId="15" fillId="10" borderId="1" xfId="4" applyNumberFormat="1" applyFont="1" applyFill="1" applyBorder="1" applyAlignment="1">
      <alignment horizontal="left" vertical="center"/>
    </xf>
    <xf numFmtId="170" fontId="15" fillId="9" borderId="1" xfId="0" applyNumberFormat="1" applyFont="1" applyFill="1" applyBorder="1" applyAlignment="1">
      <alignment horizontal="center" vertical="center"/>
    </xf>
    <xf numFmtId="49" fontId="21" fillId="11" borderId="1" xfId="0" applyNumberFormat="1" applyFont="1" applyFill="1" applyBorder="1" applyAlignment="1" applyProtection="1">
      <alignment horizontal="center" vertical="center"/>
      <protection locked="0"/>
    </xf>
    <xf numFmtId="49" fontId="21" fillId="0" borderId="1" xfId="0" applyNumberFormat="1" applyFont="1" applyFill="1" applyBorder="1" applyAlignment="1" applyProtection="1">
      <alignment horizontal="center" vertical="center"/>
      <protection locked="0"/>
    </xf>
    <xf numFmtId="0" fontId="21" fillId="11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21" fillId="0" borderId="1" xfId="0" applyFont="1" applyBorder="1" applyAlignment="1" applyProtection="1">
      <alignment horizontal="center" vertical="center"/>
      <protection locked="0"/>
    </xf>
    <xf numFmtId="49" fontId="21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0" fillId="0" borderId="1" xfId="4" applyFont="1" applyBorder="1" applyAlignment="1">
      <alignment horizontal="left" vertical="center"/>
    </xf>
    <xf numFmtId="0" fontId="20" fillId="0" borderId="1" xfId="2" applyFont="1" applyBorder="1" applyAlignment="1">
      <alignment horizontal="left" vertical="center"/>
    </xf>
    <xf numFmtId="2" fontId="15" fillId="6" borderId="1" xfId="2" applyNumberFormat="1" applyFont="1" applyFill="1" applyBorder="1" applyAlignment="1">
      <alignment horizontal="left" vertical="center"/>
    </xf>
    <xf numFmtId="0" fontId="20" fillId="0" borderId="1" xfId="2" applyFont="1" applyBorder="1" applyAlignment="1">
      <alignment horizontal="left"/>
    </xf>
    <xf numFmtId="0" fontId="15" fillId="9" borderId="1" xfId="0" applyFont="1" applyFill="1" applyBorder="1" applyAlignment="1">
      <alignment horizontal="center" vertical="center"/>
    </xf>
    <xf numFmtId="2" fontId="20" fillId="7" borderId="1" xfId="4" applyNumberFormat="1" applyFont="1" applyFill="1" applyBorder="1" applyAlignment="1">
      <alignment horizontal="right" vertical="center"/>
    </xf>
    <xf numFmtId="1" fontId="15" fillId="9" borderId="1" xfId="0" applyNumberFormat="1" applyFont="1" applyFill="1" applyBorder="1" applyAlignment="1">
      <alignment horizontal="center" vertical="center"/>
    </xf>
    <xf numFmtId="0" fontId="21" fillId="11" borderId="1" xfId="0" applyFont="1" applyFill="1" applyBorder="1" applyAlignment="1" applyProtection="1">
      <alignment horizontal="center" vertical="center"/>
      <protection locked="0"/>
    </xf>
    <xf numFmtId="0" fontId="20" fillId="10" borderId="1" xfId="3" applyFont="1" applyFill="1" applyBorder="1" applyAlignment="1">
      <alignment horizontal="left" vertical="center"/>
    </xf>
    <xf numFmtId="2" fontId="3" fillId="9" borderId="1" xfId="0" applyNumberFormat="1" applyFont="1" applyFill="1" applyBorder="1" applyAlignment="1">
      <alignment horizontal="center" vertical="center"/>
    </xf>
    <xf numFmtId="0" fontId="20" fillId="0" borderId="1" xfId="3" applyFont="1" applyBorder="1" applyAlignment="1">
      <alignment horizontal="left" vertical="center"/>
    </xf>
    <xf numFmtId="169" fontId="15" fillId="9" borderId="1" xfId="0" applyNumberFormat="1" applyFont="1" applyFill="1" applyBorder="1" applyAlignment="1">
      <alignment horizontal="center" vertical="center"/>
    </xf>
    <xf numFmtId="0" fontId="15" fillId="9" borderId="1" xfId="0" applyNumberFormat="1" applyFont="1" applyFill="1" applyBorder="1" applyAlignment="1">
      <alignment horizontal="center" vertical="center"/>
    </xf>
    <xf numFmtId="0" fontId="22" fillId="6" borderId="1" xfId="2" applyFont="1" applyFill="1" applyBorder="1" applyAlignment="1" applyProtection="1">
      <alignment horizontal="center" vertical="center"/>
      <protection locked="0"/>
    </xf>
    <xf numFmtId="0" fontId="14" fillId="6" borderId="1" xfId="2" applyFont="1" applyFill="1" applyBorder="1" applyAlignment="1" applyProtection="1">
      <alignment horizontal="center" vertical="center"/>
      <protection locked="0"/>
    </xf>
    <xf numFmtId="49" fontId="14" fillId="6" borderId="1" xfId="2" applyNumberFormat="1" applyFont="1" applyFill="1" applyBorder="1" applyAlignment="1" applyProtection="1">
      <alignment horizontal="center" vertical="center"/>
      <protection locked="0"/>
    </xf>
    <xf numFmtId="49" fontId="14" fillId="0" borderId="1" xfId="2" applyNumberFormat="1" applyFont="1" applyFill="1" applyBorder="1" applyAlignment="1" applyProtection="1">
      <alignment horizontal="center" vertical="center"/>
      <protection locked="0"/>
    </xf>
    <xf numFmtId="0" fontId="15" fillId="8" borderId="1" xfId="2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15" fillId="8" borderId="1" xfId="4" applyFont="1" applyFill="1" applyBorder="1" applyAlignment="1">
      <alignment horizontal="center" vertical="center"/>
    </xf>
    <xf numFmtId="0" fontId="16" fillId="8" borderId="1" xfId="2" applyFont="1" applyFill="1" applyBorder="1" applyAlignment="1">
      <alignment horizontal="center" vertical="center"/>
    </xf>
    <xf numFmtId="0" fontId="15" fillId="8" borderId="1" xfId="2" applyFont="1" applyFill="1" applyBorder="1" applyAlignment="1" applyProtection="1">
      <alignment horizontal="center" vertical="center" wrapText="1"/>
      <protection locked="0"/>
    </xf>
    <xf numFmtId="0" fontId="15" fillId="8" borderId="8" xfId="2" applyFont="1" applyFill="1" applyBorder="1" applyAlignment="1" applyProtection="1">
      <alignment horizontal="center" vertical="center" wrapText="1"/>
      <protection locked="0"/>
    </xf>
    <xf numFmtId="0" fontId="15" fillId="8" borderId="18" xfId="2" applyFont="1" applyFill="1" applyBorder="1" applyAlignment="1" applyProtection="1">
      <alignment horizontal="center" vertical="center" wrapText="1"/>
      <protection locked="0"/>
    </xf>
    <xf numFmtId="0" fontId="15" fillId="8" borderId="19" xfId="2" applyFont="1" applyFill="1" applyBorder="1" applyAlignment="1" applyProtection="1">
      <alignment horizontal="center" vertical="center" wrapText="1"/>
      <protection locked="0"/>
    </xf>
    <xf numFmtId="0" fontId="15" fillId="8" borderId="4" xfId="2" applyFont="1" applyFill="1" applyBorder="1" applyAlignment="1" applyProtection="1">
      <alignment horizontal="center" vertical="center" wrapText="1"/>
      <protection locked="0"/>
    </xf>
    <xf numFmtId="0" fontId="15" fillId="8" borderId="0" xfId="2" applyFont="1" applyFill="1" applyBorder="1" applyAlignment="1" applyProtection="1">
      <alignment horizontal="center" vertical="center" wrapText="1"/>
      <protection locked="0"/>
    </xf>
    <xf numFmtId="0" fontId="15" fillId="8" borderId="21" xfId="2" applyFont="1" applyFill="1" applyBorder="1" applyAlignment="1" applyProtection="1">
      <alignment horizontal="center" vertical="center" wrapText="1"/>
      <protection locked="0"/>
    </xf>
    <xf numFmtId="0" fontId="15" fillId="8" borderId="5" xfId="2" applyFont="1" applyFill="1" applyBorder="1" applyAlignment="1" applyProtection="1">
      <alignment horizontal="center" vertical="center" wrapText="1"/>
      <protection locked="0"/>
    </xf>
    <xf numFmtId="0" fontId="15" fillId="8" borderId="6" xfId="2" applyFont="1" applyFill="1" applyBorder="1" applyAlignment="1" applyProtection="1">
      <alignment horizontal="center" vertical="center" wrapText="1"/>
      <protection locked="0"/>
    </xf>
    <xf numFmtId="0" fontId="15" fillId="8" borderId="20" xfId="2" applyFont="1" applyFill="1" applyBorder="1" applyAlignment="1" applyProtection="1">
      <alignment horizontal="center" vertical="center" wrapText="1"/>
      <protection locked="0"/>
    </xf>
    <xf numFmtId="0" fontId="13" fillId="5" borderId="1" xfId="0" applyFont="1" applyFill="1" applyBorder="1" applyAlignment="1">
      <alignment horizontal="center"/>
    </xf>
    <xf numFmtId="3" fontId="13" fillId="5" borderId="1" xfId="0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/>
    </xf>
    <xf numFmtId="0" fontId="11" fillId="6" borderId="12" xfId="1" applyFill="1" applyBorder="1" applyAlignment="1" applyProtection="1">
      <alignment horizontal="center" vertical="center" wrapText="1"/>
      <protection locked="0"/>
    </xf>
    <xf numFmtId="0" fontId="11" fillId="6" borderId="13" xfId="1" applyFill="1" applyBorder="1" applyAlignment="1" applyProtection="1">
      <alignment horizontal="center" vertical="center" wrapText="1"/>
      <protection locked="0"/>
    </xf>
    <xf numFmtId="0" fontId="11" fillId="6" borderId="14" xfId="1" applyFill="1" applyBorder="1" applyAlignment="1" applyProtection="1">
      <alignment horizontal="center" vertical="center" wrapText="1"/>
      <protection locked="0"/>
    </xf>
    <xf numFmtId="0" fontId="11" fillId="6" borderId="15" xfId="1" applyFill="1" applyBorder="1" applyAlignment="1" applyProtection="1">
      <alignment horizontal="center" vertical="center" wrapText="1"/>
      <protection locked="0"/>
    </xf>
    <xf numFmtId="0" fontId="11" fillId="6" borderId="16" xfId="1" applyFill="1" applyBorder="1" applyAlignment="1" applyProtection="1">
      <alignment horizontal="center" vertical="center" wrapText="1"/>
      <protection locked="0"/>
    </xf>
    <xf numFmtId="0" fontId="11" fillId="6" borderId="17" xfId="1" applyFill="1" applyBorder="1" applyAlignment="1" applyProtection="1">
      <alignment horizontal="center" vertical="center" wrapText="1"/>
      <protection locked="0"/>
    </xf>
    <xf numFmtId="0" fontId="9" fillId="2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horizontal="center"/>
      <protection locked="0"/>
    </xf>
    <xf numFmtId="0" fontId="12" fillId="6" borderId="0" xfId="0" applyNumberFormat="1" applyFont="1" applyFill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/>
    </xf>
    <xf numFmtId="0" fontId="12" fillId="6" borderId="3" xfId="0" applyFont="1" applyFill="1" applyBorder="1" applyAlignment="1" applyProtection="1">
      <alignment horizontal="center" vertical="center"/>
      <protection locked="0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18" xfId="0" applyFont="1" applyFill="1" applyBorder="1" applyAlignment="1" applyProtection="1">
      <alignment horizontal="center" vertical="center"/>
      <protection locked="0"/>
    </xf>
    <xf numFmtId="0" fontId="12" fillId="6" borderId="19" xfId="0" applyFont="1" applyFill="1" applyBorder="1" applyAlignment="1" applyProtection="1">
      <alignment horizontal="center" vertical="center"/>
      <protection locked="0"/>
    </xf>
    <xf numFmtId="0" fontId="9" fillId="6" borderId="5" xfId="0" applyFont="1" applyFill="1" applyBorder="1" applyAlignment="1" applyProtection="1">
      <alignment horizontal="center" vertical="center"/>
    </xf>
    <xf numFmtId="0" fontId="9" fillId="6" borderId="6" xfId="0" applyFont="1" applyFill="1" applyBorder="1" applyAlignment="1" applyProtection="1">
      <alignment horizontal="center" vertical="center"/>
    </xf>
    <xf numFmtId="0" fontId="9" fillId="6" borderId="20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left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2" fillId="6" borderId="1" xfId="0" applyFont="1" applyFill="1" applyBorder="1" applyAlignment="1" applyProtection="1">
      <alignment horizontal="left" vertical="center"/>
      <protection locked="0"/>
    </xf>
    <xf numFmtId="0" fontId="12" fillId="0" borderId="1" xfId="0" applyFont="1" applyBorder="1" applyAlignment="1" applyProtection="1">
      <alignment horizontal="left" vertical="center"/>
      <protection locked="0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7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49" fontId="12" fillId="6" borderId="0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12" fillId="6" borderId="0" xfId="0" applyFont="1" applyFill="1" applyBorder="1" applyAlignment="1" applyProtection="1">
      <alignment horizontal="center" vertical="center" textRotation="90"/>
      <protection locked="0"/>
    </xf>
    <xf numFmtId="0" fontId="12" fillId="6" borderId="0" xfId="0" applyFont="1" applyFill="1" applyBorder="1" applyAlignment="1" applyProtection="1">
      <alignment horizontal="center" textRotation="90"/>
      <protection locked="0"/>
    </xf>
    <xf numFmtId="0" fontId="12" fillId="6" borderId="0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3" xfId="0" applyFont="1" applyFill="1" applyBorder="1" applyAlignment="1">
      <alignment horizontal="left" vertical="center"/>
    </xf>
    <xf numFmtId="3" fontId="6" fillId="5" borderId="8" xfId="0" applyNumberFormat="1" applyFont="1" applyFill="1" applyBorder="1" applyAlignment="1">
      <alignment horizontal="center" vertical="center" wrapText="1"/>
    </xf>
    <xf numFmtId="3" fontId="6" fillId="5" borderId="5" xfId="0" applyNumberFormat="1" applyFont="1" applyFill="1" applyBorder="1" applyAlignment="1">
      <alignment horizontal="center" vertical="center" wrapText="1"/>
    </xf>
    <xf numFmtId="3" fontId="6" fillId="5" borderId="9" xfId="0" applyNumberFormat="1" applyFont="1" applyFill="1" applyBorder="1" applyAlignment="1">
      <alignment horizontal="center" vertical="center" wrapText="1"/>
    </xf>
    <xf numFmtId="3" fontId="6" fillId="5" borderId="10" xfId="0" applyNumberFormat="1" applyFont="1" applyFill="1" applyBorder="1" applyAlignment="1">
      <alignment horizontal="center" vertical="center" wrapText="1"/>
    </xf>
    <xf numFmtId="3" fontId="6" fillId="5" borderId="11" xfId="0" applyNumberFormat="1" applyFont="1" applyFill="1" applyBorder="1" applyAlignment="1">
      <alignment horizontal="center" vertical="center" wrapText="1"/>
    </xf>
    <xf numFmtId="49" fontId="5" fillId="5" borderId="9" xfId="0" applyNumberFormat="1" applyFont="1" applyFill="1" applyBorder="1" applyAlignment="1">
      <alignment horizontal="center" vertical="center" wrapText="1"/>
    </xf>
    <xf numFmtId="49" fontId="5" fillId="5" borderId="10" xfId="0" applyNumberFormat="1" applyFont="1" applyFill="1" applyBorder="1" applyAlignment="1">
      <alignment horizontal="center" vertical="center" wrapText="1"/>
    </xf>
    <xf numFmtId="49" fontId="5" fillId="5" borderId="11" xfId="0" applyNumberFormat="1" applyFont="1" applyFill="1" applyBorder="1" applyAlignment="1">
      <alignment horizontal="center" vertical="center" wrapText="1"/>
    </xf>
    <xf numFmtId="49" fontId="5" fillId="5" borderId="1" xfId="0" applyNumberFormat="1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2"/>
    <cellStyle name="Normal 2 2" xfId="3"/>
    <cellStyle name="Normal_Sheet3" xfId="4"/>
    <cellStyle name="Normal_Thep san" xfId="5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2D</a:t>
            </a:r>
            <a:r>
              <a:rPr lang="en-US" baseline="0"/>
              <a:t> Cầu thang</a:t>
            </a:r>
            <a:endParaRPr lang="en-US"/>
          </a:p>
        </c:rich>
      </c:tx>
      <c:layout>
        <c:manualLayout>
          <c:xMode val="edge"/>
          <c:yMode val="edge"/>
          <c:x val="0.15247261678302301"/>
          <c:y val="9.87224017419428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2323697123838498E-2"/>
          <c:y val="2.7722393676894001E-2"/>
          <c:w val="0.89314642374410802"/>
          <c:h val="0.95663732780299604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CauThang!$BZ$2:$BZ$25</c:f>
              <c:numCache>
                <c:formatCode>General</c:formatCode>
                <c:ptCount val="24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5000</c:v>
                </c:pt>
                <c:pt idx="4">
                  <c:v>5000</c:v>
                </c:pt>
                <c:pt idx="5">
                  <c:v>6500</c:v>
                </c:pt>
                <c:pt idx="6">
                  <c:v>6500</c:v>
                </c:pt>
                <c:pt idx="7">
                  <c:v>6300</c:v>
                </c:pt>
                <c:pt idx="8">
                  <c:v>6300</c:v>
                </c:pt>
                <c:pt idx="9">
                  <c:v>5200</c:v>
                </c:pt>
                <c:pt idx="10">
                  <c:v>5200</c:v>
                </c:pt>
                <c:pt idx="11">
                  <c:v>5000</c:v>
                </c:pt>
                <c:pt idx="12" formatCode="0">
                  <c:v>5000</c:v>
                </c:pt>
                <c:pt idx="13" formatCode="0">
                  <c:v>5000</c:v>
                </c:pt>
                <c:pt idx="14" formatCode="0">
                  <c:v>2100</c:v>
                </c:pt>
                <c:pt idx="15" formatCode="0">
                  <c:v>2100</c:v>
                </c:pt>
                <c:pt idx="16">
                  <c:v>2100</c:v>
                </c:pt>
                <c:pt idx="17">
                  <c:v>2100</c:v>
                </c:pt>
                <c:pt idx="18">
                  <c:v>1900</c:v>
                </c:pt>
                <c:pt idx="19">
                  <c:v>1900</c:v>
                </c:pt>
                <c:pt idx="20">
                  <c:v>200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CauThang!$CA$2:$CA$25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314.28571428571399</c:v>
                </c:pt>
                <c:pt idx="3">
                  <c:v>2042.8571428571399</c:v>
                </c:pt>
                <c:pt idx="4">
                  <c:v>2200</c:v>
                </c:pt>
                <c:pt idx="5">
                  <c:v>2200</c:v>
                </c:pt>
                <c:pt idx="6">
                  <c:v>1800</c:v>
                </c:pt>
                <c:pt idx="7">
                  <c:v>1800</c:v>
                </c:pt>
                <c:pt idx="8">
                  <c:v>2080</c:v>
                </c:pt>
                <c:pt idx="9">
                  <c:v>2080</c:v>
                </c:pt>
                <c:pt idx="10">
                  <c:v>1800</c:v>
                </c:pt>
                <c:pt idx="11">
                  <c:v>1800</c:v>
                </c:pt>
                <c:pt idx="12">
                  <c:v>1800</c:v>
                </c:pt>
                <c:pt idx="13">
                  <c:v>1927.4450349631848</c:v>
                </c:pt>
                <c:pt idx="14">
                  <c:v>256.49265401080652</c:v>
                </c:pt>
                <c:pt idx="15">
                  <c:v>-120</c:v>
                </c:pt>
                <c:pt idx="16">
                  <c:v>-120</c:v>
                </c:pt>
                <c:pt idx="17">
                  <c:v>-400</c:v>
                </c:pt>
                <c:pt idx="18">
                  <c:v>-400</c:v>
                </c:pt>
                <c:pt idx="19">
                  <c:v>-120</c:v>
                </c:pt>
                <c:pt idx="20">
                  <c:v>-120</c:v>
                </c:pt>
                <c:pt idx="21">
                  <c:v>-400</c:v>
                </c:pt>
                <c:pt idx="22">
                  <c:v>-400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52-461E-98A4-CA0021F1C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8282464"/>
        <c:axId val="-808280832"/>
      </c:scatterChart>
      <c:scatterChart>
        <c:scatterStyle val="lineMarker"/>
        <c:varyColors val="0"/>
        <c:ser>
          <c:idx val="1"/>
          <c:order val="1"/>
          <c:tx>
            <c:v>Bao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7352-461E-98A4-CA0021F1CE3A}"/>
              </c:ext>
            </c:extLst>
          </c:dPt>
          <c:xVal>
            <c:numRef>
              <c:f>CauThang!$CI$1:$CI$2</c:f>
              <c:numCache>
                <c:formatCode>0</c:formatCode>
                <c:ptCount val="2"/>
                <c:pt idx="0">
                  <c:v>0</c:v>
                </c:pt>
                <c:pt idx="1">
                  <c:v>4333.3333333333303</c:v>
                </c:pt>
              </c:numCache>
            </c:numRef>
          </c:xVal>
          <c:yVal>
            <c:numRef>
              <c:f>CauThang!$CI$3:$CI$4</c:f>
              <c:numCache>
                <c:formatCode>0</c:formatCode>
                <c:ptCount val="2"/>
                <c:pt idx="0">
                  <c:v>0</c:v>
                </c:pt>
                <c:pt idx="1">
                  <c:v>2166.6666666666702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52-461E-98A4-CA0021F1C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8286272"/>
        <c:axId val="-808274304"/>
      </c:scatterChart>
      <c:valAx>
        <c:axId val="-808282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08280832"/>
        <c:crosses val="autoZero"/>
        <c:crossBetween val="midCat"/>
      </c:valAx>
      <c:valAx>
        <c:axId val="-808280832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8282464"/>
        <c:crosses val="autoZero"/>
        <c:crossBetween val="midCat"/>
      </c:valAx>
      <c:valAx>
        <c:axId val="-80828627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-808274304"/>
        <c:crosses val="autoZero"/>
        <c:crossBetween val="midCat"/>
      </c:valAx>
      <c:valAx>
        <c:axId val="-808274304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crossAx val="-808286272"/>
        <c:crosses val="max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377f5223-7339-4b53-98df-1523de37b7e9}"/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2</xdr:row>
      <xdr:rowOff>47624</xdr:rowOff>
    </xdr:from>
    <xdr:to>
      <xdr:col>75</xdr:col>
      <xdr:colOff>66676</xdr:colOff>
      <xdr:row>16</xdr:row>
      <xdr:rowOff>190499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75640</xdr:colOff>
      <xdr:row>19</xdr:row>
      <xdr:rowOff>31936</xdr:rowOff>
    </xdr:from>
    <xdr:to>
      <xdr:col>71</xdr:col>
      <xdr:colOff>14567</xdr:colOff>
      <xdr:row>34</xdr:row>
      <xdr:rowOff>114300</xdr:rowOff>
    </xdr:to>
    <xdr:grpSp>
      <xdr:nvGrpSpPr>
        <xdr:cNvPr id="56" name="Group 55"/>
        <xdr:cNvGrpSpPr/>
      </xdr:nvGrpSpPr>
      <xdr:grpSpPr>
        <a:xfrm>
          <a:off x="551815" y="3660775"/>
          <a:ext cx="6263005" cy="2940050"/>
          <a:chOff x="827287" y="3641912"/>
          <a:chExt cx="9349602" cy="2810264"/>
        </a:xfrm>
      </xdr:grpSpPr>
      <xdr:cxnSp macro="">
        <xdr:nvCxnSpPr>
          <xdr:cNvPr id="112" name="Straight Arrow Connector 111"/>
          <xdr:cNvCxnSpPr/>
        </xdr:nvCxnSpPr>
        <xdr:spPr>
          <a:xfrm>
            <a:off x="5443385" y="4771086"/>
            <a:ext cx="143050" cy="14855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54" name="Group 53"/>
          <xdr:cNvGrpSpPr/>
        </xdr:nvGrpSpPr>
        <xdr:grpSpPr>
          <a:xfrm>
            <a:off x="827287" y="3641912"/>
            <a:ext cx="9349602" cy="2810264"/>
            <a:chOff x="851647" y="3641912"/>
            <a:chExt cx="9558617" cy="2810264"/>
          </a:xfrm>
        </xdr:grpSpPr>
        <xdr:cxnSp macro="">
          <xdr:nvCxnSpPr>
            <xdr:cNvPr id="40" name="Straight Connector 39"/>
            <xdr:cNvCxnSpPr/>
          </xdr:nvCxnSpPr>
          <xdr:spPr>
            <a:xfrm flipH="1" flipV="1">
              <a:off x="986118" y="3641912"/>
              <a:ext cx="11206" cy="2140324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52" name="Group 51"/>
            <xdr:cNvGrpSpPr/>
          </xdr:nvGrpSpPr>
          <xdr:grpSpPr>
            <a:xfrm>
              <a:off x="851647" y="3641912"/>
              <a:ext cx="9558617" cy="2810264"/>
              <a:chOff x="851647" y="3641912"/>
              <a:chExt cx="9558617" cy="2810264"/>
            </a:xfrm>
          </xdr:grpSpPr>
          <xdr:cxnSp macro="">
            <xdr:nvCxnSpPr>
              <xdr:cNvPr id="110" name="Straight Arrow Connector 109"/>
              <xdr:cNvCxnSpPr/>
            </xdr:nvCxnSpPr>
            <xdr:spPr>
              <a:xfrm>
                <a:off x="7369698" y="3850393"/>
                <a:ext cx="5485" cy="216246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" name="Straight Arrow Connector 2"/>
              <xdr:cNvCxnSpPr/>
            </xdr:nvCxnSpPr>
            <xdr:spPr>
              <a:xfrm>
                <a:off x="10410264" y="3821206"/>
                <a:ext cx="0" cy="235323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Straight Arrow Connector 7"/>
              <xdr:cNvCxnSpPr/>
            </xdr:nvCxnSpPr>
            <xdr:spPr>
              <a:xfrm>
                <a:off x="10410264" y="4045323"/>
                <a:ext cx="0" cy="268942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50" name="Group 49"/>
              <xdr:cNvGrpSpPr/>
            </xdr:nvGrpSpPr>
            <xdr:grpSpPr>
              <a:xfrm>
                <a:off x="851647" y="3641912"/>
                <a:ext cx="9460440" cy="2810264"/>
                <a:chOff x="851647" y="3641912"/>
                <a:chExt cx="9460440" cy="2810264"/>
              </a:xfrm>
            </xdr:grpSpPr>
            <xdr:cxnSp macro="">
              <xdr:nvCxnSpPr>
                <xdr:cNvPr id="94" name="Straight Arrow Connector 93"/>
                <xdr:cNvCxnSpPr/>
              </xdr:nvCxnSpPr>
              <xdr:spPr>
                <a:xfrm>
                  <a:off x="8326531" y="4449205"/>
                  <a:ext cx="426212" cy="143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Straight Arrow Connector 96"/>
                <xdr:cNvCxnSpPr/>
              </xdr:nvCxnSpPr>
              <xdr:spPr>
                <a:xfrm>
                  <a:off x="8716196" y="4450635"/>
                  <a:ext cx="1315698" cy="15835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0" name="Straight Arrow Connector 99"/>
                <xdr:cNvCxnSpPr/>
              </xdr:nvCxnSpPr>
              <xdr:spPr>
                <a:xfrm flipV="1">
                  <a:off x="9958797" y="4458552"/>
                  <a:ext cx="353290" cy="7918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Straight Arrow Connector 116"/>
                <xdr:cNvCxnSpPr/>
              </xdr:nvCxnSpPr>
              <xdr:spPr>
                <a:xfrm>
                  <a:off x="3406028" y="5467350"/>
                  <a:ext cx="0" cy="34290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0" name="Straight Arrow Connector 119"/>
                <xdr:cNvCxnSpPr/>
              </xdr:nvCxnSpPr>
              <xdr:spPr>
                <a:xfrm>
                  <a:off x="896381" y="6452176"/>
                  <a:ext cx="438745" cy="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2" name="Straight Arrow Connector 121"/>
                <xdr:cNvCxnSpPr/>
              </xdr:nvCxnSpPr>
              <xdr:spPr>
                <a:xfrm flipV="1">
                  <a:off x="1276627" y="6448426"/>
                  <a:ext cx="1271031" cy="3750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4" name="Straight Arrow Connector 123"/>
                <xdr:cNvCxnSpPr/>
              </xdr:nvCxnSpPr>
              <xdr:spPr>
                <a:xfrm>
                  <a:off x="2500032" y="6448425"/>
                  <a:ext cx="429201" cy="3751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9" name="Straight Arrow Connector 128"/>
                <xdr:cNvCxnSpPr/>
              </xdr:nvCxnSpPr>
              <xdr:spPr>
                <a:xfrm flipH="1">
                  <a:off x="1731869" y="5334000"/>
                  <a:ext cx="1" cy="485775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" name="Straight Connector 132"/>
                <xdr:cNvCxnSpPr/>
              </xdr:nvCxnSpPr>
              <xdr:spPr>
                <a:xfrm>
                  <a:off x="1545291" y="5681386"/>
                  <a:ext cx="926166" cy="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" name="Straight Arrow Connector 11"/>
                <xdr:cNvCxnSpPr/>
              </xdr:nvCxnSpPr>
              <xdr:spPr>
                <a:xfrm>
                  <a:off x="851647" y="5782235"/>
                  <a:ext cx="0" cy="246529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" name="Straight Arrow Connector 13"/>
                <xdr:cNvCxnSpPr/>
              </xdr:nvCxnSpPr>
              <xdr:spPr>
                <a:xfrm>
                  <a:off x="851647" y="5995147"/>
                  <a:ext cx="0" cy="268941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6" name="Straight Arrow Connector 25"/>
                <xdr:cNvCxnSpPr/>
              </xdr:nvCxnSpPr>
              <xdr:spPr>
                <a:xfrm flipV="1">
                  <a:off x="851647" y="3854824"/>
                  <a:ext cx="0" cy="1949823"/>
                </a:xfrm>
                <a:prstGeom prst="straightConnector1">
                  <a:avLst/>
                </a:prstGeom>
                <a:ln>
                  <a:headEnd type="triangle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48" name="Group 47"/>
                <xdr:cNvGrpSpPr/>
              </xdr:nvGrpSpPr>
              <xdr:grpSpPr>
                <a:xfrm>
                  <a:off x="851647" y="3641912"/>
                  <a:ext cx="9431944" cy="2615099"/>
                  <a:chOff x="851647" y="3641912"/>
                  <a:chExt cx="9431944" cy="2615099"/>
                </a:xfrm>
              </xdr:grpSpPr>
              <xdr:grpSp>
                <xdr:nvGrpSpPr>
                  <xdr:cNvPr id="47" name="Group 46"/>
                  <xdr:cNvGrpSpPr/>
                </xdr:nvGrpSpPr>
                <xdr:grpSpPr>
                  <a:xfrm>
                    <a:off x="974913" y="3641912"/>
                    <a:ext cx="9308678" cy="2615099"/>
                    <a:chOff x="974913" y="3641912"/>
                    <a:chExt cx="9308678" cy="2615099"/>
                  </a:xfrm>
                </xdr:grpSpPr>
                <xdr:grpSp>
                  <xdr:nvGrpSpPr>
                    <xdr:cNvPr id="89" name="Group 88"/>
                    <xdr:cNvGrpSpPr/>
                  </xdr:nvGrpSpPr>
                  <xdr:grpSpPr>
                    <a:xfrm>
                      <a:off x="979625" y="3844772"/>
                      <a:ext cx="9303966" cy="2412239"/>
                      <a:chOff x="7127560" y="655134"/>
                      <a:chExt cx="6134293" cy="2412239"/>
                    </a:xfrm>
                  </xdr:grpSpPr>
                  <xdr:cxnSp macro="">
                    <xdr:nvCxnSpPr>
                      <xdr:cNvPr id="49" name="Straight Connector 48"/>
                      <xdr:cNvCxnSpPr/>
                    </xdr:nvCxnSpPr>
                    <xdr:spPr>
                      <a:xfrm flipH="1">
                        <a:off x="8183197" y="3064144"/>
                        <a:ext cx="183859" cy="3229"/>
                      </a:xfrm>
                      <a:prstGeom prst="line">
                        <a:avLst/>
                      </a:prstGeom>
                      <a:ln>
                        <a:solidFill>
                          <a:srgbClr val="FF0000"/>
                        </a:solidFill>
                      </a:ln>
                    </xdr:spPr>
                    <xdr:style>
                      <a:lnRef idx="3">
                        <a:schemeClr val="accent2"/>
                      </a:lnRef>
                      <a:fillRef idx="0">
                        <a:schemeClr val="accent2"/>
                      </a:fillRef>
                      <a:effectRef idx="2">
                        <a:schemeClr val="accent2"/>
                      </a:effectRef>
                      <a:fontRef idx="minor">
                        <a:schemeClr val="tx1"/>
                      </a:fontRef>
                    </xdr:style>
                  </xdr:cxnSp>
                  <xdr:grpSp>
                    <xdr:nvGrpSpPr>
                      <xdr:cNvPr id="88" name="Group 87"/>
                      <xdr:cNvGrpSpPr/>
                    </xdr:nvGrpSpPr>
                    <xdr:grpSpPr>
                      <a:xfrm>
                        <a:off x="7127560" y="655134"/>
                        <a:ext cx="6134293" cy="2412239"/>
                        <a:chOff x="7127560" y="655134"/>
                        <a:chExt cx="6134293" cy="2412239"/>
                      </a:xfrm>
                    </xdr:grpSpPr>
                    <xdr:grpSp>
                      <xdr:nvGrpSpPr>
                        <xdr:cNvPr id="87" name="Group 86"/>
                        <xdr:cNvGrpSpPr/>
                      </xdr:nvGrpSpPr>
                      <xdr:grpSpPr>
                        <a:xfrm>
                          <a:off x="7134018" y="2290689"/>
                          <a:ext cx="1746870" cy="773455"/>
                          <a:chOff x="7134018" y="2290689"/>
                          <a:chExt cx="1746870" cy="773455"/>
                        </a:xfrm>
                      </xdr:grpSpPr>
                      <xdr:grpSp>
                        <xdr:nvGrpSpPr>
                          <xdr:cNvPr id="86" name="Group 85"/>
                          <xdr:cNvGrpSpPr/>
                        </xdr:nvGrpSpPr>
                        <xdr:grpSpPr>
                          <a:xfrm>
                            <a:off x="7134018" y="2629830"/>
                            <a:ext cx="1746734" cy="434314"/>
                            <a:chOff x="7134018" y="2629830"/>
                            <a:chExt cx="1746734" cy="434314"/>
                          </a:xfrm>
                        </xdr:grpSpPr>
                        <xdr:cxnSp macro="">
                          <xdr:nvCxnSpPr>
                            <xdr:cNvPr id="9" name="Straight Connector 8"/>
                            <xdr:cNvCxnSpPr/>
                          </xdr:nvCxnSpPr>
                          <xdr:spPr>
                            <a:xfrm flipH="1">
                              <a:off x="7134019" y="2640515"/>
                              <a:ext cx="1079" cy="423629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rgbClr val="FF0000"/>
                              </a:solidFill>
                            </a:ln>
                          </xdr:spPr>
                          <xdr:style>
                            <a:lnRef idx="3">
                              <a:schemeClr val="accent2"/>
                            </a:lnRef>
                            <a:fillRef idx="0">
                              <a:schemeClr val="accent2"/>
                            </a:fillRef>
                            <a:effectRef idx="2">
                              <a:schemeClr val="accent2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1" name="Straight Connector 10"/>
                            <xdr:cNvCxnSpPr/>
                          </xdr:nvCxnSpPr>
                          <xdr:spPr>
                            <a:xfrm flipV="1">
                              <a:off x="7134018" y="2629830"/>
                              <a:ext cx="1746734" cy="811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rgbClr val="FF0000"/>
                              </a:solidFill>
                            </a:ln>
                          </xdr:spPr>
                          <xdr:style>
                            <a:lnRef idx="3">
                              <a:schemeClr val="accent2"/>
                            </a:lnRef>
                            <a:fillRef idx="0">
                              <a:schemeClr val="accent2"/>
                            </a:fillRef>
                            <a:effectRef idx="2">
                              <a:schemeClr val="accent2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5" name="Straight Connector 14"/>
                          <xdr:cNvCxnSpPr/>
                        </xdr:nvCxnSpPr>
                        <xdr:spPr>
                          <a:xfrm flipV="1">
                            <a:off x="8880437" y="2290689"/>
                            <a:ext cx="451" cy="340795"/>
                          </a:xfrm>
                          <a:prstGeom prst="line">
                            <a:avLst/>
                          </a:prstGeom>
                          <a:ln>
                            <a:solidFill>
                              <a:srgbClr val="FF0000"/>
                            </a:solidFill>
                          </a:ln>
                        </xdr:spPr>
                        <xdr:style>
                          <a:lnRef idx="3">
                            <a:schemeClr val="accent2"/>
                          </a:lnRef>
                          <a:fillRef idx="0">
                            <a:schemeClr val="accent2"/>
                          </a:fillRef>
                          <a:effectRef idx="2">
                            <a:schemeClr val="accent2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  <xdr:cxnSp macro="">
                      <xdr:nvCxnSpPr>
                        <xdr:cNvPr id="17" name="Straight Connector 16"/>
                        <xdr:cNvCxnSpPr/>
                      </xdr:nvCxnSpPr>
                      <xdr:spPr>
                        <a:xfrm flipV="1">
                          <a:off x="8885398" y="850280"/>
                          <a:ext cx="2629563" cy="1454305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9" name="Straight Connector 18"/>
                        <xdr:cNvCxnSpPr/>
                      </xdr:nvCxnSpPr>
                      <xdr:spPr>
                        <a:xfrm flipH="1" flipV="1">
                          <a:off x="11514799" y="656562"/>
                          <a:ext cx="162" cy="193719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1" name="Straight Connector 20"/>
                        <xdr:cNvCxnSpPr/>
                      </xdr:nvCxnSpPr>
                      <xdr:spPr>
                        <a:xfrm flipV="1">
                          <a:off x="11507952" y="655134"/>
                          <a:ext cx="1753901" cy="677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3" name="Straight Connector 22"/>
                        <xdr:cNvCxnSpPr/>
                      </xdr:nvCxnSpPr>
                      <xdr:spPr>
                        <a:xfrm>
                          <a:off x="13254372" y="665136"/>
                          <a:ext cx="0" cy="435889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5" name="Straight Connector 24"/>
                        <xdr:cNvCxnSpPr/>
                      </xdr:nvCxnSpPr>
                      <xdr:spPr>
                        <a:xfrm flipH="1" flipV="1">
                          <a:off x="13076789" y="1091339"/>
                          <a:ext cx="173651" cy="1310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7" name="Straight Connector 26"/>
                        <xdr:cNvCxnSpPr/>
                      </xdr:nvCxnSpPr>
                      <xdr:spPr>
                        <a:xfrm flipV="1">
                          <a:off x="13080645" y="827049"/>
                          <a:ext cx="0" cy="269488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9" name="Straight Connector 28"/>
                        <xdr:cNvCxnSpPr/>
                      </xdr:nvCxnSpPr>
                      <xdr:spPr>
                        <a:xfrm flipH="1" flipV="1">
                          <a:off x="12201963" y="823347"/>
                          <a:ext cx="878683" cy="370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1" name="Straight Connector 30"/>
                        <xdr:cNvCxnSpPr/>
                      </xdr:nvCxnSpPr>
                      <xdr:spPr>
                        <a:xfrm>
                          <a:off x="12208421" y="823347"/>
                          <a:ext cx="3229" cy="267992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3" name="Straight Connector 32"/>
                        <xdr:cNvCxnSpPr/>
                      </xdr:nvCxnSpPr>
                      <xdr:spPr>
                        <a:xfrm flipH="1">
                          <a:off x="12043051" y="1097797"/>
                          <a:ext cx="178285" cy="328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5" name="Straight Connector 34"/>
                        <xdr:cNvCxnSpPr/>
                      </xdr:nvCxnSpPr>
                      <xdr:spPr>
                        <a:xfrm flipV="1">
                          <a:off x="12037609" y="822402"/>
                          <a:ext cx="0" cy="283427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7" name="Straight Connector 36"/>
                        <xdr:cNvCxnSpPr/>
                      </xdr:nvCxnSpPr>
                      <xdr:spPr>
                        <a:xfrm flipH="1">
                          <a:off x="11877375" y="822402"/>
                          <a:ext cx="160234" cy="0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39" name="Straight Connector 38"/>
                        <xdr:cNvCxnSpPr/>
                      </xdr:nvCxnSpPr>
                      <xdr:spPr>
                        <a:xfrm flipH="1">
                          <a:off x="9009281" y="820888"/>
                          <a:ext cx="2871666" cy="1606901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1" name="Straight Connector 40"/>
                        <xdr:cNvCxnSpPr/>
                      </xdr:nvCxnSpPr>
                      <xdr:spPr>
                        <a:xfrm>
                          <a:off x="9008459" y="2416098"/>
                          <a:ext cx="4646" cy="37635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3" name="Straight Connector 42"/>
                        <xdr:cNvCxnSpPr/>
                      </xdr:nvCxnSpPr>
                      <xdr:spPr>
                        <a:xfrm flipH="1">
                          <a:off x="8360362" y="2792451"/>
                          <a:ext cx="657390" cy="9293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5" name="Straight Connector 44"/>
                        <xdr:cNvCxnSpPr/>
                      </xdr:nvCxnSpPr>
                      <xdr:spPr>
                        <a:xfrm>
                          <a:off x="8365008" y="2806390"/>
                          <a:ext cx="0" cy="260195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1" name="Straight Connector 50"/>
                        <xdr:cNvCxnSpPr/>
                      </xdr:nvCxnSpPr>
                      <xdr:spPr>
                        <a:xfrm flipH="1" flipV="1">
                          <a:off x="8181545" y="2797098"/>
                          <a:ext cx="4073" cy="269919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3" name="Straight Connector 52"/>
                        <xdr:cNvCxnSpPr/>
                      </xdr:nvCxnSpPr>
                      <xdr:spPr>
                        <a:xfrm flipH="1" flipV="1">
                          <a:off x="7301128" y="2797098"/>
                          <a:ext cx="880416" cy="9292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5" name="Straight Connector 54"/>
                        <xdr:cNvCxnSpPr/>
                      </xdr:nvCxnSpPr>
                      <xdr:spPr>
                        <a:xfrm flipH="1">
                          <a:off x="7301916" y="2789695"/>
                          <a:ext cx="3229" cy="277678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57" name="Straight Connector 56"/>
                        <xdr:cNvCxnSpPr/>
                      </xdr:nvCxnSpPr>
                      <xdr:spPr>
                        <a:xfrm flipH="1" flipV="1">
                          <a:off x="7127560" y="3060916"/>
                          <a:ext cx="175012" cy="1310"/>
                        </a:xfrm>
                        <a:prstGeom prst="line">
                          <a:avLst/>
                        </a:prstGeom>
                        <a:ln>
                          <a:solidFill>
                            <a:srgbClr val="FF0000"/>
                          </a:solidFill>
                        </a:ln>
                      </xdr:spPr>
                      <xdr:style>
                        <a:lnRef idx="3">
                          <a:schemeClr val="accent2"/>
                        </a:lnRef>
                        <a:fillRef idx="0">
                          <a:schemeClr val="accent2"/>
                        </a:fillRef>
                        <a:effectRef idx="2">
                          <a:schemeClr val="accent2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cxnSp macro="">
                  <xdr:nvCxnSpPr>
                    <xdr:cNvPr id="105" name="Straight Arrow Connector 104"/>
                    <xdr:cNvCxnSpPr/>
                  </xdr:nvCxnSpPr>
                  <xdr:spPr>
                    <a:xfrm>
                      <a:off x="7597147" y="3647804"/>
                      <a:ext cx="2654554" cy="271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8" name="Straight Arrow Connector 17"/>
                    <xdr:cNvCxnSpPr/>
                  </xdr:nvCxnSpPr>
                  <xdr:spPr>
                    <a:xfrm flipH="1" flipV="1">
                      <a:off x="3641912" y="3641913"/>
                      <a:ext cx="4013378" cy="5891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Arrow Connector 21"/>
                    <xdr:cNvCxnSpPr/>
                  </xdr:nvCxnSpPr>
                  <xdr:spPr>
                    <a:xfrm flipH="1">
                      <a:off x="974913" y="3641912"/>
                      <a:ext cx="2678205" cy="0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30" name="Straight Connector 29"/>
                  <xdr:cNvCxnSpPr/>
                </xdr:nvCxnSpPr>
                <xdr:spPr>
                  <a:xfrm flipV="1">
                    <a:off x="3641912" y="3675529"/>
                    <a:ext cx="0" cy="1792943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6" name="Straight Connector 45"/>
                  <xdr:cNvCxnSpPr/>
                </xdr:nvCxnSpPr>
                <xdr:spPr>
                  <a:xfrm flipV="1">
                    <a:off x="851647" y="3843619"/>
                    <a:ext cx="6757147" cy="22411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</xdr:grpSp>
    <xdr:clientData/>
  </xdr:twoCellAnchor>
  <xdr:twoCellAnchor>
    <xdr:from>
      <xdr:col>43</xdr:col>
      <xdr:colOff>19049</xdr:colOff>
      <xdr:row>15</xdr:row>
      <xdr:rowOff>104774</xdr:rowOff>
    </xdr:from>
    <xdr:to>
      <xdr:col>64</xdr:col>
      <xdr:colOff>0</xdr:colOff>
      <xdr:row>16</xdr:row>
      <xdr:rowOff>142875</xdr:rowOff>
    </xdr:to>
    <xdr:sp macro="" textlink="$AD$34">
      <xdr:nvSpPr>
        <xdr:cNvPr id="2" name="TextBox 1"/>
        <xdr:cNvSpPr txBox="1"/>
      </xdr:nvSpPr>
      <xdr:spPr>
        <a:xfrm>
          <a:off x="4114165" y="2971165"/>
          <a:ext cx="2019935" cy="2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41F568-351E-4A88-BA08-5419E6EE94A1}" type="TxLink">
            <a:rPr lang="en-US" sz="1100" b="1" i="0" u="none" strike="noStrike">
              <a:solidFill>
                <a:srgbClr val="FF0000"/>
              </a:solidFill>
              <a:latin typeface="Calibri" panose="020F0502020204030204"/>
              <a:cs typeface="Calibri" panose="020F0502020204030204"/>
            </a:rPr>
            <a:pPr algn="ctr"/>
            <a:t>MẶT CẮT 1-1</a:t>
          </a:fld>
          <a:endParaRPr lang="en-US" sz="1100" b="1" i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98</xdr:row>
      <xdr:rowOff>180975</xdr:rowOff>
    </xdr:from>
    <xdr:to>
      <xdr:col>75</xdr:col>
      <xdr:colOff>37602</xdr:colOff>
      <xdr:row>113</xdr:row>
      <xdr:rowOff>133350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859500"/>
          <a:ext cx="7219315" cy="2809875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0.2888</cdr:x>
      <cdr:y>0.90282</cdr:y>
    </cdr:from>
    <cdr:to>
      <cdr:x>0.56393</cdr:x>
      <cdr:y>0.98418</cdr:y>
    </cdr:to>
    <cdr:sp macro="" textlink="CauThang!$AD$33">
      <cdr:nvSpPr>
        <cdr:cNvPr id="2" name="Rectangle 1"/>
        <cdr:cNvSpPr/>
      </cdr:nvSpPr>
      <cdr:spPr>
        <a:xfrm xmlns:a="http://schemas.openxmlformats.org/drawingml/2006/main">
          <a:off x="2079625" y="2536825"/>
          <a:ext cx="1981201" cy="2286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B1F2D52-EF0B-4E72-89F3-59B64F52CEC2}" type="TxLink">
            <a:rPr lang="en-US" sz="1100" b="1" i="0" u="none" strike="noStrike">
              <a:solidFill>
                <a:sysClr val="windowText" lastClr="000000"/>
              </a:solidFill>
              <a:latin typeface="Calibri" panose="020F0502020204030204"/>
              <a:cs typeface="Calibri" panose="020F0502020204030204"/>
            </a:rPr>
            <a:pPr algn="ctr"/>
            <a:t>THANG T1-T2</a:t>
          </a:fld>
          <a:endParaRPr lang="en-US" sz="1100" b="1" i="0">
            <a:solidFill>
              <a:sysClr val="windowText" lastClr="00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hyperlink" Target="https://www.youtube.com/channel/UCsI6J-lc4bszNC9fgsmQ6gQ/playlists" TargetMode="Externa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K83"/>
  <sheetViews>
    <sheetView topLeftCell="P1" workbookViewId="0">
      <selection activeCell="AP8" sqref="AP8"/>
    </sheetView>
  </sheetViews>
  <sheetFormatPr defaultColWidth="9" defaultRowHeight="15" outlineLevelCol="1"/>
  <cols>
    <col min="1" max="1" width="11.42578125" customWidth="1"/>
    <col min="2" max="2" width="4.85546875" customWidth="1"/>
    <col min="3" max="4" width="5.5703125" customWidth="1"/>
    <col min="5" max="5" width="5" customWidth="1"/>
    <col min="6" max="6" width="6" customWidth="1"/>
    <col min="7" max="7" width="4.5703125" customWidth="1"/>
    <col min="8" max="8" width="4.85546875" customWidth="1"/>
    <col min="9" max="9" width="4.5703125" customWidth="1"/>
    <col min="10" max="11" width="5.5703125" customWidth="1"/>
    <col min="12" max="12" width="7.28515625" customWidth="1"/>
    <col min="14" max="14" width="9.5703125" customWidth="1"/>
    <col min="15" max="18" width="5" customWidth="1"/>
    <col min="19" max="19" width="4.5703125" style="92" customWidth="1"/>
    <col min="20" max="20" width="7" customWidth="1"/>
    <col min="22" max="22" width="5.28515625" hidden="1" customWidth="1" outlineLevel="1"/>
    <col min="23" max="23" width="7" hidden="1" customWidth="1" outlineLevel="1"/>
    <col min="24" max="29" width="9.140625" hidden="1" customWidth="1" outlineLevel="1"/>
    <col min="30" max="30" width="7.140625" customWidth="1" collapsed="1"/>
    <col min="31" max="31" width="5.5703125" customWidth="1"/>
    <col min="32" max="39" width="4.5703125" customWidth="1"/>
    <col min="40" max="40" width="5.5703125" customWidth="1"/>
    <col min="41" max="41" width="9.140625" customWidth="1"/>
    <col min="42" max="42" width="8" customWidth="1"/>
    <col min="43" max="43" width="5.5703125" customWidth="1"/>
    <col min="44" max="44" width="3.5703125" customWidth="1"/>
    <col min="45" max="45" width="4.5703125" customWidth="1"/>
    <col min="46" max="47" width="5.5703125" customWidth="1"/>
    <col min="48" max="48" width="9.140625" customWidth="1"/>
    <col min="49" max="49" width="9.28515625" customWidth="1"/>
    <col min="50" max="50" width="9.140625" customWidth="1"/>
    <col min="51" max="51" width="9.140625" style="93" customWidth="1"/>
    <col min="52" max="52" width="9.140625" style="93"/>
    <col min="53" max="53" width="9" style="94" customWidth="1"/>
    <col min="54" max="54" width="3.28515625" style="94" customWidth="1"/>
    <col min="55" max="55" width="3" style="94" customWidth="1"/>
    <col min="56" max="57" width="2" style="94" customWidth="1"/>
    <col min="58" max="60" width="3" style="94" customWidth="1"/>
    <col min="61" max="63" width="6.5703125" style="94"/>
  </cols>
  <sheetData>
    <row r="1" spans="1:63" ht="15" customHeight="1">
      <c r="A1" s="150" t="s">
        <v>0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N1" s="150" t="s">
        <v>1</v>
      </c>
      <c r="O1" s="150"/>
      <c r="P1" s="150"/>
      <c r="Q1" s="150"/>
      <c r="R1" s="150"/>
      <c r="S1" s="150"/>
      <c r="T1" s="150"/>
      <c r="V1" s="151" t="s">
        <v>2</v>
      </c>
      <c r="W1" s="151"/>
      <c r="X1" s="151"/>
      <c r="AD1" s="96"/>
      <c r="AE1" s="154" t="s">
        <v>3</v>
      </c>
      <c r="AF1" s="154"/>
      <c r="AG1" s="154"/>
      <c r="AH1" s="154"/>
      <c r="AI1" s="154"/>
      <c r="AJ1" s="154"/>
      <c r="AK1" s="154"/>
      <c r="AL1" s="154"/>
      <c r="AM1" s="154"/>
      <c r="AN1" s="154"/>
      <c r="AP1" s="97"/>
      <c r="AQ1" s="155" t="s">
        <v>4</v>
      </c>
      <c r="AR1" s="156"/>
      <c r="AS1" s="156"/>
      <c r="AT1" s="156"/>
      <c r="AU1" s="156"/>
      <c r="AV1" s="156"/>
      <c r="AW1" s="156"/>
      <c r="AX1" s="157"/>
      <c r="AY1" s="98"/>
      <c r="AZ1" s="98"/>
      <c r="BA1" s="96"/>
      <c r="BB1" s="153" t="s">
        <v>5</v>
      </c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3" ht="15" customHeight="1">
      <c r="A2" s="99"/>
      <c r="B2" s="100" t="s">
        <v>6</v>
      </c>
      <c r="C2" s="99" t="s">
        <v>7</v>
      </c>
      <c r="D2" s="100" t="s">
        <v>8</v>
      </c>
      <c r="E2" s="100" t="s">
        <v>9</v>
      </c>
      <c r="F2" s="99" t="s">
        <v>10</v>
      </c>
      <c r="G2" s="101" t="s">
        <v>11</v>
      </c>
      <c r="H2" s="102" t="s">
        <v>12</v>
      </c>
      <c r="I2" s="103" t="s">
        <v>13</v>
      </c>
      <c r="J2" s="103" t="s">
        <v>14</v>
      </c>
      <c r="K2" s="104" t="s">
        <v>15</v>
      </c>
      <c r="L2" s="104" t="s">
        <v>16</v>
      </c>
      <c r="N2" s="152" t="s">
        <v>17</v>
      </c>
      <c r="O2" s="100" t="s">
        <v>18</v>
      </c>
      <c r="P2" s="100" t="s">
        <v>19</v>
      </c>
      <c r="Q2" s="100" t="s">
        <v>20</v>
      </c>
      <c r="R2" s="100" t="s">
        <v>21</v>
      </c>
      <c r="S2" s="101" t="s">
        <v>22</v>
      </c>
      <c r="T2" s="105" t="s">
        <v>23</v>
      </c>
      <c r="V2" s="106" t="s">
        <v>24</v>
      </c>
      <c r="W2" s="95" t="e">
        <f>VLOOKUP(DATABEAM!C1,TongHopDL!A:J,8,FALSE)</f>
        <v>#N/A</v>
      </c>
      <c r="X2" s="95"/>
      <c r="AD2" s="107" t="s">
        <v>25</v>
      </c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P2" s="97" t="s">
        <v>25</v>
      </c>
      <c r="AQ2" s="158"/>
      <c r="AR2" s="159"/>
      <c r="AS2" s="159"/>
      <c r="AT2" s="159"/>
      <c r="AU2" s="159"/>
      <c r="AV2" s="159"/>
      <c r="AW2" s="159"/>
      <c r="AX2" s="160"/>
      <c r="AY2" s="98"/>
      <c r="AZ2" s="98"/>
      <c r="BA2" s="96" t="s">
        <v>26</v>
      </c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3" ht="15" customHeight="1">
      <c r="A3" s="99" t="s">
        <v>27</v>
      </c>
      <c r="B3" s="108" t="s">
        <v>28</v>
      </c>
      <c r="C3" s="99" t="s">
        <v>29</v>
      </c>
      <c r="D3" s="99" t="s">
        <v>29</v>
      </c>
      <c r="E3" s="99" t="s">
        <v>29</v>
      </c>
      <c r="F3" s="99" t="s">
        <v>29</v>
      </c>
      <c r="G3" s="109"/>
      <c r="H3" s="110" t="s">
        <v>28</v>
      </c>
      <c r="I3" s="110"/>
      <c r="J3" s="110"/>
      <c r="K3" s="104" t="s">
        <v>29</v>
      </c>
      <c r="L3" s="104" t="s">
        <v>29</v>
      </c>
      <c r="N3" s="152"/>
      <c r="O3" s="99" t="s">
        <v>29</v>
      </c>
      <c r="P3" s="99" t="s">
        <v>29</v>
      </c>
      <c r="Q3" s="99" t="s">
        <v>29</v>
      </c>
      <c r="R3" s="99" t="s">
        <v>29</v>
      </c>
      <c r="S3" s="109" t="s">
        <v>30</v>
      </c>
      <c r="T3" s="111" t="s">
        <v>29</v>
      </c>
      <c r="V3" s="112" t="s">
        <v>13</v>
      </c>
      <c r="W3" s="95" t="e">
        <f>VLOOKUP(DATABEAM!C1,TongHopDL!A:J,9,FALSE)</f>
        <v>#N/A</v>
      </c>
      <c r="X3" s="95"/>
      <c r="AD3" s="113" t="s">
        <v>30</v>
      </c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P3" s="97" t="s">
        <v>30</v>
      </c>
      <c r="AQ3" s="161"/>
      <c r="AR3" s="162"/>
      <c r="AS3" s="162"/>
      <c r="AT3" s="162"/>
      <c r="AU3" s="162"/>
      <c r="AV3" s="162"/>
      <c r="AW3" s="162"/>
      <c r="AX3" s="163"/>
      <c r="AY3" s="98"/>
      <c r="AZ3" s="98"/>
      <c r="BA3" s="113" t="s">
        <v>31</v>
      </c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3">
      <c r="A4" s="114" t="s">
        <v>32</v>
      </c>
      <c r="B4" s="115">
        <v>15</v>
      </c>
      <c r="C4" s="116">
        <v>11</v>
      </c>
      <c r="D4" s="116">
        <v>8.5</v>
      </c>
      <c r="E4" s="116">
        <v>0.75</v>
      </c>
      <c r="F4" s="117">
        <v>24000</v>
      </c>
      <c r="G4" s="116">
        <v>1</v>
      </c>
      <c r="H4" s="118">
        <v>400</v>
      </c>
      <c r="I4" s="119">
        <v>0.85</v>
      </c>
      <c r="J4" s="120">
        <f>I4-0.008*D4*G4</f>
        <v>0.78200000000000003</v>
      </c>
      <c r="K4" s="119">
        <v>16.27</v>
      </c>
      <c r="L4" s="121">
        <v>1.1000000000000001</v>
      </c>
      <c r="N4" s="122" t="s">
        <v>33</v>
      </c>
      <c r="O4" s="122">
        <v>235</v>
      </c>
      <c r="P4" s="122">
        <v>225</v>
      </c>
      <c r="Q4" s="122">
        <v>225</v>
      </c>
      <c r="R4" s="122">
        <v>175</v>
      </c>
      <c r="S4" s="123">
        <f>O4/P4</f>
        <v>1.0444444444444401</v>
      </c>
      <c r="T4" s="122">
        <v>210000</v>
      </c>
      <c r="V4" s="124" t="s">
        <v>14</v>
      </c>
      <c r="W4" s="95" t="e">
        <f>VLOOKUP(DATABEAM!C1,TongHopDL!A:J,10,FALSE)</f>
        <v>#N/A</v>
      </c>
      <c r="X4" s="95"/>
      <c r="AD4" s="125">
        <v>1</v>
      </c>
      <c r="AE4" s="125" t="s">
        <v>34</v>
      </c>
      <c r="AF4" s="125"/>
      <c r="AG4" s="125"/>
      <c r="AH4" s="125"/>
      <c r="AI4" s="125"/>
      <c r="AJ4" s="125"/>
      <c r="AK4" s="125"/>
      <c r="AL4" s="125"/>
      <c r="AM4" s="125"/>
      <c r="AN4" s="125"/>
      <c r="AP4" s="125">
        <v>1</v>
      </c>
      <c r="AQ4" s="125" t="s">
        <v>34</v>
      </c>
      <c r="AR4" s="125"/>
      <c r="AS4" s="125"/>
      <c r="AT4" s="125"/>
      <c r="AU4" s="125"/>
      <c r="AV4" s="125"/>
      <c r="AW4" s="125"/>
      <c r="AX4" s="125"/>
      <c r="AY4" s="126"/>
      <c r="AZ4" s="126"/>
      <c r="BA4" s="127">
        <v>140</v>
      </c>
      <c r="BB4" s="127" t="s">
        <v>35</v>
      </c>
      <c r="BC4" s="127">
        <v>1</v>
      </c>
      <c r="BD4" s="127"/>
      <c r="BE4" s="127"/>
      <c r="BF4" s="127"/>
      <c r="BG4" s="127"/>
      <c r="BH4" s="128"/>
      <c r="BI4" s="128"/>
      <c r="BJ4" s="128"/>
      <c r="BK4" s="128"/>
    </row>
    <row r="5" spans="1:63">
      <c r="A5" s="114" t="s">
        <v>36</v>
      </c>
      <c r="B5" s="115">
        <v>20</v>
      </c>
      <c r="C5" s="116">
        <v>15</v>
      </c>
      <c r="D5" s="116">
        <v>11.5</v>
      </c>
      <c r="E5" s="116">
        <v>0.9</v>
      </c>
      <c r="F5" s="117">
        <v>27500</v>
      </c>
      <c r="G5" s="116">
        <v>1</v>
      </c>
      <c r="H5" s="118">
        <v>400</v>
      </c>
      <c r="I5" s="119">
        <v>0.85</v>
      </c>
      <c r="J5" s="120">
        <f t="shared" ref="J5:J11" si="0">I5-0.008*D5*G5</f>
        <v>0.75800000000000001</v>
      </c>
      <c r="K5" s="119">
        <v>22.69</v>
      </c>
      <c r="L5" s="121">
        <v>1.35</v>
      </c>
      <c r="N5" s="122" t="s">
        <v>37</v>
      </c>
      <c r="O5" s="122">
        <v>295</v>
      </c>
      <c r="P5" s="122">
        <v>280</v>
      </c>
      <c r="Q5" s="122">
        <v>280</v>
      </c>
      <c r="R5" s="122">
        <v>225</v>
      </c>
      <c r="S5" s="123">
        <f t="shared" ref="S5:S17" si="1">O5/P5</f>
        <v>1.0535714285714299</v>
      </c>
      <c r="T5" s="122">
        <v>200000</v>
      </c>
      <c r="V5" s="112" t="s">
        <v>38</v>
      </c>
      <c r="W5" s="95" t="e">
        <f>VLOOKUP(DATABEAM!C1,TongHopDL!A:J,7,FALSE)</f>
        <v>#N/A</v>
      </c>
      <c r="X5" s="95"/>
      <c r="AD5" s="125">
        <v>1</v>
      </c>
      <c r="AE5" s="125" t="s">
        <v>39</v>
      </c>
      <c r="AF5" s="125"/>
      <c r="AG5" s="125"/>
      <c r="AH5" s="125"/>
      <c r="AI5" s="125"/>
      <c r="AJ5" s="125"/>
      <c r="AK5" s="125"/>
      <c r="AL5" s="125"/>
      <c r="AM5" s="125"/>
      <c r="AN5" s="125"/>
      <c r="AP5" s="125">
        <v>1</v>
      </c>
      <c r="AQ5" s="125" t="s">
        <v>39</v>
      </c>
      <c r="AR5" s="125" t="s">
        <v>40</v>
      </c>
      <c r="AS5" s="125"/>
      <c r="AT5" s="125"/>
      <c r="AU5" s="125"/>
      <c r="AV5" s="125"/>
      <c r="AW5" s="125"/>
      <c r="AX5" s="125"/>
      <c r="AY5" s="126"/>
      <c r="AZ5" s="126"/>
      <c r="BA5" s="127">
        <v>140</v>
      </c>
      <c r="BB5" s="127" t="s">
        <v>41</v>
      </c>
      <c r="BC5" s="127">
        <v>1</v>
      </c>
      <c r="BD5" s="127"/>
      <c r="BE5" s="127"/>
      <c r="BF5" s="127"/>
      <c r="BG5" s="127"/>
      <c r="BH5" s="128"/>
      <c r="BI5" s="128"/>
      <c r="BJ5" s="128"/>
      <c r="BK5" s="128"/>
    </row>
    <row r="6" spans="1:63">
      <c r="A6" s="114" t="s">
        <v>42</v>
      </c>
      <c r="B6" s="115">
        <v>22.5</v>
      </c>
      <c r="C6" s="116">
        <v>16.75</v>
      </c>
      <c r="D6" s="116">
        <v>13</v>
      </c>
      <c r="E6" s="116">
        <v>1</v>
      </c>
      <c r="F6" s="117">
        <v>29000</v>
      </c>
      <c r="G6" s="116">
        <v>1</v>
      </c>
      <c r="H6" s="118">
        <v>400</v>
      </c>
      <c r="I6" s="119">
        <v>0.85</v>
      </c>
      <c r="J6" s="120">
        <f t="shared" si="0"/>
        <v>0.746</v>
      </c>
      <c r="K6" s="119">
        <v>25.9</v>
      </c>
      <c r="L6" s="121">
        <v>1.5</v>
      </c>
      <c r="N6" s="122" t="s">
        <v>43</v>
      </c>
      <c r="O6" s="122">
        <v>390</v>
      </c>
      <c r="P6" s="122">
        <v>365</v>
      </c>
      <c r="Q6" s="122">
        <v>365</v>
      </c>
      <c r="R6" s="122">
        <v>290</v>
      </c>
      <c r="S6" s="123">
        <f t="shared" si="1"/>
        <v>1.06849315068493</v>
      </c>
      <c r="T6" s="122">
        <v>200000</v>
      </c>
      <c r="V6" s="112" t="s">
        <v>44</v>
      </c>
      <c r="W6" s="95" t="e">
        <f>VLOOKUP(DATABEAM!C1,TongHopDL!A:J,4,FALSE)</f>
        <v>#N/A</v>
      </c>
      <c r="X6" s="95"/>
      <c r="AD6" s="129">
        <v>2</v>
      </c>
      <c r="AE6" s="129" t="s">
        <v>34</v>
      </c>
      <c r="AF6" s="130"/>
      <c r="AG6" s="130"/>
      <c r="AH6" s="130"/>
      <c r="AI6" s="130"/>
      <c r="AJ6" s="130"/>
      <c r="AK6" s="130"/>
      <c r="AL6" s="130"/>
      <c r="AM6" s="130"/>
      <c r="AN6" s="130"/>
      <c r="AP6" s="129">
        <v>2</v>
      </c>
      <c r="AQ6" s="129" t="s">
        <v>34</v>
      </c>
      <c r="AR6" s="130"/>
      <c r="AS6" s="130"/>
      <c r="AT6" s="130"/>
      <c r="AU6" s="130"/>
      <c r="AV6" s="130"/>
      <c r="AW6" s="130"/>
      <c r="AX6" s="130"/>
      <c r="AY6" s="126"/>
      <c r="AZ6" s="126"/>
      <c r="BA6" s="131">
        <v>150</v>
      </c>
      <c r="BB6" s="131" t="s">
        <v>35</v>
      </c>
      <c r="BC6" s="131">
        <v>2</v>
      </c>
      <c r="BD6" s="131"/>
      <c r="BE6" s="131"/>
      <c r="BF6" s="131"/>
      <c r="BG6" s="131"/>
      <c r="BH6" s="132"/>
      <c r="BI6" s="132"/>
      <c r="BJ6" s="132"/>
      <c r="BK6" s="132"/>
    </row>
    <row r="7" spans="1:63">
      <c r="A7" s="114" t="s">
        <v>45</v>
      </c>
      <c r="B7" s="115">
        <v>25</v>
      </c>
      <c r="C7" s="116">
        <v>18.5</v>
      </c>
      <c r="D7" s="116">
        <v>14.5</v>
      </c>
      <c r="E7" s="116">
        <v>1.05</v>
      </c>
      <c r="F7" s="117">
        <v>30000</v>
      </c>
      <c r="G7" s="116">
        <v>1</v>
      </c>
      <c r="H7" s="118">
        <v>400</v>
      </c>
      <c r="I7" s="119">
        <v>0.85</v>
      </c>
      <c r="J7" s="120">
        <f t="shared" si="0"/>
        <v>0.73399999999999999</v>
      </c>
      <c r="K7" s="119">
        <v>29.11</v>
      </c>
      <c r="L7" s="121">
        <v>1.55</v>
      </c>
      <c r="N7" s="133" t="s">
        <v>46</v>
      </c>
      <c r="O7" s="134">
        <v>235</v>
      </c>
      <c r="P7" s="133">
        <v>225</v>
      </c>
      <c r="Q7" s="133">
        <v>225</v>
      </c>
      <c r="R7" s="133">
        <v>175</v>
      </c>
      <c r="S7" s="135">
        <f t="shared" si="1"/>
        <v>1.0444444444444401</v>
      </c>
      <c r="T7" s="136">
        <v>210000</v>
      </c>
      <c r="V7" s="137" t="s">
        <v>47</v>
      </c>
      <c r="W7" s="95" t="e">
        <f>VLOOKUP(DATABEAM!C1,TongHopDL!A:J,5,FALSE)</f>
        <v>#N/A</v>
      </c>
      <c r="X7" s="95"/>
      <c r="AD7" s="129">
        <v>2</v>
      </c>
      <c r="AE7" s="129" t="s">
        <v>39</v>
      </c>
      <c r="AF7" s="130"/>
      <c r="AG7" s="130"/>
      <c r="AH7" s="130"/>
      <c r="AI7" s="130"/>
      <c r="AJ7" s="130"/>
      <c r="AK7" s="130"/>
      <c r="AL7" s="130"/>
      <c r="AM7" s="130"/>
      <c r="AN7" s="130"/>
      <c r="AP7" s="129">
        <v>2</v>
      </c>
      <c r="AQ7" s="129" t="s">
        <v>39</v>
      </c>
      <c r="AR7" s="130"/>
      <c r="AS7" s="130"/>
      <c r="AT7" s="130"/>
      <c r="AU7" s="130"/>
      <c r="AV7" s="130"/>
      <c r="AW7" s="130"/>
      <c r="AX7" s="130"/>
      <c r="AY7" s="126"/>
      <c r="AZ7" s="126"/>
      <c r="BA7" s="131">
        <v>150</v>
      </c>
      <c r="BB7" s="131" t="s">
        <v>41</v>
      </c>
      <c r="BC7" s="131">
        <v>2</v>
      </c>
      <c r="BD7" s="131"/>
      <c r="BE7" s="131"/>
      <c r="BF7" s="131"/>
      <c r="BG7" s="131"/>
      <c r="BH7" s="132"/>
      <c r="BI7" s="132"/>
      <c r="BJ7" s="132"/>
      <c r="BK7" s="132"/>
    </row>
    <row r="8" spans="1:63">
      <c r="A8" s="114" t="s">
        <v>48</v>
      </c>
      <c r="B8" s="115">
        <v>30</v>
      </c>
      <c r="C8" s="116">
        <v>22</v>
      </c>
      <c r="D8" s="116">
        <v>17</v>
      </c>
      <c r="E8" s="138">
        <v>1.1499999999999999</v>
      </c>
      <c r="F8" s="117">
        <v>32500</v>
      </c>
      <c r="G8" s="116">
        <v>1</v>
      </c>
      <c r="H8" s="118">
        <v>400</v>
      </c>
      <c r="I8" s="119">
        <v>0.85</v>
      </c>
      <c r="J8" s="120">
        <f t="shared" si="0"/>
        <v>0.71399999999999997</v>
      </c>
      <c r="K8" s="119">
        <v>35.53</v>
      </c>
      <c r="L8" s="121">
        <v>1.75</v>
      </c>
      <c r="N8" s="133" t="s">
        <v>49</v>
      </c>
      <c r="O8" s="134">
        <v>295</v>
      </c>
      <c r="P8" s="133">
        <v>280</v>
      </c>
      <c r="Q8" s="133">
        <v>280</v>
      </c>
      <c r="R8" s="133">
        <v>225</v>
      </c>
      <c r="S8" s="135">
        <f t="shared" si="1"/>
        <v>1.0535714285714299</v>
      </c>
      <c r="T8" s="136">
        <v>200000</v>
      </c>
      <c r="V8" s="139" t="s">
        <v>10</v>
      </c>
      <c r="W8" s="139" t="e">
        <f>VLOOKUP(DATABEAM!C1,TongHopDL!A:J,6,FALSE)</f>
        <v>#N/A</v>
      </c>
      <c r="X8" s="95"/>
      <c r="AD8" s="140">
        <v>3</v>
      </c>
      <c r="AE8" s="140" t="s">
        <v>34</v>
      </c>
      <c r="AF8" s="125"/>
      <c r="AG8" s="125"/>
      <c r="AH8" s="125"/>
      <c r="AI8" s="125"/>
      <c r="AJ8" s="125"/>
      <c r="AK8" s="125"/>
      <c r="AL8" s="125"/>
      <c r="AM8" s="125"/>
      <c r="AN8" s="125"/>
      <c r="AP8" s="140">
        <v>3</v>
      </c>
      <c r="AQ8" s="140" t="s">
        <v>34</v>
      </c>
      <c r="AR8" s="125"/>
      <c r="AS8" s="125"/>
      <c r="AT8" s="125"/>
      <c r="AU8" s="125"/>
      <c r="AV8" s="125"/>
      <c r="AW8" s="125"/>
      <c r="AX8" s="125"/>
      <c r="AY8" s="126"/>
      <c r="AZ8" s="126"/>
      <c r="BA8" s="127">
        <v>250</v>
      </c>
      <c r="BB8" s="127" t="s">
        <v>35</v>
      </c>
      <c r="BC8" s="127">
        <v>2</v>
      </c>
      <c r="BD8" s="127"/>
      <c r="BE8" s="127"/>
      <c r="BF8" s="127"/>
      <c r="BG8" s="127"/>
      <c r="BH8" s="128"/>
      <c r="BI8" s="128"/>
      <c r="BJ8" s="128"/>
      <c r="BK8" s="128"/>
    </row>
    <row r="9" spans="1:63">
      <c r="A9" s="114" t="s">
        <v>50</v>
      </c>
      <c r="B9" s="115">
        <v>35</v>
      </c>
      <c r="C9" s="116">
        <v>25.5</v>
      </c>
      <c r="D9" s="116">
        <v>19.5</v>
      </c>
      <c r="E9" s="116">
        <v>1.3</v>
      </c>
      <c r="F9" s="117">
        <v>34500</v>
      </c>
      <c r="G9" s="116">
        <v>1</v>
      </c>
      <c r="H9" s="118">
        <v>400</v>
      </c>
      <c r="I9" s="119">
        <v>0.85</v>
      </c>
      <c r="J9" s="120">
        <f t="shared" si="0"/>
        <v>0.69399999999999995</v>
      </c>
      <c r="K9" s="119">
        <v>41.95</v>
      </c>
      <c r="L9" s="121">
        <v>1.95</v>
      </c>
      <c r="N9" s="133" t="s">
        <v>51</v>
      </c>
      <c r="O9" s="134">
        <v>390</v>
      </c>
      <c r="P9" s="133">
        <v>365</v>
      </c>
      <c r="Q9" s="133">
        <v>365</v>
      </c>
      <c r="R9" s="133">
        <v>290</v>
      </c>
      <c r="S9" s="135">
        <f t="shared" si="1"/>
        <v>1.06849315068493</v>
      </c>
      <c r="T9" s="136">
        <v>200000</v>
      </c>
      <c r="V9" s="112" t="s">
        <v>15</v>
      </c>
      <c r="W9" s="112" t="e">
        <f>VLOOKUP(DATABEAM!$C$1,TongHopDL!A:K,11,FALSE)</f>
        <v>#N/A</v>
      </c>
      <c r="X9" s="95"/>
      <c r="AD9" s="140">
        <v>3</v>
      </c>
      <c r="AE9" s="140" t="s">
        <v>39</v>
      </c>
      <c r="AF9" s="140">
        <v>2</v>
      </c>
      <c r="AG9" s="125"/>
      <c r="AH9" s="125"/>
      <c r="AI9" s="125"/>
      <c r="AJ9" s="125"/>
      <c r="AK9" s="125"/>
      <c r="AL9" s="125"/>
      <c r="AM9" s="125"/>
      <c r="AN9" s="125"/>
      <c r="AP9" s="140">
        <v>3</v>
      </c>
      <c r="AQ9" s="140" t="s">
        <v>39</v>
      </c>
      <c r="AR9" s="125"/>
      <c r="AS9" s="125"/>
      <c r="AT9" s="125"/>
      <c r="AU9" s="125"/>
      <c r="AV9" s="125"/>
      <c r="AW9" s="125"/>
      <c r="AX9" s="125"/>
      <c r="AY9" s="126"/>
      <c r="AZ9" s="126"/>
      <c r="BA9" s="127">
        <v>250</v>
      </c>
      <c r="BB9" s="127" t="s">
        <v>41</v>
      </c>
      <c r="BC9" s="127">
        <v>2</v>
      </c>
      <c r="BD9" s="127"/>
      <c r="BE9" s="127"/>
      <c r="BF9" s="127"/>
      <c r="BG9" s="127"/>
      <c r="BH9" s="128"/>
      <c r="BI9" s="128"/>
      <c r="BJ9" s="128"/>
      <c r="BK9" s="128"/>
    </row>
    <row r="10" spans="1:63">
      <c r="A10" s="114" t="s">
        <v>52</v>
      </c>
      <c r="B10" s="115">
        <v>40</v>
      </c>
      <c r="C10" s="116">
        <v>29</v>
      </c>
      <c r="D10" s="116">
        <v>22</v>
      </c>
      <c r="E10" s="116">
        <v>1.4</v>
      </c>
      <c r="F10" s="117">
        <v>36000</v>
      </c>
      <c r="G10" s="116">
        <v>1</v>
      </c>
      <c r="H10" s="118">
        <v>500</v>
      </c>
      <c r="I10" s="119">
        <v>0.85</v>
      </c>
      <c r="J10" s="120">
        <f t="shared" si="0"/>
        <v>0.67400000000000004</v>
      </c>
      <c r="K10" s="119">
        <v>48.37</v>
      </c>
      <c r="L10" s="121">
        <v>2.1</v>
      </c>
      <c r="N10" s="122" t="s">
        <v>53</v>
      </c>
      <c r="O10" s="141">
        <v>240</v>
      </c>
      <c r="P10" s="122">
        <v>210</v>
      </c>
      <c r="Q10" s="122">
        <v>210</v>
      </c>
      <c r="R10" s="122">
        <v>170</v>
      </c>
      <c r="S10" s="123">
        <f t="shared" si="1"/>
        <v>1.1428571428571399</v>
      </c>
      <c r="T10" s="122">
        <v>210000</v>
      </c>
      <c r="V10" s="17"/>
      <c r="W10" s="17"/>
      <c r="X10" s="17"/>
      <c r="AD10" s="129">
        <v>4</v>
      </c>
      <c r="AE10" s="129" t="s">
        <v>34</v>
      </c>
      <c r="AF10" s="130" t="s">
        <v>54</v>
      </c>
      <c r="AG10" s="130"/>
      <c r="AH10" s="130"/>
      <c r="AI10" s="130"/>
      <c r="AJ10" s="130"/>
      <c r="AK10" s="130"/>
      <c r="AL10" s="130"/>
      <c r="AM10" s="130"/>
      <c r="AN10" s="130"/>
      <c r="AP10" s="129">
        <v>4</v>
      </c>
      <c r="AQ10" s="129" t="s">
        <v>34</v>
      </c>
      <c r="AR10" s="130"/>
      <c r="AS10" s="130"/>
      <c r="AT10" s="130"/>
      <c r="AU10" s="130"/>
      <c r="AV10" s="130"/>
      <c r="AW10" s="130"/>
      <c r="AX10" s="130"/>
      <c r="AY10" s="126"/>
      <c r="AZ10" s="126"/>
      <c r="BA10" s="131">
        <v>260</v>
      </c>
      <c r="BB10" s="131" t="s">
        <v>35</v>
      </c>
      <c r="BC10" s="131">
        <v>3</v>
      </c>
      <c r="BD10" s="131"/>
      <c r="BE10" s="131"/>
      <c r="BF10" s="131"/>
      <c r="BG10" s="131"/>
      <c r="BH10" s="132"/>
      <c r="BI10" s="132"/>
      <c r="BJ10" s="132"/>
      <c r="BK10" s="132"/>
    </row>
    <row r="11" spans="1:63">
      <c r="A11" s="114" t="s">
        <v>55</v>
      </c>
      <c r="B11" s="115">
        <v>45</v>
      </c>
      <c r="C11" s="116">
        <v>32</v>
      </c>
      <c r="D11" s="116">
        <v>25</v>
      </c>
      <c r="E11" s="138">
        <v>1.5</v>
      </c>
      <c r="F11" s="117">
        <v>37500</v>
      </c>
      <c r="G11" s="116">
        <v>1</v>
      </c>
      <c r="H11" s="118">
        <v>600</v>
      </c>
      <c r="I11" s="119">
        <v>0.85</v>
      </c>
      <c r="J11" s="120">
        <f t="shared" si="0"/>
        <v>0.65</v>
      </c>
      <c r="K11" s="119">
        <v>54.8</v>
      </c>
      <c r="L11" s="121">
        <v>2.25</v>
      </c>
      <c r="N11" s="122" t="s">
        <v>56</v>
      </c>
      <c r="O11" s="141">
        <v>300</v>
      </c>
      <c r="P11" s="122">
        <v>260</v>
      </c>
      <c r="Q11" s="122">
        <v>260</v>
      </c>
      <c r="R11" s="122">
        <v>210</v>
      </c>
      <c r="S11" s="123">
        <f t="shared" si="1"/>
        <v>1.15384615384615</v>
      </c>
      <c r="T11" s="122">
        <v>210000</v>
      </c>
      <c r="V11" s="151" t="s">
        <v>57</v>
      </c>
      <c r="W11" s="151"/>
      <c r="X11" s="151"/>
      <c r="AD11" s="129">
        <v>4</v>
      </c>
      <c r="AE11" s="129" t="s">
        <v>39</v>
      </c>
      <c r="AF11" s="130"/>
      <c r="AG11" s="130"/>
      <c r="AH11" s="130"/>
      <c r="AI11" s="130"/>
      <c r="AJ11" s="130"/>
      <c r="AK11" s="130"/>
      <c r="AL11" s="130"/>
      <c r="AM11" s="130"/>
      <c r="AN11" s="130"/>
      <c r="AP11" s="129">
        <v>4</v>
      </c>
      <c r="AQ11" s="129" t="s">
        <v>39</v>
      </c>
      <c r="AR11" s="130"/>
      <c r="AS11" s="130"/>
      <c r="AT11" s="130"/>
      <c r="AU11" s="130"/>
      <c r="AV11" s="130"/>
      <c r="AW11" s="130"/>
      <c r="AX11" s="130"/>
      <c r="AY11" s="126"/>
      <c r="AZ11" s="126"/>
      <c r="BA11" s="131">
        <v>260</v>
      </c>
      <c r="BB11" s="131" t="s">
        <v>41</v>
      </c>
      <c r="BC11" s="131">
        <v>2</v>
      </c>
      <c r="BD11" s="131">
        <v>3</v>
      </c>
      <c r="BE11" s="131"/>
      <c r="BF11" s="131"/>
      <c r="BG11" s="131"/>
      <c r="BH11" s="132"/>
      <c r="BI11" s="132"/>
      <c r="BJ11" s="132"/>
      <c r="BK11" s="132"/>
    </row>
    <row r="12" spans="1:63">
      <c r="N12" s="122" t="s">
        <v>58</v>
      </c>
      <c r="O12" s="141">
        <v>300</v>
      </c>
      <c r="P12" s="122">
        <v>260</v>
      </c>
      <c r="Q12" s="122">
        <v>260</v>
      </c>
      <c r="R12" s="122">
        <v>210</v>
      </c>
      <c r="S12" s="123">
        <f t="shared" si="1"/>
        <v>1.15384615384615</v>
      </c>
      <c r="T12" s="122">
        <v>210000</v>
      </c>
      <c r="V12" s="112" t="s">
        <v>59</v>
      </c>
      <c r="W12" s="142" t="e">
        <f>VLOOKUP(DATABEAM!C2,TongHopDL!N:T,6,FALSE)</f>
        <v>#N/A</v>
      </c>
      <c r="X12" s="95"/>
      <c r="AD12" s="140">
        <v>5</v>
      </c>
      <c r="AE12" s="140" t="s">
        <v>34</v>
      </c>
      <c r="AF12" s="125" t="s">
        <v>60</v>
      </c>
      <c r="AG12" s="125"/>
      <c r="AH12" s="125"/>
      <c r="AI12" s="125"/>
      <c r="AJ12" s="125"/>
      <c r="AK12" s="125"/>
      <c r="AL12" s="125"/>
      <c r="AM12" s="125"/>
      <c r="AN12" s="125"/>
      <c r="AP12" s="140">
        <v>5</v>
      </c>
      <c r="AQ12" s="140" t="s">
        <v>34</v>
      </c>
      <c r="AR12" s="125"/>
      <c r="AS12" s="125"/>
      <c r="AT12" s="125"/>
      <c r="AU12" s="125"/>
      <c r="AV12" s="125"/>
      <c r="AW12" s="125"/>
      <c r="AX12" s="125"/>
      <c r="AY12" s="126"/>
      <c r="AZ12" s="126"/>
      <c r="BA12" s="127">
        <v>350</v>
      </c>
      <c r="BB12" s="127" t="s">
        <v>35</v>
      </c>
      <c r="BC12" s="127">
        <v>3</v>
      </c>
      <c r="BD12" s="127"/>
      <c r="BE12" s="127"/>
      <c r="BF12" s="127"/>
      <c r="BG12" s="127"/>
      <c r="BH12" s="128"/>
      <c r="BI12" s="128"/>
      <c r="BJ12" s="128"/>
      <c r="BK12" s="128"/>
    </row>
    <row r="13" spans="1:63">
      <c r="N13" s="122" t="s">
        <v>61</v>
      </c>
      <c r="O13" s="141">
        <v>400</v>
      </c>
      <c r="P13" s="122">
        <v>350</v>
      </c>
      <c r="Q13" s="122">
        <v>350</v>
      </c>
      <c r="R13" s="122">
        <v>280</v>
      </c>
      <c r="S13" s="123">
        <f t="shared" si="1"/>
        <v>1.1428571428571399</v>
      </c>
      <c r="T13" s="122">
        <v>200000</v>
      </c>
      <c r="V13" s="112" t="s">
        <v>62</v>
      </c>
      <c r="W13" s="95" t="e">
        <f>VLOOKUP(DATABEAM!C2,TongHopDL!N:T,3,FALSE)</f>
        <v>#N/A</v>
      </c>
      <c r="X13" s="95"/>
      <c r="AD13" s="140">
        <v>5</v>
      </c>
      <c r="AE13" s="140" t="s">
        <v>39</v>
      </c>
      <c r="AF13" s="140">
        <v>3</v>
      </c>
      <c r="AG13" s="125"/>
      <c r="AH13" s="125"/>
      <c r="AI13" s="125"/>
      <c r="AJ13" s="125"/>
      <c r="AK13" s="125"/>
      <c r="AL13" s="125"/>
      <c r="AM13" s="125"/>
      <c r="AN13" s="125"/>
      <c r="AP13" s="140">
        <v>5</v>
      </c>
      <c r="AQ13" s="140" t="s">
        <v>39</v>
      </c>
      <c r="AR13" s="125" t="s">
        <v>63</v>
      </c>
      <c r="AS13" s="125"/>
      <c r="AT13" s="125"/>
      <c r="AU13" s="125"/>
      <c r="AV13" s="125"/>
      <c r="AW13" s="125"/>
      <c r="AX13" s="125"/>
      <c r="AY13" s="126"/>
      <c r="AZ13" s="126"/>
      <c r="BA13" s="127">
        <v>350</v>
      </c>
      <c r="BB13" s="127" t="s">
        <v>41</v>
      </c>
      <c r="BC13" s="127">
        <v>2</v>
      </c>
      <c r="BD13" s="127">
        <v>3</v>
      </c>
      <c r="BE13" s="127"/>
      <c r="BF13" s="127"/>
      <c r="BG13" s="127"/>
      <c r="BH13" s="128"/>
      <c r="BI13" s="128"/>
      <c r="BJ13" s="128"/>
      <c r="BK13" s="128"/>
    </row>
    <row r="14" spans="1:63">
      <c r="N14" s="122" t="s">
        <v>64</v>
      </c>
      <c r="O14" s="141">
        <v>500</v>
      </c>
      <c r="P14" s="122">
        <v>435</v>
      </c>
      <c r="Q14" s="122">
        <v>435</v>
      </c>
      <c r="R14" s="122">
        <v>300</v>
      </c>
      <c r="S14" s="123">
        <f t="shared" si="1"/>
        <v>1.14942528735632</v>
      </c>
      <c r="T14" s="122">
        <v>190000</v>
      </c>
      <c r="V14" s="137" t="s">
        <v>65</v>
      </c>
      <c r="W14" s="95" t="e">
        <f>VLOOKUP(DATABEAM!C2,TongHopDL!N:T,4,FALSE)</f>
        <v>#N/A</v>
      </c>
      <c r="X14" s="95"/>
      <c r="AD14" s="129">
        <v>6</v>
      </c>
      <c r="AE14" s="129" t="s">
        <v>34</v>
      </c>
      <c r="AF14" s="130" t="s">
        <v>66</v>
      </c>
      <c r="AG14" s="130" t="s">
        <v>67</v>
      </c>
      <c r="AH14" s="130"/>
      <c r="AI14" s="130"/>
      <c r="AJ14" s="130"/>
      <c r="AK14" s="130"/>
      <c r="AL14" s="130"/>
      <c r="AM14" s="130"/>
      <c r="AN14" s="130"/>
      <c r="AP14" s="129">
        <v>6</v>
      </c>
      <c r="AQ14" s="129" t="s">
        <v>34</v>
      </c>
      <c r="AR14" s="130" t="s">
        <v>67</v>
      </c>
      <c r="AS14" s="130"/>
      <c r="AT14" s="130"/>
      <c r="AU14" s="130"/>
      <c r="AV14" s="130"/>
      <c r="AW14" s="130"/>
      <c r="AX14" s="130"/>
      <c r="AY14" s="126"/>
      <c r="AZ14" s="126"/>
      <c r="BA14" s="131">
        <v>360</v>
      </c>
      <c r="BB14" s="131" t="s">
        <v>35</v>
      </c>
      <c r="BC14" s="131">
        <v>3</v>
      </c>
      <c r="BD14" s="131"/>
      <c r="BE14" s="131"/>
      <c r="BF14" s="131"/>
      <c r="BG14" s="131"/>
      <c r="BH14" s="132"/>
      <c r="BI14" s="132"/>
      <c r="BJ14" s="132"/>
      <c r="BK14" s="132"/>
    </row>
    <row r="15" spans="1:63">
      <c r="N15" s="133" t="s">
        <v>68</v>
      </c>
      <c r="O15" s="134">
        <v>295</v>
      </c>
      <c r="P15" s="133">
        <v>280</v>
      </c>
      <c r="Q15" s="133">
        <v>280</v>
      </c>
      <c r="R15" s="133">
        <v>225</v>
      </c>
      <c r="S15" s="135">
        <f t="shared" si="1"/>
        <v>1.0535714285714299</v>
      </c>
      <c r="T15" s="143">
        <v>210000</v>
      </c>
      <c r="V15" s="112" t="s">
        <v>69</v>
      </c>
      <c r="W15" s="142" t="e">
        <f>W4/(1+W13/W2*(1-W4/1.1))</f>
        <v>#N/A</v>
      </c>
      <c r="X15" s="95"/>
      <c r="AD15" s="129">
        <v>6</v>
      </c>
      <c r="AE15" s="129" t="s">
        <v>39</v>
      </c>
      <c r="AF15" s="130"/>
      <c r="AG15" s="130"/>
      <c r="AH15" s="130"/>
      <c r="AI15" s="130"/>
      <c r="AJ15" s="130"/>
      <c r="AK15" s="130"/>
      <c r="AL15" s="130"/>
      <c r="AM15" s="130"/>
      <c r="AN15" s="130"/>
      <c r="AP15" s="129">
        <v>6</v>
      </c>
      <c r="AQ15" s="129" t="s">
        <v>39</v>
      </c>
      <c r="AR15" s="130"/>
      <c r="AS15" s="130"/>
      <c r="AT15" s="130"/>
      <c r="AU15" s="130"/>
      <c r="AV15" s="130"/>
      <c r="AW15" s="130"/>
      <c r="AX15" s="130"/>
      <c r="AY15" s="126"/>
      <c r="AZ15" s="126"/>
      <c r="BA15" s="131">
        <v>360</v>
      </c>
      <c r="BB15" s="131" t="s">
        <v>41</v>
      </c>
      <c r="BC15" s="131">
        <v>2</v>
      </c>
      <c r="BD15" s="131">
        <v>3</v>
      </c>
      <c r="BE15" s="131"/>
      <c r="BF15" s="131"/>
      <c r="BG15" s="131"/>
      <c r="BH15" s="132"/>
      <c r="BI15" s="132"/>
      <c r="BJ15" s="132"/>
      <c r="BK15" s="132"/>
    </row>
    <row r="16" spans="1:63">
      <c r="N16" s="133" t="s">
        <v>70</v>
      </c>
      <c r="O16" s="134">
        <v>390</v>
      </c>
      <c r="P16" s="133">
        <v>365</v>
      </c>
      <c r="Q16" s="133">
        <v>365</v>
      </c>
      <c r="R16" s="133">
        <v>290</v>
      </c>
      <c r="S16" s="135">
        <f t="shared" si="1"/>
        <v>1.06849315068493</v>
      </c>
      <c r="T16" s="136">
        <v>200000</v>
      </c>
      <c r="V16" s="112" t="s">
        <v>71</v>
      </c>
      <c r="W16" s="142" t="e">
        <f>W15*W6/W13*100</f>
        <v>#N/A</v>
      </c>
      <c r="X16" s="95"/>
      <c r="AD16" s="140">
        <v>7</v>
      </c>
      <c r="AE16" s="140" t="s">
        <v>34</v>
      </c>
      <c r="AF16" s="125" t="s">
        <v>72</v>
      </c>
      <c r="AG16" s="125" t="s">
        <v>73</v>
      </c>
      <c r="AH16" s="125"/>
      <c r="AI16" s="125"/>
      <c r="AJ16" s="125"/>
      <c r="AK16" s="125"/>
      <c r="AL16" s="125"/>
      <c r="AM16" s="125"/>
      <c r="AN16" s="125"/>
      <c r="AP16" s="140">
        <v>7</v>
      </c>
      <c r="AQ16" s="140" t="s">
        <v>34</v>
      </c>
      <c r="AR16" s="125" t="s">
        <v>73</v>
      </c>
      <c r="AS16" s="125"/>
      <c r="AT16" s="125"/>
      <c r="AU16" s="125"/>
      <c r="AV16" s="125"/>
      <c r="AW16" s="125"/>
      <c r="AX16" s="125"/>
      <c r="AY16" s="126"/>
      <c r="AZ16" s="126"/>
      <c r="BA16" s="127">
        <v>450</v>
      </c>
      <c r="BB16" s="127" t="s">
        <v>35</v>
      </c>
      <c r="BC16" s="127">
        <v>3</v>
      </c>
      <c r="BD16" s="127"/>
      <c r="BE16" s="127"/>
      <c r="BF16" s="127"/>
      <c r="BG16" s="127"/>
      <c r="BH16" s="128"/>
      <c r="BI16" s="128"/>
      <c r="BJ16" s="128"/>
      <c r="BK16" s="128"/>
    </row>
    <row r="17" spans="14:63">
      <c r="N17" s="133" t="s">
        <v>74</v>
      </c>
      <c r="O17" s="134">
        <v>490</v>
      </c>
      <c r="P17" s="133">
        <v>426</v>
      </c>
      <c r="Q17" s="133">
        <v>426</v>
      </c>
      <c r="R17" s="133">
        <v>300</v>
      </c>
      <c r="S17" s="135">
        <f t="shared" si="1"/>
        <v>1.1502347417840399</v>
      </c>
      <c r="T17" s="143">
        <v>190000</v>
      </c>
      <c r="V17" s="144" t="s">
        <v>75</v>
      </c>
      <c r="W17" s="145" t="e">
        <f>VLOOKUP(DATABEAM!C2,TongHopDL!N:T,7,FALSE)</f>
        <v>#N/A</v>
      </c>
      <c r="X17" s="144"/>
      <c r="AD17" s="140">
        <v>7</v>
      </c>
      <c r="AE17" s="140" t="s">
        <v>39</v>
      </c>
      <c r="AF17" s="140">
        <v>4</v>
      </c>
      <c r="AG17" s="125"/>
      <c r="AH17" s="125"/>
      <c r="AI17" s="125"/>
      <c r="AJ17" s="125"/>
      <c r="AK17" s="125"/>
      <c r="AL17" s="125"/>
      <c r="AM17" s="125"/>
      <c r="AN17" s="125"/>
      <c r="AP17" s="140">
        <v>7</v>
      </c>
      <c r="AQ17" s="140" t="s">
        <v>39</v>
      </c>
      <c r="AR17" s="125"/>
      <c r="AS17" s="125"/>
      <c r="AT17" s="125"/>
      <c r="AU17" s="125"/>
      <c r="AV17" s="125"/>
      <c r="AW17" s="125"/>
      <c r="AX17" s="125"/>
      <c r="AY17" s="126"/>
      <c r="AZ17" s="126"/>
      <c r="BA17" s="127">
        <v>450</v>
      </c>
      <c r="BB17" s="127" t="s">
        <v>41</v>
      </c>
      <c r="BC17" s="127">
        <v>2</v>
      </c>
      <c r="BD17" s="127">
        <v>3</v>
      </c>
      <c r="BE17" s="127"/>
      <c r="BF17" s="127"/>
      <c r="BG17" s="127"/>
      <c r="BH17" s="128"/>
      <c r="BI17" s="128"/>
      <c r="BJ17" s="128"/>
      <c r="BK17" s="128"/>
    </row>
    <row r="18" spans="14:63">
      <c r="V18" s="137" t="s">
        <v>76</v>
      </c>
      <c r="W18" s="137" t="e">
        <f>VLOOKUP(DATABEAM!C1,TongHopDL!A:J,3,0)</f>
        <v>#N/A</v>
      </c>
      <c r="X18" s="95"/>
      <c r="AD18" s="129">
        <v>8</v>
      </c>
      <c r="AE18" s="129" t="s">
        <v>34</v>
      </c>
      <c r="AF18" s="130" t="s">
        <v>77</v>
      </c>
      <c r="AG18" s="130" t="s">
        <v>78</v>
      </c>
      <c r="AH18" s="130" t="s">
        <v>79</v>
      </c>
      <c r="AI18" s="130"/>
      <c r="AJ18" s="130"/>
      <c r="AK18" s="130"/>
      <c r="AL18" s="130"/>
      <c r="AM18" s="130"/>
      <c r="AN18" s="130"/>
      <c r="AP18" s="129">
        <v>8</v>
      </c>
      <c r="AQ18" s="129" t="s">
        <v>34</v>
      </c>
      <c r="AR18" s="130" t="s">
        <v>78</v>
      </c>
      <c r="AS18" s="130"/>
      <c r="AT18" s="130"/>
      <c r="AU18" s="130"/>
      <c r="AV18" s="130"/>
      <c r="AW18" s="130"/>
      <c r="AX18" s="130"/>
      <c r="AY18" s="126"/>
      <c r="AZ18" s="126"/>
      <c r="BA18" s="131">
        <v>460</v>
      </c>
      <c r="BB18" s="131" t="s">
        <v>35</v>
      </c>
      <c r="BC18" s="131">
        <v>5</v>
      </c>
      <c r="BD18" s="131"/>
      <c r="BE18" s="131"/>
      <c r="BF18" s="131"/>
      <c r="BG18" s="131"/>
      <c r="BH18" s="132"/>
      <c r="BI18" s="132"/>
      <c r="BJ18" s="132"/>
      <c r="BK18" s="132"/>
    </row>
    <row r="19" spans="14:63">
      <c r="AD19" s="129">
        <v>8</v>
      </c>
      <c r="AE19" s="129" t="s">
        <v>39</v>
      </c>
      <c r="AF19" s="130"/>
      <c r="AG19" s="130"/>
      <c r="AH19" s="130"/>
      <c r="AI19" s="130"/>
      <c r="AJ19" s="130"/>
      <c r="AK19" s="130"/>
      <c r="AL19" s="130"/>
      <c r="AM19" s="130"/>
      <c r="AN19" s="130"/>
      <c r="AP19" s="129">
        <v>8</v>
      </c>
      <c r="AQ19" s="129" t="s">
        <v>39</v>
      </c>
      <c r="AR19" s="130"/>
      <c r="AS19" s="130"/>
      <c r="AT19" s="130"/>
      <c r="AU19" s="130"/>
      <c r="AV19" s="130"/>
      <c r="AW19" s="130"/>
      <c r="AX19" s="130"/>
      <c r="AY19" s="126"/>
      <c r="AZ19" s="126"/>
      <c r="BA19" s="131">
        <v>460</v>
      </c>
      <c r="BB19" s="131" t="s">
        <v>41</v>
      </c>
      <c r="BC19" s="131">
        <v>2</v>
      </c>
      <c r="BD19" s="131">
        <v>3</v>
      </c>
      <c r="BE19" s="131">
        <v>5</v>
      </c>
      <c r="BF19" s="131"/>
      <c r="BG19" s="131"/>
      <c r="BH19" s="132"/>
      <c r="BI19" s="132"/>
      <c r="BJ19" s="132"/>
      <c r="BK19" s="132"/>
    </row>
    <row r="20" spans="14:63">
      <c r="AD20" s="140">
        <v>9</v>
      </c>
      <c r="AE20" s="140" t="s">
        <v>34</v>
      </c>
      <c r="AF20" s="125" t="s">
        <v>80</v>
      </c>
      <c r="AG20" s="125" t="s">
        <v>81</v>
      </c>
      <c r="AH20" s="125" t="s">
        <v>82</v>
      </c>
      <c r="AI20" s="125"/>
      <c r="AJ20" s="125"/>
      <c r="AK20" s="125"/>
      <c r="AL20" s="125"/>
      <c r="AM20" s="125"/>
      <c r="AN20" s="125"/>
      <c r="AP20" s="140">
        <v>9</v>
      </c>
      <c r="AQ20" s="140" t="s">
        <v>34</v>
      </c>
      <c r="AR20" s="125" t="s">
        <v>81</v>
      </c>
      <c r="AS20" s="125"/>
      <c r="AT20" s="125"/>
      <c r="AU20" s="125"/>
      <c r="AV20" s="125"/>
      <c r="AW20" s="125"/>
      <c r="AX20" s="125"/>
      <c r="AY20" s="126"/>
      <c r="AZ20" s="126"/>
      <c r="BA20" s="128">
        <v>550</v>
      </c>
      <c r="BB20" s="128" t="s">
        <v>35</v>
      </c>
      <c r="BC20" s="128">
        <v>5</v>
      </c>
      <c r="BD20" s="128"/>
      <c r="BE20" s="128"/>
      <c r="BF20" s="128"/>
      <c r="BG20" s="128"/>
      <c r="BH20" s="128"/>
      <c r="BI20" s="128"/>
      <c r="BJ20" s="128"/>
      <c r="BK20" s="128"/>
    </row>
    <row r="21" spans="14:63">
      <c r="AD21" s="140">
        <v>9</v>
      </c>
      <c r="AE21" s="140" t="s">
        <v>39</v>
      </c>
      <c r="AF21" s="140">
        <v>5</v>
      </c>
      <c r="AG21" s="125"/>
      <c r="AH21" s="125"/>
      <c r="AI21" s="125"/>
      <c r="AJ21" s="125"/>
      <c r="AK21" s="125"/>
      <c r="AL21" s="125"/>
      <c r="AM21" s="125"/>
      <c r="AN21" s="125"/>
      <c r="AP21" s="140">
        <v>9</v>
      </c>
      <c r="AQ21" s="140" t="s">
        <v>39</v>
      </c>
      <c r="AR21" s="125" t="s">
        <v>83</v>
      </c>
      <c r="AS21" s="125"/>
      <c r="AT21" s="125"/>
      <c r="AU21" s="125"/>
      <c r="AV21" s="125"/>
      <c r="AW21" s="125"/>
      <c r="AX21" s="125"/>
      <c r="AY21" s="126"/>
      <c r="AZ21" s="126"/>
      <c r="BA21" s="128">
        <v>550</v>
      </c>
      <c r="BB21" s="128" t="s">
        <v>41</v>
      </c>
      <c r="BC21" s="128">
        <v>2</v>
      </c>
      <c r="BD21" s="128">
        <v>3</v>
      </c>
      <c r="BE21" s="128">
        <v>5</v>
      </c>
      <c r="BF21" s="128"/>
      <c r="BG21" s="128"/>
      <c r="BH21" s="128"/>
      <c r="BI21" s="128"/>
      <c r="BJ21" s="128"/>
      <c r="BK21" s="128"/>
    </row>
    <row r="22" spans="14:63">
      <c r="AD22" s="129">
        <v>10</v>
      </c>
      <c r="AE22" s="129" t="s">
        <v>34</v>
      </c>
      <c r="AF22" s="130" t="s">
        <v>84</v>
      </c>
      <c r="AG22" s="130" t="s">
        <v>85</v>
      </c>
      <c r="AH22" s="130" t="s">
        <v>86</v>
      </c>
      <c r="AI22" s="130" t="s">
        <v>87</v>
      </c>
      <c r="AJ22" s="130"/>
      <c r="AK22" s="130"/>
      <c r="AL22" s="130"/>
      <c r="AM22" s="130"/>
      <c r="AN22" s="130"/>
      <c r="AP22" s="129">
        <v>10</v>
      </c>
      <c r="AQ22" s="129" t="s">
        <v>34</v>
      </c>
      <c r="AR22" s="130" t="s">
        <v>85</v>
      </c>
      <c r="AS22" s="130" t="s">
        <v>87</v>
      </c>
      <c r="AT22" s="130"/>
      <c r="AU22" s="130"/>
      <c r="AV22" s="130"/>
      <c r="AW22" s="130"/>
      <c r="AX22" s="130"/>
      <c r="AY22" s="126"/>
      <c r="AZ22" s="126"/>
      <c r="BA22" s="132">
        <v>560</v>
      </c>
      <c r="BB22" s="132" t="s">
        <v>35</v>
      </c>
      <c r="BC22" s="16">
        <v>5</v>
      </c>
      <c r="BD22" s="16"/>
      <c r="BE22" s="16"/>
      <c r="BF22" s="16"/>
      <c r="BG22" s="16"/>
      <c r="BH22" s="132"/>
      <c r="BI22" s="132"/>
      <c r="BJ22" s="132"/>
      <c r="BK22" s="132"/>
    </row>
    <row r="23" spans="14:63">
      <c r="AD23" s="129">
        <v>10</v>
      </c>
      <c r="AE23" s="129" t="s">
        <v>39</v>
      </c>
      <c r="AF23" s="130"/>
      <c r="AG23" s="130"/>
      <c r="AH23" s="130"/>
      <c r="AI23" s="130"/>
      <c r="AJ23" s="130"/>
      <c r="AK23" s="130"/>
      <c r="AL23" s="130"/>
      <c r="AM23" s="130"/>
      <c r="AN23" s="130"/>
      <c r="AP23" s="129">
        <v>10</v>
      </c>
      <c r="AQ23" s="129" t="s">
        <v>39</v>
      </c>
      <c r="AR23" s="130"/>
      <c r="AS23" s="130"/>
      <c r="AT23" s="130"/>
      <c r="AU23" s="130"/>
      <c r="AV23" s="130"/>
      <c r="AW23" s="130"/>
      <c r="AX23" s="130"/>
      <c r="AY23" s="126"/>
      <c r="AZ23" s="126"/>
      <c r="BA23" s="132">
        <v>560</v>
      </c>
      <c r="BB23" s="132" t="s">
        <v>41</v>
      </c>
      <c r="BC23" s="132">
        <v>2</v>
      </c>
      <c r="BD23" s="132">
        <v>3</v>
      </c>
      <c r="BE23" s="132">
        <v>5</v>
      </c>
      <c r="BF23" s="132"/>
      <c r="BG23" s="132"/>
      <c r="BH23" s="132"/>
      <c r="BI23" s="132"/>
      <c r="BJ23" s="132"/>
      <c r="BK23" s="132"/>
    </row>
    <row r="24" spans="14:63">
      <c r="AD24" s="140">
        <v>11</v>
      </c>
      <c r="AE24" s="140" t="s">
        <v>34</v>
      </c>
      <c r="AF24" s="125" t="s">
        <v>88</v>
      </c>
      <c r="AG24" s="125" t="s">
        <v>89</v>
      </c>
      <c r="AH24" s="125" t="s">
        <v>90</v>
      </c>
      <c r="AI24" s="125" t="s">
        <v>91</v>
      </c>
      <c r="AJ24" s="125"/>
      <c r="AK24" s="125"/>
      <c r="AL24" s="125"/>
      <c r="AM24" s="125"/>
      <c r="AN24" s="125"/>
      <c r="AP24" s="140">
        <v>11</v>
      </c>
      <c r="AQ24" s="140" t="s">
        <v>34</v>
      </c>
      <c r="AR24" s="125" t="s">
        <v>73</v>
      </c>
      <c r="AS24" s="125" t="s">
        <v>92</v>
      </c>
      <c r="AT24" s="125"/>
      <c r="AU24" s="125"/>
      <c r="AV24" s="125"/>
      <c r="AW24" s="125"/>
      <c r="AX24" s="125"/>
      <c r="AY24" s="126"/>
      <c r="AZ24" s="126"/>
      <c r="BA24" s="128">
        <v>650</v>
      </c>
      <c r="BB24" s="128" t="s">
        <v>35</v>
      </c>
      <c r="BC24" s="128">
        <v>5</v>
      </c>
      <c r="BD24" s="128"/>
      <c r="BE24" s="128"/>
      <c r="BF24" s="128"/>
      <c r="BG24" s="128"/>
      <c r="BH24" s="128"/>
      <c r="BI24" s="128"/>
      <c r="BJ24" s="128"/>
      <c r="BK24" s="128"/>
    </row>
    <row r="25" spans="14:63">
      <c r="AD25" s="140">
        <v>11</v>
      </c>
      <c r="AE25" s="140" t="s">
        <v>39</v>
      </c>
      <c r="AF25" s="140">
        <v>6</v>
      </c>
      <c r="AG25" s="125"/>
      <c r="AH25" s="125"/>
      <c r="AI25" s="125"/>
      <c r="AJ25" s="125"/>
      <c r="AK25" s="125"/>
      <c r="AL25" s="125"/>
      <c r="AM25" s="125"/>
      <c r="AN25" s="125"/>
      <c r="AP25" s="140">
        <v>11</v>
      </c>
      <c r="AQ25" s="140" t="s">
        <v>39</v>
      </c>
      <c r="AR25" s="125"/>
      <c r="AS25" s="125"/>
      <c r="AT25" s="125"/>
      <c r="AU25" s="125"/>
      <c r="AV25" s="125"/>
      <c r="AW25" s="125"/>
      <c r="AX25" s="125"/>
      <c r="AY25" s="126"/>
      <c r="AZ25" s="126"/>
      <c r="BA25" s="128">
        <v>650</v>
      </c>
      <c r="BB25" s="128" t="s">
        <v>41</v>
      </c>
      <c r="BC25" s="128">
        <v>2</v>
      </c>
      <c r="BD25" s="128">
        <v>3</v>
      </c>
      <c r="BE25" s="128">
        <v>5</v>
      </c>
      <c r="BF25" s="128"/>
      <c r="BG25" s="128"/>
      <c r="BH25" s="128"/>
      <c r="BI25" s="128"/>
      <c r="BJ25" s="128"/>
      <c r="BK25" s="128"/>
    </row>
    <row r="26" spans="14:63">
      <c r="AD26" s="129">
        <v>12</v>
      </c>
      <c r="AE26" s="129" t="s">
        <v>34</v>
      </c>
      <c r="AF26" s="130" t="s">
        <v>93</v>
      </c>
      <c r="AG26" s="130" t="s">
        <v>94</v>
      </c>
      <c r="AH26" s="130" t="s">
        <v>95</v>
      </c>
      <c r="AI26" s="130" t="s">
        <v>96</v>
      </c>
      <c r="AJ26" s="130" t="s">
        <v>97</v>
      </c>
      <c r="AK26" s="130"/>
      <c r="AL26" s="130"/>
      <c r="AM26" s="130"/>
      <c r="AN26" s="130"/>
      <c r="AP26" s="129">
        <v>12</v>
      </c>
      <c r="AQ26" s="129" t="s">
        <v>34</v>
      </c>
      <c r="AR26" s="130" t="s">
        <v>73</v>
      </c>
      <c r="AS26" s="130" t="s">
        <v>98</v>
      </c>
      <c r="AT26" s="130"/>
      <c r="AU26" s="130"/>
      <c r="AV26" s="130"/>
      <c r="AW26" s="130"/>
      <c r="AX26" s="130"/>
      <c r="AY26" s="126"/>
      <c r="AZ26" s="126"/>
      <c r="BA26" s="132">
        <v>660</v>
      </c>
      <c r="BB26" s="132" t="s">
        <v>35</v>
      </c>
      <c r="BC26" s="132">
        <v>7</v>
      </c>
      <c r="BD26" s="132"/>
      <c r="BE26" s="132"/>
      <c r="BF26" s="132"/>
      <c r="BG26" s="132"/>
      <c r="BH26" s="132"/>
      <c r="BI26" s="132"/>
      <c r="BJ26" s="132"/>
      <c r="BK26" s="132"/>
    </row>
    <row r="27" spans="14:63">
      <c r="AD27" s="129">
        <v>12</v>
      </c>
      <c r="AE27" s="129" t="s">
        <v>39</v>
      </c>
      <c r="AF27" s="130"/>
      <c r="AG27" s="130"/>
      <c r="AH27" s="130"/>
      <c r="AI27" s="130"/>
      <c r="AJ27" s="130"/>
      <c r="AK27" s="130"/>
      <c r="AL27" s="130"/>
      <c r="AM27" s="130"/>
      <c r="AN27" s="130"/>
      <c r="AP27" s="129">
        <v>12</v>
      </c>
      <c r="AQ27" s="129" t="s">
        <v>39</v>
      </c>
      <c r="AR27" s="130"/>
      <c r="AS27" s="130"/>
      <c r="AT27" s="130"/>
      <c r="AU27" s="130"/>
      <c r="AV27" s="130"/>
      <c r="AW27" s="130"/>
      <c r="AX27" s="130"/>
      <c r="AY27" s="126"/>
      <c r="AZ27" s="126"/>
      <c r="BA27" s="132">
        <v>660</v>
      </c>
      <c r="BB27" s="132" t="s">
        <v>41</v>
      </c>
      <c r="BC27" s="132">
        <v>2</v>
      </c>
      <c r="BD27" s="132">
        <v>4</v>
      </c>
      <c r="BE27" s="132">
        <v>7</v>
      </c>
      <c r="BF27" s="132"/>
      <c r="BG27" s="132"/>
      <c r="BH27" s="132"/>
      <c r="BI27" s="132"/>
      <c r="BJ27" s="132"/>
      <c r="BK27" s="132"/>
    </row>
    <row r="28" spans="14:63">
      <c r="AD28" s="140">
        <v>13</v>
      </c>
      <c r="AE28" s="140" t="s">
        <v>34</v>
      </c>
      <c r="AF28" s="125" t="s">
        <v>99</v>
      </c>
      <c r="AG28" s="125" t="s">
        <v>100</v>
      </c>
      <c r="AH28" s="125" t="s">
        <v>101</v>
      </c>
      <c r="AI28" s="125" t="s">
        <v>102</v>
      </c>
      <c r="AJ28" s="125" t="s">
        <v>103</v>
      </c>
      <c r="AK28" s="125"/>
      <c r="AL28" s="125"/>
      <c r="AM28" s="125"/>
      <c r="AN28" s="125"/>
      <c r="AP28" s="140">
        <v>13</v>
      </c>
      <c r="AQ28" s="140" t="s">
        <v>34</v>
      </c>
      <c r="AR28" s="125" t="s">
        <v>73</v>
      </c>
      <c r="AS28" s="125" t="s">
        <v>104</v>
      </c>
      <c r="AT28" s="125"/>
      <c r="AU28" s="125"/>
      <c r="AV28" s="125"/>
      <c r="AW28" s="125"/>
      <c r="AX28" s="125"/>
      <c r="AY28" s="126"/>
      <c r="AZ28" s="126"/>
      <c r="BA28" s="128">
        <v>750</v>
      </c>
      <c r="BB28" s="128" t="s">
        <v>35</v>
      </c>
      <c r="BC28" s="128">
        <v>7</v>
      </c>
      <c r="BD28" s="128"/>
      <c r="BE28" s="128"/>
      <c r="BF28" s="128"/>
      <c r="BG28" s="128"/>
      <c r="BH28" s="128"/>
      <c r="BI28" s="128"/>
      <c r="BJ28" s="128"/>
      <c r="BK28" s="128"/>
    </row>
    <row r="29" spans="14:63">
      <c r="AD29" s="140">
        <v>13</v>
      </c>
      <c r="AE29" s="140" t="s">
        <v>39</v>
      </c>
      <c r="AF29" s="140">
        <v>7</v>
      </c>
      <c r="AG29" s="125"/>
      <c r="AH29" s="125"/>
      <c r="AI29" s="125"/>
      <c r="AJ29" s="125"/>
      <c r="AK29" s="125"/>
      <c r="AL29" s="125"/>
      <c r="AM29" s="125"/>
      <c r="AN29" s="125"/>
      <c r="AP29" s="140">
        <v>13</v>
      </c>
      <c r="AQ29" s="140" t="s">
        <v>39</v>
      </c>
      <c r="AR29" s="125" t="s">
        <v>105</v>
      </c>
      <c r="AS29" s="125"/>
      <c r="AT29" s="125"/>
      <c r="AU29" s="125"/>
      <c r="AV29" s="125"/>
      <c r="AW29" s="125"/>
      <c r="AX29" s="125"/>
      <c r="AY29" s="126"/>
      <c r="AZ29" s="126"/>
      <c r="BA29" s="128">
        <v>750</v>
      </c>
      <c r="BB29" s="128" t="s">
        <v>41</v>
      </c>
      <c r="BC29" s="128">
        <v>2</v>
      </c>
      <c r="BD29" s="128">
        <v>4</v>
      </c>
      <c r="BE29" s="128">
        <v>7</v>
      </c>
      <c r="BF29" s="128"/>
      <c r="BG29" s="128"/>
      <c r="BH29" s="128"/>
      <c r="BI29" s="128"/>
      <c r="BJ29" s="128"/>
      <c r="BK29" s="128"/>
    </row>
    <row r="30" spans="14:63">
      <c r="AD30" s="129">
        <v>14</v>
      </c>
      <c r="AE30" s="129" t="s">
        <v>34</v>
      </c>
      <c r="AF30" s="130" t="s">
        <v>106</v>
      </c>
      <c r="AG30" s="130" t="s">
        <v>107</v>
      </c>
      <c r="AH30" s="130" t="s">
        <v>108</v>
      </c>
      <c r="AI30" s="130" t="s">
        <v>109</v>
      </c>
      <c r="AJ30" s="130" t="s">
        <v>110</v>
      </c>
      <c r="AK30" s="130" t="s">
        <v>111</v>
      </c>
      <c r="AL30" s="130"/>
      <c r="AM30" s="130"/>
      <c r="AN30" s="130"/>
      <c r="AP30" s="129">
        <v>14</v>
      </c>
      <c r="AQ30" s="129" t="s">
        <v>34</v>
      </c>
      <c r="AR30" s="130" t="s">
        <v>73</v>
      </c>
      <c r="AS30" s="130" t="s">
        <v>111</v>
      </c>
      <c r="AT30" s="130" t="s">
        <v>112</v>
      </c>
      <c r="AU30" s="130"/>
      <c r="AV30" s="130"/>
      <c r="AW30" s="130"/>
      <c r="AX30" s="130"/>
      <c r="AY30" s="126"/>
      <c r="AZ30" s="126"/>
      <c r="BA30" s="94">
        <v>760</v>
      </c>
      <c r="BB30" s="94" t="s">
        <v>35</v>
      </c>
      <c r="BC30" s="94">
        <v>7</v>
      </c>
    </row>
    <row r="31" spans="14:63">
      <c r="AD31" s="129">
        <v>14</v>
      </c>
      <c r="AE31" s="129" t="s">
        <v>39</v>
      </c>
      <c r="AF31" s="130"/>
      <c r="AG31" s="130"/>
      <c r="AH31" s="130"/>
      <c r="AI31" s="130"/>
      <c r="AJ31" s="130"/>
      <c r="AK31" s="130"/>
      <c r="AL31" s="130"/>
      <c r="AM31" s="130"/>
      <c r="AN31" s="130"/>
      <c r="AP31" s="129">
        <v>14</v>
      </c>
      <c r="AQ31" s="129" t="s">
        <v>39</v>
      </c>
      <c r="AR31" s="130"/>
      <c r="AS31" s="130"/>
      <c r="AT31" s="130"/>
      <c r="AU31" s="130"/>
      <c r="AV31" s="130"/>
      <c r="AW31" s="130"/>
      <c r="AX31" s="130"/>
      <c r="AY31" s="126"/>
      <c r="AZ31" s="126"/>
      <c r="BA31" s="94">
        <v>760</v>
      </c>
      <c r="BB31" s="94" t="s">
        <v>41</v>
      </c>
      <c r="BC31" s="94">
        <v>2</v>
      </c>
      <c r="BD31" s="94">
        <v>4</v>
      </c>
      <c r="BE31" s="94">
        <v>7</v>
      </c>
    </row>
    <row r="32" spans="14:63">
      <c r="AD32" s="140">
        <v>15</v>
      </c>
      <c r="AE32" s="140" t="s">
        <v>34</v>
      </c>
      <c r="AF32" s="125" t="s">
        <v>113</v>
      </c>
      <c r="AG32" s="125" t="s">
        <v>114</v>
      </c>
      <c r="AH32" s="125" t="s">
        <v>115</v>
      </c>
      <c r="AI32" s="125" t="s">
        <v>116</v>
      </c>
      <c r="AJ32" s="125" t="s">
        <v>117</v>
      </c>
      <c r="AK32" s="125" t="s">
        <v>92</v>
      </c>
      <c r="AL32" s="125"/>
      <c r="AM32" s="125"/>
      <c r="AN32" s="125"/>
      <c r="AP32" s="140">
        <v>15</v>
      </c>
      <c r="AQ32" s="140" t="s">
        <v>34</v>
      </c>
      <c r="AR32" s="125" t="s">
        <v>73</v>
      </c>
      <c r="AS32" s="125" t="s">
        <v>92</v>
      </c>
      <c r="AT32" s="125" t="s">
        <v>118</v>
      </c>
      <c r="AU32" s="125"/>
      <c r="AV32" s="125"/>
      <c r="AW32" s="125"/>
      <c r="AX32" s="125"/>
      <c r="AY32" s="126"/>
      <c r="AZ32" s="126"/>
      <c r="BA32" s="128">
        <v>850</v>
      </c>
      <c r="BB32" s="128" t="s">
        <v>35</v>
      </c>
      <c r="BC32" s="128">
        <v>7</v>
      </c>
      <c r="BD32" s="128"/>
      <c r="BE32" s="128"/>
      <c r="BF32" s="128"/>
      <c r="BG32" s="128"/>
      <c r="BH32" s="128"/>
      <c r="BI32" s="128"/>
      <c r="BJ32" s="128"/>
      <c r="BK32" s="128"/>
    </row>
    <row r="33" spans="30:63">
      <c r="AD33" s="140">
        <v>15</v>
      </c>
      <c r="AE33" s="140" t="s">
        <v>39</v>
      </c>
      <c r="AF33" s="140">
        <v>8</v>
      </c>
      <c r="AG33" s="125"/>
      <c r="AH33" s="125"/>
      <c r="AI33" s="125"/>
      <c r="AJ33" s="125"/>
      <c r="AK33" s="125"/>
      <c r="AL33" s="125"/>
      <c r="AM33" s="125"/>
      <c r="AN33" s="125"/>
      <c r="AP33" s="140">
        <v>15</v>
      </c>
      <c r="AQ33" s="140" t="s">
        <v>39</v>
      </c>
      <c r="AR33" s="125"/>
      <c r="AS33" s="125"/>
      <c r="AT33" s="125"/>
      <c r="AU33" s="125"/>
      <c r="AV33" s="125"/>
      <c r="AW33" s="125"/>
      <c r="AX33" s="125"/>
      <c r="AY33" s="126"/>
      <c r="AZ33" s="126"/>
      <c r="BA33" s="128">
        <v>850</v>
      </c>
      <c r="BB33" s="128" t="s">
        <v>41</v>
      </c>
      <c r="BC33" s="128">
        <v>2</v>
      </c>
      <c r="BD33" s="128">
        <v>4</v>
      </c>
      <c r="BE33" s="128">
        <v>7</v>
      </c>
      <c r="BF33" s="128"/>
      <c r="BG33" s="128"/>
      <c r="BH33" s="128"/>
      <c r="BI33" s="128"/>
      <c r="BJ33" s="128"/>
      <c r="BK33" s="128"/>
    </row>
    <row r="34" spans="30:63">
      <c r="AD34" s="146">
        <v>16</v>
      </c>
      <c r="AE34" s="147" t="s">
        <v>34</v>
      </c>
      <c r="AF34" s="148" t="s">
        <v>119</v>
      </c>
      <c r="AG34" s="148" t="s">
        <v>120</v>
      </c>
      <c r="AH34" s="148" t="s">
        <v>121</v>
      </c>
      <c r="AI34" s="148" t="s">
        <v>122</v>
      </c>
      <c r="AJ34" s="148" t="s">
        <v>123</v>
      </c>
      <c r="AK34" s="148" t="s">
        <v>124</v>
      </c>
      <c r="AL34" s="148" t="s">
        <v>125</v>
      </c>
      <c r="AM34" s="148"/>
      <c r="AN34" s="148"/>
      <c r="AP34" s="147">
        <v>16</v>
      </c>
      <c r="AQ34" s="147" t="s">
        <v>34</v>
      </c>
      <c r="AR34" s="148" t="s">
        <v>73</v>
      </c>
      <c r="AS34" s="148" t="s">
        <v>124</v>
      </c>
      <c r="AT34" s="148" t="s">
        <v>126</v>
      </c>
      <c r="AU34" s="148"/>
      <c r="AV34" s="148"/>
      <c r="AW34" s="148"/>
      <c r="AX34" s="148"/>
      <c r="AY34" s="149"/>
      <c r="AZ34" s="149"/>
      <c r="BA34" s="94">
        <v>860</v>
      </c>
      <c r="BB34" s="94" t="s">
        <v>35</v>
      </c>
      <c r="BC34" s="94">
        <v>9</v>
      </c>
    </row>
    <row r="35" spans="30:63">
      <c r="AD35" s="146">
        <v>16</v>
      </c>
      <c r="AE35" s="147" t="s">
        <v>39</v>
      </c>
      <c r="AF35" s="148"/>
      <c r="AG35" s="148"/>
      <c r="AH35" s="148"/>
      <c r="AI35" s="148"/>
      <c r="AJ35" s="148"/>
      <c r="AK35" s="148"/>
      <c r="AL35" s="148"/>
      <c r="AM35" s="148"/>
      <c r="AN35" s="148"/>
      <c r="AP35" s="147">
        <v>16</v>
      </c>
      <c r="AQ35" s="147" t="s">
        <v>39</v>
      </c>
      <c r="AR35" s="148"/>
      <c r="AS35" s="148"/>
      <c r="AT35" s="148"/>
      <c r="AU35" s="148"/>
      <c r="AV35" s="148"/>
      <c r="AW35" s="148"/>
      <c r="AX35" s="148"/>
      <c r="AY35" s="149"/>
      <c r="AZ35" s="149"/>
      <c r="BA35" s="94">
        <v>860</v>
      </c>
      <c r="BB35" s="94" t="s">
        <v>41</v>
      </c>
      <c r="BC35" s="94">
        <v>2</v>
      </c>
      <c r="BD35" s="94">
        <v>4</v>
      </c>
      <c r="BE35" s="94">
        <v>5</v>
      </c>
      <c r="BF35" s="94">
        <v>9</v>
      </c>
    </row>
    <row r="36" spans="30:63">
      <c r="AD36" s="140">
        <v>17</v>
      </c>
      <c r="AE36" s="140" t="s">
        <v>34</v>
      </c>
      <c r="AF36" s="125" t="s">
        <v>127</v>
      </c>
      <c r="AG36" s="125" t="s">
        <v>128</v>
      </c>
      <c r="AH36" s="125" t="s">
        <v>129</v>
      </c>
      <c r="AI36" s="125" t="s">
        <v>130</v>
      </c>
      <c r="AJ36" s="125" t="s">
        <v>131</v>
      </c>
      <c r="AK36" s="125" t="s">
        <v>132</v>
      </c>
      <c r="AL36" s="125" t="s">
        <v>98</v>
      </c>
      <c r="AM36" s="125"/>
      <c r="AN36" s="125"/>
      <c r="AP36" s="140">
        <v>17</v>
      </c>
      <c r="AQ36" s="140" t="s">
        <v>34</v>
      </c>
      <c r="AR36" s="125" t="s">
        <v>73</v>
      </c>
      <c r="AS36" s="125" t="s">
        <v>132</v>
      </c>
      <c r="AT36" s="125" t="s">
        <v>133</v>
      </c>
      <c r="AU36" s="125"/>
      <c r="AV36" s="125"/>
      <c r="AW36" s="125"/>
      <c r="AX36" s="125"/>
      <c r="AY36" s="126"/>
      <c r="AZ36" s="126"/>
      <c r="BA36" s="128">
        <v>950</v>
      </c>
      <c r="BB36" s="128" t="s">
        <v>35</v>
      </c>
      <c r="BC36" s="128">
        <v>9</v>
      </c>
      <c r="BD36" s="128"/>
      <c r="BE36" s="128"/>
      <c r="BF36" s="128"/>
      <c r="BG36" s="128"/>
      <c r="BH36" s="128"/>
      <c r="BI36" s="128"/>
      <c r="BJ36" s="128"/>
      <c r="BK36" s="128"/>
    </row>
    <row r="37" spans="30:63">
      <c r="AD37" s="140">
        <v>17</v>
      </c>
      <c r="AE37" s="140" t="s">
        <v>39</v>
      </c>
      <c r="AF37" s="140">
        <v>9</v>
      </c>
      <c r="AG37" s="125"/>
      <c r="AH37" s="125"/>
      <c r="AI37" s="125"/>
      <c r="AJ37" s="125"/>
      <c r="AK37" s="125"/>
      <c r="AL37" s="125"/>
      <c r="AM37" s="125"/>
      <c r="AN37" s="125"/>
      <c r="AP37" s="140">
        <v>17</v>
      </c>
      <c r="AQ37" s="140" t="s">
        <v>39</v>
      </c>
      <c r="AR37" s="125" t="s">
        <v>134</v>
      </c>
      <c r="AS37" s="125"/>
      <c r="AT37" s="125"/>
      <c r="AU37" s="125"/>
      <c r="AV37" s="125"/>
      <c r="AW37" s="125"/>
      <c r="AX37" s="125"/>
      <c r="AY37" s="126"/>
      <c r="AZ37" s="126"/>
      <c r="BA37" s="128">
        <v>950</v>
      </c>
      <c r="BB37" s="128" t="s">
        <v>41</v>
      </c>
      <c r="BC37" s="128">
        <v>2</v>
      </c>
      <c r="BD37" s="128">
        <v>4</v>
      </c>
      <c r="BE37" s="128">
        <v>5</v>
      </c>
      <c r="BF37" s="128">
        <v>9</v>
      </c>
      <c r="BG37" s="128"/>
      <c r="BH37" s="128"/>
      <c r="BI37" s="128"/>
      <c r="BJ37" s="128"/>
      <c r="BK37" s="128"/>
    </row>
    <row r="38" spans="30:63">
      <c r="AD38" s="146">
        <v>18</v>
      </c>
      <c r="AE38" s="147" t="s">
        <v>34</v>
      </c>
      <c r="AF38" s="148" t="s">
        <v>135</v>
      </c>
      <c r="AG38" s="148" t="s">
        <v>136</v>
      </c>
      <c r="AH38" s="148" t="s">
        <v>137</v>
      </c>
      <c r="AI38" s="148" t="s">
        <v>138</v>
      </c>
      <c r="AJ38" s="148" t="s">
        <v>139</v>
      </c>
      <c r="AK38" s="148" t="s">
        <v>140</v>
      </c>
      <c r="AL38" s="148" t="s">
        <v>141</v>
      </c>
      <c r="AM38" s="148" t="s">
        <v>142</v>
      </c>
      <c r="AN38" s="148"/>
      <c r="AP38" s="147">
        <v>18</v>
      </c>
      <c r="AQ38" s="147" t="s">
        <v>34</v>
      </c>
      <c r="AR38" s="148" t="s">
        <v>73</v>
      </c>
      <c r="AS38" s="148" t="s">
        <v>140</v>
      </c>
      <c r="AT38" s="148" t="s">
        <v>142</v>
      </c>
      <c r="AU38" s="148" t="s">
        <v>143</v>
      </c>
      <c r="AV38" s="148"/>
      <c r="AW38" s="148"/>
      <c r="AX38" s="148"/>
      <c r="AY38" s="149"/>
      <c r="AZ38" s="149"/>
      <c r="BA38" s="94">
        <v>960</v>
      </c>
      <c r="BB38" s="94" t="s">
        <v>35</v>
      </c>
      <c r="BC38" s="94">
        <v>9</v>
      </c>
    </row>
    <row r="39" spans="30:63">
      <c r="AD39" s="146">
        <v>18</v>
      </c>
      <c r="AE39" s="147" t="s">
        <v>39</v>
      </c>
      <c r="AF39" s="148"/>
      <c r="AG39" s="148"/>
      <c r="AH39" s="148"/>
      <c r="AI39" s="148"/>
      <c r="AJ39" s="148"/>
      <c r="AK39" s="148"/>
      <c r="AL39" s="148"/>
      <c r="AM39" s="148"/>
      <c r="AN39" s="148"/>
      <c r="AP39" s="147">
        <v>18</v>
      </c>
      <c r="AQ39" s="147" t="s">
        <v>39</v>
      </c>
      <c r="AR39" s="148"/>
      <c r="AS39" s="148"/>
      <c r="AT39" s="148"/>
      <c r="AU39" s="148"/>
      <c r="AV39" s="148"/>
      <c r="AW39" s="148"/>
      <c r="AX39" s="148"/>
      <c r="AY39" s="149"/>
      <c r="AZ39" s="149"/>
      <c r="BA39" s="94">
        <v>960</v>
      </c>
      <c r="BB39" s="94" t="s">
        <v>41</v>
      </c>
      <c r="BC39" s="94">
        <v>2</v>
      </c>
      <c r="BD39" s="94">
        <v>4</v>
      </c>
      <c r="BE39" s="94">
        <v>5</v>
      </c>
      <c r="BF39" s="94">
        <v>9</v>
      </c>
    </row>
    <row r="40" spans="30:63">
      <c r="AD40" s="140">
        <v>19</v>
      </c>
      <c r="AE40" s="140" t="s">
        <v>34</v>
      </c>
      <c r="AF40" s="125" t="s">
        <v>144</v>
      </c>
      <c r="AG40" s="125" t="s">
        <v>145</v>
      </c>
      <c r="AH40" s="125" t="s">
        <v>146</v>
      </c>
      <c r="AI40" s="125" t="s">
        <v>147</v>
      </c>
      <c r="AJ40" s="125" t="s">
        <v>148</v>
      </c>
      <c r="AK40" s="125" t="s">
        <v>149</v>
      </c>
      <c r="AL40" s="125" t="s">
        <v>150</v>
      </c>
      <c r="AM40" s="125" t="s">
        <v>104</v>
      </c>
      <c r="AN40" s="125"/>
      <c r="AP40" s="140">
        <v>19</v>
      </c>
      <c r="AQ40" s="140" t="s">
        <v>34</v>
      </c>
      <c r="AR40" s="125" t="s">
        <v>73</v>
      </c>
      <c r="AS40" s="125" t="s">
        <v>92</v>
      </c>
      <c r="AT40" s="125" t="s">
        <v>118</v>
      </c>
      <c r="AU40" s="125" t="s">
        <v>151</v>
      </c>
      <c r="AV40" s="125"/>
      <c r="AW40" s="125"/>
      <c r="AX40" s="125"/>
      <c r="AY40" s="126"/>
      <c r="AZ40" s="126"/>
      <c r="BA40" s="128">
        <v>1050</v>
      </c>
      <c r="BB40" s="128" t="s">
        <v>35</v>
      </c>
      <c r="BC40" s="128">
        <v>9</v>
      </c>
      <c r="BD40" s="128"/>
      <c r="BE40" s="128"/>
      <c r="BF40" s="128"/>
      <c r="BG40" s="128"/>
      <c r="BH40" s="128"/>
      <c r="BI40" s="128"/>
      <c r="BJ40" s="128"/>
      <c r="BK40" s="128"/>
    </row>
    <row r="41" spans="30:63">
      <c r="AD41" s="140">
        <v>19</v>
      </c>
      <c r="AE41" s="140" t="s">
        <v>39</v>
      </c>
      <c r="AF41" s="140">
        <v>10</v>
      </c>
      <c r="AG41" s="125"/>
      <c r="AH41" s="125"/>
      <c r="AI41" s="125"/>
      <c r="AJ41" s="125"/>
      <c r="AK41" s="125"/>
      <c r="AL41" s="125"/>
      <c r="AM41" s="125"/>
      <c r="AN41" s="125"/>
      <c r="AP41" s="140">
        <v>19</v>
      </c>
      <c r="AQ41" s="140" t="s">
        <v>39</v>
      </c>
      <c r="AR41" s="125"/>
      <c r="AS41" s="125"/>
      <c r="AT41" s="125"/>
      <c r="AU41" s="125"/>
      <c r="AV41" s="125"/>
      <c r="AW41" s="125"/>
      <c r="AX41" s="125"/>
      <c r="AY41" s="126"/>
      <c r="AZ41" s="126"/>
      <c r="BA41" s="128">
        <v>1050</v>
      </c>
      <c r="BB41" s="128" t="s">
        <v>41</v>
      </c>
      <c r="BC41" s="128">
        <v>2</v>
      </c>
      <c r="BD41" s="128">
        <v>4</v>
      </c>
      <c r="BE41" s="128">
        <v>5</v>
      </c>
      <c r="BF41" s="128">
        <v>9</v>
      </c>
      <c r="BG41" s="128"/>
      <c r="BH41" s="128"/>
      <c r="BI41" s="128"/>
      <c r="BJ41" s="128"/>
      <c r="BK41" s="128"/>
    </row>
    <row r="42" spans="30:63">
      <c r="AD42" s="146">
        <v>20</v>
      </c>
      <c r="AE42" s="147" t="s">
        <v>34</v>
      </c>
      <c r="AF42" s="148" t="s">
        <v>152</v>
      </c>
      <c r="AG42" s="148" t="s">
        <v>153</v>
      </c>
      <c r="AH42" s="148" t="s">
        <v>154</v>
      </c>
      <c r="AI42" s="148" t="s">
        <v>155</v>
      </c>
      <c r="AJ42" s="148" t="s">
        <v>156</v>
      </c>
      <c r="AK42" s="148" t="s">
        <v>157</v>
      </c>
      <c r="AL42" s="148" t="s">
        <v>158</v>
      </c>
      <c r="AM42" s="148" t="s">
        <v>159</v>
      </c>
      <c r="AN42" s="148" t="s">
        <v>160</v>
      </c>
      <c r="AP42" s="147">
        <v>20</v>
      </c>
      <c r="AQ42" s="147" t="s">
        <v>34</v>
      </c>
      <c r="AR42" s="148" t="s">
        <v>73</v>
      </c>
      <c r="AS42" s="148" t="s">
        <v>92</v>
      </c>
      <c r="AT42" s="148" t="s">
        <v>126</v>
      </c>
      <c r="AU42" s="148" t="s">
        <v>161</v>
      </c>
      <c r="AV42" s="148"/>
      <c r="AW42" s="148"/>
      <c r="AX42" s="148"/>
      <c r="AY42" s="149"/>
      <c r="AZ42" s="149"/>
      <c r="BA42" s="94">
        <v>1060</v>
      </c>
      <c r="BB42" s="94" t="s">
        <v>35</v>
      </c>
      <c r="BC42" s="94">
        <v>11</v>
      </c>
    </row>
    <row r="43" spans="30:63">
      <c r="AD43" s="146">
        <v>20</v>
      </c>
      <c r="AE43" s="147" t="s">
        <v>39</v>
      </c>
      <c r="AF43" s="148"/>
      <c r="AG43" s="148"/>
      <c r="AH43" s="148"/>
      <c r="AI43" s="148"/>
      <c r="AJ43" s="148"/>
      <c r="AK43" s="148"/>
      <c r="AL43" s="148"/>
      <c r="AM43" s="148"/>
      <c r="AN43" s="148"/>
      <c r="AP43" s="147">
        <v>20</v>
      </c>
      <c r="AQ43" s="147" t="s">
        <v>39</v>
      </c>
      <c r="AR43" s="148"/>
      <c r="AS43" s="148"/>
      <c r="AT43" s="148"/>
      <c r="AU43" s="148"/>
      <c r="AV43" s="148"/>
      <c r="AW43" s="148"/>
      <c r="AX43" s="148"/>
      <c r="AY43" s="149"/>
      <c r="AZ43" s="149"/>
      <c r="BA43" s="94">
        <v>1060</v>
      </c>
      <c r="BB43" s="94" t="s">
        <v>41</v>
      </c>
      <c r="BC43" s="94">
        <v>2</v>
      </c>
      <c r="BD43" s="94">
        <v>4</v>
      </c>
      <c r="BE43" s="94">
        <v>6</v>
      </c>
      <c r="BF43" s="94">
        <v>11</v>
      </c>
    </row>
    <row r="44" spans="30:63">
      <c r="BA44" s="128">
        <v>1150</v>
      </c>
      <c r="BB44" s="128" t="s">
        <v>35</v>
      </c>
      <c r="BC44" s="128">
        <v>11</v>
      </c>
      <c r="BD44" s="128"/>
      <c r="BE44" s="128"/>
      <c r="BF44" s="128"/>
      <c r="BG44" s="128"/>
      <c r="BH44" s="128"/>
      <c r="BI44" s="128"/>
      <c r="BJ44" s="128"/>
      <c r="BK44" s="128"/>
    </row>
    <row r="45" spans="30:63">
      <c r="BA45" s="128">
        <v>1150</v>
      </c>
      <c r="BB45" s="128" t="s">
        <v>41</v>
      </c>
      <c r="BC45" s="128">
        <v>2</v>
      </c>
      <c r="BD45" s="128">
        <v>4</v>
      </c>
      <c r="BE45" s="128">
        <v>6</v>
      </c>
      <c r="BF45" s="128">
        <v>11</v>
      </c>
      <c r="BG45" s="128"/>
      <c r="BH45" s="128"/>
      <c r="BI45" s="128"/>
      <c r="BJ45" s="128"/>
      <c r="BK45" s="128"/>
    </row>
    <row r="46" spans="30:63">
      <c r="BA46" s="94">
        <v>1160</v>
      </c>
      <c r="BB46" s="94" t="s">
        <v>35</v>
      </c>
      <c r="BC46" s="94">
        <v>11</v>
      </c>
    </row>
    <row r="47" spans="30:63">
      <c r="BA47" s="94">
        <v>1160</v>
      </c>
      <c r="BB47" s="94" t="s">
        <v>41</v>
      </c>
      <c r="BC47" s="94">
        <v>2</v>
      </c>
      <c r="BD47" s="94">
        <v>4</v>
      </c>
      <c r="BE47" s="94">
        <v>6</v>
      </c>
      <c r="BF47" s="94">
        <v>11</v>
      </c>
    </row>
    <row r="48" spans="30:63">
      <c r="BA48" s="128">
        <v>1250</v>
      </c>
      <c r="BB48" s="128" t="s">
        <v>35</v>
      </c>
      <c r="BC48" s="128">
        <v>11</v>
      </c>
      <c r="BD48" s="128"/>
      <c r="BE48" s="128"/>
      <c r="BF48" s="128"/>
      <c r="BG48" s="128"/>
      <c r="BH48" s="128"/>
      <c r="BI48" s="128"/>
      <c r="BJ48" s="128"/>
      <c r="BK48" s="128"/>
    </row>
    <row r="49" spans="53:63">
      <c r="BA49" s="128">
        <v>1250</v>
      </c>
      <c r="BB49" s="128" t="s">
        <v>41</v>
      </c>
      <c r="BC49" s="128">
        <v>2</v>
      </c>
      <c r="BD49" s="128">
        <v>4</v>
      </c>
      <c r="BE49" s="128">
        <v>6</v>
      </c>
      <c r="BF49" s="128">
        <v>11</v>
      </c>
      <c r="BG49" s="128"/>
      <c r="BH49" s="128"/>
      <c r="BI49" s="128"/>
      <c r="BJ49" s="128"/>
      <c r="BK49" s="128"/>
    </row>
    <row r="50" spans="53:63">
      <c r="BA50" s="94">
        <v>1260</v>
      </c>
      <c r="BB50" s="94" t="s">
        <v>35</v>
      </c>
      <c r="BC50" s="94">
        <v>13</v>
      </c>
    </row>
    <row r="51" spans="53:63">
      <c r="BA51" s="94">
        <v>1260</v>
      </c>
      <c r="BB51" s="94" t="s">
        <v>41</v>
      </c>
      <c r="BC51" s="94">
        <v>2</v>
      </c>
      <c r="BD51" s="94">
        <v>4</v>
      </c>
      <c r="BE51" s="94">
        <v>6</v>
      </c>
      <c r="BF51" s="94">
        <v>7</v>
      </c>
      <c r="BG51" s="94">
        <v>13</v>
      </c>
    </row>
    <row r="52" spans="53:63">
      <c r="BA52" s="128">
        <v>1350</v>
      </c>
      <c r="BB52" s="128" t="s">
        <v>35</v>
      </c>
      <c r="BC52" s="128">
        <v>13</v>
      </c>
      <c r="BD52" s="128"/>
      <c r="BE52" s="128"/>
      <c r="BF52" s="128"/>
      <c r="BG52" s="128"/>
      <c r="BH52" s="128"/>
      <c r="BI52" s="128"/>
      <c r="BJ52" s="128"/>
      <c r="BK52" s="128"/>
    </row>
    <row r="53" spans="53:63">
      <c r="BA53" s="128">
        <v>1350</v>
      </c>
      <c r="BB53" s="128" t="s">
        <v>41</v>
      </c>
      <c r="BC53" s="128">
        <v>2</v>
      </c>
      <c r="BD53" s="128">
        <v>4</v>
      </c>
      <c r="BE53" s="128">
        <v>6</v>
      </c>
      <c r="BF53" s="128">
        <v>7</v>
      </c>
      <c r="BG53" s="128">
        <v>13</v>
      </c>
      <c r="BH53" s="128"/>
      <c r="BI53" s="128"/>
      <c r="BJ53" s="128"/>
      <c r="BK53" s="128"/>
    </row>
    <row r="54" spans="53:63">
      <c r="BA54" s="94">
        <v>1360</v>
      </c>
      <c r="BB54" s="94" t="s">
        <v>35</v>
      </c>
      <c r="BC54" s="94">
        <v>13</v>
      </c>
    </row>
    <row r="55" spans="53:63">
      <c r="BA55" s="94">
        <v>1360</v>
      </c>
      <c r="BB55" s="94" t="s">
        <v>41</v>
      </c>
      <c r="BC55" s="94">
        <v>2</v>
      </c>
      <c r="BD55" s="94">
        <v>4</v>
      </c>
      <c r="BE55" s="94">
        <v>6</v>
      </c>
      <c r="BF55" s="94">
        <v>7</v>
      </c>
      <c r="BG55" s="94">
        <v>13</v>
      </c>
    </row>
    <row r="56" spans="53:63">
      <c r="BA56" s="128">
        <v>1450</v>
      </c>
      <c r="BB56" s="128" t="s">
        <v>35</v>
      </c>
      <c r="BC56" s="128">
        <v>13</v>
      </c>
      <c r="BD56" s="128"/>
      <c r="BE56" s="128"/>
      <c r="BF56" s="128"/>
      <c r="BG56" s="128"/>
      <c r="BH56" s="128"/>
      <c r="BI56" s="128"/>
      <c r="BJ56" s="128"/>
      <c r="BK56" s="128"/>
    </row>
    <row r="57" spans="53:63">
      <c r="BA57" s="128">
        <v>1450</v>
      </c>
      <c r="BB57" s="128" t="s">
        <v>41</v>
      </c>
      <c r="BC57" s="128">
        <v>2</v>
      </c>
      <c r="BD57" s="128">
        <v>4</v>
      </c>
      <c r="BE57" s="128">
        <v>6</v>
      </c>
      <c r="BF57" s="128">
        <v>7</v>
      </c>
      <c r="BG57" s="128">
        <v>13</v>
      </c>
      <c r="BH57" s="128"/>
      <c r="BI57" s="128"/>
      <c r="BJ57" s="128"/>
      <c r="BK57" s="128"/>
    </row>
    <row r="58" spans="53:63">
      <c r="BA58" s="94">
        <v>1460</v>
      </c>
      <c r="BB58" s="94" t="s">
        <v>35</v>
      </c>
      <c r="BC58" s="94">
        <v>15</v>
      </c>
    </row>
    <row r="59" spans="53:63">
      <c r="BA59" s="94">
        <v>1460</v>
      </c>
      <c r="BB59" s="94" t="s">
        <v>41</v>
      </c>
      <c r="BC59" s="94">
        <v>2</v>
      </c>
      <c r="BD59" s="94">
        <v>4</v>
      </c>
      <c r="BE59" s="94">
        <v>6</v>
      </c>
      <c r="BF59" s="94">
        <v>8</v>
      </c>
      <c r="BG59" s="94">
        <v>15</v>
      </c>
    </row>
    <row r="60" spans="53:63">
      <c r="BA60" s="128">
        <v>1550</v>
      </c>
      <c r="BB60" s="128" t="s">
        <v>35</v>
      </c>
      <c r="BC60" s="128">
        <v>15</v>
      </c>
      <c r="BD60" s="128"/>
      <c r="BE60" s="128"/>
      <c r="BF60" s="128"/>
      <c r="BG60" s="128"/>
      <c r="BH60" s="128"/>
      <c r="BI60" s="128"/>
      <c r="BJ60" s="128"/>
      <c r="BK60" s="128"/>
    </row>
    <row r="61" spans="53:63">
      <c r="BA61" s="128">
        <v>1550</v>
      </c>
      <c r="BB61" s="128" t="s">
        <v>41</v>
      </c>
      <c r="BC61" s="128">
        <v>2</v>
      </c>
      <c r="BD61" s="128">
        <v>4</v>
      </c>
      <c r="BE61" s="128">
        <v>6</v>
      </c>
      <c r="BF61" s="128">
        <v>8</v>
      </c>
      <c r="BG61" s="128">
        <v>15</v>
      </c>
      <c r="BH61" s="128"/>
      <c r="BI61" s="128"/>
      <c r="BJ61" s="128"/>
      <c r="BK61" s="128"/>
    </row>
    <row r="62" spans="53:63">
      <c r="BA62" s="94">
        <v>1560</v>
      </c>
      <c r="BB62" s="94" t="s">
        <v>35</v>
      </c>
      <c r="BC62" s="94">
        <v>15</v>
      </c>
    </row>
    <row r="63" spans="53:63">
      <c r="BA63" s="94">
        <v>1560</v>
      </c>
      <c r="BB63" s="94" t="s">
        <v>41</v>
      </c>
      <c r="BC63" s="94">
        <v>2</v>
      </c>
      <c r="BD63" s="94">
        <v>4</v>
      </c>
      <c r="BE63" s="94">
        <v>6</v>
      </c>
      <c r="BF63" s="94">
        <v>8</v>
      </c>
      <c r="BG63" s="94">
        <v>15</v>
      </c>
    </row>
    <row r="64" spans="53:63">
      <c r="BA64" s="128">
        <v>1650</v>
      </c>
      <c r="BB64" s="128" t="s">
        <v>35</v>
      </c>
      <c r="BC64" s="128">
        <v>15</v>
      </c>
      <c r="BD64" s="128"/>
      <c r="BE64" s="128"/>
      <c r="BF64" s="128"/>
      <c r="BG64" s="128"/>
      <c r="BH64" s="128"/>
      <c r="BI64" s="128"/>
      <c r="BJ64" s="128"/>
      <c r="BK64" s="128"/>
    </row>
    <row r="65" spans="53:63">
      <c r="BA65" s="128">
        <v>1650</v>
      </c>
      <c r="BB65" s="128" t="s">
        <v>41</v>
      </c>
      <c r="BC65" s="128">
        <v>2</v>
      </c>
      <c r="BD65" s="128">
        <v>4</v>
      </c>
      <c r="BE65" s="128">
        <v>6</v>
      </c>
      <c r="BF65" s="128">
        <v>8</v>
      </c>
      <c r="BG65" s="128">
        <v>15</v>
      </c>
      <c r="BH65" s="128"/>
      <c r="BI65" s="128"/>
      <c r="BJ65" s="128"/>
      <c r="BK65" s="128"/>
    </row>
    <row r="66" spans="53:63">
      <c r="BA66" s="94">
        <v>1660</v>
      </c>
      <c r="BB66" s="94" t="s">
        <v>35</v>
      </c>
      <c r="BC66" s="94">
        <v>17</v>
      </c>
    </row>
    <row r="67" spans="53:63">
      <c r="BA67" s="94">
        <v>1660</v>
      </c>
      <c r="BB67" s="94" t="s">
        <v>41</v>
      </c>
      <c r="BC67" s="94">
        <v>2</v>
      </c>
      <c r="BD67" s="94">
        <v>4</v>
      </c>
      <c r="BE67" s="94">
        <v>6</v>
      </c>
      <c r="BF67" s="94">
        <v>8</v>
      </c>
      <c r="BG67" s="94">
        <v>9</v>
      </c>
      <c r="BH67" s="94">
        <v>17</v>
      </c>
    </row>
    <row r="68" spans="53:63">
      <c r="BA68" s="128">
        <v>1750</v>
      </c>
      <c r="BB68" s="128" t="s">
        <v>35</v>
      </c>
      <c r="BC68" s="128">
        <v>17</v>
      </c>
      <c r="BD68" s="128"/>
      <c r="BE68" s="128"/>
      <c r="BF68" s="128"/>
      <c r="BG68" s="128"/>
      <c r="BH68" s="128"/>
      <c r="BI68" s="128"/>
      <c r="BJ68" s="128"/>
      <c r="BK68" s="128"/>
    </row>
    <row r="69" spans="53:63">
      <c r="BA69" s="128">
        <v>1750</v>
      </c>
      <c r="BB69" s="128" t="s">
        <v>41</v>
      </c>
      <c r="BC69" s="128">
        <v>2</v>
      </c>
      <c r="BD69" s="128">
        <v>4</v>
      </c>
      <c r="BE69" s="128">
        <v>6</v>
      </c>
      <c r="BF69" s="128">
        <v>8</v>
      </c>
      <c r="BG69" s="128">
        <v>9</v>
      </c>
      <c r="BH69" s="128">
        <v>17</v>
      </c>
      <c r="BI69" s="128"/>
      <c r="BJ69" s="128"/>
      <c r="BK69" s="128"/>
    </row>
    <row r="70" spans="53:63">
      <c r="BA70" s="94">
        <v>1760</v>
      </c>
      <c r="BB70" s="94" t="s">
        <v>35</v>
      </c>
      <c r="BC70" s="94">
        <v>17</v>
      </c>
    </row>
    <row r="71" spans="53:63">
      <c r="BA71" s="94">
        <v>1760</v>
      </c>
      <c r="BB71" s="94" t="s">
        <v>41</v>
      </c>
      <c r="BC71" s="94">
        <v>2</v>
      </c>
      <c r="BD71" s="94">
        <v>4</v>
      </c>
      <c r="BE71" s="94">
        <v>6</v>
      </c>
      <c r="BF71" s="94">
        <v>8</v>
      </c>
      <c r="BG71" s="94">
        <v>9</v>
      </c>
      <c r="BH71" s="94">
        <v>17</v>
      </c>
    </row>
    <row r="72" spans="53:63">
      <c r="BA72" s="128">
        <v>1850</v>
      </c>
      <c r="BB72" s="128" t="s">
        <v>35</v>
      </c>
      <c r="BC72" s="128">
        <v>17</v>
      </c>
      <c r="BD72" s="128"/>
      <c r="BE72" s="128"/>
      <c r="BF72" s="128"/>
      <c r="BG72" s="128"/>
      <c r="BH72" s="128"/>
      <c r="BI72" s="128"/>
      <c r="BJ72" s="128"/>
      <c r="BK72" s="128"/>
    </row>
    <row r="73" spans="53:63">
      <c r="BA73" s="128">
        <v>1850</v>
      </c>
      <c r="BB73" s="128" t="s">
        <v>41</v>
      </c>
      <c r="BC73" s="128">
        <v>2</v>
      </c>
      <c r="BD73" s="128">
        <v>4</v>
      </c>
      <c r="BE73" s="128">
        <v>6</v>
      </c>
      <c r="BF73" s="128">
        <v>8</v>
      </c>
      <c r="BG73" s="128">
        <v>9</v>
      </c>
      <c r="BH73" s="128">
        <v>17</v>
      </c>
      <c r="BI73" s="128"/>
      <c r="BJ73" s="128"/>
      <c r="BK73" s="128"/>
    </row>
    <row r="74" spans="53:63">
      <c r="BA74" s="94">
        <v>1860</v>
      </c>
      <c r="BB74" s="94" t="s">
        <v>35</v>
      </c>
      <c r="BC74" s="94">
        <v>19</v>
      </c>
    </row>
    <row r="75" spans="53:63">
      <c r="BA75" s="94">
        <v>1860</v>
      </c>
      <c r="BB75" s="94" t="s">
        <v>41</v>
      </c>
      <c r="BC75" s="94">
        <v>2</v>
      </c>
      <c r="BD75" s="94">
        <v>4</v>
      </c>
      <c r="BE75" s="94">
        <v>6</v>
      </c>
      <c r="BF75" s="94">
        <v>8</v>
      </c>
      <c r="BG75" s="94">
        <v>10</v>
      </c>
      <c r="BH75" s="94">
        <v>19</v>
      </c>
    </row>
    <row r="76" spans="53:63">
      <c r="BA76" s="128">
        <v>1950</v>
      </c>
      <c r="BB76" s="128" t="s">
        <v>35</v>
      </c>
      <c r="BC76" s="128">
        <v>19</v>
      </c>
      <c r="BD76" s="128"/>
      <c r="BE76" s="128"/>
      <c r="BF76" s="128"/>
      <c r="BG76" s="128"/>
      <c r="BH76" s="128"/>
      <c r="BI76" s="128"/>
      <c r="BJ76" s="128"/>
      <c r="BK76" s="128"/>
    </row>
    <row r="77" spans="53:63">
      <c r="BA77" s="128">
        <v>1950</v>
      </c>
      <c r="BB77" s="128" t="s">
        <v>41</v>
      </c>
      <c r="BC77" s="128">
        <v>2</v>
      </c>
      <c r="BD77" s="128">
        <v>4</v>
      </c>
      <c r="BE77" s="128">
        <v>6</v>
      </c>
      <c r="BF77" s="128">
        <v>8</v>
      </c>
      <c r="BG77" s="128">
        <v>10</v>
      </c>
      <c r="BH77" s="128">
        <v>19</v>
      </c>
      <c r="BI77" s="128"/>
      <c r="BJ77" s="128"/>
      <c r="BK77" s="128"/>
    </row>
    <row r="78" spans="53:63">
      <c r="BA78" s="94">
        <v>1960</v>
      </c>
      <c r="BB78" s="94" t="s">
        <v>35</v>
      </c>
      <c r="BC78" s="94">
        <v>19</v>
      </c>
    </row>
    <row r="79" spans="53:63">
      <c r="BA79" s="94">
        <v>1960</v>
      </c>
      <c r="BB79" s="94" t="s">
        <v>41</v>
      </c>
      <c r="BC79" s="94">
        <v>2</v>
      </c>
      <c r="BD79" s="94">
        <v>4</v>
      </c>
      <c r="BE79" s="94">
        <v>6</v>
      </c>
      <c r="BF79" s="94">
        <v>8</v>
      </c>
      <c r="BG79" s="94">
        <v>10</v>
      </c>
      <c r="BH79" s="94">
        <v>19</v>
      </c>
    </row>
    <row r="80" spans="53:63">
      <c r="BA80" s="128">
        <v>2050</v>
      </c>
      <c r="BB80" s="128" t="s">
        <v>35</v>
      </c>
      <c r="BC80" s="128">
        <v>19</v>
      </c>
      <c r="BD80" s="128"/>
      <c r="BE80" s="128"/>
      <c r="BF80" s="128"/>
      <c r="BG80" s="128"/>
      <c r="BH80" s="128"/>
      <c r="BI80" s="128"/>
      <c r="BJ80" s="128"/>
      <c r="BK80" s="128"/>
    </row>
    <row r="81" spans="53:63">
      <c r="BA81" s="128">
        <v>2050</v>
      </c>
      <c r="BB81" s="128" t="s">
        <v>41</v>
      </c>
      <c r="BC81" s="128">
        <v>2</v>
      </c>
      <c r="BD81" s="128">
        <v>4</v>
      </c>
      <c r="BE81" s="128">
        <v>6</v>
      </c>
      <c r="BF81" s="128">
        <v>8</v>
      </c>
      <c r="BG81" s="128">
        <v>10</v>
      </c>
      <c r="BH81" s="128">
        <v>19</v>
      </c>
      <c r="BI81" s="128"/>
      <c r="BJ81" s="128"/>
      <c r="BK81" s="128"/>
    </row>
    <row r="82" spans="53:63">
      <c r="BA82" s="94">
        <v>100</v>
      </c>
      <c r="BB82" s="94" t="s">
        <v>35</v>
      </c>
      <c r="BC82" s="94">
        <v>1</v>
      </c>
    </row>
    <row r="83" spans="53:63">
      <c r="BA83" s="94">
        <v>100</v>
      </c>
      <c r="BB83" s="94" t="s">
        <v>41</v>
      </c>
      <c r="BC83" s="94">
        <v>1</v>
      </c>
    </row>
  </sheetData>
  <mergeCells count="8">
    <mergeCell ref="BB1:BK3"/>
    <mergeCell ref="AE1:AN3"/>
    <mergeCell ref="AQ1:AX3"/>
    <mergeCell ref="A1:L1"/>
    <mergeCell ref="N1:T1"/>
    <mergeCell ref="V1:X1"/>
    <mergeCell ref="V11:X11"/>
    <mergeCell ref="N2:N3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C8"/>
  <sheetViews>
    <sheetView workbookViewId="0">
      <selection activeCell="G14" sqref="G14"/>
    </sheetView>
  </sheetViews>
  <sheetFormatPr defaultColWidth="9.140625" defaultRowHeight="15"/>
  <cols>
    <col min="1" max="1" width="47.28515625" style="88" customWidth="1"/>
    <col min="2" max="3" width="9.140625" style="88"/>
    <col min="4" max="16384" width="9.140625" style="80"/>
  </cols>
  <sheetData>
    <row r="1" spans="1:3">
      <c r="A1" s="89" t="s">
        <v>162</v>
      </c>
      <c r="B1" s="90">
        <v>20</v>
      </c>
      <c r="C1" s="91" t="s">
        <v>163</v>
      </c>
    </row>
    <row r="2" spans="1:3">
      <c r="A2" s="89" t="s">
        <v>164</v>
      </c>
      <c r="B2" s="90">
        <v>6</v>
      </c>
      <c r="C2" s="91" t="s">
        <v>165</v>
      </c>
    </row>
    <row r="3" spans="1:3">
      <c r="A3" s="89" t="s">
        <v>166</v>
      </c>
      <c r="B3" s="90">
        <v>0</v>
      </c>
      <c r="C3" s="91" t="s">
        <v>163</v>
      </c>
    </row>
    <row r="4" spans="1:3">
      <c r="A4" s="89" t="s">
        <v>167</v>
      </c>
      <c r="B4" s="90">
        <v>0</v>
      </c>
      <c r="C4" s="91" t="s">
        <v>163</v>
      </c>
    </row>
    <row r="5" spans="1:3">
      <c r="A5" s="89" t="s">
        <v>168</v>
      </c>
      <c r="B5" s="90">
        <v>6</v>
      </c>
      <c r="C5" s="91" t="s">
        <v>30</v>
      </c>
    </row>
    <row r="6" spans="1:3">
      <c r="A6" s="89" t="s">
        <v>169</v>
      </c>
      <c r="B6" s="90">
        <v>12</v>
      </c>
      <c r="C6" s="91" t="s">
        <v>163</v>
      </c>
    </row>
    <row r="7" spans="1:3">
      <c r="A7" s="89" t="s">
        <v>170</v>
      </c>
      <c r="B7" s="90">
        <v>150</v>
      </c>
      <c r="C7" s="91" t="s">
        <v>163</v>
      </c>
    </row>
    <row r="8" spans="1:3">
      <c r="A8" s="89" t="s">
        <v>171</v>
      </c>
      <c r="B8" s="90" t="s">
        <v>172</v>
      </c>
      <c r="C8" s="79" t="s">
        <v>30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L15"/>
  <sheetViews>
    <sheetView tabSelected="1" workbookViewId="0">
      <selection activeCell="J17" sqref="J17"/>
    </sheetView>
  </sheetViews>
  <sheetFormatPr defaultColWidth="9.140625" defaultRowHeight="15.75"/>
  <cols>
    <col min="1" max="1" width="9.140625" style="76"/>
    <col min="2" max="2" width="15.140625" style="77" customWidth="1"/>
    <col min="3" max="4" width="9.140625" style="78"/>
    <col min="5" max="6" width="9.140625" style="76"/>
    <col min="7" max="7" width="13.5703125" style="76" customWidth="1"/>
    <col min="8" max="8" width="14" style="76" customWidth="1"/>
    <col min="9" max="9" width="9.140625" style="79"/>
    <col min="10" max="10" width="20.85546875" style="80" customWidth="1"/>
    <col min="11" max="16384" width="9.140625" style="80"/>
  </cols>
  <sheetData>
    <row r="1" spans="1:12">
      <c r="A1" s="164" t="s">
        <v>173</v>
      </c>
      <c r="B1" s="164"/>
      <c r="C1" s="165" t="s">
        <v>174</v>
      </c>
      <c r="D1" s="165"/>
      <c r="E1" s="166" t="s">
        <v>175</v>
      </c>
      <c r="F1" s="164" t="s">
        <v>176</v>
      </c>
      <c r="G1" s="164"/>
      <c r="H1" s="164"/>
      <c r="I1" s="167" t="s">
        <v>177</v>
      </c>
      <c r="J1" s="83" t="s">
        <v>162</v>
      </c>
      <c r="K1" s="84">
        <v>20</v>
      </c>
      <c r="L1" s="84" t="s">
        <v>163</v>
      </c>
    </row>
    <row r="2" spans="1:12">
      <c r="A2" s="81" t="s">
        <v>178</v>
      </c>
      <c r="B2" s="81" t="s">
        <v>179</v>
      </c>
      <c r="C2" s="82" t="s">
        <v>178</v>
      </c>
      <c r="D2" s="82" t="s">
        <v>179</v>
      </c>
      <c r="E2" s="166"/>
      <c r="F2" s="81" t="s">
        <v>180</v>
      </c>
      <c r="G2" s="81" t="s">
        <v>181</v>
      </c>
      <c r="H2" s="81" t="s">
        <v>182</v>
      </c>
      <c r="I2" s="168"/>
      <c r="J2" s="83" t="s">
        <v>164</v>
      </c>
      <c r="K2" s="84">
        <v>6</v>
      </c>
      <c r="L2" s="84" t="s">
        <v>165</v>
      </c>
    </row>
    <row r="3" spans="1:12">
      <c r="A3" s="81" t="s">
        <v>163</v>
      </c>
      <c r="B3" s="81" t="s">
        <v>163</v>
      </c>
      <c r="C3" s="82" t="s">
        <v>163</v>
      </c>
      <c r="D3" s="82" t="s">
        <v>163</v>
      </c>
      <c r="E3" s="81" t="s">
        <v>163</v>
      </c>
      <c r="F3" s="81" t="s">
        <v>30</v>
      </c>
      <c r="G3" s="81" t="s">
        <v>30</v>
      </c>
      <c r="H3" s="81" t="s">
        <v>30</v>
      </c>
      <c r="I3" s="85" t="s">
        <v>163</v>
      </c>
      <c r="J3" s="83" t="s">
        <v>183</v>
      </c>
      <c r="K3" s="84">
        <v>200</v>
      </c>
      <c r="L3" s="84" t="s">
        <v>163</v>
      </c>
    </row>
    <row r="4" spans="1:12">
      <c r="A4" s="86">
        <v>100</v>
      </c>
      <c r="B4" s="86">
        <v>150</v>
      </c>
      <c r="C4" s="87">
        <v>0</v>
      </c>
      <c r="D4" s="87">
        <v>1500</v>
      </c>
      <c r="E4" s="86">
        <v>200</v>
      </c>
      <c r="F4" s="86" t="s">
        <v>172</v>
      </c>
      <c r="G4" s="86" t="s">
        <v>184</v>
      </c>
      <c r="H4" s="86" t="s">
        <v>184</v>
      </c>
      <c r="I4" s="86" t="s">
        <v>185</v>
      </c>
      <c r="J4" s="83" t="s">
        <v>186</v>
      </c>
      <c r="K4" s="84">
        <v>200</v>
      </c>
      <c r="L4" s="84" t="s">
        <v>163</v>
      </c>
    </row>
    <row r="5" spans="1:12">
      <c r="A5" s="86">
        <v>100</v>
      </c>
      <c r="B5" s="86">
        <v>150</v>
      </c>
      <c r="C5" s="87">
        <v>1500</v>
      </c>
      <c r="D5" s="87">
        <v>100000</v>
      </c>
      <c r="E5" s="86">
        <v>200</v>
      </c>
      <c r="F5" s="86" t="s">
        <v>172</v>
      </c>
      <c r="G5" s="86" t="s">
        <v>187</v>
      </c>
      <c r="H5" s="86" t="s">
        <v>187</v>
      </c>
      <c r="I5" s="86" t="s">
        <v>185</v>
      </c>
      <c r="J5" s="83" t="s">
        <v>188</v>
      </c>
      <c r="K5" s="84">
        <v>6</v>
      </c>
      <c r="L5" s="84" t="s">
        <v>189</v>
      </c>
    </row>
    <row r="6" spans="1:12">
      <c r="A6" s="76">
        <v>150</v>
      </c>
      <c r="B6" s="76">
        <v>300</v>
      </c>
      <c r="C6" s="78">
        <v>0</v>
      </c>
      <c r="D6" s="78">
        <v>1500</v>
      </c>
      <c r="E6" s="76">
        <v>100</v>
      </c>
      <c r="F6" s="76" t="s">
        <v>172</v>
      </c>
      <c r="G6" s="76" t="s">
        <v>184</v>
      </c>
      <c r="H6" s="76" t="s">
        <v>184</v>
      </c>
      <c r="I6" s="79" t="s">
        <v>185</v>
      </c>
      <c r="J6" s="83" t="s">
        <v>190</v>
      </c>
      <c r="K6" s="83">
        <v>0</v>
      </c>
      <c r="L6" s="83" t="s">
        <v>163</v>
      </c>
    </row>
    <row r="7" spans="1:12">
      <c r="A7" s="76">
        <v>150</v>
      </c>
      <c r="B7" s="76">
        <v>300</v>
      </c>
      <c r="C7" s="78">
        <v>1500</v>
      </c>
      <c r="D7" s="78">
        <v>3000</v>
      </c>
      <c r="E7" s="76">
        <v>200</v>
      </c>
      <c r="F7" s="76" t="s">
        <v>172</v>
      </c>
      <c r="G7" s="76" t="s">
        <v>191</v>
      </c>
      <c r="H7" s="76" t="s">
        <v>191</v>
      </c>
      <c r="I7" s="79" t="s">
        <v>185</v>
      </c>
      <c r="J7" s="83" t="s">
        <v>192</v>
      </c>
      <c r="K7" s="83"/>
      <c r="L7" s="83" t="s">
        <v>163</v>
      </c>
    </row>
    <row r="8" spans="1:12">
      <c r="A8" s="76">
        <v>150</v>
      </c>
      <c r="B8" s="76">
        <v>300</v>
      </c>
      <c r="C8" s="78">
        <v>3000</v>
      </c>
      <c r="D8" s="78">
        <v>5000</v>
      </c>
      <c r="E8" s="76">
        <v>250</v>
      </c>
      <c r="F8" s="76" t="s">
        <v>172</v>
      </c>
      <c r="G8" s="76" t="s">
        <v>193</v>
      </c>
      <c r="H8" s="76" t="s">
        <v>193</v>
      </c>
      <c r="I8" s="79" t="s">
        <v>185</v>
      </c>
      <c r="J8" s="83" t="s">
        <v>194</v>
      </c>
      <c r="K8" s="83"/>
      <c r="L8" s="83" t="s">
        <v>163</v>
      </c>
    </row>
    <row r="9" spans="1:12">
      <c r="A9" s="76">
        <v>150</v>
      </c>
      <c r="B9" s="76">
        <v>300</v>
      </c>
      <c r="C9" s="78">
        <v>5000</v>
      </c>
      <c r="D9" s="78">
        <v>8000</v>
      </c>
      <c r="E9" s="76">
        <v>400</v>
      </c>
      <c r="F9" s="76" t="s">
        <v>172</v>
      </c>
      <c r="G9" s="76" t="s">
        <v>195</v>
      </c>
      <c r="H9" s="76" t="s">
        <v>195</v>
      </c>
      <c r="I9" s="79" t="s">
        <v>185</v>
      </c>
      <c r="J9" s="83" t="s">
        <v>196</v>
      </c>
      <c r="K9" s="83"/>
      <c r="L9" s="83" t="s">
        <v>163</v>
      </c>
    </row>
    <row r="10" spans="1:12">
      <c r="A10" s="76">
        <v>150</v>
      </c>
      <c r="B10" s="76">
        <v>300</v>
      </c>
      <c r="C10" s="78">
        <v>8000</v>
      </c>
      <c r="D10" s="78">
        <v>100000</v>
      </c>
      <c r="E10" s="76">
        <v>500</v>
      </c>
      <c r="F10" s="76" t="s">
        <v>172</v>
      </c>
      <c r="G10" s="76" t="s">
        <v>197</v>
      </c>
      <c r="H10" s="76" t="s">
        <v>197</v>
      </c>
      <c r="I10" s="79" t="s">
        <v>185</v>
      </c>
      <c r="J10" s="83" t="s">
        <v>198</v>
      </c>
      <c r="K10" s="83"/>
      <c r="L10" s="83" t="s">
        <v>163</v>
      </c>
    </row>
    <row r="11" spans="1:12">
      <c r="A11" s="86">
        <v>300</v>
      </c>
      <c r="B11" s="86">
        <v>500</v>
      </c>
      <c r="C11" s="87">
        <v>0</v>
      </c>
      <c r="D11" s="87">
        <v>1500</v>
      </c>
      <c r="E11" s="86">
        <v>100</v>
      </c>
      <c r="F11" s="86" t="s">
        <v>172</v>
      </c>
      <c r="G11" s="86" t="s">
        <v>184</v>
      </c>
      <c r="H11" s="86" t="s">
        <v>184</v>
      </c>
      <c r="I11" s="86" t="s">
        <v>185</v>
      </c>
    </row>
    <row r="12" spans="1:12">
      <c r="A12" s="86">
        <v>300</v>
      </c>
      <c r="B12" s="86">
        <v>500</v>
      </c>
      <c r="C12" s="87">
        <v>1500</v>
      </c>
      <c r="D12" s="87">
        <v>3000</v>
      </c>
      <c r="E12" s="86">
        <v>200</v>
      </c>
      <c r="F12" s="86" t="s">
        <v>172</v>
      </c>
      <c r="G12" s="86" t="s">
        <v>191</v>
      </c>
      <c r="H12" s="86" t="s">
        <v>191</v>
      </c>
      <c r="I12" s="86" t="s">
        <v>185</v>
      </c>
    </row>
    <row r="13" spans="1:12">
      <c r="A13" s="86">
        <v>300</v>
      </c>
      <c r="B13" s="86">
        <v>500</v>
      </c>
      <c r="C13" s="87">
        <v>3000</v>
      </c>
      <c r="D13" s="87">
        <v>5000</v>
      </c>
      <c r="E13" s="86">
        <v>250</v>
      </c>
      <c r="F13" s="86" t="s">
        <v>172</v>
      </c>
      <c r="G13" s="86" t="s">
        <v>193</v>
      </c>
      <c r="H13" s="86" t="s">
        <v>193</v>
      </c>
      <c r="I13" s="86" t="s">
        <v>185</v>
      </c>
    </row>
    <row r="14" spans="1:12">
      <c r="A14" s="86">
        <v>300</v>
      </c>
      <c r="B14" s="86">
        <v>500</v>
      </c>
      <c r="C14" s="87">
        <v>5000</v>
      </c>
      <c r="D14" s="87">
        <v>8000</v>
      </c>
      <c r="E14" s="86">
        <v>400</v>
      </c>
      <c r="F14" s="86" t="s">
        <v>172</v>
      </c>
      <c r="G14" s="86" t="s">
        <v>195</v>
      </c>
      <c r="H14" s="86" t="s">
        <v>195</v>
      </c>
      <c r="I14" s="86" t="s">
        <v>185</v>
      </c>
    </row>
    <row r="15" spans="1:12">
      <c r="A15" s="86">
        <v>300</v>
      </c>
      <c r="B15" s="86">
        <v>500</v>
      </c>
      <c r="C15" s="87">
        <v>8000</v>
      </c>
      <c r="D15" s="87">
        <v>100000</v>
      </c>
      <c r="E15" s="86">
        <v>500</v>
      </c>
      <c r="F15" s="86" t="s">
        <v>172</v>
      </c>
      <c r="G15" s="86" t="s">
        <v>197</v>
      </c>
      <c r="H15" s="86" t="s">
        <v>197</v>
      </c>
      <c r="I15" s="86" t="s">
        <v>185</v>
      </c>
    </row>
  </sheetData>
  <mergeCells count="5">
    <mergeCell ref="A1:B1"/>
    <mergeCell ref="C1:D1"/>
    <mergeCell ref="F1:H1"/>
    <mergeCell ref="E1:E2"/>
    <mergeCell ref="I1:I2"/>
  </mergeCell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CN41"/>
  <sheetViews>
    <sheetView showGridLines="0" showRowColHeaders="0" workbookViewId="0">
      <selection activeCell="CC31" sqref="CC31"/>
    </sheetView>
  </sheetViews>
  <sheetFormatPr defaultColWidth="1.42578125" defaultRowHeight="15"/>
  <cols>
    <col min="1" max="6" width="1.42578125" style="52"/>
    <col min="7" max="15" width="1.42578125" style="53"/>
    <col min="16" max="61" width="1.42578125" style="54"/>
    <col min="62" max="62" width="2" style="54" customWidth="1"/>
    <col min="63" max="73" width="1.42578125" style="55"/>
    <col min="74" max="76" width="1.42578125" style="54"/>
    <col min="77" max="77" width="8.28515625" style="56" customWidth="1"/>
    <col min="78" max="78" width="8.28515625" style="57" customWidth="1"/>
    <col min="79" max="79" width="8.28515625" style="58" customWidth="1"/>
    <col min="80" max="80" width="8.28515625" style="56" customWidth="1"/>
    <col min="81" max="81" width="9.5703125" style="59" customWidth="1"/>
    <col min="82" max="82" width="8.28515625" style="56" customWidth="1"/>
    <col min="83" max="83" width="8.28515625" style="58" customWidth="1"/>
    <col min="84" max="84" width="9.85546875" style="56" customWidth="1"/>
    <col min="85" max="87" width="8.28515625" style="56" customWidth="1"/>
    <col min="88" max="88" width="8.28515625" style="60" customWidth="1"/>
    <col min="89" max="90" width="8.28515625" style="61" customWidth="1"/>
    <col min="91" max="97" width="8.28515625" style="62" customWidth="1"/>
    <col min="98" max="16384" width="1.42578125" style="62"/>
  </cols>
  <sheetData>
    <row r="1" spans="1:92" ht="15" customHeight="1">
      <c r="A1" s="52" t="s">
        <v>199</v>
      </c>
      <c r="B1" s="169" t="s">
        <v>200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1"/>
      <c r="BY1" s="63" t="s">
        <v>201</v>
      </c>
      <c r="BZ1" s="64" t="s">
        <v>202</v>
      </c>
      <c r="CA1" s="65" t="s">
        <v>203</v>
      </c>
      <c r="CB1" s="64" t="s">
        <v>204</v>
      </c>
      <c r="CC1" s="66">
        <f>ATAN((CA5-CA4)/(BZ5-BZ4))</f>
        <v>0.52272849400868804</v>
      </c>
      <c r="CD1" s="63" t="str">
        <f>H19&amp;Z19&amp;BA19&amp;AV21&amp;BU21&amp;BU22&amp;BQ25&amp;BI25&amp;BF25&amp;AO27&amp;M30&amp;U30&amp;D22&amp;D31&amp;D33&amp;G36&amp;J36&amp;R36</f>
        <v>200030001500157.1428571428571202802001100200100+0.050314.28571428571422001202802001700200</v>
      </c>
      <c r="CE1" s="65"/>
      <c r="CF1" s="63" t="s">
        <v>205</v>
      </c>
      <c r="CG1" s="65">
        <f>MAX(CE9,CE12,CE15)</f>
        <v>2100</v>
      </c>
      <c r="CH1" s="63" t="s">
        <v>206</v>
      </c>
      <c r="CI1" s="65">
        <f>MIN(BZ2:BZ13)</f>
        <v>0</v>
      </c>
      <c r="CN1" s="61"/>
    </row>
    <row r="2" spans="1:92">
      <c r="B2" s="172" t="s">
        <v>207</v>
      </c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4"/>
      <c r="BY2" s="63">
        <v>1</v>
      </c>
      <c r="BZ2" s="64">
        <v>0</v>
      </c>
      <c r="CA2" s="65">
        <v>0</v>
      </c>
      <c r="CB2" s="63"/>
      <c r="CC2" s="67"/>
      <c r="CD2" s="63"/>
      <c r="CE2" s="65"/>
      <c r="CF2" s="63" t="s">
        <v>208</v>
      </c>
      <c r="CG2" s="65">
        <f>IF(CG1=CE9,CE10,IF(CG1=CE12,CE13,CE16))</f>
        <v>256.49265401080652</v>
      </c>
      <c r="CH2" s="63" t="s">
        <v>209</v>
      </c>
      <c r="CI2" s="65">
        <f>MAX(MAX(BZ2:BZ13),MAX(CA2:CA13)-MIN(CA2:CA13))*2/3</f>
        <v>4333.3333333333303</v>
      </c>
      <c r="CN2" s="61"/>
    </row>
    <row r="3" spans="1:92">
      <c r="BY3" s="63">
        <f>BY2+1</f>
        <v>2</v>
      </c>
      <c r="BZ3" s="64">
        <f>BZ2+H19</f>
        <v>2000</v>
      </c>
      <c r="CA3" s="65">
        <f>CA2</f>
        <v>0</v>
      </c>
      <c r="CB3" s="63" t="s">
        <v>210</v>
      </c>
      <c r="CC3" s="67" t="s">
        <v>202</v>
      </c>
      <c r="CD3" s="63" t="s">
        <v>203</v>
      </c>
      <c r="CE3" s="65"/>
      <c r="CF3" s="63" t="s">
        <v>211</v>
      </c>
      <c r="CG3" s="65">
        <f>IF(BU22=0,CE20,MIN(CE20,CE23))</f>
        <v>5000</v>
      </c>
      <c r="CH3" s="63" t="s">
        <v>212</v>
      </c>
      <c r="CI3" s="65">
        <f>CI1</f>
        <v>0</v>
      </c>
      <c r="CN3" s="61"/>
    </row>
    <row r="4" spans="1:92">
      <c r="BY4" s="63">
        <f t="shared" ref="BY4:BY25" si="0">BY3+1</f>
        <v>3</v>
      </c>
      <c r="BZ4" s="64">
        <f>BZ3</f>
        <v>2000</v>
      </c>
      <c r="CA4" s="65">
        <f>CA3+U30</f>
        <v>314.28571428571399</v>
      </c>
      <c r="CB4" s="63" t="s">
        <v>213</v>
      </c>
      <c r="CC4" s="67">
        <f>BZ4+AO27/SIN(CC1)</f>
        <v>2200.3020054357899</v>
      </c>
      <c r="CD4" s="67">
        <f>CA4</f>
        <v>314.28571428571399</v>
      </c>
      <c r="CE4" s="65"/>
      <c r="CF4" s="63" t="s">
        <v>214</v>
      </c>
      <c r="CG4" s="65">
        <f>IF(BU22=0,CE21,IF(CG3=CE20,CE21,CE24))</f>
        <v>1927.4450349631848</v>
      </c>
      <c r="CH4" s="63" t="s">
        <v>215</v>
      </c>
      <c r="CI4" s="65">
        <f>CI2/2</f>
        <v>2166.6666666666702</v>
      </c>
      <c r="CN4" s="61"/>
    </row>
    <row r="5" spans="1:92">
      <c r="BY5" s="63">
        <f t="shared" si="0"/>
        <v>4</v>
      </c>
      <c r="BZ5" s="64">
        <f>BZ4+Z19</f>
        <v>5000</v>
      </c>
      <c r="CA5" s="65">
        <f>CA3+D22-AV21</f>
        <v>2042.8571428571399</v>
      </c>
      <c r="CB5" s="63" t="s">
        <v>6</v>
      </c>
      <c r="CC5" s="67">
        <f>BZ5+AO27/SIN(CC1)</f>
        <v>5200.3020054357903</v>
      </c>
      <c r="CD5" s="67">
        <f>CA5</f>
        <v>2042.8571428571399</v>
      </c>
      <c r="CE5" s="65"/>
      <c r="CF5" s="63"/>
      <c r="CG5" s="63"/>
      <c r="CH5" s="63"/>
      <c r="CI5" s="63"/>
      <c r="CN5" s="61"/>
    </row>
    <row r="6" spans="1:92">
      <c r="BY6" s="63">
        <f t="shared" si="0"/>
        <v>5</v>
      </c>
      <c r="BZ6" s="64">
        <f>BZ5</f>
        <v>5000</v>
      </c>
      <c r="CA6" s="65">
        <f>CA5+AV21</f>
        <v>2200</v>
      </c>
      <c r="CB6" s="63"/>
      <c r="CC6" s="67"/>
      <c r="CD6" s="63"/>
      <c r="CE6" s="65"/>
      <c r="CF6" s="63"/>
      <c r="CG6" s="63"/>
      <c r="CH6" s="63"/>
      <c r="CI6" s="63"/>
      <c r="CN6" s="61"/>
    </row>
    <row r="7" spans="1:92">
      <c r="BY7" s="63">
        <f t="shared" si="0"/>
        <v>6</v>
      </c>
      <c r="BZ7" s="64">
        <f>BZ6+BA19</f>
        <v>6500</v>
      </c>
      <c r="CA7" s="65">
        <f>CA6</f>
        <v>2200</v>
      </c>
      <c r="CB7" s="175" t="s">
        <v>216</v>
      </c>
      <c r="CC7" s="175"/>
      <c r="CD7" s="175"/>
      <c r="CE7" s="175"/>
      <c r="CF7" s="175"/>
      <c r="CG7" s="63"/>
      <c r="CH7" s="63"/>
      <c r="CI7" s="63"/>
      <c r="CN7" s="61"/>
    </row>
    <row r="8" spans="1:92">
      <c r="BY8" s="63">
        <f t="shared" si="0"/>
        <v>7</v>
      </c>
      <c r="BZ8" s="64">
        <f>BZ7</f>
        <v>6500</v>
      </c>
      <c r="CA8" s="65">
        <f>IF(BQ25=0,CA7-BU21,CA7-BU21-BU22)</f>
        <v>1800</v>
      </c>
      <c r="CB8" s="63" t="s">
        <v>217</v>
      </c>
      <c r="CC8" s="67" t="s">
        <v>202</v>
      </c>
      <c r="CD8" s="63" t="s">
        <v>203</v>
      </c>
      <c r="CE8" s="65" t="s">
        <v>218</v>
      </c>
      <c r="CF8" s="63"/>
      <c r="CG8" s="63"/>
      <c r="CH8" s="63"/>
      <c r="CI8" s="63"/>
      <c r="CN8" s="61"/>
    </row>
    <row r="9" spans="1:92">
      <c r="BY9" s="63">
        <f t="shared" si="0"/>
        <v>8</v>
      </c>
      <c r="BZ9" s="64">
        <f>BZ8-BQ25</f>
        <v>6300</v>
      </c>
      <c r="CA9" s="65">
        <f>IF(BQ25=0,CA7-BU21,CA7-BU21-BU22)</f>
        <v>1800</v>
      </c>
      <c r="CB9" s="63">
        <v>17</v>
      </c>
      <c r="CC9" s="67">
        <f>BZ18</f>
        <v>2100</v>
      </c>
      <c r="CD9" s="65">
        <f>CA18</f>
        <v>-120</v>
      </c>
      <c r="CE9" s="65">
        <f>GD(CC4,CD4,CC5,CD5,CC9,CD9,CC10,CD10,CD1,"X")</f>
        <v>2100</v>
      </c>
      <c r="CF9" s="63" t="s">
        <v>202</v>
      </c>
      <c r="CG9" s="63"/>
      <c r="CH9" s="63"/>
      <c r="CI9" s="63"/>
      <c r="CN9" s="61"/>
    </row>
    <row r="10" spans="1:92">
      <c r="BY10" s="63">
        <f t="shared" si="0"/>
        <v>9</v>
      </c>
      <c r="BZ10" s="64">
        <f>BZ7-BQ25</f>
        <v>6300</v>
      </c>
      <c r="CA10" s="65">
        <f>CA7-BU21</f>
        <v>2080</v>
      </c>
      <c r="CB10" s="63">
        <v>18</v>
      </c>
      <c r="CC10" s="67">
        <f>CC9</f>
        <v>2100</v>
      </c>
      <c r="CD10" s="65">
        <f>CD9+1000</f>
        <v>880</v>
      </c>
      <c r="CE10" s="65">
        <f>GD(CC4,CD4,CC5,CD5,CC9,CD9,CC10,CD10,CD1,"Y")</f>
        <v>256.49265401080652</v>
      </c>
      <c r="CF10" s="63" t="s">
        <v>203</v>
      </c>
      <c r="CG10" s="63"/>
      <c r="CH10" s="63"/>
      <c r="CI10" s="63"/>
      <c r="CN10" s="61"/>
    </row>
    <row r="11" spans="1:92">
      <c r="BY11" s="63">
        <f t="shared" si="0"/>
        <v>10</v>
      </c>
      <c r="BZ11" s="64">
        <f>IF(BF25=0,BZ10,BZ10-BI25)</f>
        <v>5200</v>
      </c>
      <c r="CA11" s="65">
        <f>CA10</f>
        <v>2080</v>
      </c>
      <c r="CB11" s="63"/>
      <c r="CC11" s="67"/>
      <c r="CD11" s="63"/>
      <c r="CE11" s="65"/>
      <c r="CF11" s="63"/>
      <c r="CG11" s="63"/>
      <c r="CH11" s="63"/>
      <c r="CI11" s="63"/>
      <c r="CN11" s="61"/>
    </row>
    <row r="12" spans="1:92">
      <c r="BY12" s="63">
        <f t="shared" si="0"/>
        <v>11</v>
      </c>
      <c r="BZ12" s="64">
        <f>BZ11</f>
        <v>5200</v>
      </c>
      <c r="CA12" s="65">
        <f>IF(BF25=0,CA11,CA11-BU22)</f>
        <v>1800</v>
      </c>
      <c r="CB12" s="63">
        <v>21</v>
      </c>
      <c r="CC12" s="67">
        <f>BZ22</f>
        <v>200</v>
      </c>
      <c r="CD12" s="65">
        <f>CA22</f>
        <v>-120</v>
      </c>
      <c r="CE12" s="65">
        <f>GD(CC4,CD4,CC5,CD5,CC12,CD12,CC13,CD13,CD1,"X")</f>
        <v>1446.5829971713265</v>
      </c>
      <c r="CF12" s="63" t="s">
        <v>202</v>
      </c>
      <c r="CG12" s="63"/>
      <c r="CH12" s="63"/>
      <c r="CI12" s="63"/>
      <c r="CN12" s="61"/>
    </row>
    <row r="13" spans="1:92">
      <c r="BY13" s="63">
        <f t="shared" si="0"/>
        <v>12</v>
      </c>
      <c r="BZ13" s="64">
        <f>BZ12-BF25</f>
        <v>5000</v>
      </c>
      <c r="CA13" s="65">
        <f>CA12</f>
        <v>1800</v>
      </c>
      <c r="CB13" s="63">
        <v>20</v>
      </c>
      <c r="CC13" s="67">
        <f>CC12+1000</f>
        <v>1200</v>
      </c>
      <c r="CD13" s="65">
        <f>CD12</f>
        <v>-120</v>
      </c>
      <c r="CE13" s="65">
        <f>GD(CC4,CD4,CC5,CD5,CC12,CD12,CC13,CD13,CD1,"Y")</f>
        <v>-120</v>
      </c>
      <c r="CF13" s="63" t="s">
        <v>203</v>
      </c>
      <c r="CG13" s="63"/>
      <c r="CH13" s="63"/>
      <c r="CI13" s="63"/>
      <c r="CN13" s="61"/>
    </row>
    <row r="14" spans="1:92">
      <c r="BY14" s="63">
        <f t="shared" si="0"/>
        <v>13</v>
      </c>
      <c r="BZ14" s="65">
        <f>IF(BF25=0,BZ15,IF(AND(BZ15=CE23,CA15=CE24),BZ13,BZ13))</f>
        <v>5000</v>
      </c>
      <c r="CA14" s="65">
        <f>IF(BF25=0,CA15,IF(AND(BZ15=CE23,CA15=CE24),CA13,CA13+BU22))</f>
        <v>1800</v>
      </c>
      <c r="CB14" s="68"/>
      <c r="CC14" s="68"/>
      <c r="CD14" s="63"/>
      <c r="CE14" s="65"/>
      <c r="CF14" s="63"/>
      <c r="CG14" s="63"/>
      <c r="CH14" s="63"/>
      <c r="CI14" s="63"/>
      <c r="CN14" s="61"/>
    </row>
    <row r="15" spans="1:92">
      <c r="BY15" s="63">
        <f t="shared" si="0"/>
        <v>14</v>
      </c>
      <c r="BZ15" s="65">
        <f>CG3</f>
        <v>5000</v>
      </c>
      <c r="CA15" s="65">
        <f>CG4</f>
        <v>1927.4450349631848</v>
      </c>
      <c r="CB15" s="63">
        <v>16</v>
      </c>
      <c r="CC15" s="67">
        <f>IF(U30=0,CC9,BZ17)</f>
        <v>2100</v>
      </c>
      <c r="CD15" s="63">
        <f>IF(U30=0,CD9,CA17)</f>
        <v>-120</v>
      </c>
      <c r="CE15" s="65">
        <f>GD(CC4,CD4,CC5,CD5,CC15,CD15,CC16,CD16,CD1,"X")</f>
        <v>2100</v>
      </c>
      <c r="CF15" s="63" t="s">
        <v>202</v>
      </c>
      <c r="CG15" s="63"/>
      <c r="CH15" s="63"/>
      <c r="CI15" s="63"/>
      <c r="CN15" s="61"/>
    </row>
    <row r="16" spans="1:92">
      <c r="BY16" s="63">
        <f t="shared" si="0"/>
        <v>15</v>
      </c>
      <c r="BZ16" s="65">
        <f>CG1</f>
        <v>2100</v>
      </c>
      <c r="CA16" s="65">
        <f>CG2</f>
        <v>256.49265401080652</v>
      </c>
      <c r="CB16" s="68">
        <v>15</v>
      </c>
      <c r="CC16" s="69">
        <f>CC15</f>
        <v>2100</v>
      </c>
      <c r="CD16" s="63">
        <f>CD15+1000</f>
        <v>880</v>
      </c>
      <c r="CE16" s="65">
        <f>GD(CC4,CD4,CC5,CD5,CC15,CD15,CC16,CD16,CD1,"Y")</f>
        <v>256.49265401080652</v>
      </c>
      <c r="CF16" s="63" t="s">
        <v>203</v>
      </c>
      <c r="CG16" s="63"/>
      <c r="CH16" s="67"/>
      <c r="CI16" s="63"/>
      <c r="CN16" s="61"/>
    </row>
    <row r="17" spans="4:92">
      <c r="BY17" s="63">
        <f t="shared" si="0"/>
        <v>16</v>
      </c>
      <c r="BZ17" s="65">
        <f>IF(U30=0,CG1,MAX(H19+AO27,BZ18))</f>
        <v>2100</v>
      </c>
      <c r="CA17" s="65">
        <f>IF(U30=0,CG2,CA18)</f>
        <v>-120</v>
      </c>
      <c r="CB17" s="68"/>
      <c r="CC17" s="68"/>
      <c r="CD17" s="63"/>
      <c r="CE17" s="65"/>
      <c r="CF17" s="63"/>
      <c r="CG17" s="63"/>
      <c r="CH17" s="67"/>
      <c r="CI17" s="63"/>
      <c r="CN17" s="61"/>
    </row>
    <row r="18" spans="4:92">
      <c r="BY18" s="63">
        <f t="shared" si="0"/>
        <v>17</v>
      </c>
      <c r="BZ18" s="64">
        <f>BZ20+R36</f>
        <v>2100</v>
      </c>
      <c r="CA18" s="65">
        <f>CA21</f>
        <v>-120</v>
      </c>
      <c r="CB18" s="175" t="s">
        <v>219</v>
      </c>
      <c r="CC18" s="175"/>
      <c r="CD18" s="175"/>
      <c r="CE18" s="175"/>
      <c r="CF18" s="175"/>
      <c r="CG18" s="63"/>
      <c r="CH18" s="67"/>
      <c r="CI18" s="63"/>
      <c r="CN18" s="61"/>
    </row>
    <row r="19" spans="4:92">
      <c r="H19" s="176">
        <v>2000</v>
      </c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176">
        <v>3000</v>
      </c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6"/>
      <c r="AS19" s="176"/>
      <c r="AT19" s="176"/>
      <c r="AU19" s="176"/>
      <c r="AV19" s="176"/>
      <c r="AW19" s="176"/>
      <c r="AX19" s="176"/>
      <c r="AY19" s="176"/>
      <c r="AZ19" s="70"/>
      <c r="BA19" s="176">
        <v>1500</v>
      </c>
      <c r="BB19" s="176"/>
      <c r="BC19" s="176"/>
      <c r="BD19" s="176"/>
      <c r="BE19" s="176"/>
      <c r="BF19" s="176"/>
      <c r="BG19" s="176"/>
      <c r="BH19" s="176"/>
      <c r="BI19" s="176"/>
      <c r="BJ19" s="176"/>
      <c r="BK19" s="176"/>
      <c r="BL19" s="176"/>
      <c r="BM19" s="176"/>
      <c r="BN19" s="176"/>
      <c r="BO19" s="176"/>
      <c r="BP19" s="176"/>
      <c r="BQ19" s="176"/>
      <c r="BR19" s="176"/>
      <c r="BY19" s="63">
        <f t="shared" si="0"/>
        <v>18</v>
      </c>
      <c r="BZ19" s="64">
        <f>IF(R36=0,BZ18,BZ20+R36)</f>
        <v>2100</v>
      </c>
      <c r="CA19" s="65">
        <f>IF(R36=0,CA18,CA20)</f>
        <v>-400</v>
      </c>
      <c r="CB19" s="63" t="s">
        <v>217</v>
      </c>
      <c r="CC19" s="67" t="s">
        <v>202</v>
      </c>
      <c r="CD19" s="63" t="s">
        <v>203</v>
      </c>
      <c r="CE19" s="65" t="s">
        <v>218</v>
      </c>
      <c r="CF19" s="63"/>
      <c r="CG19" s="63"/>
      <c r="CH19" s="67"/>
      <c r="CI19" s="63"/>
      <c r="CN19" s="61"/>
    </row>
    <row r="20" spans="4:92">
      <c r="G20" s="54"/>
      <c r="H20" s="54"/>
      <c r="I20" s="54"/>
      <c r="J20" s="54"/>
      <c r="K20" s="54"/>
      <c r="L20" s="54"/>
      <c r="M20" s="54"/>
      <c r="N20" s="54"/>
      <c r="O20" s="54"/>
      <c r="BY20" s="63">
        <f t="shared" si="0"/>
        <v>19</v>
      </c>
      <c r="BZ20" s="64">
        <f>IF(R36=0,BZ21,BZ21)</f>
        <v>1900</v>
      </c>
      <c r="CA20" s="65">
        <f>IF(R36=0,CA21,CA21-D33)</f>
        <v>-400</v>
      </c>
      <c r="CB20" s="63">
        <v>9</v>
      </c>
      <c r="CC20" s="67">
        <f>BZ10</f>
        <v>6300</v>
      </c>
      <c r="CD20" s="65">
        <f>CA10</f>
        <v>2080</v>
      </c>
      <c r="CE20" s="65">
        <f>GD(CC4,CD4,CC5,CD5,CC20,CD20,CC21,CD21,CD1,"X")</f>
        <v>5264.7648153531509</v>
      </c>
      <c r="CF20" s="63" t="s">
        <v>202</v>
      </c>
      <c r="CG20" s="63"/>
      <c r="CH20" s="67"/>
      <c r="CI20" s="63"/>
      <c r="CN20" s="61"/>
    </row>
    <row r="21" spans="4:92">
      <c r="E21" s="71"/>
      <c r="G21" s="54"/>
      <c r="H21" s="54"/>
      <c r="I21" s="54"/>
      <c r="J21" s="54"/>
      <c r="K21" s="54"/>
      <c r="L21" s="54"/>
      <c r="M21" s="54"/>
      <c r="N21" s="54"/>
      <c r="O21" s="54"/>
      <c r="AL21" s="72"/>
      <c r="AV21" s="203">
        <f>D22/(U28+AI23)</f>
        <v>157.142857142857</v>
      </c>
      <c r="AW21" s="203"/>
      <c r="AX21" s="203"/>
      <c r="BU21" s="177">
        <v>120</v>
      </c>
      <c r="BV21" s="177"/>
      <c r="BW21" s="177"/>
      <c r="BY21" s="63">
        <f t="shared" si="0"/>
        <v>20</v>
      </c>
      <c r="BZ21" s="64">
        <f>BZ22+J36</f>
        <v>1900</v>
      </c>
      <c r="CA21" s="65">
        <f>CA22</f>
        <v>-120</v>
      </c>
      <c r="CB21" s="63">
        <v>10</v>
      </c>
      <c r="CC21" s="67">
        <f>CC20-1000</f>
        <v>5300</v>
      </c>
      <c r="CD21" s="65">
        <f>CD20</f>
        <v>2080</v>
      </c>
      <c r="CE21" s="65">
        <f>GD(CC4,CD4,CC5,CD5,CC20,CD20,CC21,CD21,CD1,"Y")</f>
        <v>2080</v>
      </c>
      <c r="CF21" s="63" t="s">
        <v>203</v>
      </c>
      <c r="CG21" s="63"/>
      <c r="CH21" s="67"/>
      <c r="CI21" s="63"/>
      <c r="CN21" s="61"/>
    </row>
    <row r="22" spans="4:92" ht="15" customHeight="1">
      <c r="D22" s="200">
        <v>2200</v>
      </c>
      <c r="E22" s="200"/>
      <c r="G22" s="54"/>
      <c r="H22" s="54"/>
      <c r="AK22" s="72"/>
      <c r="AL22" s="72"/>
      <c r="AV22" s="203"/>
      <c r="AW22" s="203"/>
      <c r="AX22" s="203"/>
      <c r="BU22" s="202">
        <v>280</v>
      </c>
      <c r="BV22" s="202"/>
      <c r="BW22" s="202"/>
      <c r="BY22" s="63">
        <f t="shared" si="0"/>
        <v>21</v>
      </c>
      <c r="BZ22" s="64">
        <f>BZ25+G36</f>
        <v>200</v>
      </c>
      <c r="CA22" s="65">
        <f>CA25-D31</f>
        <v>-120</v>
      </c>
      <c r="CB22" s="63"/>
      <c r="CC22" s="67"/>
      <c r="CD22" s="63"/>
      <c r="CE22" s="65"/>
      <c r="CF22" s="63"/>
      <c r="CG22" s="63"/>
      <c r="CH22" s="67"/>
      <c r="CI22" s="63"/>
      <c r="CN22" s="61"/>
    </row>
    <row r="23" spans="4:92">
      <c r="D23" s="200"/>
      <c r="E23" s="200"/>
      <c r="G23" s="54"/>
      <c r="H23" s="54"/>
      <c r="I23" s="178" t="s">
        <v>220</v>
      </c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9" t="s">
        <v>221</v>
      </c>
      <c r="AA23" s="180"/>
      <c r="AB23" s="180"/>
      <c r="AC23" s="180"/>
      <c r="AI23" s="181">
        <v>12</v>
      </c>
      <c r="AJ23" s="182"/>
      <c r="AK23" s="182"/>
      <c r="AL23" s="182"/>
      <c r="AM23" s="183"/>
      <c r="BU23" s="202"/>
      <c r="BV23" s="202"/>
      <c r="BW23" s="202"/>
      <c r="BY23" s="63">
        <f t="shared" si="0"/>
        <v>22</v>
      </c>
      <c r="BZ23" s="64">
        <f>BZ25+G36</f>
        <v>200</v>
      </c>
      <c r="CA23" s="65">
        <f>IF(G36=0,CA25-D31,CA25-D31-D33)</f>
        <v>-400</v>
      </c>
      <c r="CB23" s="63">
        <v>12</v>
      </c>
      <c r="CC23" s="67">
        <f>BZ13</f>
        <v>5000</v>
      </c>
      <c r="CD23" s="65">
        <f>CA13</f>
        <v>1800</v>
      </c>
      <c r="CE23" s="65">
        <f>IF(BF25=0,CE20,GD(CC4,CD4,CC5,CD5,CC23,CD23,CC24,CD24,CD1,"X"))</f>
        <v>5000</v>
      </c>
      <c r="CF23" s="63" t="s">
        <v>202</v>
      </c>
      <c r="CG23" s="63"/>
      <c r="CH23" s="67"/>
      <c r="CI23" s="63"/>
      <c r="CN23" s="61"/>
    </row>
    <row r="24" spans="4:92">
      <c r="D24" s="200"/>
      <c r="E24" s="200"/>
      <c r="I24" s="178" t="s">
        <v>222</v>
      </c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9" t="s">
        <v>221</v>
      </c>
      <c r="AA24" s="180"/>
      <c r="AB24" s="180"/>
      <c r="AC24" s="180"/>
      <c r="AI24" s="184" t="s">
        <v>223</v>
      </c>
      <c r="AJ24" s="185"/>
      <c r="AK24" s="185"/>
      <c r="AL24" s="185"/>
      <c r="AM24" s="186"/>
      <c r="BY24" s="63">
        <f t="shared" si="0"/>
        <v>23</v>
      </c>
      <c r="BZ24" s="64">
        <f>BZ25</f>
        <v>0</v>
      </c>
      <c r="CA24" s="65">
        <f>IF(G36=0,CA25-D31,CA25-D31-D33)</f>
        <v>-400</v>
      </c>
      <c r="CB24" s="68">
        <v>13</v>
      </c>
      <c r="CC24" s="69">
        <f>CC23</f>
        <v>5000</v>
      </c>
      <c r="CD24" s="73">
        <f>CD23+1000</f>
        <v>2800</v>
      </c>
      <c r="CE24" s="65">
        <f>IF(BF25=0,CE21,GD(CC4,CD4,CC5,CD5,CC23,CD23,CC24,CD24,CD1,"Y"))</f>
        <v>1927.4450349631848</v>
      </c>
      <c r="CF24" s="63" t="s">
        <v>203</v>
      </c>
      <c r="CG24" s="63"/>
      <c r="CH24" s="63"/>
      <c r="CI24" s="63"/>
      <c r="CN24" s="61"/>
    </row>
    <row r="25" spans="4:92">
      <c r="D25" s="200"/>
      <c r="E25" s="200"/>
      <c r="I25" s="187" t="s">
        <v>224</v>
      </c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79" t="s">
        <v>221</v>
      </c>
      <c r="AA25" s="180"/>
      <c r="AB25" s="180"/>
      <c r="AC25" s="180"/>
      <c r="BF25" s="188">
        <v>200</v>
      </c>
      <c r="BG25" s="188"/>
      <c r="BH25" s="188"/>
      <c r="BI25" s="176">
        <v>1100</v>
      </c>
      <c r="BJ25" s="176"/>
      <c r="BK25" s="176"/>
      <c r="BL25" s="176"/>
      <c r="BM25" s="176"/>
      <c r="BN25" s="176"/>
      <c r="BO25" s="176"/>
      <c r="BP25" s="176"/>
      <c r="BQ25" s="176">
        <v>200</v>
      </c>
      <c r="BR25" s="176"/>
      <c r="BS25" s="176"/>
      <c r="BY25" s="63">
        <f t="shared" si="0"/>
        <v>24</v>
      </c>
      <c r="BZ25" s="64">
        <f>BZ2</f>
        <v>0</v>
      </c>
      <c r="CA25" s="65">
        <f>CA2</f>
        <v>0</v>
      </c>
      <c r="CB25" s="63"/>
      <c r="CC25" s="67"/>
      <c r="CD25" s="63"/>
      <c r="CE25" s="65"/>
      <c r="CF25" s="63"/>
      <c r="CG25" s="63"/>
      <c r="CH25" s="63"/>
      <c r="CI25" s="63"/>
      <c r="CN25" s="61"/>
    </row>
    <row r="26" spans="4:92">
      <c r="D26" s="200"/>
      <c r="E26" s="200"/>
      <c r="I26" s="187" t="s">
        <v>225</v>
      </c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79" t="s">
        <v>221</v>
      </c>
      <c r="AA26" s="180"/>
      <c r="AB26" s="180"/>
      <c r="AC26" s="180"/>
      <c r="BH26" s="189" t="s">
        <v>226</v>
      </c>
      <c r="BI26" s="189"/>
      <c r="BJ26" s="189"/>
      <c r="BK26" s="189"/>
      <c r="BL26" s="190">
        <f>BA19-BF25-BQ25</f>
        <v>1100</v>
      </c>
      <c r="BM26" s="190"/>
      <c r="BN26" s="190"/>
      <c r="BO26" s="190"/>
      <c r="BP26" s="190"/>
      <c r="BQ26" s="74"/>
      <c r="CN26" s="61"/>
    </row>
    <row r="27" spans="4:92">
      <c r="D27" s="200"/>
      <c r="E27" s="200"/>
      <c r="AO27" s="176">
        <v>100</v>
      </c>
      <c r="AP27" s="176"/>
      <c r="AQ27" s="176"/>
      <c r="CN27" s="61"/>
    </row>
    <row r="28" spans="4:92">
      <c r="D28" s="200"/>
      <c r="E28" s="200"/>
      <c r="U28" s="181">
        <v>2</v>
      </c>
      <c r="V28" s="182"/>
      <c r="W28" s="182"/>
      <c r="X28" s="183"/>
      <c r="AT28" s="178" t="s">
        <v>227</v>
      </c>
      <c r="AU28" s="178"/>
      <c r="AV28" s="178"/>
      <c r="AW28" s="178"/>
      <c r="AX28" s="178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91">
        <v>15</v>
      </c>
      <c r="BK28" s="191"/>
      <c r="BL28" s="191"/>
      <c r="BM28" s="191"/>
      <c r="BN28" s="191"/>
      <c r="BO28" s="191"/>
      <c r="BP28" s="192"/>
      <c r="BQ28" s="192"/>
      <c r="BR28" s="192"/>
      <c r="BS28" s="192"/>
      <c r="BT28" s="192"/>
      <c r="BU28" s="192"/>
      <c r="BV28" s="192"/>
      <c r="BW28" s="192"/>
      <c r="BX28" s="192"/>
    </row>
    <row r="29" spans="4:92">
      <c r="D29" s="200"/>
      <c r="E29" s="200"/>
      <c r="U29" s="184" t="s">
        <v>223</v>
      </c>
      <c r="V29" s="185"/>
      <c r="W29" s="185"/>
      <c r="X29" s="186"/>
      <c r="AT29" s="193" t="s">
        <v>228</v>
      </c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5"/>
      <c r="BJ29" s="191">
        <v>1260</v>
      </c>
      <c r="BK29" s="191"/>
      <c r="BL29" s="191"/>
      <c r="BM29" s="191"/>
      <c r="BN29" s="191"/>
      <c r="BO29" s="191"/>
      <c r="BP29" s="192"/>
      <c r="BQ29" s="192"/>
      <c r="BR29" s="192"/>
      <c r="BS29" s="192"/>
      <c r="BT29" s="192"/>
      <c r="BU29" s="192"/>
      <c r="BV29" s="192"/>
      <c r="BW29" s="192"/>
      <c r="BX29" s="192"/>
    </row>
    <row r="30" spans="4:92">
      <c r="D30" s="200"/>
      <c r="E30" s="200"/>
      <c r="M30" s="196" t="s">
        <v>229</v>
      </c>
      <c r="N30" s="196"/>
      <c r="O30" s="196"/>
      <c r="P30" s="196"/>
      <c r="Q30" s="196"/>
      <c r="R30" s="75"/>
      <c r="U30" s="203">
        <f>AV21*2</f>
        <v>314.28571428571399</v>
      </c>
      <c r="V30" s="203"/>
      <c r="W30" s="203"/>
      <c r="AT30" s="193" t="s">
        <v>230</v>
      </c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8"/>
      <c r="BJ30" s="191" t="s">
        <v>231</v>
      </c>
      <c r="BK30" s="191"/>
      <c r="BL30" s="191"/>
      <c r="BM30" s="191"/>
      <c r="BN30" s="191"/>
      <c r="BO30" s="191"/>
      <c r="BP30" s="192"/>
      <c r="BQ30" s="192"/>
      <c r="BR30" s="192"/>
      <c r="BS30" s="192"/>
      <c r="BT30" s="192"/>
      <c r="BU30" s="192"/>
      <c r="BV30" s="192"/>
      <c r="BW30" s="192"/>
      <c r="BX30" s="192"/>
    </row>
    <row r="31" spans="4:92">
      <c r="D31" s="201">
        <v>120</v>
      </c>
      <c r="E31" s="201"/>
      <c r="U31" s="203"/>
      <c r="V31" s="203"/>
      <c r="W31" s="203"/>
      <c r="AT31" s="193" t="s">
        <v>232</v>
      </c>
      <c r="AU31" s="197"/>
      <c r="AV31" s="197"/>
      <c r="AW31" s="197"/>
      <c r="AX31" s="197"/>
      <c r="AY31" s="197"/>
      <c r="AZ31" s="197"/>
      <c r="BA31" s="197"/>
      <c r="BB31" s="197"/>
      <c r="BC31" s="197"/>
      <c r="BD31" s="197"/>
      <c r="BE31" s="197"/>
      <c r="BF31" s="197"/>
      <c r="BG31" s="197"/>
      <c r="BH31" s="197"/>
      <c r="BI31" s="198"/>
      <c r="BJ31" s="191">
        <v>2200</v>
      </c>
      <c r="BK31" s="191"/>
      <c r="BL31" s="191"/>
      <c r="BM31" s="191"/>
      <c r="BN31" s="191"/>
      <c r="BO31" s="191"/>
      <c r="BP31" s="192"/>
      <c r="BQ31" s="192"/>
      <c r="BR31" s="192"/>
      <c r="BS31" s="192"/>
      <c r="BT31" s="192"/>
      <c r="BU31" s="192"/>
      <c r="BV31" s="192"/>
      <c r="BW31" s="192"/>
      <c r="BX31" s="192"/>
    </row>
    <row r="32" spans="4:92">
      <c r="D32" s="201"/>
      <c r="E32" s="201"/>
      <c r="AT32" s="193" t="s">
        <v>233</v>
      </c>
      <c r="AU32" s="197"/>
      <c r="AV32" s="197"/>
      <c r="AW32" s="197"/>
      <c r="AX32" s="197"/>
      <c r="AY32" s="197"/>
      <c r="AZ32" s="197"/>
      <c r="BA32" s="197"/>
      <c r="BB32" s="197"/>
      <c r="BC32" s="197"/>
      <c r="BD32" s="197"/>
      <c r="BE32" s="197"/>
      <c r="BF32" s="197"/>
      <c r="BG32" s="197"/>
      <c r="BH32" s="197"/>
      <c r="BI32" s="198"/>
      <c r="BJ32" s="191" t="s">
        <v>234</v>
      </c>
      <c r="BK32" s="191"/>
      <c r="BL32" s="191"/>
      <c r="BM32" s="191"/>
      <c r="BN32" s="191"/>
      <c r="BO32" s="191"/>
      <c r="BP32" s="192"/>
      <c r="BQ32" s="192"/>
      <c r="BR32" s="192"/>
      <c r="BS32" s="192"/>
      <c r="BT32" s="192"/>
      <c r="BU32" s="192"/>
      <c r="BV32" s="192"/>
      <c r="BW32" s="192"/>
      <c r="BX32" s="192"/>
    </row>
    <row r="33" spans="4:76" ht="15" customHeight="1">
      <c r="D33" s="200">
        <v>280</v>
      </c>
      <c r="E33" s="200"/>
      <c r="AD33" s="199" t="s">
        <v>235</v>
      </c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199"/>
      <c r="AT33" s="193" t="s">
        <v>236</v>
      </c>
      <c r="AU33" s="197"/>
      <c r="AV33" s="197"/>
      <c r="AW33" s="197"/>
      <c r="AX33" s="197"/>
      <c r="AY33" s="197"/>
      <c r="AZ33" s="197"/>
      <c r="BA33" s="197"/>
      <c r="BB33" s="197"/>
      <c r="BC33" s="197"/>
      <c r="BD33" s="197"/>
      <c r="BE33" s="197"/>
      <c r="BF33" s="197"/>
      <c r="BG33" s="197"/>
      <c r="BH33" s="197"/>
      <c r="BI33" s="198"/>
      <c r="BJ33" s="191" t="s">
        <v>234</v>
      </c>
      <c r="BK33" s="191"/>
      <c r="BL33" s="191"/>
      <c r="BM33" s="191"/>
      <c r="BN33" s="191"/>
      <c r="BO33" s="191"/>
      <c r="BP33" s="192"/>
      <c r="BQ33" s="192"/>
      <c r="BR33" s="192"/>
      <c r="BS33" s="192"/>
      <c r="BT33" s="192"/>
      <c r="BU33" s="192"/>
      <c r="BV33" s="192"/>
      <c r="BW33" s="192"/>
      <c r="BX33" s="192"/>
    </row>
    <row r="34" spans="4:76">
      <c r="D34" s="200"/>
      <c r="E34" s="200"/>
      <c r="AD34" s="199" t="s">
        <v>237</v>
      </c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T34" s="193" t="s">
        <v>238</v>
      </c>
      <c r="AU34" s="197"/>
      <c r="AV34" s="197"/>
      <c r="AW34" s="197"/>
      <c r="AX34" s="197"/>
      <c r="AY34" s="197"/>
      <c r="AZ34" s="197"/>
      <c r="BA34" s="197"/>
      <c r="BB34" s="197"/>
      <c r="BC34" s="197"/>
      <c r="BD34" s="197"/>
      <c r="BE34" s="197"/>
      <c r="BF34" s="197"/>
      <c r="BG34" s="197"/>
      <c r="BH34" s="197"/>
      <c r="BI34" s="198"/>
      <c r="BJ34" s="191" t="s">
        <v>234</v>
      </c>
      <c r="BK34" s="191"/>
      <c r="BL34" s="191"/>
      <c r="BM34" s="191"/>
      <c r="BN34" s="191"/>
      <c r="BO34" s="191"/>
      <c r="BP34" s="192"/>
      <c r="BQ34" s="192"/>
      <c r="BR34" s="192"/>
      <c r="BS34" s="192"/>
      <c r="BT34" s="192"/>
      <c r="BU34" s="192"/>
      <c r="BV34" s="192"/>
      <c r="BW34" s="192"/>
      <c r="BX34" s="192"/>
    </row>
    <row r="35" spans="4:76">
      <c r="AT35" s="193" t="s">
        <v>239</v>
      </c>
      <c r="AU35" s="197"/>
      <c r="AV35" s="197"/>
      <c r="AW35" s="197"/>
      <c r="AX35" s="197"/>
      <c r="AY35" s="197"/>
      <c r="AZ35" s="197"/>
      <c r="BA35" s="197"/>
      <c r="BB35" s="197"/>
      <c r="BC35" s="197"/>
      <c r="BD35" s="197"/>
      <c r="BE35" s="197"/>
      <c r="BF35" s="197"/>
      <c r="BG35" s="197"/>
      <c r="BH35" s="197"/>
      <c r="BI35" s="198"/>
      <c r="BJ35" s="191" t="s">
        <v>234</v>
      </c>
      <c r="BK35" s="191"/>
      <c r="BL35" s="191"/>
      <c r="BM35" s="191"/>
      <c r="BN35" s="191"/>
      <c r="BO35" s="191"/>
      <c r="BP35" s="192"/>
      <c r="BQ35" s="192"/>
      <c r="BR35" s="192"/>
      <c r="BS35" s="192"/>
      <c r="BT35" s="192"/>
      <c r="BU35" s="192"/>
      <c r="BV35" s="192"/>
      <c r="BW35" s="192"/>
      <c r="BX35" s="192"/>
    </row>
    <row r="36" spans="4:76">
      <c r="G36" s="176">
        <v>200</v>
      </c>
      <c r="H36" s="176"/>
      <c r="I36" s="176"/>
      <c r="J36" s="176">
        <v>1700</v>
      </c>
      <c r="K36" s="176"/>
      <c r="L36" s="176"/>
      <c r="M36" s="176"/>
      <c r="N36" s="176"/>
      <c r="O36" s="176"/>
      <c r="P36" s="176"/>
      <c r="Q36" s="176"/>
      <c r="R36" s="176">
        <v>200</v>
      </c>
      <c r="S36" s="176"/>
      <c r="T36" s="176"/>
      <c r="AT36" s="193" t="s">
        <v>240</v>
      </c>
      <c r="AU36" s="197"/>
      <c r="AV36" s="197"/>
      <c r="AW36" s="197"/>
      <c r="AX36" s="197"/>
      <c r="AY36" s="197"/>
      <c r="AZ36" s="197"/>
      <c r="BA36" s="197"/>
      <c r="BB36" s="197"/>
      <c r="BC36" s="197"/>
      <c r="BD36" s="197"/>
      <c r="BE36" s="197"/>
      <c r="BF36" s="197"/>
      <c r="BG36" s="197"/>
      <c r="BH36" s="197"/>
      <c r="BI36" s="198"/>
      <c r="BJ36" s="191" t="s">
        <v>241</v>
      </c>
      <c r="BK36" s="191"/>
      <c r="BL36" s="191"/>
      <c r="BM36" s="191"/>
      <c r="BN36" s="191"/>
      <c r="BO36" s="191"/>
      <c r="BP36" s="191"/>
      <c r="BQ36" s="191"/>
      <c r="BR36" s="191"/>
      <c r="BS36" s="191"/>
      <c r="BT36" s="191"/>
      <c r="BU36" s="191"/>
      <c r="BV36" s="191"/>
      <c r="BW36" s="191"/>
      <c r="BX36" s="191"/>
    </row>
    <row r="37" spans="4:76">
      <c r="AT37" s="193" t="s">
        <v>242</v>
      </c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  <c r="BI37" s="198"/>
      <c r="BJ37" s="191" t="s">
        <v>243</v>
      </c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191"/>
      <c r="BX37" s="191"/>
    </row>
    <row r="38" spans="4:76">
      <c r="AT38" s="193" t="s">
        <v>244</v>
      </c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8"/>
      <c r="BJ38" s="191">
        <v>30</v>
      </c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  <c r="BV38" s="191"/>
      <c r="BW38" s="191"/>
      <c r="BX38" s="191"/>
    </row>
    <row r="39" spans="4:76">
      <c r="AT39" s="193" t="s">
        <v>245</v>
      </c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  <c r="BI39" s="198"/>
      <c r="BJ39" s="191">
        <v>1</v>
      </c>
      <c r="BK39" s="191"/>
      <c r="BL39" s="191"/>
      <c r="BM39" s="191"/>
      <c r="BN39" s="191"/>
      <c r="BO39" s="191"/>
      <c r="BP39" s="191"/>
      <c r="BQ39" s="191"/>
      <c r="BR39" s="191"/>
      <c r="BS39" s="191"/>
      <c r="BT39" s="191"/>
      <c r="BU39" s="191"/>
      <c r="BV39" s="191"/>
      <c r="BW39" s="191"/>
      <c r="BX39" s="191"/>
    </row>
    <row r="40" spans="4:76">
      <c r="AT40" s="193" t="s">
        <v>246</v>
      </c>
      <c r="AU40" s="197"/>
      <c r="AV40" s="197"/>
      <c r="AW40" s="197"/>
      <c r="AX40" s="197"/>
      <c r="AY40" s="197"/>
      <c r="AZ40" s="197"/>
      <c r="BA40" s="197"/>
      <c r="BB40" s="197"/>
      <c r="BC40" s="197"/>
      <c r="BD40" s="197"/>
      <c r="BE40" s="197"/>
      <c r="BF40" s="197"/>
      <c r="BG40" s="197"/>
      <c r="BH40" s="197"/>
      <c r="BI40" s="198"/>
      <c r="BJ40" s="191">
        <v>1</v>
      </c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  <c r="BV40" s="191"/>
      <c r="BW40" s="191"/>
      <c r="BX40" s="191"/>
    </row>
    <row r="41" spans="4:76">
      <c r="AT41" s="193" t="s">
        <v>247</v>
      </c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8"/>
      <c r="BJ41" s="191" t="s">
        <v>248</v>
      </c>
      <c r="BK41" s="191"/>
      <c r="BL41" s="191"/>
      <c r="BM41" s="191"/>
      <c r="BN41" s="191"/>
      <c r="BO41" s="191"/>
      <c r="BP41" s="191"/>
      <c r="BQ41" s="191"/>
      <c r="BR41" s="191"/>
      <c r="BS41" s="191"/>
      <c r="BT41" s="191"/>
      <c r="BU41" s="191"/>
      <c r="BV41" s="191"/>
      <c r="BW41" s="191"/>
      <c r="BX41" s="191"/>
    </row>
  </sheetData>
  <mergeCells count="66">
    <mergeCell ref="D31:E32"/>
    <mergeCell ref="BU22:BW23"/>
    <mergeCell ref="AV21:AX22"/>
    <mergeCell ref="D22:E30"/>
    <mergeCell ref="U30:W31"/>
    <mergeCell ref="AT40:BI40"/>
    <mergeCell ref="BJ40:BX40"/>
    <mergeCell ref="AT41:BI41"/>
    <mergeCell ref="BJ41:BX41"/>
    <mergeCell ref="D33:E34"/>
    <mergeCell ref="AT37:BI37"/>
    <mergeCell ref="BJ37:BX37"/>
    <mergeCell ref="AT38:BI38"/>
    <mergeCell ref="BJ38:BX38"/>
    <mergeCell ref="AT39:BI39"/>
    <mergeCell ref="BJ39:BX39"/>
    <mergeCell ref="G36:I36"/>
    <mergeCell ref="J36:Q36"/>
    <mergeCell ref="R36:T36"/>
    <mergeCell ref="AT36:BI36"/>
    <mergeCell ref="BJ36:BX36"/>
    <mergeCell ref="AD34:AQ34"/>
    <mergeCell ref="AT34:BI34"/>
    <mergeCell ref="BJ34:BX34"/>
    <mergeCell ref="AT35:BI35"/>
    <mergeCell ref="BJ35:BX35"/>
    <mergeCell ref="AT32:BI32"/>
    <mergeCell ref="BJ32:BX32"/>
    <mergeCell ref="AD33:AQ33"/>
    <mergeCell ref="AT33:BI33"/>
    <mergeCell ref="BJ33:BX33"/>
    <mergeCell ref="M30:Q30"/>
    <mergeCell ref="AT30:BI30"/>
    <mergeCell ref="BJ30:BX30"/>
    <mergeCell ref="AT31:BI31"/>
    <mergeCell ref="BJ31:BX31"/>
    <mergeCell ref="U28:X28"/>
    <mergeCell ref="AT28:BI28"/>
    <mergeCell ref="BJ28:BX28"/>
    <mergeCell ref="U29:X29"/>
    <mergeCell ref="AT29:BI29"/>
    <mergeCell ref="BJ29:BX29"/>
    <mergeCell ref="I26:Y26"/>
    <mergeCell ref="Z26:AC26"/>
    <mergeCell ref="BH26:BK26"/>
    <mergeCell ref="BL26:BP26"/>
    <mergeCell ref="AO27:AQ27"/>
    <mergeCell ref="I25:Y25"/>
    <mergeCell ref="Z25:AC25"/>
    <mergeCell ref="BF25:BH25"/>
    <mergeCell ref="BI25:BP25"/>
    <mergeCell ref="BQ25:BS25"/>
    <mergeCell ref="BU21:BW21"/>
    <mergeCell ref="I23:Y23"/>
    <mergeCell ref="Z23:AC23"/>
    <mergeCell ref="AI23:AM23"/>
    <mergeCell ref="I24:Y24"/>
    <mergeCell ref="Z24:AC24"/>
    <mergeCell ref="AI24:AM24"/>
    <mergeCell ref="B1:BW1"/>
    <mergeCell ref="B2:BW2"/>
    <mergeCell ref="CB7:CF7"/>
    <mergeCell ref="CB18:CF18"/>
    <mergeCell ref="H19:Y19"/>
    <mergeCell ref="Z19:AY19"/>
    <mergeCell ref="BA19:BR19"/>
  </mergeCells>
  <conditionalFormatting sqref="BI25">
    <cfRule type="cellIs" dxfId="0" priority="5" operator="greaterThan">
      <formula>$BL$26</formula>
    </cfRule>
  </conditionalFormatting>
  <dataValidations count="4">
    <dataValidation type="list" allowBlank="1" showInputMessage="1" showErrorMessage="1" sqref="BJ30:BO30">
      <formula1>"Trong,Ngoài"</formula1>
    </dataValidation>
    <dataValidation type="list" allowBlank="1" showInputMessage="1" showErrorMessage="1" sqref="BJ37:BX37">
      <formula1>"2 lớp,2 lớp Console,1 lớp - gia cường gối"</formula1>
    </dataValidation>
    <dataValidation type="list" allowBlank="1" showInputMessage="1" showErrorMessage="1" sqref="BJ41:BX41">
      <formula1>"Tim - Tim,Mép - Mép"</formula1>
    </dataValidation>
    <dataValidation type="list" allowBlank="1" showInputMessage="1" showErrorMessage="1" sqref="Z23:AC26">
      <formula1>"Yes,No"</formula1>
    </dataValidation>
  </dataValidations>
  <hyperlinks>
    <hyperlink ref="B2" r:id="rId1"/>
  </hyperlinks>
  <pageMargins left="0.7" right="0.7" top="0.75" bottom="0.75" header="0.3" footer="0.3"/>
  <pageSetup orientation="portrait"/>
  <ignoredErrors>
    <ignoredError sqref="M30" numberStoredAsText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BO159"/>
  <sheetViews>
    <sheetView workbookViewId="0">
      <pane ySplit="7" topLeftCell="A8" activePane="bottomLeft" state="frozen"/>
      <selection pane="bottomLeft" activeCell="AC32" sqref="AC32"/>
    </sheetView>
  </sheetViews>
  <sheetFormatPr defaultColWidth="7.28515625" defaultRowHeight="15"/>
  <cols>
    <col min="1" max="2" width="7.28515625" style="1"/>
    <col min="3" max="3" width="7.28515625" style="1" hidden="1" customWidth="1"/>
    <col min="4" max="4" width="9.5703125" style="2" customWidth="1"/>
    <col min="5" max="5" width="9.140625" style="3" customWidth="1"/>
    <col min="6" max="7" width="7.28515625" style="4" hidden="1" customWidth="1"/>
    <col min="8" max="8" width="7.28515625" style="5" hidden="1" customWidth="1"/>
    <col min="9" max="10" width="7.28515625" style="4" hidden="1" customWidth="1"/>
    <col min="11" max="12" width="4.28515625" style="6" customWidth="1"/>
    <col min="13" max="13" width="4.28515625" style="7" customWidth="1"/>
    <col min="14" max="17" width="4.28515625" style="6" customWidth="1"/>
    <col min="18" max="18" width="4.28515625" style="8" customWidth="1"/>
    <col min="19" max="20" width="7.28515625" style="4" hidden="1" customWidth="1"/>
    <col min="21" max="21" width="7.28515625" style="4" hidden="1" customWidth="1" collapsed="1"/>
    <col min="22" max="22" width="7.28515625" style="5" hidden="1" customWidth="1"/>
    <col min="23" max="23" width="7.28515625" style="9" hidden="1" customWidth="1"/>
    <col min="24" max="24" width="7.28515625" style="4" hidden="1" customWidth="1"/>
    <col min="25" max="25" width="7.28515625" style="5" hidden="1" customWidth="1"/>
    <col min="26" max="27" width="7.28515625" style="4" hidden="1" customWidth="1"/>
    <col min="28" max="28" width="4.28515625" style="10" customWidth="1" collapsed="1"/>
    <col min="29" max="34" width="4.28515625" style="10" customWidth="1"/>
    <col min="35" max="35" width="4.28515625" style="11" customWidth="1"/>
    <col min="36" max="37" width="7.28515625" style="4" hidden="1" customWidth="1"/>
    <col min="38" max="38" width="7.28515625" style="4" hidden="1" customWidth="1" collapsed="1"/>
    <col min="39" max="39" width="7.28515625" style="5" hidden="1" customWidth="1"/>
    <col min="40" max="40" width="4.28515625" style="1" customWidth="1"/>
    <col min="41" max="41" width="8.5703125" style="1" customWidth="1"/>
    <col min="42" max="42" width="4.28515625" style="12" customWidth="1"/>
    <col min="43" max="43" width="4.28515625" style="2" customWidth="1"/>
    <col min="44" max="44" width="8.28515625" style="13" customWidth="1"/>
    <col min="45" max="45" width="12.42578125" style="14" customWidth="1"/>
    <col min="46" max="46" width="9.140625" style="14" customWidth="1"/>
    <col min="47" max="47" width="7.28515625" style="15"/>
    <col min="48" max="49" width="7.28515625" style="14"/>
    <col min="50" max="50" width="7.28515625" style="16"/>
    <col min="51" max="56" width="7.28515625" style="17" hidden="1" customWidth="1"/>
    <col min="57" max="60" width="7.28515625" style="17"/>
    <col min="61" max="61" width="10.42578125" style="17" customWidth="1"/>
    <col min="62" max="62" width="14.7109375" style="17" customWidth="1"/>
    <col min="63" max="65" width="7.28515625" style="17"/>
    <col min="66" max="66" width="9.7109375" style="17" customWidth="1"/>
    <col min="67" max="16384" width="7.28515625" style="17"/>
  </cols>
  <sheetData>
    <row r="1" spans="1:67" ht="18" hidden="1" customHeight="1">
      <c r="A1" s="18"/>
      <c r="B1" s="19"/>
      <c r="C1" s="19"/>
      <c r="D1" s="19"/>
      <c r="E1" s="20"/>
      <c r="F1" s="21"/>
      <c r="G1" s="21"/>
      <c r="H1" s="21"/>
      <c r="I1" s="21"/>
      <c r="J1" s="21"/>
      <c r="K1" s="22"/>
      <c r="L1" s="22"/>
      <c r="M1" s="23"/>
      <c r="N1" s="23"/>
      <c r="O1" s="23"/>
      <c r="P1" s="23"/>
      <c r="Q1" s="23"/>
      <c r="R1" s="23"/>
      <c r="S1" s="21"/>
      <c r="T1" s="21"/>
      <c r="U1" s="21"/>
      <c r="V1" s="21"/>
      <c r="W1" s="19"/>
      <c r="X1" s="19"/>
      <c r="Y1" s="19"/>
      <c r="Z1" s="19"/>
      <c r="AA1" s="19"/>
      <c r="AB1" s="24"/>
      <c r="AC1" s="24"/>
      <c r="AD1" s="24"/>
      <c r="AE1" s="24"/>
      <c r="AF1" s="24"/>
      <c r="AG1" s="24"/>
      <c r="AH1" s="24"/>
      <c r="AI1" s="24"/>
      <c r="AJ1" s="21"/>
      <c r="AK1" s="21"/>
      <c r="AL1" s="21"/>
      <c r="AM1" s="21"/>
      <c r="AN1" s="21"/>
      <c r="AO1" s="21"/>
      <c r="AP1" s="19"/>
      <c r="AQ1" s="19"/>
      <c r="AR1" s="25"/>
      <c r="AS1" s="20"/>
      <c r="AT1" s="20"/>
      <c r="BL1" s="26"/>
      <c r="BM1" s="26"/>
      <c r="BN1" s="26"/>
      <c r="BO1" s="26"/>
    </row>
    <row r="2" spans="1:67" ht="15" hidden="1" customHeight="1">
      <c r="A2" s="18"/>
      <c r="B2" s="19"/>
      <c r="C2" s="19"/>
      <c r="D2" s="19"/>
      <c r="E2" s="20"/>
      <c r="F2" s="21"/>
      <c r="G2" s="21"/>
      <c r="H2" s="21"/>
      <c r="I2" s="21"/>
      <c r="J2" s="21"/>
      <c r="K2" s="22"/>
      <c r="L2" s="22"/>
      <c r="M2" s="23"/>
      <c r="N2" s="23"/>
      <c r="O2" s="23"/>
      <c r="P2" s="23"/>
      <c r="Q2" s="23"/>
      <c r="R2" s="23"/>
      <c r="S2" s="21"/>
      <c r="T2" s="21"/>
      <c r="U2" s="21"/>
      <c r="V2" s="21"/>
      <c r="W2" s="19"/>
      <c r="X2" s="19"/>
      <c r="Y2" s="19"/>
      <c r="Z2" s="19"/>
      <c r="AA2" s="19"/>
      <c r="AB2" s="24"/>
      <c r="AC2" s="24"/>
      <c r="AD2" s="24"/>
      <c r="AE2" s="24"/>
      <c r="AF2" s="24"/>
      <c r="AG2" s="24"/>
      <c r="AH2" s="24"/>
      <c r="AI2" s="24"/>
      <c r="AJ2" s="21"/>
      <c r="AK2" s="21"/>
      <c r="AL2" s="21"/>
      <c r="AM2" s="21"/>
      <c r="AN2" s="21"/>
      <c r="AO2" s="21"/>
      <c r="AP2" s="19"/>
      <c r="AQ2" s="19"/>
      <c r="AR2" s="25"/>
      <c r="AS2" s="20"/>
      <c r="AT2" s="20"/>
      <c r="BL2" s="26"/>
      <c r="BM2" s="26"/>
      <c r="BN2" s="26"/>
      <c r="BO2" s="26"/>
    </row>
    <row r="3" spans="1:67" ht="15" hidden="1" customHeight="1">
      <c r="A3" s="18"/>
      <c r="B3" s="19"/>
      <c r="C3" s="19"/>
      <c r="D3" s="19"/>
      <c r="E3" s="20"/>
      <c r="F3" s="21"/>
      <c r="G3" s="21"/>
      <c r="H3" s="21"/>
      <c r="I3" s="21"/>
      <c r="J3" s="21"/>
      <c r="K3" s="22"/>
      <c r="L3" s="22"/>
      <c r="M3" s="23"/>
      <c r="N3" s="23"/>
      <c r="O3" s="23"/>
      <c r="P3" s="23"/>
      <c r="Q3" s="23"/>
      <c r="R3" s="23"/>
      <c r="S3" s="21"/>
      <c r="T3" s="21"/>
      <c r="U3" s="21"/>
      <c r="V3" s="21"/>
      <c r="W3" s="19"/>
      <c r="X3" s="19"/>
      <c r="Y3" s="19"/>
      <c r="Z3" s="19"/>
      <c r="AA3" s="19"/>
      <c r="AB3" s="24"/>
      <c r="AC3" s="24"/>
      <c r="AD3" s="24"/>
      <c r="AE3" s="24"/>
      <c r="AF3" s="24"/>
      <c r="AG3" s="24"/>
      <c r="AH3" s="24"/>
      <c r="AI3" s="24"/>
      <c r="AJ3" s="21"/>
      <c r="AK3" s="21"/>
      <c r="AL3" s="21"/>
      <c r="AM3" s="21"/>
      <c r="AN3" s="21"/>
      <c r="AO3" s="21"/>
      <c r="AP3" s="19"/>
      <c r="AQ3" s="19"/>
      <c r="AR3" s="25"/>
      <c r="AS3" s="20"/>
      <c r="AT3" s="20"/>
      <c r="BL3" s="26"/>
      <c r="BM3" s="26"/>
      <c r="BN3" s="26"/>
      <c r="BO3" s="26"/>
    </row>
    <row r="4" spans="1:67" ht="15" hidden="1" customHeight="1">
      <c r="A4" s="27"/>
      <c r="B4" s="28"/>
      <c r="C4" s="28"/>
      <c r="D4" s="28"/>
      <c r="E4" s="20"/>
      <c r="F4" s="21"/>
      <c r="G4" s="21"/>
      <c r="H4" s="21"/>
      <c r="I4" s="21"/>
      <c r="J4" s="21"/>
      <c r="K4" s="22"/>
      <c r="L4" s="22"/>
      <c r="M4" s="29"/>
      <c r="N4" s="29"/>
      <c r="O4" s="29"/>
      <c r="P4" s="29"/>
      <c r="Q4" s="29"/>
      <c r="R4" s="29"/>
      <c r="S4" s="21"/>
      <c r="T4" s="21"/>
      <c r="U4" s="21"/>
      <c r="V4" s="21"/>
      <c r="W4" s="28"/>
      <c r="X4" s="28"/>
      <c r="Y4" s="28"/>
      <c r="Z4" s="28"/>
      <c r="AA4" s="28"/>
      <c r="AB4" s="30"/>
      <c r="AC4" s="30"/>
      <c r="AD4" s="30"/>
      <c r="AE4" s="30"/>
      <c r="AF4" s="30"/>
      <c r="AG4" s="30"/>
      <c r="AH4" s="30"/>
      <c r="AI4" s="30"/>
      <c r="AJ4" s="21"/>
      <c r="AK4" s="21"/>
      <c r="AL4" s="21"/>
      <c r="AM4" s="21"/>
      <c r="AN4" s="21"/>
      <c r="AO4" s="21"/>
      <c r="AP4" s="28"/>
      <c r="AQ4" s="28"/>
      <c r="AR4" s="25"/>
      <c r="AS4" s="20"/>
      <c r="AT4" s="20"/>
      <c r="BL4" s="26"/>
      <c r="BM4" s="26"/>
      <c r="BN4" s="26"/>
      <c r="BO4" s="26"/>
    </row>
    <row r="5" spans="1:67" ht="15" customHeight="1">
      <c r="A5" s="204" t="s">
        <v>249</v>
      </c>
      <c r="B5" s="205"/>
      <c r="C5" s="206"/>
      <c r="D5" s="219" t="s">
        <v>250</v>
      </c>
      <c r="E5" s="221" t="s">
        <v>251</v>
      </c>
      <c r="F5" s="33"/>
      <c r="G5" s="34"/>
      <c r="H5" s="34"/>
      <c r="I5" s="34"/>
      <c r="J5" s="34"/>
      <c r="K5" s="207" t="s">
        <v>252</v>
      </c>
      <c r="L5" s="207"/>
      <c r="M5" s="207"/>
      <c r="N5" s="207"/>
      <c r="O5" s="207"/>
      <c r="P5" s="207"/>
      <c r="Q5" s="207"/>
      <c r="R5" s="207"/>
      <c r="S5" s="34"/>
      <c r="T5" s="34"/>
      <c r="U5" s="34"/>
      <c r="V5" s="34"/>
      <c r="W5" s="36"/>
      <c r="X5" s="37"/>
      <c r="Y5" s="37"/>
      <c r="Z5" s="37"/>
      <c r="AA5" s="37"/>
      <c r="AB5" s="208" t="s">
        <v>253</v>
      </c>
      <c r="AC5" s="208"/>
      <c r="AD5" s="208"/>
      <c r="AE5" s="208"/>
      <c r="AF5" s="208"/>
      <c r="AG5" s="208"/>
      <c r="AH5" s="208"/>
      <c r="AI5" s="208"/>
      <c r="AJ5" s="34"/>
      <c r="AK5" s="34"/>
      <c r="AL5" s="34"/>
      <c r="AM5" s="34"/>
      <c r="AN5" s="209" t="s">
        <v>254</v>
      </c>
      <c r="AO5" s="209"/>
      <c r="AP5" s="209" t="s">
        <v>255</v>
      </c>
      <c r="AQ5" s="204"/>
      <c r="AR5" s="224" t="s">
        <v>256</v>
      </c>
      <c r="AS5" s="207" t="s">
        <v>257</v>
      </c>
      <c r="AT5" s="207" t="s">
        <v>258</v>
      </c>
      <c r="AU5" s="227" t="s">
        <v>259</v>
      </c>
      <c r="AV5" s="207" t="s">
        <v>260</v>
      </c>
      <c r="AW5" s="207" t="s">
        <v>261</v>
      </c>
      <c r="AX5" s="207" t="s">
        <v>262</v>
      </c>
      <c r="BE5" s="210" t="s">
        <v>263</v>
      </c>
      <c r="BF5" s="210"/>
      <c r="BG5" s="210"/>
      <c r="BH5" s="210"/>
      <c r="BI5" s="210"/>
      <c r="BJ5" s="210"/>
      <c r="BK5" s="210"/>
    </row>
    <row r="6" spans="1:67" ht="15.75">
      <c r="A6" s="38" t="s">
        <v>264</v>
      </c>
      <c r="B6" s="38" t="s">
        <v>265</v>
      </c>
      <c r="C6" s="39" t="s">
        <v>174</v>
      </c>
      <c r="D6" s="220"/>
      <c r="E6" s="222"/>
      <c r="F6" s="40"/>
      <c r="G6" s="40"/>
      <c r="H6" s="34"/>
      <c r="I6" s="41"/>
      <c r="J6" s="41"/>
      <c r="K6" s="207" t="s">
        <v>266</v>
      </c>
      <c r="L6" s="207"/>
      <c r="M6" s="209" t="s">
        <v>267</v>
      </c>
      <c r="N6" s="209"/>
      <c r="O6" s="209"/>
      <c r="P6" s="209"/>
      <c r="Q6" s="209"/>
      <c r="R6" s="209"/>
      <c r="S6" s="40"/>
      <c r="T6" s="40"/>
      <c r="U6" s="40"/>
      <c r="V6" s="35"/>
      <c r="W6" s="42"/>
      <c r="X6" s="40"/>
      <c r="Y6" s="34"/>
      <c r="Z6" s="41"/>
      <c r="AA6" s="41"/>
      <c r="AB6" s="207" t="s">
        <v>266</v>
      </c>
      <c r="AC6" s="207"/>
      <c r="AD6" s="209" t="s">
        <v>267</v>
      </c>
      <c r="AE6" s="209"/>
      <c r="AF6" s="209"/>
      <c r="AG6" s="209"/>
      <c r="AH6" s="209"/>
      <c r="AI6" s="209"/>
      <c r="AJ6" s="43"/>
      <c r="AK6" s="43"/>
      <c r="AL6" s="43"/>
      <c r="AM6" s="44"/>
      <c r="AN6" s="38" t="s">
        <v>165</v>
      </c>
      <c r="AO6" s="38" t="s">
        <v>13</v>
      </c>
      <c r="AP6" s="32" t="s">
        <v>268</v>
      </c>
      <c r="AQ6" s="31" t="s">
        <v>165</v>
      </c>
      <c r="AR6" s="225"/>
      <c r="AS6" s="209"/>
      <c r="AT6" s="207"/>
      <c r="AU6" s="227"/>
      <c r="AV6" s="207"/>
      <c r="AW6" s="207"/>
      <c r="AX6" s="207"/>
      <c r="BE6" s="211" t="s">
        <v>269</v>
      </c>
      <c r="BF6" s="212"/>
      <c r="BG6" s="45">
        <v>200</v>
      </c>
      <c r="BH6" s="213" t="s">
        <v>270</v>
      </c>
      <c r="BI6" s="214"/>
      <c r="BJ6" s="215"/>
      <c r="BK6" s="46">
        <v>10</v>
      </c>
    </row>
    <row r="7" spans="1:67" ht="15.75">
      <c r="A7" s="38" t="s">
        <v>163</v>
      </c>
      <c r="B7" s="38" t="s">
        <v>163</v>
      </c>
      <c r="C7" s="39" t="s">
        <v>163</v>
      </c>
      <c r="D7" s="47" t="s">
        <v>30</v>
      </c>
      <c r="E7" s="223"/>
      <c r="F7" s="40"/>
      <c r="G7" s="40"/>
      <c r="H7" s="35"/>
      <c r="I7" s="40"/>
      <c r="J7" s="40"/>
      <c r="K7" s="35" t="s">
        <v>268</v>
      </c>
      <c r="L7" s="35" t="s">
        <v>165</v>
      </c>
      <c r="M7" s="48" t="s">
        <v>271</v>
      </c>
      <c r="N7" s="35" t="s">
        <v>272</v>
      </c>
      <c r="O7" s="35" t="s">
        <v>273</v>
      </c>
      <c r="P7" s="35" t="s">
        <v>274</v>
      </c>
      <c r="Q7" s="35" t="s">
        <v>275</v>
      </c>
      <c r="R7" s="49" t="s">
        <v>276</v>
      </c>
      <c r="S7" s="40"/>
      <c r="T7" s="40"/>
      <c r="U7" s="40"/>
      <c r="V7" s="35"/>
      <c r="W7" s="42"/>
      <c r="X7" s="40"/>
      <c r="Y7" s="35"/>
      <c r="Z7" s="40"/>
      <c r="AA7" s="40"/>
      <c r="AB7" s="35" t="s">
        <v>268</v>
      </c>
      <c r="AC7" s="35" t="s">
        <v>165</v>
      </c>
      <c r="AD7" s="35" t="s">
        <v>271</v>
      </c>
      <c r="AE7" s="35" t="s">
        <v>272</v>
      </c>
      <c r="AF7" s="35" t="s">
        <v>273</v>
      </c>
      <c r="AG7" s="35" t="s">
        <v>274</v>
      </c>
      <c r="AH7" s="35" t="s">
        <v>275</v>
      </c>
      <c r="AI7" s="49" t="s">
        <v>276</v>
      </c>
      <c r="AJ7" s="40"/>
      <c r="AK7" s="40"/>
      <c r="AL7" s="40"/>
      <c r="AM7" s="35"/>
      <c r="AN7" s="38" t="s">
        <v>163</v>
      </c>
      <c r="AO7" s="38" t="s">
        <v>163</v>
      </c>
      <c r="AP7" s="32"/>
      <c r="AQ7" s="31"/>
      <c r="AR7" s="226"/>
      <c r="AS7" s="209"/>
      <c r="AT7" s="207"/>
      <c r="AU7" s="227"/>
      <c r="AV7" s="207"/>
      <c r="AW7" s="207"/>
      <c r="AX7" s="207"/>
      <c r="BE7" s="211" t="s">
        <v>277</v>
      </c>
      <c r="BF7" s="212"/>
      <c r="BG7" s="45"/>
      <c r="BH7" s="216" t="s">
        <v>278</v>
      </c>
      <c r="BI7" s="217"/>
      <c r="BJ7" s="218"/>
      <c r="BK7" s="45">
        <v>3000</v>
      </c>
    </row>
    <row r="8" spans="1:67">
      <c r="A8" s="1">
        <v>200</v>
      </c>
      <c r="B8" s="1">
        <v>400</v>
      </c>
      <c r="C8" s="1">
        <v>4300</v>
      </c>
      <c r="D8" s="2" t="s">
        <v>279</v>
      </c>
      <c r="E8" s="3">
        <v>400</v>
      </c>
      <c r="K8" s="6">
        <v>2</v>
      </c>
      <c r="L8" s="6">
        <v>16</v>
      </c>
      <c r="W8" s="9">
        <v>1</v>
      </c>
      <c r="AB8" s="10">
        <v>2</v>
      </c>
      <c r="AC8" s="10">
        <v>16</v>
      </c>
      <c r="AN8" s="14">
        <v>8</v>
      </c>
      <c r="AO8" s="14" t="s">
        <v>280</v>
      </c>
      <c r="AP8" s="50"/>
      <c r="AQ8" s="51"/>
      <c r="AR8" s="13" t="s">
        <v>281</v>
      </c>
      <c r="AS8" s="14">
        <v>11900</v>
      </c>
      <c r="AT8" s="14" t="s">
        <v>282</v>
      </c>
      <c r="AU8" s="15" t="s">
        <v>283</v>
      </c>
      <c r="AW8" s="14">
        <v>1</v>
      </c>
      <c r="AX8" s="14" t="s">
        <v>221</v>
      </c>
    </row>
    <row r="9" spans="1:67">
      <c r="A9" s="1">
        <v>200</v>
      </c>
      <c r="B9" s="1">
        <v>400</v>
      </c>
      <c r="C9" s="1">
        <v>5300</v>
      </c>
      <c r="D9" s="2" t="s">
        <v>284</v>
      </c>
      <c r="E9" s="3">
        <v>400</v>
      </c>
      <c r="K9" s="6">
        <v>2</v>
      </c>
      <c r="L9" s="6">
        <v>16</v>
      </c>
      <c r="W9" s="9">
        <v>1</v>
      </c>
      <c r="AB9" s="10">
        <v>2</v>
      </c>
      <c r="AC9" s="10">
        <v>16</v>
      </c>
      <c r="AN9" s="14">
        <v>8</v>
      </c>
      <c r="AO9" s="14" t="s">
        <v>280</v>
      </c>
      <c r="AP9" s="50"/>
      <c r="AQ9" s="51"/>
      <c r="AR9" s="13" t="s">
        <v>285</v>
      </c>
      <c r="AS9" s="14">
        <v>11900</v>
      </c>
      <c r="AU9" s="15" t="s">
        <v>283</v>
      </c>
      <c r="AW9" s="14">
        <v>1</v>
      </c>
      <c r="AX9" s="14" t="s">
        <v>221</v>
      </c>
    </row>
    <row r="10" spans="1:67">
      <c r="A10" s="1">
        <v>200</v>
      </c>
      <c r="B10" s="1">
        <v>400</v>
      </c>
      <c r="C10" s="1">
        <v>1900</v>
      </c>
      <c r="D10" s="2" t="s">
        <v>286</v>
      </c>
      <c r="E10" s="3">
        <v>400</v>
      </c>
      <c r="K10" s="6">
        <v>2</v>
      </c>
      <c r="L10" s="6">
        <v>16</v>
      </c>
      <c r="W10" s="9">
        <v>1</v>
      </c>
      <c r="AB10" s="10">
        <v>2</v>
      </c>
      <c r="AC10" s="10">
        <v>16</v>
      </c>
      <c r="AN10" s="14">
        <v>8</v>
      </c>
      <c r="AO10" s="14" t="s">
        <v>280</v>
      </c>
      <c r="AP10" s="50"/>
      <c r="AQ10" s="51"/>
      <c r="AS10" s="14">
        <v>11900</v>
      </c>
      <c r="AU10" s="15" t="s">
        <v>283</v>
      </c>
      <c r="AW10" s="14">
        <v>1</v>
      </c>
      <c r="AX10" s="14" t="s">
        <v>221</v>
      </c>
    </row>
    <row r="11" spans="1:67">
      <c r="A11" s="1">
        <v>200</v>
      </c>
      <c r="B11" s="1">
        <v>400</v>
      </c>
      <c r="C11" s="1">
        <v>1400</v>
      </c>
      <c r="D11" s="2" t="s">
        <v>287</v>
      </c>
      <c r="E11" s="3">
        <v>400</v>
      </c>
      <c r="K11" s="6">
        <v>2</v>
      </c>
      <c r="L11" s="6">
        <v>20</v>
      </c>
      <c r="O11" s="6">
        <v>2</v>
      </c>
      <c r="P11" s="6">
        <v>16</v>
      </c>
      <c r="W11" s="9">
        <v>1</v>
      </c>
      <c r="AB11" s="10">
        <v>2</v>
      </c>
      <c r="AC11" s="10">
        <v>16</v>
      </c>
      <c r="AN11" s="14">
        <v>8</v>
      </c>
      <c r="AO11" s="14" t="s">
        <v>288</v>
      </c>
      <c r="AP11" s="50"/>
      <c r="AQ11" s="51"/>
      <c r="AR11" s="13" t="s">
        <v>289</v>
      </c>
      <c r="AS11" s="14">
        <v>11900</v>
      </c>
      <c r="AU11" s="15" t="s">
        <v>283</v>
      </c>
      <c r="AW11" s="14">
        <v>1</v>
      </c>
      <c r="AX11" s="14" t="s">
        <v>221</v>
      </c>
    </row>
    <row r="12" spans="1:67">
      <c r="A12" s="1">
        <v>200</v>
      </c>
      <c r="B12" s="1">
        <v>400</v>
      </c>
      <c r="C12" s="1">
        <v>2500</v>
      </c>
      <c r="D12" s="2" t="s">
        <v>290</v>
      </c>
      <c r="E12" s="3">
        <v>400</v>
      </c>
      <c r="K12" s="6">
        <v>2</v>
      </c>
      <c r="L12" s="6">
        <v>20</v>
      </c>
      <c r="O12" s="6">
        <v>2</v>
      </c>
      <c r="P12" s="6">
        <v>16</v>
      </c>
      <c r="W12" s="9">
        <v>1</v>
      </c>
      <c r="AB12" s="10">
        <v>2</v>
      </c>
      <c r="AC12" s="10">
        <v>16</v>
      </c>
      <c r="AN12" s="14">
        <v>8</v>
      </c>
      <c r="AO12" s="14" t="s">
        <v>288</v>
      </c>
      <c r="AP12" s="50"/>
      <c r="AQ12" s="51"/>
      <c r="AS12" s="14">
        <v>11900</v>
      </c>
      <c r="AU12" s="15" t="s">
        <v>283</v>
      </c>
      <c r="AW12" s="14">
        <v>1</v>
      </c>
      <c r="AX12" s="14" t="s">
        <v>221</v>
      </c>
    </row>
    <row r="13" spans="1:67">
      <c r="A13" s="1">
        <v>200</v>
      </c>
      <c r="B13" s="1">
        <v>400</v>
      </c>
      <c r="C13" s="1">
        <v>5100</v>
      </c>
      <c r="D13" s="2" t="s">
        <v>291</v>
      </c>
      <c r="E13" s="3">
        <v>400</v>
      </c>
      <c r="K13" s="6">
        <v>2</v>
      </c>
      <c r="L13" s="6">
        <v>20</v>
      </c>
      <c r="O13" s="6">
        <v>2</v>
      </c>
      <c r="P13" s="6">
        <v>25</v>
      </c>
      <c r="W13" s="9">
        <v>1</v>
      </c>
      <c r="AB13" s="10">
        <v>2</v>
      </c>
      <c r="AC13" s="10">
        <v>16</v>
      </c>
      <c r="AN13" s="14">
        <v>8</v>
      </c>
      <c r="AO13" s="14" t="s">
        <v>288</v>
      </c>
      <c r="AP13" s="50"/>
      <c r="AQ13" s="51"/>
      <c r="AS13" s="14">
        <v>11900</v>
      </c>
      <c r="AU13" s="15" t="s">
        <v>283</v>
      </c>
      <c r="AW13" s="14">
        <v>1</v>
      </c>
      <c r="AX13" s="14" t="s">
        <v>221</v>
      </c>
    </row>
    <row r="14" spans="1:67">
      <c r="A14" s="1">
        <v>200</v>
      </c>
      <c r="B14" s="1">
        <v>400</v>
      </c>
      <c r="C14" s="1">
        <v>1900</v>
      </c>
      <c r="D14" s="2" t="s">
        <v>292</v>
      </c>
      <c r="E14" s="3">
        <v>400</v>
      </c>
      <c r="K14" s="6">
        <v>2</v>
      </c>
      <c r="L14" s="6">
        <v>20</v>
      </c>
      <c r="O14" s="6">
        <v>2</v>
      </c>
      <c r="P14" s="6">
        <v>25</v>
      </c>
      <c r="W14" s="9">
        <v>16.603017211240701</v>
      </c>
      <c r="AB14" s="10">
        <v>2</v>
      </c>
      <c r="AC14" s="10">
        <v>16</v>
      </c>
      <c r="AN14" s="14">
        <v>8</v>
      </c>
      <c r="AO14" s="14" t="s">
        <v>288</v>
      </c>
      <c r="AP14" s="50"/>
      <c r="AQ14" s="51"/>
      <c r="AS14" s="14">
        <v>11900</v>
      </c>
      <c r="AU14" s="15" t="s">
        <v>283</v>
      </c>
      <c r="AW14" s="14">
        <v>1</v>
      </c>
      <c r="AX14" s="14" t="s">
        <v>221</v>
      </c>
    </row>
    <row r="15" spans="1:67">
      <c r="A15" s="1">
        <v>200</v>
      </c>
      <c r="B15" s="1">
        <v>400</v>
      </c>
      <c r="C15" s="1">
        <v>1400</v>
      </c>
      <c r="D15" s="2" t="s">
        <v>293</v>
      </c>
      <c r="E15" s="3">
        <v>400</v>
      </c>
      <c r="K15" s="6">
        <v>2</v>
      </c>
      <c r="L15" s="6">
        <v>18</v>
      </c>
      <c r="O15" s="6">
        <v>2</v>
      </c>
      <c r="P15" s="6">
        <v>16</v>
      </c>
      <c r="W15" s="9">
        <v>1</v>
      </c>
      <c r="AB15" s="10">
        <v>2</v>
      </c>
      <c r="AC15" s="10">
        <v>16</v>
      </c>
      <c r="AN15" s="14">
        <v>8</v>
      </c>
      <c r="AO15" s="14" t="s">
        <v>288</v>
      </c>
      <c r="AP15" s="50"/>
      <c r="AQ15" s="51"/>
      <c r="AS15" s="14">
        <v>11900</v>
      </c>
      <c r="AU15" s="15" t="s">
        <v>283</v>
      </c>
      <c r="AW15" s="14">
        <v>1</v>
      </c>
      <c r="AX15" s="14" t="s">
        <v>221</v>
      </c>
    </row>
    <row r="16" spans="1:67">
      <c r="A16" s="1">
        <v>200</v>
      </c>
      <c r="B16" s="1">
        <v>400</v>
      </c>
      <c r="C16" s="1">
        <v>2650</v>
      </c>
      <c r="D16" s="2" t="s">
        <v>294</v>
      </c>
      <c r="E16" s="3">
        <v>400</v>
      </c>
      <c r="K16" s="6">
        <v>2</v>
      </c>
      <c r="L16" s="6">
        <v>18</v>
      </c>
      <c r="O16" s="6">
        <v>2</v>
      </c>
      <c r="P16" s="6">
        <v>16</v>
      </c>
      <c r="W16" s="9">
        <v>1</v>
      </c>
      <c r="AB16" s="10">
        <v>2</v>
      </c>
      <c r="AC16" s="10">
        <v>16</v>
      </c>
      <c r="AN16" s="14">
        <v>8</v>
      </c>
      <c r="AO16" s="14" t="s">
        <v>280</v>
      </c>
      <c r="AP16" s="50"/>
      <c r="AQ16" s="51"/>
      <c r="AS16" s="14">
        <v>11900</v>
      </c>
      <c r="AU16" s="15" t="s">
        <v>283</v>
      </c>
      <c r="AW16" s="14">
        <v>1</v>
      </c>
      <c r="AX16" s="14" t="s">
        <v>221</v>
      </c>
    </row>
    <row r="17" spans="1:50">
      <c r="A17" s="1">
        <v>200</v>
      </c>
      <c r="B17" s="1">
        <v>400</v>
      </c>
      <c r="C17" s="1">
        <v>5250</v>
      </c>
      <c r="D17" s="2" t="s">
        <v>295</v>
      </c>
      <c r="E17" s="3">
        <v>400</v>
      </c>
      <c r="K17" s="6">
        <v>2</v>
      </c>
      <c r="L17" s="6">
        <v>18</v>
      </c>
      <c r="O17" s="6">
        <v>2</v>
      </c>
      <c r="P17" s="6">
        <v>20</v>
      </c>
      <c r="W17" s="9">
        <v>1</v>
      </c>
      <c r="AB17" s="10">
        <v>2</v>
      </c>
      <c r="AC17" s="10">
        <v>16</v>
      </c>
      <c r="AN17" s="14">
        <v>8</v>
      </c>
      <c r="AO17" s="14" t="s">
        <v>288</v>
      </c>
      <c r="AP17" s="50"/>
      <c r="AQ17" s="51"/>
      <c r="AS17" s="14">
        <v>11900</v>
      </c>
      <c r="AU17" s="15" t="s">
        <v>283</v>
      </c>
      <c r="AW17" s="14">
        <v>1</v>
      </c>
      <c r="AX17" s="14" t="s">
        <v>221</v>
      </c>
    </row>
    <row r="18" spans="1:50">
      <c r="A18" s="1">
        <v>200</v>
      </c>
      <c r="B18" s="1">
        <v>400</v>
      </c>
      <c r="C18" s="1">
        <v>1900</v>
      </c>
      <c r="D18" s="2" t="s">
        <v>296</v>
      </c>
      <c r="E18" s="3">
        <v>400</v>
      </c>
      <c r="K18" s="6">
        <v>2</v>
      </c>
      <c r="L18" s="6">
        <v>18</v>
      </c>
      <c r="O18" s="6">
        <v>2</v>
      </c>
      <c r="P18" s="6">
        <v>20</v>
      </c>
      <c r="W18" s="9">
        <v>12.757335068018801</v>
      </c>
      <c r="AB18" s="10">
        <v>2</v>
      </c>
      <c r="AC18" s="10">
        <v>16</v>
      </c>
      <c r="AN18" s="14">
        <v>8</v>
      </c>
      <c r="AO18" s="14" t="s">
        <v>288</v>
      </c>
      <c r="AP18" s="50"/>
      <c r="AQ18" s="51"/>
      <c r="AS18" s="14">
        <v>11900</v>
      </c>
      <c r="AU18" s="15" t="s">
        <v>283</v>
      </c>
      <c r="AW18" s="14">
        <v>1</v>
      </c>
      <c r="AX18" s="14" t="s">
        <v>221</v>
      </c>
    </row>
    <row r="19" spans="1:50">
      <c r="A19" s="1">
        <v>200</v>
      </c>
      <c r="B19" s="1">
        <v>400</v>
      </c>
      <c r="C19" s="1">
        <v>2150</v>
      </c>
      <c r="D19" s="2" t="s">
        <v>297</v>
      </c>
      <c r="E19" s="3">
        <v>400</v>
      </c>
      <c r="K19" s="6">
        <v>2</v>
      </c>
      <c r="L19" s="6">
        <v>16</v>
      </c>
      <c r="W19" s="9">
        <v>1</v>
      </c>
      <c r="AB19" s="10">
        <v>2</v>
      </c>
      <c r="AC19" s="10">
        <v>16</v>
      </c>
      <c r="AN19" s="14">
        <v>8</v>
      </c>
      <c r="AO19" s="14" t="s">
        <v>280</v>
      </c>
      <c r="AP19" s="50"/>
      <c r="AQ19" s="51"/>
      <c r="AS19" s="14">
        <v>13450</v>
      </c>
      <c r="AU19" s="15" t="s">
        <v>283</v>
      </c>
      <c r="AW19" s="14">
        <v>1</v>
      </c>
      <c r="AX19" s="14" t="s">
        <v>221</v>
      </c>
    </row>
    <row r="20" spans="1:50">
      <c r="A20" s="1">
        <v>200</v>
      </c>
      <c r="B20" s="1">
        <v>400</v>
      </c>
      <c r="C20" s="1">
        <v>4100</v>
      </c>
      <c r="D20" s="2" t="s">
        <v>298</v>
      </c>
      <c r="E20" s="3">
        <v>400</v>
      </c>
      <c r="K20" s="6">
        <v>2</v>
      </c>
      <c r="L20" s="6">
        <v>16</v>
      </c>
      <c r="W20" s="9">
        <v>1</v>
      </c>
      <c r="AB20" s="10">
        <v>2</v>
      </c>
      <c r="AC20" s="10">
        <v>16</v>
      </c>
      <c r="AN20" s="14">
        <v>8</v>
      </c>
      <c r="AO20" s="14" t="s">
        <v>280</v>
      </c>
      <c r="AP20" s="50"/>
      <c r="AQ20" s="51"/>
      <c r="AS20" s="14">
        <v>13450</v>
      </c>
      <c r="AU20" s="15" t="s">
        <v>283</v>
      </c>
      <c r="AW20" s="14">
        <v>1</v>
      </c>
      <c r="AX20" s="14" t="s">
        <v>221</v>
      </c>
    </row>
    <row r="21" spans="1:50">
      <c r="A21" s="1">
        <v>200</v>
      </c>
      <c r="B21" s="1">
        <v>400</v>
      </c>
      <c r="C21" s="1">
        <v>4700</v>
      </c>
      <c r="D21" s="2" t="s">
        <v>299</v>
      </c>
      <c r="E21" s="3">
        <v>400</v>
      </c>
      <c r="K21" s="6">
        <v>2</v>
      </c>
      <c r="L21" s="6">
        <v>16</v>
      </c>
      <c r="W21" s="9">
        <v>1</v>
      </c>
      <c r="AB21" s="10">
        <v>2</v>
      </c>
      <c r="AC21" s="10">
        <v>16</v>
      </c>
      <c r="AN21" s="14">
        <v>8</v>
      </c>
      <c r="AO21" s="14" t="s">
        <v>280</v>
      </c>
      <c r="AP21" s="50"/>
      <c r="AQ21" s="51"/>
      <c r="AS21" s="14">
        <v>13450</v>
      </c>
      <c r="AU21" s="15" t="s">
        <v>283</v>
      </c>
      <c r="AW21" s="14">
        <v>1</v>
      </c>
      <c r="AX21" s="14" t="s">
        <v>221</v>
      </c>
    </row>
    <row r="22" spans="1:50">
      <c r="A22" s="1">
        <v>200</v>
      </c>
      <c r="B22" s="1">
        <v>400</v>
      </c>
      <c r="C22" s="1">
        <v>1900</v>
      </c>
      <c r="D22" s="2" t="s">
        <v>300</v>
      </c>
      <c r="E22" s="3">
        <v>400</v>
      </c>
      <c r="K22" s="6">
        <v>2</v>
      </c>
      <c r="L22" s="6">
        <v>16</v>
      </c>
      <c r="W22" s="9">
        <v>1</v>
      </c>
      <c r="AB22" s="10">
        <v>2</v>
      </c>
      <c r="AC22" s="10">
        <v>16</v>
      </c>
      <c r="AN22" s="14">
        <v>8</v>
      </c>
      <c r="AO22" s="14" t="s">
        <v>280</v>
      </c>
      <c r="AP22" s="50"/>
      <c r="AQ22" s="51"/>
      <c r="AS22" s="14">
        <v>13450</v>
      </c>
      <c r="AU22" s="15" t="s">
        <v>283</v>
      </c>
      <c r="AW22" s="14">
        <v>1</v>
      </c>
      <c r="AX22" s="14" t="s">
        <v>221</v>
      </c>
    </row>
    <row r="23" spans="1:50">
      <c r="A23" s="1">
        <v>200</v>
      </c>
      <c r="B23" s="1">
        <v>400</v>
      </c>
      <c r="C23" s="1">
        <v>1400</v>
      </c>
      <c r="D23" s="2" t="s">
        <v>301</v>
      </c>
      <c r="E23" s="3">
        <v>400</v>
      </c>
      <c r="K23" s="6">
        <v>2</v>
      </c>
      <c r="L23" s="6">
        <v>16</v>
      </c>
      <c r="O23" s="6">
        <v>2</v>
      </c>
      <c r="P23" s="6">
        <v>16</v>
      </c>
      <c r="W23" s="9">
        <v>1</v>
      </c>
      <c r="AB23" s="10">
        <v>2</v>
      </c>
      <c r="AC23" s="10">
        <v>16</v>
      </c>
      <c r="AN23" s="14">
        <v>8</v>
      </c>
      <c r="AO23" s="14" t="s">
        <v>280</v>
      </c>
      <c r="AP23" s="50"/>
      <c r="AQ23" s="51"/>
      <c r="AS23" s="14">
        <v>25550</v>
      </c>
      <c r="AU23" s="15" t="s">
        <v>283</v>
      </c>
      <c r="AW23" s="14">
        <v>1</v>
      </c>
      <c r="AX23" s="14" t="s">
        <v>221</v>
      </c>
    </row>
    <row r="24" spans="1:50">
      <c r="A24" s="1">
        <v>200</v>
      </c>
      <c r="B24" s="1">
        <v>400</v>
      </c>
      <c r="C24" s="1">
        <v>2600</v>
      </c>
      <c r="D24" s="2" t="s">
        <v>302</v>
      </c>
      <c r="E24" s="3">
        <v>400</v>
      </c>
      <c r="K24" s="6">
        <v>2</v>
      </c>
      <c r="L24" s="6">
        <v>16</v>
      </c>
      <c r="O24" s="6">
        <v>2</v>
      </c>
      <c r="P24" s="6">
        <v>16</v>
      </c>
      <c r="W24" s="9">
        <v>1</v>
      </c>
      <c r="AB24" s="10">
        <v>2</v>
      </c>
      <c r="AC24" s="10">
        <v>16</v>
      </c>
      <c r="AN24" s="14">
        <v>8</v>
      </c>
      <c r="AO24" s="14" t="s">
        <v>280</v>
      </c>
      <c r="AP24" s="50"/>
      <c r="AQ24" s="51"/>
      <c r="AS24" s="14">
        <v>25550</v>
      </c>
      <c r="AU24" s="15" t="s">
        <v>283</v>
      </c>
      <c r="AW24" s="14">
        <v>1</v>
      </c>
      <c r="AX24" s="14" t="s">
        <v>221</v>
      </c>
    </row>
    <row r="25" spans="1:50">
      <c r="A25" s="1">
        <v>200</v>
      </c>
      <c r="B25" s="1">
        <v>400</v>
      </c>
      <c r="C25" s="1">
        <v>5000</v>
      </c>
      <c r="D25" s="2" t="s">
        <v>303</v>
      </c>
      <c r="E25" s="3">
        <v>400</v>
      </c>
      <c r="K25" s="6">
        <v>2</v>
      </c>
      <c r="L25" s="6">
        <v>16</v>
      </c>
      <c r="O25" s="6">
        <v>2</v>
      </c>
      <c r="P25" s="6">
        <v>16</v>
      </c>
      <c r="W25" s="9">
        <v>1</v>
      </c>
      <c r="AB25" s="10">
        <v>2</v>
      </c>
      <c r="AC25" s="10">
        <v>16</v>
      </c>
      <c r="AN25" s="14">
        <v>8</v>
      </c>
      <c r="AO25" s="14" t="s">
        <v>288</v>
      </c>
      <c r="AP25" s="50"/>
      <c r="AQ25" s="51"/>
      <c r="AS25" s="14">
        <v>25550</v>
      </c>
      <c r="AU25" s="15" t="s">
        <v>283</v>
      </c>
      <c r="AW25" s="14">
        <v>1</v>
      </c>
      <c r="AX25" s="14" t="s">
        <v>221</v>
      </c>
    </row>
    <row r="26" spans="1:50">
      <c r="A26" s="1">
        <v>200</v>
      </c>
      <c r="B26" s="1">
        <v>400</v>
      </c>
      <c r="C26" s="1">
        <v>4050</v>
      </c>
      <c r="D26" s="2" t="s">
        <v>304</v>
      </c>
      <c r="E26" s="3">
        <v>400</v>
      </c>
      <c r="K26" s="6">
        <v>2</v>
      </c>
      <c r="L26" s="6">
        <v>16</v>
      </c>
      <c r="O26" s="6">
        <v>2</v>
      </c>
      <c r="P26" s="6">
        <v>16</v>
      </c>
      <c r="W26" s="9">
        <v>1</v>
      </c>
      <c r="AB26" s="10">
        <v>2</v>
      </c>
      <c r="AC26" s="10">
        <v>16</v>
      </c>
      <c r="AN26" s="14">
        <v>8</v>
      </c>
      <c r="AO26" s="14" t="s">
        <v>280</v>
      </c>
      <c r="AP26" s="50"/>
      <c r="AQ26" s="51"/>
      <c r="AS26" s="14">
        <v>25550</v>
      </c>
      <c r="AU26" s="15" t="s">
        <v>283</v>
      </c>
      <c r="AW26" s="14">
        <v>1</v>
      </c>
      <c r="AX26" s="14" t="s">
        <v>221</v>
      </c>
    </row>
    <row r="27" spans="1:50">
      <c r="A27" s="1">
        <v>200</v>
      </c>
      <c r="B27" s="1">
        <v>400</v>
      </c>
      <c r="C27" s="1">
        <v>3900</v>
      </c>
      <c r="D27" s="2" t="s">
        <v>305</v>
      </c>
      <c r="E27" s="3">
        <v>400</v>
      </c>
      <c r="K27" s="6">
        <v>2</v>
      </c>
      <c r="L27" s="6">
        <v>16</v>
      </c>
      <c r="W27" s="9">
        <v>1</v>
      </c>
      <c r="AB27" s="10">
        <v>2</v>
      </c>
      <c r="AC27" s="10">
        <v>16</v>
      </c>
      <c r="AN27" s="14">
        <v>8</v>
      </c>
      <c r="AO27" s="14" t="s">
        <v>280</v>
      </c>
      <c r="AP27" s="50"/>
      <c r="AQ27" s="51"/>
      <c r="AS27" s="14">
        <v>25550</v>
      </c>
      <c r="AU27" s="15" t="s">
        <v>283</v>
      </c>
      <c r="AW27" s="14">
        <v>1</v>
      </c>
      <c r="AX27" s="14" t="s">
        <v>221</v>
      </c>
    </row>
    <row r="28" spans="1:50">
      <c r="A28" s="1">
        <v>200</v>
      </c>
      <c r="B28" s="1">
        <v>400</v>
      </c>
      <c r="C28" s="1">
        <v>4500</v>
      </c>
      <c r="D28" s="2" t="s">
        <v>306</v>
      </c>
      <c r="E28" s="3">
        <v>400</v>
      </c>
      <c r="K28" s="6">
        <v>2</v>
      </c>
      <c r="L28" s="6">
        <v>16</v>
      </c>
      <c r="O28" s="6">
        <v>2</v>
      </c>
      <c r="P28" s="6">
        <v>18</v>
      </c>
      <c r="W28" s="9">
        <v>1</v>
      </c>
      <c r="AB28" s="10">
        <v>2</v>
      </c>
      <c r="AC28" s="10">
        <v>16</v>
      </c>
      <c r="AN28" s="14">
        <v>8</v>
      </c>
      <c r="AO28" s="14" t="s">
        <v>288</v>
      </c>
      <c r="AP28" s="50"/>
      <c r="AQ28" s="51"/>
      <c r="AS28" s="14">
        <v>25550</v>
      </c>
      <c r="AU28" s="15" t="s">
        <v>283</v>
      </c>
      <c r="AW28" s="14">
        <v>1</v>
      </c>
      <c r="AX28" s="14" t="s">
        <v>221</v>
      </c>
    </row>
    <row r="29" spans="1:50">
      <c r="A29" s="1">
        <v>200</v>
      </c>
      <c r="B29" s="1">
        <v>400</v>
      </c>
      <c r="C29" s="1">
        <v>1900</v>
      </c>
      <c r="D29" s="2" t="s">
        <v>307</v>
      </c>
      <c r="E29" s="3">
        <v>400</v>
      </c>
      <c r="K29" s="6">
        <v>2</v>
      </c>
      <c r="L29" s="6">
        <v>16</v>
      </c>
      <c r="O29" s="6">
        <v>2</v>
      </c>
      <c r="P29" s="6">
        <v>18</v>
      </c>
      <c r="W29" s="9">
        <v>8.7426905650720403</v>
      </c>
      <c r="AB29" s="10">
        <v>2</v>
      </c>
      <c r="AC29" s="10">
        <v>16</v>
      </c>
      <c r="AN29" s="14">
        <v>8</v>
      </c>
      <c r="AO29" s="14" t="s">
        <v>288</v>
      </c>
      <c r="AP29" s="50"/>
      <c r="AQ29" s="51"/>
      <c r="AS29" s="14">
        <v>25550</v>
      </c>
      <c r="AU29" s="15" t="s">
        <v>283</v>
      </c>
      <c r="AW29" s="14">
        <v>1</v>
      </c>
      <c r="AX29" s="14" t="s">
        <v>221</v>
      </c>
    </row>
    <row r="30" spans="1:50">
      <c r="A30" s="1">
        <v>200</v>
      </c>
      <c r="B30" s="1">
        <v>400</v>
      </c>
      <c r="C30" s="1">
        <v>1400</v>
      </c>
      <c r="D30" s="2" t="s">
        <v>308</v>
      </c>
      <c r="E30" s="3">
        <v>400</v>
      </c>
      <c r="K30" s="6">
        <v>2</v>
      </c>
      <c r="L30" s="6">
        <v>16</v>
      </c>
      <c r="W30" s="9">
        <v>1</v>
      </c>
      <c r="AB30" s="10">
        <v>2</v>
      </c>
      <c r="AC30" s="10">
        <v>16</v>
      </c>
      <c r="AN30" s="14">
        <v>8</v>
      </c>
      <c r="AO30" s="14" t="s">
        <v>280</v>
      </c>
      <c r="AP30" s="50"/>
      <c r="AQ30" s="51"/>
      <c r="AS30" s="14">
        <v>1400</v>
      </c>
      <c r="AU30" s="15" t="s">
        <v>283</v>
      </c>
      <c r="AW30" s="14">
        <v>1</v>
      </c>
      <c r="AX30" s="14" t="s">
        <v>221</v>
      </c>
    </row>
    <row r="31" spans="1:50">
      <c r="A31" s="1">
        <v>200</v>
      </c>
      <c r="B31" s="1">
        <v>400</v>
      </c>
      <c r="C31" s="1">
        <v>4600</v>
      </c>
      <c r="D31" s="2" t="s">
        <v>309</v>
      </c>
      <c r="E31" s="3">
        <v>400</v>
      </c>
      <c r="K31" s="6">
        <v>2</v>
      </c>
      <c r="L31" s="6">
        <v>20</v>
      </c>
      <c r="W31" s="9">
        <v>1</v>
      </c>
      <c r="AB31" s="10">
        <v>2</v>
      </c>
      <c r="AC31" s="10">
        <v>16</v>
      </c>
      <c r="AN31" s="14">
        <v>8</v>
      </c>
      <c r="AO31" s="14" t="s">
        <v>280</v>
      </c>
      <c r="AP31" s="50"/>
      <c r="AQ31" s="51"/>
      <c r="AS31" s="14">
        <v>23950</v>
      </c>
      <c r="AU31" s="15" t="s">
        <v>283</v>
      </c>
      <c r="AW31" s="14">
        <v>1</v>
      </c>
      <c r="AX31" s="14" t="s">
        <v>221</v>
      </c>
    </row>
    <row r="32" spans="1:50">
      <c r="A32" s="1">
        <v>200</v>
      </c>
      <c r="B32" s="1">
        <v>400</v>
      </c>
      <c r="C32" s="1">
        <v>3500</v>
      </c>
      <c r="D32" s="2" t="s">
        <v>310</v>
      </c>
      <c r="E32" s="3">
        <v>400</v>
      </c>
      <c r="K32" s="6">
        <v>2</v>
      </c>
      <c r="L32" s="6">
        <v>20</v>
      </c>
      <c r="W32" s="9">
        <v>1</v>
      </c>
      <c r="AB32" s="10">
        <v>2</v>
      </c>
      <c r="AC32" s="10">
        <v>16</v>
      </c>
      <c r="AN32" s="14">
        <v>8</v>
      </c>
      <c r="AO32" s="14" t="s">
        <v>280</v>
      </c>
      <c r="AP32" s="50"/>
      <c r="AQ32" s="51"/>
      <c r="AS32" s="14">
        <v>23950</v>
      </c>
      <c r="AU32" s="15" t="s">
        <v>283</v>
      </c>
      <c r="AW32" s="14">
        <v>1</v>
      </c>
      <c r="AX32" s="14" t="s">
        <v>221</v>
      </c>
    </row>
    <row r="33" spans="1:50">
      <c r="A33" s="1">
        <v>200</v>
      </c>
      <c r="B33" s="1">
        <v>400</v>
      </c>
      <c r="C33" s="1">
        <v>4150</v>
      </c>
      <c r="D33" s="2" t="s">
        <v>311</v>
      </c>
      <c r="E33" s="3">
        <v>400</v>
      </c>
      <c r="K33" s="6">
        <v>2</v>
      </c>
      <c r="L33" s="6">
        <v>20</v>
      </c>
      <c r="W33" s="9">
        <v>1</v>
      </c>
      <c r="AB33" s="10">
        <v>2</v>
      </c>
      <c r="AC33" s="10">
        <v>16</v>
      </c>
      <c r="AN33" s="14">
        <v>8</v>
      </c>
      <c r="AO33" s="14" t="s">
        <v>280</v>
      </c>
      <c r="AP33" s="50"/>
      <c r="AQ33" s="51"/>
      <c r="AS33" s="14">
        <v>23950</v>
      </c>
      <c r="AU33" s="15" t="s">
        <v>283</v>
      </c>
      <c r="AW33" s="14">
        <v>1</v>
      </c>
      <c r="AX33" s="14" t="s">
        <v>221</v>
      </c>
    </row>
    <row r="34" spans="1:50">
      <c r="A34" s="1">
        <v>200</v>
      </c>
      <c r="B34" s="1">
        <v>400</v>
      </c>
      <c r="C34" s="1">
        <v>3800</v>
      </c>
      <c r="D34" s="2" t="s">
        <v>312</v>
      </c>
      <c r="E34" s="3">
        <v>400</v>
      </c>
      <c r="K34" s="6">
        <v>2</v>
      </c>
      <c r="L34" s="6">
        <v>20</v>
      </c>
      <c r="W34" s="9">
        <v>1</v>
      </c>
      <c r="AB34" s="10">
        <v>2</v>
      </c>
      <c r="AC34" s="10">
        <v>16</v>
      </c>
      <c r="AN34" s="14">
        <v>8</v>
      </c>
      <c r="AO34" s="14" t="s">
        <v>280</v>
      </c>
      <c r="AP34" s="50"/>
      <c r="AQ34" s="51"/>
      <c r="AS34" s="14">
        <v>23950</v>
      </c>
      <c r="AU34" s="15" t="s">
        <v>283</v>
      </c>
      <c r="AW34" s="14">
        <v>1</v>
      </c>
      <c r="AX34" s="14" t="s">
        <v>221</v>
      </c>
    </row>
    <row r="35" spans="1:50">
      <c r="A35" s="1">
        <v>200</v>
      </c>
      <c r="B35" s="1">
        <v>400</v>
      </c>
      <c r="C35" s="1">
        <v>4600</v>
      </c>
      <c r="D35" s="2" t="s">
        <v>313</v>
      </c>
      <c r="E35" s="3">
        <v>400</v>
      </c>
      <c r="K35" s="6">
        <v>2</v>
      </c>
      <c r="L35" s="6">
        <v>20</v>
      </c>
      <c r="O35" s="6">
        <v>2</v>
      </c>
      <c r="P35" s="6">
        <v>25</v>
      </c>
      <c r="W35" s="9">
        <v>1</v>
      </c>
      <c r="AB35" s="10">
        <v>2</v>
      </c>
      <c r="AC35" s="10">
        <v>16</v>
      </c>
      <c r="AN35" s="14">
        <v>8</v>
      </c>
      <c r="AO35" s="14" t="s">
        <v>280</v>
      </c>
      <c r="AP35" s="50"/>
      <c r="AQ35" s="51"/>
      <c r="AS35" s="14">
        <v>23950</v>
      </c>
      <c r="AU35" s="15" t="s">
        <v>283</v>
      </c>
      <c r="AW35" s="14">
        <v>1</v>
      </c>
      <c r="AX35" s="14" t="s">
        <v>221</v>
      </c>
    </row>
    <row r="36" spans="1:50">
      <c r="A36" s="1">
        <v>200</v>
      </c>
      <c r="B36" s="1">
        <v>400</v>
      </c>
      <c r="C36" s="1">
        <v>1900</v>
      </c>
      <c r="D36" s="2" t="s">
        <v>314</v>
      </c>
      <c r="E36" s="3">
        <v>400</v>
      </c>
      <c r="K36" s="6">
        <v>2</v>
      </c>
      <c r="L36" s="6">
        <v>20</v>
      </c>
      <c r="O36" s="6">
        <v>2</v>
      </c>
      <c r="P36" s="6">
        <v>25</v>
      </c>
      <c r="W36" s="9">
        <v>9.5817093404563707</v>
      </c>
      <c r="AB36" s="10">
        <v>2</v>
      </c>
      <c r="AC36" s="10">
        <v>16</v>
      </c>
      <c r="AN36" s="14">
        <v>8</v>
      </c>
      <c r="AO36" s="14" t="s">
        <v>288</v>
      </c>
      <c r="AP36" s="50"/>
      <c r="AQ36" s="51"/>
      <c r="AS36" s="14">
        <v>23950</v>
      </c>
      <c r="AU36" s="15" t="s">
        <v>283</v>
      </c>
      <c r="AW36" s="14">
        <v>1</v>
      </c>
      <c r="AX36" s="14" t="s">
        <v>221</v>
      </c>
    </row>
    <row r="37" spans="1:50">
      <c r="A37" s="1">
        <v>200</v>
      </c>
      <c r="B37" s="1">
        <v>400</v>
      </c>
      <c r="C37" s="1">
        <v>4600</v>
      </c>
      <c r="D37" s="2" t="s">
        <v>315</v>
      </c>
      <c r="E37" s="3">
        <v>400</v>
      </c>
      <c r="K37" s="6">
        <v>2</v>
      </c>
      <c r="L37" s="6">
        <v>16</v>
      </c>
      <c r="W37" s="9">
        <v>1</v>
      </c>
      <c r="AB37" s="10">
        <v>2</v>
      </c>
      <c r="AC37" s="10">
        <v>16</v>
      </c>
      <c r="AN37" s="14">
        <v>8</v>
      </c>
      <c r="AO37" s="14" t="s">
        <v>280</v>
      </c>
      <c r="AP37" s="50"/>
      <c r="AQ37" s="51"/>
      <c r="AS37" s="14">
        <v>16050</v>
      </c>
      <c r="AU37" s="15" t="s">
        <v>283</v>
      </c>
      <c r="AW37" s="14">
        <v>1</v>
      </c>
      <c r="AX37" s="14" t="s">
        <v>221</v>
      </c>
    </row>
    <row r="38" spans="1:50">
      <c r="A38" s="1">
        <v>200</v>
      </c>
      <c r="B38" s="1">
        <v>400</v>
      </c>
      <c r="C38" s="1">
        <v>3300</v>
      </c>
      <c r="D38" s="2" t="s">
        <v>316</v>
      </c>
      <c r="E38" s="3">
        <v>400</v>
      </c>
      <c r="K38" s="6">
        <v>2</v>
      </c>
      <c r="L38" s="6">
        <v>16</v>
      </c>
      <c r="W38" s="9">
        <v>1</v>
      </c>
      <c r="AB38" s="10">
        <v>2</v>
      </c>
      <c r="AC38" s="10">
        <v>16</v>
      </c>
      <c r="AN38" s="14">
        <v>8</v>
      </c>
      <c r="AO38" s="14" t="s">
        <v>280</v>
      </c>
      <c r="AP38" s="50"/>
      <c r="AQ38" s="51"/>
      <c r="AS38" s="14">
        <v>16050</v>
      </c>
      <c r="AU38" s="15" t="s">
        <v>283</v>
      </c>
      <c r="AW38" s="14">
        <v>1</v>
      </c>
      <c r="AX38" s="14" t="s">
        <v>221</v>
      </c>
    </row>
    <row r="39" spans="1:50">
      <c r="A39" s="1">
        <v>200</v>
      </c>
      <c r="B39" s="1">
        <v>400</v>
      </c>
      <c r="C39" s="1">
        <v>4150</v>
      </c>
      <c r="D39" s="2" t="s">
        <v>317</v>
      </c>
      <c r="E39" s="3">
        <v>400</v>
      </c>
      <c r="K39" s="6">
        <v>2</v>
      </c>
      <c r="L39" s="6">
        <v>16</v>
      </c>
      <c r="W39" s="9">
        <v>1</v>
      </c>
      <c r="AB39" s="10">
        <v>2</v>
      </c>
      <c r="AC39" s="10">
        <v>16</v>
      </c>
      <c r="AN39" s="14">
        <v>8</v>
      </c>
      <c r="AO39" s="14" t="s">
        <v>280</v>
      </c>
      <c r="AP39" s="50"/>
      <c r="AQ39" s="51"/>
      <c r="AS39" s="14">
        <v>16050</v>
      </c>
      <c r="AU39" s="15" t="s">
        <v>283</v>
      </c>
      <c r="AW39" s="14">
        <v>1</v>
      </c>
      <c r="AX39" s="14" t="s">
        <v>221</v>
      </c>
    </row>
    <row r="40" spans="1:50">
      <c r="A40" s="1">
        <v>200</v>
      </c>
      <c r="B40" s="1">
        <v>400</v>
      </c>
      <c r="C40" s="1">
        <v>3200</v>
      </c>
      <c r="D40" s="2" t="s">
        <v>318</v>
      </c>
      <c r="E40" s="3">
        <v>400</v>
      </c>
      <c r="K40" s="6">
        <v>2</v>
      </c>
      <c r="L40" s="6">
        <v>16</v>
      </c>
      <c r="W40" s="9">
        <v>1</v>
      </c>
      <c r="AB40" s="10">
        <v>2</v>
      </c>
      <c r="AC40" s="10">
        <v>16</v>
      </c>
      <c r="AN40" s="14">
        <v>8</v>
      </c>
      <c r="AO40" s="14" t="s">
        <v>280</v>
      </c>
      <c r="AP40" s="50"/>
      <c r="AQ40" s="51"/>
      <c r="AS40" s="14">
        <v>16050</v>
      </c>
      <c r="AU40" s="15" t="s">
        <v>283</v>
      </c>
      <c r="AW40" s="14">
        <v>1</v>
      </c>
      <c r="AX40" s="14" t="s">
        <v>221</v>
      </c>
    </row>
    <row r="41" spans="1:50">
      <c r="A41" s="1">
        <v>200</v>
      </c>
      <c r="B41" s="1">
        <v>400</v>
      </c>
      <c r="C41" s="1">
        <v>4700</v>
      </c>
      <c r="D41" s="2" t="s">
        <v>319</v>
      </c>
      <c r="E41" s="3">
        <v>400</v>
      </c>
      <c r="K41" s="6">
        <v>2</v>
      </c>
      <c r="L41" s="6">
        <v>16</v>
      </c>
      <c r="O41" s="6">
        <v>2</v>
      </c>
      <c r="P41" s="6">
        <v>16</v>
      </c>
      <c r="W41" s="9">
        <v>1</v>
      </c>
      <c r="AB41" s="10">
        <v>2</v>
      </c>
      <c r="AC41" s="10">
        <v>16</v>
      </c>
      <c r="AN41" s="14">
        <v>8</v>
      </c>
      <c r="AO41" s="14" t="s">
        <v>280</v>
      </c>
      <c r="AP41" s="50"/>
      <c r="AQ41" s="51"/>
      <c r="AS41" s="14">
        <v>6800</v>
      </c>
      <c r="AU41" s="15" t="s">
        <v>283</v>
      </c>
      <c r="AW41" s="14">
        <v>1</v>
      </c>
      <c r="AX41" s="14" t="s">
        <v>221</v>
      </c>
    </row>
    <row r="42" spans="1:50">
      <c r="A42" s="1">
        <v>200</v>
      </c>
      <c r="B42" s="1">
        <v>400</v>
      </c>
      <c r="C42" s="1">
        <v>1900</v>
      </c>
      <c r="D42" s="2" t="s">
        <v>320</v>
      </c>
      <c r="E42" s="3">
        <v>400</v>
      </c>
      <c r="K42" s="6">
        <v>2</v>
      </c>
      <c r="L42" s="6">
        <v>16</v>
      </c>
      <c r="O42" s="6">
        <v>2</v>
      </c>
      <c r="P42" s="6">
        <v>16</v>
      </c>
      <c r="W42" s="9">
        <v>2.3050922746742399</v>
      </c>
      <c r="AB42" s="10">
        <v>2</v>
      </c>
      <c r="AC42" s="10">
        <v>16</v>
      </c>
      <c r="AN42" s="14">
        <v>8</v>
      </c>
      <c r="AO42" s="14" t="s">
        <v>280</v>
      </c>
      <c r="AP42" s="50"/>
      <c r="AQ42" s="51"/>
      <c r="AS42" s="14">
        <v>6800</v>
      </c>
      <c r="AU42" s="15" t="s">
        <v>283</v>
      </c>
      <c r="AW42" s="14">
        <v>1</v>
      </c>
      <c r="AX42" s="14" t="s">
        <v>221</v>
      </c>
    </row>
    <row r="43" spans="1:50">
      <c r="A43" s="1">
        <v>200</v>
      </c>
      <c r="B43" s="1">
        <v>400</v>
      </c>
      <c r="C43" s="1">
        <v>2300</v>
      </c>
      <c r="D43" s="2" t="s">
        <v>321</v>
      </c>
      <c r="E43" s="3">
        <v>400</v>
      </c>
      <c r="K43" s="6">
        <v>2</v>
      </c>
      <c r="L43" s="6">
        <v>16</v>
      </c>
      <c r="O43" s="6">
        <v>2</v>
      </c>
      <c r="P43" s="6">
        <v>16</v>
      </c>
      <c r="W43" s="9">
        <v>1</v>
      </c>
      <c r="AB43" s="10">
        <v>2</v>
      </c>
      <c r="AC43" s="10">
        <v>16</v>
      </c>
      <c r="AN43" s="14">
        <v>8</v>
      </c>
      <c r="AO43" s="14" t="s">
        <v>280</v>
      </c>
      <c r="AP43" s="50"/>
      <c r="AQ43" s="51"/>
      <c r="AS43" s="14">
        <v>14450</v>
      </c>
      <c r="AU43" s="15" t="s">
        <v>283</v>
      </c>
      <c r="AW43" s="14">
        <v>1</v>
      </c>
      <c r="AX43" s="14" t="s">
        <v>221</v>
      </c>
    </row>
    <row r="44" spans="1:50">
      <c r="A44" s="1">
        <v>200</v>
      </c>
      <c r="B44" s="1">
        <v>400</v>
      </c>
      <c r="C44" s="1">
        <v>4350</v>
      </c>
      <c r="D44" s="2" t="s">
        <v>322</v>
      </c>
      <c r="E44" s="3">
        <v>400</v>
      </c>
      <c r="K44" s="6">
        <v>2</v>
      </c>
      <c r="L44" s="6">
        <v>16</v>
      </c>
      <c r="O44" s="6">
        <v>2</v>
      </c>
      <c r="P44" s="6">
        <v>16</v>
      </c>
      <c r="W44" s="9">
        <v>1</v>
      </c>
      <c r="AB44" s="10">
        <v>2</v>
      </c>
      <c r="AC44" s="10">
        <v>16</v>
      </c>
      <c r="AN44" s="14">
        <v>8</v>
      </c>
      <c r="AO44" s="14" t="s">
        <v>280</v>
      </c>
      <c r="AP44" s="50"/>
      <c r="AQ44" s="51"/>
      <c r="AS44" s="14">
        <v>14450</v>
      </c>
      <c r="AU44" s="15" t="s">
        <v>283</v>
      </c>
      <c r="AW44" s="14">
        <v>1</v>
      </c>
      <c r="AX44" s="14" t="s">
        <v>221</v>
      </c>
    </row>
    <row r="45" spans="1:50">
      <c r="A45" s="1">
        <v>200</v>
      </c>
      <c r="B45" s="1">
        <v>400</v>
      </c>
      <c r="C45" s="1">
        <v>4350</v>
      </c>
      <c r="D45" s="2" t="s">
        <v>323</v>
      </c>
      <c r="E45" s="3">
        <v>400</v>
      </c>
      <c r="K45" s="6">
        <v>2</v>
      </c>
      <c r="L45" s="6">
        <v>16</v>
      </c>
      <c r="W45" s="9">
        <v>4.0609849063345296</v>
      </c>
      <c r="AB45" s="10">
        <v>2</v>
      </c>
      <c r="AC45" s="10">
        <v>16</v>
      </c>
      <c r="AN45" s="14">
        <v>8</v>
      </c>
      <c r="AO45" s="14" t="s">
        <v>280</v>
      </c>
      <c r="AP45" s="50"/>
      <c r="AQ45" s="51"/>
      <c r="AS45" s="14">
        <v>14450</v>
      </c>
      <c r="AU45" s="15" t="s">
        <v>283</v>
      </c>
      <c r="AW45" s="14">
        <v>1</v>
      </c>
      <c r="AX45" s="14" t="s">
        <v>221</v>
      </c>
    </row>
    <row r="46" spans="1:50">
      <c r="A46" s="1">
        <v>200</v>
      </c>
      <c r="B46" s="1">
        <v>400</v>
      </c>
      <c r="C46" s="1">
        <v>2850</v>
      </c>
      <c r="D46" s="2" t="s">
        <v>324</v>
      </c>
      <c r="E46" s="3">
        <v>400</v>
      </c>
      <c r="K46" s="6">
        <v>2</v>
      </c>
      <c r="L46" s="6">
        <v>16</v>
      </c>
      <c r="W46" s="9">
        <v>1</v>
      </c>
      <c r="AB46" s="10">
        <v>2</v>
      </c>
      <c r="AC46" s="10">
        <v>16</v>
      </c>
      <c r="AN46" s="14">
        <v>8</v>
      </c>
      <c r="AO46" s="14" t="s">
        <v>280</v>
      </c>
      <c r="AP46" s="50"/>
      <c r="AQ46" s="51"/>
      <c r="AS46" s="14">
        <v>14450</v>
      </c>
      <c r="AU46" s="15" t="s">
        <v>283</v>
      </c>
      <c r="AW46" s="14">
        <v>1</v>
      </c>
      <c r="AX46" s="14" t="s">
        <v>221</v>
      </c>
    </row>
    <row r="47" spans="1:50">
      <c r="A47" s="1">
        <v>200</v>
      </c>
      <c r="B47" s="1">
        <v>400</v>
      </c>
      <c r="C47" s="1">
        <v>2300</v>
      </c>
      <c r="D47" s="2" t="s">
        <v>325</v>
      </c>
      <c r="E47" s="3">
        <v>400</v>
      </c>
      <c r="K47" s="6">
        <v>2</v>
      </c>
      <c r="L47" s="6">
        <v>16</v>
      </c>
      <c r="O47" s="6">
        <v>2</v>
      </c>
      <c r="P47" s="6">
        <v>20</v>
      </c>
      <c r="W47" s="9">
        <v>1</v>
      </c>
      <c r="AB47" s="10">
        <v>2</v>
      </c>
      <c r="AC47" s="10">
        <v>16</v>
      </c>
      <c r="AN47" s="14">
        <v>8</v>
      </c>
      <c r="AO47" s="14" t="s">
        <v>288</v>
      </c>
      <c r="AP47" s="50"/>
      <c r="AQ47" s="51"/>
      <c r="AS47" s="14">
        <v>19600</v>
      </c>
      <c r="AU47" s="15" t="s">
        <v>283</v>
      </c>
      <c r="AW47" s="14">
        <v>1</v>
      </c>
      <c r="AX47" s="14" t="s">
        <v>221</v>
      </c>
    </row>
    <row r="48" spans="1:50">
      <c r="A48" s="1">
        <v>200</v>
      </c>
      <c r="B48" s="1">
        <v>400</v>
      </c>
      <c r="C48" s="1">
        <v>4350</v>
      </c>
      <c r="D48" s="2" t="s">
        <v>326</v>
      </c>
      <c r="E48" s="3">
        <v>400</v>
      </c>
      <c r="K48" s="6">
        <v>2</v>
      </c>
      <c r="L48" s="6">
        <v>16</v>
      </c>
      <c r="O48" s="6">
        <v>2</v>
      </c>
      <c r="P48" s="6">
        <v>20</v>
      </c>
      <c r="W48" s="9">
        <v>1</v>
      </c>
      <c r="AB48" s="10">
        <v>2</v>
      </c>
      <c r="AC48" s="10">
        <v>16</v>
      </c>
      <c r="AN48" s="14">
        <v>8</v>
      </c>
      <c r="AO48" s="14" t="s">
        <v>280</v>
      </c>
      <c r="AP48" s="50"/>
      <c r="AQ48" s="51"/>
      <c r="AS48" s="14">
        <v>19600</v>
      </c>
      <c r="AU48" s="15" t="s">
        <v>283</v>
      </c>
      <c r="AW48" s="14">
        <v>1</v>
      </c>
      <c r="AX48" s="14" t="s">
        <v>221</v>
      </c>
    </row>
    <row r="49" spans="1:50">
      <c r="A49" s="1">
        <v>200</v>
      </c>
      <c r="B49" s="1">
        <v>400</v>
      </c>
      <c r="C49" s="1">
        <v>4350</v>
      </c>
      <c r="D49" s="2" t="s">
        <v>327</v>
      </c>
      <c r="E49" s="3">
        <v>400</v>
      </c>
      <c r="K49" s="6">
        <v>2</v>
      </c>
      <c r="L49" s="6">
        <v>16</v>
      </c>
      <c r="W49" s="9">
        <v>1</v>
      </c>
      <c r="AB49" s="10">
        <v>2</v>
      </c>
      <c r="AC49" s="10">
        <v>16</v>
      </c>
      <c r="AN49" s="14">
        <v>8</v>
      </c>
      <c r="AO49" s="14" t="s">
        <v>280</v>
      </c>
      <c r="AP49" s="50"/>
      <c r="AQ49" s="51"/>
      <c r="AS49" s="14">
        <v>19600</v>
      </c>
      <c r="AU49" s="15" t="s">
        <v>283</v>
      </c>
      <c r="AW49" s="14">
        <v>1</v>
      </c>
      <c r="AX49" s="14" t="s">
        <v>221</v>
      </c>
    </row>
    <row r="50" spans="1:50">
      <c r="A50" s="1">
        <v>200</v>
      </c>
      <c r="B50" s="1">
        <v>400</v>
      </c>
      <c r="C50" s="1">
        <v>2850</v>
      </c>
      <c r="D50" s="2" t="s">
        <v>328</v>
      </c>
      <c r="E50" s="3">
        <v>400</v>
      </c>
      <c r="K50" s="6">
        <v>2</v>
      </c>
      <c r="L50" s="6">
        <v>16</v>
      </c>
      <c r="W50" s="9">
        <v>1</v>
      </c>
      <c r="AB50" s="10">
        <v>2</v>
      </c>
      <c r="AC50" s="10">
        <v>16</v>
      </c>
      <c r="AN50" s="14">
        <v>8</v>
      </c>
      <c r="AO50" s="14" t="s">
        <v>280</v>
      </c>
      <c r="AP50" s="50"/>
      <c r="AQ50" s="51"/>
      <c r="AS50" s="14">
        <v>19600</v>
      </c>
      <c r="AU50" s="15" t="s">
        <v>283</v>
      </c>
      <c r="AW50" s="14">
        <v>1</v>
      </c>
      <c r="AX50" s="14" t="s">
        <v>221</v>
      </c>
    </row>
    <row r="51" spans="1:50">
      <c r="A51" s="1">
        <v>200</v>
      </c>
      <c r="B51" s="1">
        <v>400</v>
      </c>
      <c r="C51" s="1">
        <v>4950</v>
      </c>
      <c r="D51" s="2" t="s">
        <v>329</v>
      </c>
      <c r="E51" s="3">
        <v>400</v>
      </c>
      <c r="K51" s="6">
        <v>2</v>
      </c>
      <c r="L51" s="6">
        <v>16</v>
      </c>
      <c r="W51" s="9">
        <v>10.908305855297501</v>
      </c>
      <c r="AB51" s="10">
        <v>2</v>
      </c>
      <c r="AC51" s="10">
        <v>16</v>
      </c>
      <c r="AN51" s="14">
        <v>8</v>
      </c>
      <c r="AO51" s="14" t="s">
        <v>280</v>
      </c>
      <c r="AP51" s="50"/>
      <c r="AQ51" s="51"/>
      <c r="AS51" s="14">
        <v>19600</v>
      </c>
      <c r="AU51" s="15" t="s">
        <v>283</v>
      </c>
      <c r="AW51" s="14">
        <v>1</v>
      </c>
      <c r="AX51" s="14" t="s">
        <v>221</v>
      </c>
    </row>
    <row r="52" spans="1:50">
      <c r="A52" s="1">
        <v>600</v>
      </c>
      <c r="B52" s="1">
        <v>400</v>
      </c>
      <c r="C52" s="1">
        <v>2200</v>
      </c>
      <c r="D52" s="2" t="s">
        <v>330</v>
      </c>
      <c r="E52" s="3">
        <v>400</v>
      </c>
      <c r="K52" s="6">
        <v>5</v>
      </c>
      <c r="L52" s="6">
        <v>16</v>
      </c>
      <c r="O52" s="6">
        <v>5</v>
      </c>
      <c r="P52" s="6">
        <v>18</v>
      </c>
      <c r="W52" s="9">
        <v>1</v>
      </c>
      <c r="AB52" s="10">
        <v>5</v>
      </c>
      <c r="AC52" s="10">
        <v>16</v>
      </c>
      <c r="AN52" s="14">
        <v>8</v>
      </c>
      <c r="AO52" s="14" t="s">
        <v>280</v>
      </c>
      <c r="AP52" s="50"/>
      <c r="AQ52" s="51"/>
      <c r="AS52" s="14">
        <v>15100</v>
      </c>
      <c r="AU52" s="15" t="s">
        <v>283</v>
      </c>
      <c r="AW52" s="14">
        <v>1</v>
      </c>
      <c r="AX52" s="14" t="s">
        <v>221</v>
      </c>
    </row>
    <row r="53" spans="1:50">
      <c r="A53" s="1">
        <v>600</v>
      </c>
      <c r="B53" s="1">
        <v>400</v>
      </c>
      <c r="C53" s="1">
        <v>4250</v>
      </c>
      <c r="D53" s="2" t="s">
        <v>331</v>
      </c>
      <c r="E53" s="3">
        <v>400</v>
      </c>
      <c r="K53" s="6">
        <v>5</v>
      </c>
      <c r="L53" s="6">
        <v>16</v>
      </c>
      <c r="O53" s="6">
        <v>5</v>
      </c>
      <c r="P53" s="6">
        <v>18</v>
      </c>
      <c r="W53" s="9">
        <v>1</v>
      </c>
      <c r="AB53" s="10">
        <v>5</v>
      </c>
      <c r="AC53" s="10">
        <v>16</v>
      </c>
      <c r="AN53" s="14">
        <v>8</v>
      </c>
      <c r="AO53" s="14" t="s">
        <v>280</v>
      </c>
      <c r="AP53" s="50"/>
      <c r="AQ53" s="51"/>
      <c r="AS53" s="14">
        <v>15100</v>
      </c>
      <c r="AU53" s="15" t="s">
        <v>283</v>
      </c>
      <c r="AW53" s="14">
        <v>1</v>
      </c>
      <c r="AX53" s="14" t="s">
        <v>221</v>
      </c>
    </row>
    <row r="54" spans="1:50">
      <c r="A54" s="1">
        <v>600</v>
      </c>
      <c r="B54" s="1">
        <v>400</v>
      </c>
      <c r="C54" s="1">
        <v>4150</v>
      </c>
      <c r="D54" s="2" t="s">
        <v>332</v>
      </c>
      <c r="E54" s="3">
        <v>400</v>
      </c>
      <c r="K54" s="6">
        <v>5</v>
      </c>
      <c r="L54" s="6">
        <v>16</v>
      </c>
      <c r="W54" s="9">
        <v>1</v>
      </c>
      <c r="AB54" s="10">
        <v>5</v>
      </c>
      <c r="AC54" s="10">
        <v>16</v>
      </c>
      <c r="AN54" s="14">
        <v>8</v>
      </c>
      <c r="AO54" s="14" t="s">
        <v>280</v>
      </c>
      <c r="AP54" s="50"/>
      <c r="AQ54" s="51"/>
      <c r="AS54" s="14">
        <v>15100</v>
      </c>
      <c r="AU54" s="15" t="s">
        <v>283</v>
      </c>
      <c r="AW54" s="14">
        <v>1</v>
      </c>
      <c r="AX54" s="14" t="s">
        <v>221</v>
      </c>
    </row>
    <row r="55" spans="1:50">
      <c r="A55" s="1">
        <v>600</v>
      </c>
      <c r="B55" s="1">
        <v>400</v>
      </c>
      <c r="C55" s="1">
        <v>3300</v>
      </c>
      <c r="D55" s="2" t="s">
        <v>333</v>
      </c>
      <c r="E55" s="3">
        <v>400</v>
      </c>
      <c r="K55" s="6">
        <v>5</v>
      </c>
      <c r="L55" s="6">
        <v>16</v>
      </c>
      <c r="W55" s="9">
        <v>1</v>
      </c>
      <c r="AB55" s="10">
        <v>5</v>
      </c>
      <c r="AC55" s="10">
        <v>16</v>
      </c>
      <c r="AN55" s="14">
        <v>8</v>
      </c>
      <c r="AO55" s="14" t="s">
        <v>280</v>
      </c>
      <c r="AP55" s="50"/>
      <c r="AQ55" s="51"/>
      <c r="AS55" s="14">
        <v>15100</v>
      </c>
      <c r="AU55" s="15" t="s">
        <v>283</v>
      </c>
      <c r="AW55" s="14">
        <v>1</v>
      </c>
      <c r="AX55" s="14" t="s">
        <v>221</v>
      </c>
    </row>
    <row r="56" spans="1:50">
      <c r="A56" s="1">
        <v>200</v>
      </c>
      <c r="B56" s="1">
        <v>400</v>
      </c>
      <c r="C56" s="1">
        <v>3600</v>
      </c>
      <c r="D56" s="2" t="s">
        <v>334</v>
      </c>
      <c r="E56" s="3">
        <v>400</v>
      </c>
      <c r="K56" s="6">
        <v>2</v>
      </c>
      <c r="L56" s="6">
        <v>16</v>
      </c>
      <c r="W56" s="9">
        <v>1</v>
      </c>
      <c r="AB56" s="10">
        <v>2</v>
      </c>
      <c r="AC56" s="10">
        <v>16</v>
      </c>
      <c r="AN56" s="14">
        <v>8</v>
      </c>
      <c r="AO56" s="14" t="s">
        <v>280</v>
      </c>
      <c r="AP56" s="50"/>
      <c r="AQ56" s="51"/>
      <c r="AS56" s="14">
        <v>8000</v>
      </c>
      <c r="AU56" s="15" t="s">
        <v>283</v>
      </c>
      <c r="AW56" s="14">
        <v>1</v>
      </c>
      <c r="AX56" s="14" t="s">
        <v>221</v>
      </c>
    </row>
    <row r="57" spans="1:50">
      <c r="A57" s="1">
        <v>200</v>
      </c>
      <c r="B57" s="1">
        <v>400</v>
      </c>
      <c r="C57" s="1">
        <v>4200</v>
      </c>
      <c r="D57" s="2" t="s">
        <v>335</v>
      </c>
      <c r="E57" s="3">
        <v>400</v>
      </c>
      <c r="K57" s="6">
        <v>2</v>
      </c>
      <c r="L57" s="6">
        <v>16</v>
      </c>
      <c r="W57" s="9">
        <v>13.107958869249501</v>
      </c>
      <c r="AB57" s="10">
        <v>2</v>
      </c>
      <c r="AC57" s="10">
        <v>16</v>
      </c>
      <c r="AN57" s="14">
        <v>8</v>
      </c>
      <c r="AO57" s="14" t="s">
        <v>280</v>
      </c>
      <c r="AP57" s="50"/>
      <c r="AQ57" s="51"/>
      <c r="AS57" s="14">
        <v>8000</v>
      </c>
      <c r="AU57" s="15" t="s">
        <v>283</v>
      </c>
      <c r="AW57" s="14">
        <v>1</v>
      </c>
      <c r="AX57" s="14" t="s">
        <v>221</v>
      </c>
    </row>
    <row r="58" spans="1:50">
      <c r="A58" s="1">
        <v>200</v>
      </c>
      <c r="B58" s="1">
        <v>400</v>
      </c>
      <c r="C58" s="1">
        <v>2100</v>
      </c>
      <c r="D58" s="2" t="s">
        <v>336</v>
      </c>
      <c r="E58" s="3">
        <v>400</v>
      </c>
      <c r="K58" s="6">
        <v>2</v>
      </c>
      <c r="L58" s="6">
        <v>20</v>
      </c>
      <c r="O58" s="6">
        <v>2</v>
      </c>
      <c r="P58" s="6">
        <v>25</v>
      </c>
      <c r="W58" s="9">
        <v>1</v>
      </c>
      <c r="AB58" s="10">
        <v>2</v>
      </c>
      <c r="AC58" s="10">
        <v>16</v>
      </c>
      <c r="AN58" s="14">
        <v>8</v>
      </c>
      <c r="AO58" s="14" t="s">
        <v>288</v>
      </c>
      <c r="AP58" s="50"/>
      <c r="AQ58" s="51"/>
      <c r="AS58" s="14">
        <v>14600</v>
      </c>
      <c r="AU58" s="15" t="s">
        <v>283</v>
      </c>
      <c r="AW58" s="14">
        <v>1</v>
      </c>
      <c r="AX58" s="14" t="s">
        <v>221</v>
      </c>
    </row>
    <row r="59" spans="1:50">
      <c r="A59" s="1">
        <v>200</v>
      </c>
      <c r="B59" s="1">
        <v>400</v>
      </c>
      <c r="C59" s="1">
        <v>4150</v>
      </c>
      <c r="D59" s="2" t="s">
        <v>337</v>
      </c>
      <c r="E59" s="3">
        <v>400</v>
      </c>
      <c r="K59" s="6">
        <v>2</v>
      </c>
      <c r="L59" s="6">
        <v>20</v>
      </c>
      <c r="O59" s="6">
        <v>2</v>
      </c>
      <c r="P59" s="6">
        <v>25</v>
      </c>
      <c r="W59" s="9">
        <v>1</v>
      </c>
      <c r="AB59" s="10">
        <v>2</v>
      </c>
      <c r="AC59" s="10">
        <v>16</v>
      </c>
      <c r="AN59" s="14">
        <v>8</v>
      </c>
      <c r="AO59" s="14" t="s">
        <v>288</v>
      </c>
      <c r="AP59" s="50"/>
      <c r="AQ59" s="51"/>
      <c r="AS59" s="14">
        <v>14600</v>
      </c>
      <c r="AU59" s="15" t="s">
        <v>283</v>
      </c>
      <c r="AW59" s="14">
        <v>1</v>
      </c>
      <c r="AX59" s="14" t="s">
        <v>221</v>
      </c>
    </row>
    <row r="60" spans="1:50">
      <c r="A60" s="1">
        <v>200</v>
      </c>
      <c r="B60" s="1">
        <v>400</v>
      </c>
      <c r="C60" s="1">
        <v>4350</v>
      </c>
      <c r="D60" s="2" t="s">
        <v>338</v>
      </c>
      <c r="E60" s="3">
        <v>400</v>
      </c>
      <c r="K60" s="6">
        <v>2</v>
      </c>
      <c r="L60" s="6">
        <v>20</v>
      </c>
      <c r="W60" s="9">
        <v>1</v>
      </c>
      <c r="AB60" s="10">
        <v>2</v>
      </c>
      <c r="AC60" s="10">
        <v>16</v>
      </c>
      <c r="AN60" s="14">
        <v>8</v>
      </c>
      <c r="AO60" s="14" t="s">
        <v>280</v>
      </c>
      <c r="AP60" s="50"/>
      <c r="AQ60" s="51"/>
      <c r="AS60" s="14">
        <v>14600</v>
      </c>
      <c r="AU60" s="15" t="s">
        <v>283</v>
      </c>
      <c r="AW60" s="14">
        <v>1</v>
      </c>
      <c r="AX60" s="14" t="s">
        <v>221</v>
      </c>
    </row>
    <row r="61" spans="1:50">
      <c r="A61" s="1">
        <v>200</v>
      </c>
      <c r="B61" s="1">
        <v>400</v>
      </c>
      <c r="C61" s="1">
        <v>3000</v>
      </c>
      <c r="D61" s="2" t="s">
        <v>339</v>
      </c>
      <c r="E61" s="3">
        <v>400</v>
      </c>
      <c r="K61" s="6">
        <v>2</v>
      </c>
      <c r="L61" s="6">
        <v>20</v>
      </c>
      <c r="W61" s="9">
        <v>19.968074982100301</v>
      </c>
      <c r="AB61" s="10">
        <v>2</v>
      </c>
      <c r="AC61" s="10">
        <v>16</v>
      </c>
      <c r="AN61" s="14">
        <v>8</v>
      </c>
      <c r="AO61" s="14" t="s">
        <v>280</v>
      </c>
      <c r="AP61" s="50"/>
      <c r="AQ61" s="51"/>
      <c r="AS61" s="14">
        <v>14600</v>
      </c>
      <c r="AU61" s="15" t="s">
        <v>283</v>
      </c>
      <c r="AW61" s="14">
        <v>1</v>
      </c>
      <c r="AX61" s="14" t="s">
        <v>221</v>
      </c>
    </row>
    <row r="62" spans="1:50">
      <c r="A62" s="1">
        <v>200</v>
      </c>
      <c r="B62" s="1">
        <v>400</v>
      </c>
      <c r="C62" s="1">
        <v>3600</v>
      </c>
      <c r="D62" s="2" t="s">
        <v>340</v>
      </c>
      <c r="E62" s="3">
        <v>400</v>
      </c>
      <c r="K62" s="6">
        <v>2</v>
      </c>
      <c r="L62" s="6">
        <v>16</v>
      </c>
      <c r="O62" s="6">
        <v>2</v>
      </c>
      <c r="P62" s="6">
        <v>16</v>
      </c>
      <c r="W62" s="9">
        <v>9.3239450298806403</v>
      </c>
      <c r="AB62" s="10">
        <v>2</v>
      </c>
      <c r="AC62" s="10">
        <v>16</v>
      </c>
      <c r="AN62" s="14">
        <v>8</v>
      </c>
      <c r="AO62" s="14" t="s">
        <v>288</v>
      </c>
      <c r="AP62" s="50"/>
      <c r="AQ62" s="51"/>
      <c r="AS62" s="14">
        <v>3600</v>
      </c>
      <c r="AU62" s="15" t="s">
        <v>283</v>
      </c>
      <c r="AW62" s="14">
        <v>1</v>
      </c>
      <c r="AX62" s="14" t="s">
        <v>221</v>
      </c>
    </row>
    <row r="63" spans="1:50">
      <c r="A63" s="1">
        <v>200</v>
      </c>
      <c r="B63" s="1">
        <v>400</v>
      </c>
      <c r="C63" s="1">
        <v>2300</v>
      </c>
      <c r="D63" s="2" t="s">
        <v>341</v>
      </c>
      <c r="E63" s="3">
        <v>400</v>
      </c>
      <c r="K63" s="6">
        <v>2</v>
      </c>
      <c r="L63" s="6">
        <v>16</v>
      </c>
      <c r="O63" s="6">
        <v>2</v>
      </c>
      <c r="P63" s="6">
        <v>16</v>
      </c>
      <c r="W63" s="9">
        <v>1</v>
      </c>
      <c r="AB63" s="10">
        <v>2</v>
      </c>
      <c r="AC63" s="10">
        <v>16</v>
      </c>
      <c r="AN63" s="14">
        <v>8</v>
      </c>
      <c r="AO63" s="14" t="s">
        <v>280</v>
      </c>
      <c r="AP63" s="50"/>
      <c r="AQ63" s="51"/>
      <c r="AS63" s="14">
        <v>11400</v>
      </c>
      <c r="AU63" s="15" t="s">
        <v>283</v>
      </c>
      <c r="AW63" s="14">
        <v>1</v>
      </c>
      <c r="AX63" s="14" t="s">
        <v>221</v>
      </c>
    </row>
    <row r="64" spans="1:50">
      <c r="A64" s="1">
        <v>200</v>
      </c>
      <c r="B64" s="1">
        <v>400</v>
      </c>
      <c r="C64" s="1">
        <v>4350</v>
      </c>
      <c r="D64" s="2" t="s">
        <v>342</v>
      </c>
      <c r="E64" s="3">
        <v>400</v>
      </c>
      <c r="K64" s="6">
        <v>2</v>
      </c>
      <c r="L64" s="6">
        <v>16</v>
      </c>
      <c r="O64" s="6">
        <v>2</v>
      </c>
      <c r="P64" s="6">
        <v>16</v>
      </c>
      <c r="W64" s="9">
        <v>1</v>
      </c>
      <c r="AB64" s="10">
        <v>2</v>
      </c>
      <c r="AC64" s="10">
        <v>16</v>
      </c>
      <c r="AN64" s="14">
        <v>8</v>
      </c>
      <c r="AO64" s="14" t="s">
        <v>280</v>
      </c>
      <c r="AP64" s="50"/>
      <c r="AQ64" s="51"/>
      <c r="AS64" s="14">
        <v>11400</v>
      </c>
      <c r="AU64" s="15" t="s">
        <v>283</v>
      </c>
      <c r="AW64" s="14">
        <v>1</v>
      </c>
      <c r="AX64" s="14" t="s">
        <v>221</v>
      </c>
    </row>
    <row r="65" spans="1:50">
      <c r="A65" s="1">
        <v>200</v>
      </c>
      <c r="B65" s="1">
        <v>400</v>
      </c>
      <c r="C65" s="1">
        <v>4350</v>
      </c>
      <c r="D65" s="2" t="s">
        <v>343</v>
      </c>
      <c r="E65" s="3">
        <v>400</v>
      </c>
      <c r="K65" s="6">
        <v>2</v>
      </c>
      <c r="L65" s="6">
        <v>16</v>
      </c>
      <c r="W65" s="9">
        <v>1</v>
      </c>
      <c r="AB65" s="10">
        <v>2</v>
      </c>
      <c r="AC65" s="10">
        <v>16</v>
      </c>
      <c r="AN65" s="14">
        <v>8</v>
      </c>
      <c r="AO65" s="14" t="s">
        <v>280</v>
      </c>
      <c r="AP65" s="50"/>
      <c r="AQ65" s="51"/>
      <c r="AS65" s="14">
        <v>11400</v>
      </c>
      <c r="AU65" s="15" t="s">
        <v>283</v>
      </c>
      <c r="AW65" s="14">
        <v>1</v>
      </c>
      <c r="AX65" s="14" t="s">
        <v>221</v>
      </c>
    </row>
    <row r="66" spans="1:50">
      <c r="A66" s="1">
        <v>200</v>
      </c>
      <c r="B66" s="1">
        <v>400</v>
      </c>
      <c r="C66" s="1">
        <v>1400</v>
      </c>
      <c r="D66" s="2" t="s">
        <v>344</v>
      </c>
      <c r="E66" s="3">
        <v>400</v>
      </c>
      <c r="K66" s="6">
        <v>2</v>
      </c>
      <c r="L66" s="6">
        <v>16</v>
      </c>
      <c r="O66" s="6">
        <v>2</v>
      </c>
      <c r="P66" s="6">
        <v>16</v>
      </c>
      <c r="W66" s="9">
        <v>1</v>
      </c>
      <c r="AB66" s="10">
        <v>2</v>
      </c>
      <c r="AC66" s="10">
        <v>16</v>
      </c>
      <c r="AN66" s="14">
        <v>8</v>
      </c>
      <c r="AO66" s="14" t="s">
        <v>288</v>
      </c>
      <c r="AP66" s="50"/>
      <c r="AQ66" s="51"/>
      <c r="AS66" s="14">
        <v>9600</v>
      </c>
      <c r="AU66" s="15" t="s">
        <v>283</v>
      </c>
      <c r="AW66" s="14">
        <v>1</v>
      </c>
      <c r="AX66" s="14" t="s">
        <v>221</v>
      </c>
    </row>
    <row r="67" spans="1:50">
      <c r="A67" s="1">
        <v>200</v>
      </c>
      <c r="B67" s="1">
        <v>400</v>
      </c>
      <c r="C67" s="1">
        <v>3500</v>
      </c>
      <c r="D67" s="2" t="s">
        <v>345</v>
      </c>
      <c r="E67" s="3">
        <v>400</v>
      </c>
      <c r="K67" s="6">
        <v>2</v>
      </c>
      <c r="L67" s="6">
        <v>16</v>
      </c>
      <c r="O67" s="6">
        <v>2</v>
      </c>
      <c r="P67" s="6">
        <v>16</v>
      </c>
      <c r="W67" s="9">
        <v>1</v>
      </c>
      <c r="AB67" s="10">
        <v>2</v>
      </c>
      <c r="AC67" s="10">
        <v>16</v>
      </c>
      <c r="AN67" s="14">
        <v>8</v>
      </c>
      <c r="AO67" s="14" t="s">
        <v>280</v>
      </c>
      <c r="AP67" s="50"/>
      <c r="AQ67" s="51"/>
      <c r="AS67" s="14">
        <v>9600</v>
      </c>
      <c r="AU67" s="15" t="s">
        <v>283</v>
      </c>
      <c r="AW67" s="14">
        <v>1</v>
      </c>
      <c r="AX67" s="14" t="s">
        <v>221</v>
      </c>
    </row>
    <row r="68" spans="1:50">
      <c r="A68" s="1">
        <v>200</v>
      </c>
      <c r="B68" s="1">
        <v>400</v>
      </c>
      <c r="C68" s="1">
        <v>4300</v>
      </c>
      <c r="D68" s="2" t="s">
        <v>346</v>
      </c>
      <c r="E68" s="3">
        <v>400</v>
      </c>
      <c r="K68" s="6">
        <v>2</v>
      </c>
      <c r="L68" s="6">
        <v>16</v>
      </c>
      <c r="W68" s="9">
        <v>9.7947998619910095</v>
      </c>
      <c r="AB68" s="10">
        <v>2</v>
      </c>
      <c r="AC68" s="10">
        <v>16</v>
      </c>
      <c r="AN68" s="14">
        <v>8</v>
      </c>
      <c r="AO68" s="14" t="s">
        <v>280</v>
      </c>
      <c r="AP68" s="50"/>
      <c r="AQ68" s="51"/>
      <c r="AS68" s="14">
        <v>9600</v>
      </c>
      <c r="AU68" s="15" t="s">
        <v>283</v>
      </c>
      <c r="AW68" s="14">
        <v>1</v>
      </c>
      <c r="AX68" s="14" t="s">
        <v>221</v>
      </c>
    </row>
    <row r="69" spans="1:50">
      <c r="A69" s="1">
        <v>200</v>
      </c>
      <c r="B69" s="1">
        <v>400</v>
      </c>
      <c r="C69" s="1">
        <v>1300</v>
      </c>
      <c r="D69" s="2" t="s">
        <v>347</v>
      </c>
      <c r="E69" s="3">
        <v>400</v>
      </c>
      <c r="K69" s="6">
        <v>2</v>
      </c>
      <c r="L69" s="6">
        <v>16</v>
      </c>
      <c r="O69" s="6">
        <v>2</v>
      </c>
      <c r="P69" s="6">
        <v>16</v>
      </c>
      <c r="W69" s="9">
        <v>1</v>
      </c>
      <c r="AB69" s="10">
        <v>2</v>
      </c>
      <c r="AC69" s="10">
        <v>16</v>
      </c>
      <c r="AN69" s="14">
        <v>8</v>
      </c>
      <c r="AO69" s="14" t="s">
        <v>288</v>
      </c>
      <c r="AP69" s="50"/>
      <c r="AQ69" s="51"/>
      <c r="AS69" s="14">
        <v>9600</v>
      </c>
      <c r="AU69" s="15" t="s">
        <v>283</v>
      </c>
      <c r="AW69" s="14">
        <v>1</v>
      </c>
      <c r="AX69" s="14" t="s">
        <v>221</v>
      </c>
    </row>
    <row r="70" spans="1:50">
      <c r="A70" s="1">
        <v>200</v>
      </c>
      <c r="B70" s="1">
        <v>400</v>
      </c>
      <c r="C70" s="1">
        <v>3200</v>
      </c>
      <c r="D70" s="2" t="s">
        <v>348</v>
      </c>
      <c r="E70" s="3">
        <v>400</v>
      </c>
      <c r="K70" s="6">
        <v>2</v>
      </c>
      <c r="L70" s="6">
        <v>16</v>
      </c>
      <c r="O70" s="6">
        <v>2</v>
      </c>
      <c r="P70" s="6">
        <v>16</v>
      </c>
      <c r="W70" s="9">
        <v>4.8127075903790004</v>
      </c>
      <c r="AB70" s="10">
        <v>2</v>
      </c>
      <c r="AC70" s="10">
        <v>16</v>
      </c>
      <c r="AN70" s="14">
        <v>8</v>
      </c>
      <c r="AO70" s="14" t="s">
        <v>280</v>
      </c>
      <c r="AP70" s="50"/>
      <c r="AQ70" s="51"/>
      <c r="AS70" s="14">
        <v>9600</v>
      </c>
      <c r="AU70" s="15" t="s">
        <v>283</v>
      </c>
      <c r="AW70" s="14">
        <v>1</v>
      </c>
      <c r="AX70" s="14" t="s">
        <v>221</v>
      </c>
    </row>
    <row r="71" spans="1:50">
      <c r="A71" s="1">
        <v>200</v>
      </c>
      <c r="B71" s="1">
        <v>400</v>
      </c>
      <c r="C71" s="1">
        <v>4100</v>
      </c>
      <c r="D71" s="2" t="s">
        <v>349</v>
      </c>
      <c r="E71" s="3">
        <v>400</v>
      </c>
      <c r="K71" s="6">
        <v>2</v>
      </c>
      <c r="L71" s="6">
        <v>16</v>
      </c>
      <c r="W71" s="9">
        <v>1</v>
      </c>
      <c r="AB71" s="10">
        <v>2</v>
      </c>
      <c r="AC71" s="10">
        <v>16</v>
      </c>
      <c r="AN71" s="14">
        <v>8</v>
      </c>
      <c r="AO71" s="14" t="s">
        <v>280</v>
      </c>
      <c r="AP71" s="50"/>
      <c r="AQ71" s="51"/>
      <c r="AS71" s="14">
        <v>9600</v>
      </c>
      <c r="AU71" s="15" t="s">
        <v>283</v>
      </c>
      <c r="AW71" s="14">
        <v>1</v>
      </c>
      <c r="AX71" s="14" t="s">
        <v>221</v>
      </c>
    </row>
    <row r="72" spans="1:50">
      <c r="A72" s="1">
        <v>200</v>
      </c>
      <c r="B72" s="1">
        <v>400</v>
      </c>
      <c r="C72" s="1">
        <v>1400</v>
      </c>
      <c r="D72" s="2" t="s">
        <v>350</v>
      </c>
      <c r="E72" s="3">
        <v>400</v>
      </c>
      <c r="K72" s="6">
        <v>2</v>
      </c>
      <c r="L72" s="6">
        <v>16</v>
      </c>
      <c r="O72" s="6">
        <v>2</v>
      </c>
      <c r="P72" s="6">
        <v>16</v>
      </c>
      <c r="W72" s="9">
        <v>1</v>
      </c>
      <c r="AB72" s="10">
        <v>2</v>
      </c>
      <c r="AC72" s="10">
        <v>16</v>
      </c>
      <c r="AN72" s="14">
        <v>8</v>
      </c>
      <c r="AO72" s="14" t="s">
        <v>288</v>
      </c>
      <c r="AP72" s="50"/>
      <c r="AQ72" s="51"/>
      <c r="AS72" s="14">
        <v>9600</v>
      </c>
      <c r="AU72" s="15" t="s">
        <v>283</v>
      </c>
      <c r="AW72" s="14">
        <v>1</v>
      </c>
      <c r="AX72" s="14" t="s">
        <v>221</v>
      </c>
    </row>
    <row r="73" spans="1:50">
      <c r="A73" s="1">
        <v>200</v>
      </c>
      <c r="B73" s="1">
        <v>400</v>
      </c>
      <c r="C73" s="1">
        <v>3500</v>
      </c>
      <c r="D73" s="2" t="s">
        <v>351</v>
      </c>
      <c r="E73" s="3">
        <v>400</v>
      </c>
      <c r="K73" s="6">
        <v>2</v>
      </c>
      <c r="L73" s="6">
        <v>16</v>
      </c>
      <c r="O73" s="6">
        <v>2</v>
      </c>
      <c r="P73" s="6">
        <v>16</v>
      </c>
      <c r="W73" s="9">
        <v>1</v>
      </c>
      <c r="AB73" s="10">
        <v>2</v>
      </c>
      <c r="AC73" s="10">
        <v>16</v>
      </c>
      <c r="AN73" s="14">
        <v>8</v>
      </c>
      <c r="AO73" s="14" t="s">
        <v>280</v>
      </c>
      <c r="AP73" s="50"/>
      <c r="AQ73" s="51"/>
      <c r="AS73" s="14">
        <v>9600</v>
      </c>
      <c r="AU73" s="15" t="s">
        <v>283</v>
      </c>
      <c r="AW73" s="14">
        <v>1</v>
      </c>
      <c r="AX73" s="14" t="s">
        <v>221</v>
      </c>
    </row>
    <row r="74" spans="1:50">
      <c r="A74" s="1">
        <v>200</v>
      </c>
      <c r="B74" s="1">
        <v>400</v>
      </c>
      <c r="C74" s="1">
        <v>4300</v>
      </c>
      <c r="D74" s="2" t="s">
        <v>352</v>
      </c>
      <c r="E74" s="3">
        <v>400</v>
      </c>
      <c r="K74" s="6">
        <v>2</v>
      </c>
      <c r="L74" s="6">
        <v>16</v>
      </c>
      <c r="O74" s="6">
        <v>2</v>
      </c>
      <c r="P74" s="6">
        <v>16</v>
      </c>
      <c r="W74" s="9">
        <v>14.2633816733339</v>
      </c>
      <c r="AB74" s="10">
        <v>2</v>
      </c>
      <c r="AC74" s="10">
        <v>16</v>
      </c>
      <c r="AN74" s="14">
        <v>8</v>
      </c>
      <c r="AO74" s="14" t="s">
        <v>288</v>
      </c>
      <c r="AP74" s="50"/>
      <c r="AQ74" s="51"/>
      <c r="AS74" s="14">
        <v>9600</v>
      </c>
      <c r="AU74" s="15" t="s">
        <v>283</v>
      </c>
      <c r="AW74" s="14">
        <v>1</v>
      </c>
      <c r="AX74" s="14" t="s">
        <v>221</v>
      </c>
    </row>
    <row r="75" spans="1:50">
      <c r="A75" s="1">
        <v>200</v>
      </c>
      <c r="B75" s="1">
        <v>400</v>
      </c>
      <c r="C75" s="1">
        <v>1400</v>
      </c>
      <c r="D75" s="2" t="s">
        <v>353</v>
      </c>
      <c r="E75" s="3">
        <v>400</v>
      </c>
      <c r="K75" s="6">
        <v>2</v>
      </c>
      <c r="L75" s="6">
        <v>16</v>
      </c>
      <c r="W75" s="9">
        <v>1</v>
      </c>
      <c r="AB75" s="10">
        <v>2</v>
      </c>
      <c r="AC75" s="10">
        <v>16</v>
      </c>
      <c r="AN75" s="14">
        <v>8</v>
      </c>
      <c r="AO75" s="14" t="s">
        <v>280</v>
      </c>
      <c r="AP75" s="50"/>
      <c r="AQ75" s="51"/>
      <c r="AS75" s="14">
        <v>9600</v>
      </c>
      <c r="AU75" s="15" t="s">
        <v>283</v>
      </c>
      <c r="AW75" s="14">
        <v>1</v>
      </c>
      <c r="AX75" s="14" t="s">
        <v>221</v>
      </c>
    </row>
    <row r="76" spans="1:50">
      <c r="A76" s="1">
        <v>200</v>
      </c>
      <c r="B76" s="1">
        <v>400</v>
      </c>
      <c r="C76" s="1">
        <v>3500</v>
      </c>
      <c r="D76" s="2" t="s">
        <v>354</v>
      </c>
      <c r="E76" s="3">
        <v>400</v>
      </c>
      <c r="K76" s="6">
        <v>2</v>
      </c>
      <c r="L76" s="6">
        <v>16</v>
      </c>
      <c r="W76" s="9">
        <v>1</v>
      </c>
      <c r="AB76" s="10">
        <v>2</v>
      </c>
      <c r="AC76" s="10">
        <v>16</v>
      </c>
      <c r="AN76" s="14">
        <v>8</v>
      </c>
      <c r="AO76" s="14" t="s">
        <v>280</v>
      </c>
      <c r="AP76" s="50"/>
      <c r="AQ76" s="51"/>
      <c r="AS76" s="14">
        <v>9600</v>
      </c>
      <c r="AU76" s="15" t="s">
        <v>283</v>
      </c>
      <c r="AW76" s="14">
        <v>1</v>
      </c>
      <c r="AX76" s="14" t="s">
        <v>221</v>
      </c>
    </row>
    <row r="77" spans="1:50">
      <c r="A77" s="1">
        <v>200</v>
      </c>
      <c r="B77" s="1">
        <v>400</v>
      </c>
      <c r="C77" s="1">
        <v>4300</v>
      </c>
      <c r="D77" s="2" t="s">
        <v>355</v>
      </c>
      <c r="E77" s="3">
        <v>400</v>
      </c>
      <c r="K77" s="6">
        <v>2</v>
      </c>
      <c r="L77" s="6">
        <v>16</v>
      </c>
      <c r="W77" s="9">
        <v>10.059469443105201</v>
      </c>
      <c r="AB77" s="10">
        <v>2</v>
      </c>
      <c r="AC77" s="10">
        <v>16</v>
      </c>
      <c r="AN77" s="14">
        <v>8</v>
      </c>
      <c r="AO77" s="14" t="s">
        <v>280</v>
      </c>
      <c r="AP77" s="50"/>
      <c r="AQ77" s="51"/>
      <c r="AS77" s="14">
        <v>9600</v>
      </c>
      <c r="AU77" s="15" t="s">
        <v>283</v>
      </c>
      <c r="AW77" s="14">
        <v>1</v>
      </c>
      <c r="AX77" s="14" t="s">
        <v>221</v>
      </c>
    </row>
    <row r="78" spans="1:50">
      <c r="AX78" s="14"/>
    </row>
    <row r="79" spans="1:50">
      <c r="AX79" s="14"/>
    </row>
    <row r="80" spans="1:50">
      <c r="AX80" s="14"/>
    </row>
    <row r="81" spans="50:50">
      <c r="AX81" s="14"/>
    </row>
    <row r="82" spans="50:50">
      <c r="AX82" s="14"/>
    </row>
    <row r="83" spans="50:50">
      <c r="AX83" s="14"/>
    </row>
    <row r="84" spans="50:50">
      <c r="AX84" s="14"/>
    </row>
    <row r="85" spans="50:50">
      <c r="AX85" s="14"/>
    </row>
    <row r="86" spans="50:50">
      <c r="AX86" s="14"/>
    </row>
    <row r="87" spans="50:50">
      <c r="AX87" s="14"/>
    </row>
    <row r="88" spans="50:50">
      <c r="AX88" s="14"/>
    </row>
    <row r="89" spans="50:50">
      <c r="AX89" s="14"/>
    </row>
    <row r="90" spans="50:50">
      <c r="AX90" s="14"/>
    </row>
    <row r="91" spans="50:50">
      <c r="AX91" s="14"/>
    </row>
    <row r="92" spans="50:50">
      <c r="AX92" s="14"/>
    </row>
    <row r="93" spans="50:50">
      <c r="AX93" s="14"/>
    </row>
    <row r="94" spans="50:50">
      <c r="AX94" s="14"/>
    </row>
    <row r="95" spans="50:50">
      <c r="AX95" s="14"/>
    </row>
    <row r="96" spans="50:50">
      <c r="AX96" s="14"/>
    </row>
    <row r="97" spans="50:50">
      <c r="AX97" s="14"/>
    </row>
    <row r="98" spans="50:50">
      <c r="AX98" s="14"/>
    </row>
    <row r="99" spans="50:50">
      <c r="AX99" s="14"/>
    </row>
    <row r="100" spans="50:50">
      <c r="AX100" s="14"/>
    </row>
    <row r="101" spans="50:50">
      <c r="AX101" s="14"/>
    </row>
    <row r="102" spans="50:50">
      <c r="AX102" s="14"/>
    </row>
    <row r="103" spans="50:50">
      <c r="AX103" s="14"/>
    </row>
    <row r="104" spans="50:50">
      <c r="AX104" s="14"/>
    </row>
    <row r="105" spans="50:50">
      <c r="AX105" s="14"/>
    </row>
    <row r="106" spans="50:50">
      <c r="AX106" s="14"/>
    </row>
    <row r="107" spans="50:50">
      <c r="AX107" s="14"/>
    </row>
    <row r="108" spans="50:50">
      <c r="AX108" s="14"/>
    </row>
    <row r="109" spans="50:50">
      <c r="AX109" s="14"/>
    </row>
    <row r="110" spans="50:50">
      <c r="AX110" s="14"/>
    </row>
    <row r="111" spans="50:50">
      <c r="AX111" s="14"/>
    </row>
    <row r="112" spans="50:50">
      <c r="AX112" s="14"/>
    </row>
    <row r="113" spans="50:50">
      <c r="AX113" s="14"/>
    </row>
    <row r="114" spans="50:50">
      <c r="AX114" s="14"/>
    </row>
    <row r="115" spans="50:50">
      <c r="AX115" s="14"/>
    </row>
    <row r="116" spans="50:50">
      <c r="AX116" s="14"/>
    </row>
    <row r="117" spans="50:50">
      <c r="AX117" s="14"/>
    </row>
    <row r="118" spans="50:50">
      <c r="AX118" s="14"/>
    </row>
    <row r="119" spans="50:50">
      <c r="AX119" s="14"/>
    </row>
    <row r="120" spans="50:50">
      <c r="AX120" s="14"/>
    </row>
    <row r="121" spans="50:50">
      <c r="AX121" s="14"/>
    </row>
    <row r="122" spans="50:50">
      <c r="AX122" s="14"/>
    </row>
    <row r="123" spans="50:50">
      <c r="AX123" s="14"/>
    </row>
    <row r="124" spans="50:50">
      <c r="AX124" s="14"/>
    </row>
    <row r="125" spans="50:50">
      <c r="AX125" s="14"/>
    </row>
    <row r="126" spans="50:50">
      <c r="AX126" s="14"/>
    </row>
    <row r="127" spans="50:50">
      <c r="AX127" s="14"/>
    </row>
    <row r="128" spans="50:50">
      <c r="AX128" s="14"/>
    </row>
    <row r="129" spans="50:50">
      <c r="AX129" s="14"/>
    </row>
    <row r="130" spans="50:50">
      <c r="AX130" s="14"/>
    </row>
    <row r="131" spans="50:50">
      <c r="AX131" s="14"/>
    </row>
    <row r="132" spans="50:50">
      <c r="AX132" s="14"/>
    </row>
    <row r="133" spans="50:50">
      <c r="AX133" s="14"/>
    </row>
    <row r="134" spans="50:50">
      <c r="AX134" s="14"/>
    </row>
    <row r="135" spans="50:50">
      <c r="AX135" s="14"/>
    </row>
    <row r="136" spans="50:50">
      <c r="AX136" s="14"/>
    </row>
    <row r="137" spans="50:50">
      <c r="AX137" s="14"/>
    </row>
    <row r="138" spans="50:50">
      <c r="AX138" s="14"/>
    </row>
    <row r="139" spans="50:50">
      <c r="AX139" s="14"/>
    </row>
    <row r="140" spans="50:50">
      <c r="AX140" s="14"/>
    </row>
    <row r="141" spans="50:50">
      <c r="AX141" s="14"/>
    </row>
    <row r="142" spans="50:50">
      <c r="AX142" s="14"/>
    </row>
    <row r="143" spans="50:50">
      <c r="AX143" s="14"/>
    </row>
    <row r="144" spans="50:50">
      <c r="AX144" s="14"/>
    </row>
    <row r="145" spans="50:50">
      <c r="AX145" s="14"/>
    </row>
    <row r="146" spans="50:50">
      <c r="AX146" s="14"/>
    </row>
    <row r="147" spans="50:50">
      <c r="AX147" s="14"/>
    </row>
    <row r="148" spans="50:50">
      <c r="AX148" s="14"/>
    </row>
    <row r="149" spans="50:50">
      <c r="AX149" s="14"/>
    </row>
    <row r="150" spans="50:50">
      <c r="AX150" s="14"/>
    </row>
    <row r="151" spans="50:50">
      <c r="AX151" s="14"/>
    </row>
    <row r="152" spans="50:50">
      <c r="AX152" s="14"/>
    </row>
    <row r="153" spans="50:50">
      <c r="AX153" s="14"/>
    </row>
    <row r="154" spans="50:50">
      <c r="AX154" s="14"/>
    </row>
    <row r="155" spans="50:50">
      <c r="AX155" s="14"/>
    </row>
    <row r="156" spans="50:50">
      <c r="AX156" s="14"/>
    </row>
    <row r="157" spans="50:50">
      <c r="AX157" s="14"/>
    </row>
    <row r="158" spans="50:50">
      <c r="AX158" s="14"/>
    </row>
    <row r="159" spans="50:50">
      <c r="AX159" s="14"/>
    </row>
  </sheetData>
  <mergeCells count="23">
    <mergeCell ref="BE7:BF7"/>
    <mergeCell ref="BH7:BJ7"/>
    <mergeCell ref="D5:D6"/>
    <mergeCell ref="E5:E7"/>
    <mergeCell ref="AR5:AR7"/>
    <mergeCell ref="AS5:AS7"/>
    <mergeCell ref="AT5:AT7"/>
    <mergeCell ref="AU5:AU7"/>
    <mergeCell ref="AV5:AV7"/>
    <mergeCell ref="AW5:AW7"/>
    <mergeCell ref="AX5:AX7"/>
    <mergeCell ref="BE5:BK5"/>
    <mergeCell ref="K6:L6"/>
    <mergeCell ref="M6:R6"/>
    <mergeCell ref="AB6:AC6"/>
    <mergeCell ref="AD6:AI6"/>
    <mergeCell ref="BE6:BF6"/>
    <mergeCell ref="BH6:BJ6"/>
    <mergeCell ref="A5:C5"/>
    <mergeCell ref="K5:R5"/>
    <mergeCell ref="AB5:AI5"/>
    <mergeCell ref="AN5:AO5"/>
    <mergeCell ref="AP5:AQ5"/>
  </mergeCells>
  <dataValidations count="1">
    <dataValidation type="list" allowBlank="1" showInputMessage="1" showErrorMessage="1" sqref="AT8:AT77 AV8:AV202 AX8:AX159">
      <formula1>"Yes,No"</formula1>
    </dataValidation>
  </dataValidations>
  <pageMargins left="0.7" right="0.7" top="0.75" bottom="0.75" header="0.3" footer="0.3"/>
  <pageSetup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TongHopDL</vt:lpstr>
      <vt:lpstr>DaTaBoTru</vt:lpstr>
      <vt:lpstr>DATALT</vt:lpstr>
      <vt:lpstr>CauThang</vt:lpstr>
      <vt:lpstr>DATABEAM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C P</cp:lastModifiedBy>
  <dcterms:created xsi:type="dcterms:W3CDTF">2019-12-24T03:18:00Z</dcterms:created>
  <dcterms:modified xsi:type="dcterms:W3CDTF">2026-09-16T07:26:08Z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3BC52AE6AD044554A477FD37C67081D0_12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