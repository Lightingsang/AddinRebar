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-120" yWindow="-120" windowWidth="29040" windowHeight="15840" tabRatio="783" firstSheet="1" activeTab="7"/>
  </bookViews>
  <sheets>
    <sheet name="DATA" sheetId="3" state="veryHidden" r:id="rId1"/>
    <sheet name="STRENGTH CLASSES FOR CONCRETE" sheetId="7" r:id="rId2"/>
    <sheet name="POINT_WALL" sheetId="1" state="hidden" r:id="rId3"/>
    <sheet name="POINT_COLUMN" sheetId="5" state="hidden" r:id="rId4"/>
    <sheet name="POINT_SLAB" sheetId="8" state="hidden" r:id="rId5"/>
    <sheet name="POINT_BEAM" sheetId="6" state="hidden" r:id="rId6"/>
    <sheet name="TOA_DO" sheetId="2" state="hidden" r:id="rId7"/>
    <sheet name="MAIN" sheetId="4" r:id="rId8"/>
  </sheets>
  <functionGroups builtInGroupCount="18"/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____________PA3" hidden="1">{"'Sheet1'!$L$16"}</definedName>
    <definedName name="___________PA3" hidden="1">{"'Sheet1'!$L$16"}</definedName>
    <definedName name="_________a1" hidden="1">{"'Sheet1'!$L$16"}</definedName>
    <definedName name="_________PA3" hidden="1">{"'Sheet1'!$L$16"}</definedName>
    <definedName name="________CN1" hidden="1">{"'Sheet1'!$L$16"}</definedName>
    <definedName name="_______a1" hidden="1">{"'Sheet1'!$L$16"}</definedName>
    <definedName name="_______BG12" hidden="1">{"'Sheet1'!$L$16"}</definedName>
    <definedName name="_______PA3" hidden="1">{"'Sheet1'!$L$16"}</definedName>
    <definedName name="______a1" hidden="1">{"'Sheet1'!$L$16"}</definedName>
    <definedName name="______CN1" hidden="1">{"'Sheet1'!$L$16"}</definedName>
    <definedName name="______xlfn.BAHTTEXT" hidden="1">#NAME?</definedName>
    <definedName name="_____a1" hidden="1">{"'Sheet1'!$L$16"}</definedName>
    <definedName name="_____BG12" hidden="1">{"'Sheet1'!$L$16"}</definedName>
    <definedName name="_____CN1" hidden="1">{"'Sheet1'!$L$16"}</definedName>
    <definedName name="_____PA3" hidden="1">{"'Sheet1'!$L$16"}</definedName>
    <definedName name="_____xlfn.BAHTTEXT" hidden="1">#NAME?</definedName>
    <definedName name="____BG12" hidden="1">{"'Sheet1'!$L$16"}</definedName>
    <definedName name="____Goi8" hidden="1">{"'Sheet1'!$L$16"}</definedName>
    <definedName name="____xlfn.BAHTTEXT" hidden="1">#NAME?</definedName>
    <definedName name="___a1" hidden="1">{"'Sheet1'!$L$16"}</definedName>
    <definedName name="___CN1" hidden="1">{"'Sheet1'!$L$16"}</definedName>
    <definedName name="___PA3" hidden="1">{"'Sheet1'!$L$16"}</definedName>
    <definedName name="___xlfn.BAHTTEXT" hidden="1">#NAME?</definedName>
    <definedName name="__123Graph_A" localSheetId="4" hidden="1">[1]Earthwork!#REF!</definedName>
    <definedName name="__123Graph_A" hidden="1">[1]Earthwork!#REF!</definedName>
    <definedName name="__123Graph_A120.CGM" localSheetId="4" hidden="1">[1]Earthwork!#REF!</definedName>
    <definedName name="__123Graph_A120.CGM" hidden="1">[1]Earthwork!#REF!</definedName>
    <definedName name="__123Graph_A150.CGM" localSheetId="4" hidden="1">[1]Earthwork!#REF!</definedName>
    <definedName name="__123Graph_A150.CGM" hidden="1">[1]Earthwork!#REF!</definedName>
    <definedName name="__123Graph_A180.CGM" localSheetId="4" hidden="1">[1]Earthwork!#REF!</definedName>
    <definedName name="__123Graph_A180.CGM" hidden="1">[1]Earthwork!#REF!</definedName>
    <definedName name="__123Graph_A210.CGM" localSheetId="4" hidden="1">[1]Earthwork!#REF!</definedName>
    <definedName name="__123Graph_A210.CGM" hidden="1">[1]Earthwork!#REF!</definedName>
    <definedName name="__123Graph_A240.CGM" localSheetId="4" hidden="1">[1]Earthwork!#REF!</definedName>
    <definedName name="__123Graph_A240.CGM" hidden="1">[1]Earthwork!#REF!</definedName>
    <definedName name="__123Graph_A270.CGM" localSheetId="4" hidden="1">[1]Earthwork!#REF!</definedName>
    <definedName name="__123Graph_A270.CGM" hidden="1">[1]Earthwork!#REF!</definedName>
    <definedName name="__123Graph_A300.CGM" localSheetId="4" hidden="1">[1]Earthwork!#REF!</definedName>
    <definedName name="__123Graph_A300.CGM" hidden="1">[1]Earthwork!#REF!</definedName>
    <definedName name="__123Graph_A60.CGN" localSheetId="4" hidden="1">[1]Earthwork!#REF!</definedName>
    <definedName name="__123Graph_A60.CGN" hidden="1">[1]Earthwork!#REF!</definedName>
    <definedName name="__123Graph_A90.CGM" localSheetId="4" hidden="1">[1]Earthwork!#REF!</definedName>
    <definedName name="__123Graph_A90.CGM" hidden="1">[1]Earthwork!#REF!</definedName>
    <definedName name="__123Graph_B" localSheetId="4" hidden="1">[1]Earthwork!#REF!</definedName>
    <definedName name="__123Graph_B" hidden="1">[1]Earthwork!#REF!</definedName>
    <definedName name="__123Graph_B120.CGM" localSheetId="4" hidden="1">[1]Earthwork!#REF!</definedName>
    <definedName name="__123Graph_B120.CGM" hidden="1">[1]Earthwork!#REF!</definedName>
    <definedName name="__123Graph_B150.CGM" localSheetId="4" hidden="1">[1]Earthwork!#REF!</definedName>
    <definedName name="__123Graph_B150.CGM" hidden="1">[1]Earthwork!#REF!</definedName>
    <definedName name="__123Graph_B180.CGM" localSheetId="4" hidden="1">[1]Earthwork!#REF!</definedName>
    <definedName name="__123Graph_B180.CGM" hidden="1">[1]Earthwork!#REF!</definedName>
    <definedName name="__123Graph_B210.CGM" localSheetId="4" hidden="1">[1]Earthwork!#REF!</definedName>
    <definedName name="__123Graph_B210.CGM" hidden="1">[1]Earthwork!#REF!</definedName>
    <definedName name="__123Graph_B240.CGM" localSheetId="4" hidden="1">[1]Earthwork!#REF!</definedName>
    <definedName name="__123Graph_B240.CGM" hidden="1">[1]Earthwork!#REF!</definedName>
    <definedName name="__123Graph_B270.CGM" localSheetId="4" hidden="1">[1]Earthwork!#REF!</definedName>
    <definedName name="__123Graph_B270.CGM" hidden="1">[1]Earthwork!#REF!</definedName>
    <definedName name="__123Graph_B300.CGM" localSheetId="4" hidden="1">[1]Earthwork!#REF!</definedName>
    <definedName name="__123Graph_B300.CGM" hidden="1">[1]Earthwork!#REF!</definedName>
    <definedName name="__123Graph_B60.CGN" localSheetId="4" hidden="1">[1]Earthwork!#REF!</definedName>
    <definedName name="__123Graph_B60.CGN" hidden="1">[1]Earthwork!#REF!</definedName>
    <definedName name="__123Graph_B90.CGM" localSheetId="4" hidden="1">[1]Earthwork!#REF!</definedName>
    <definedName name="__123Graph_B90.CGM" hidden="1">[1]Earthwork!#REF!</definedName>
    <definedName name="__123Graph_D" localSheetId="4" hidden="1">'[2]RAB AR&amp;STR'!#REF!</definedName>
    <definedName name="__123Graph_D" hidden="1">'[2]RAB AR&amp;STR'!#REF!</definedName>
    <definedName name="__123Graph_LBL_A" localSheetId="4" hidden="1">[1]Earthwork!#REF!</definedName>
    <definedName name="__123Graph_LBL_A" hidden="1">[1]Earthwork!#REF!</definedName>
    <definedName name="__123Graph_LBL_A120.CGM" localSheetId="4" hidden="1">[1]Earthwork!#REF!</definedName>
    <definedName name="__123Graph_LBL_A120.CGM" hidden="1">[1]Earthwork!#REF!</definedName>
    <definedName name="__123Graph_LBL_A150.CGM" localSheetId="4" hidden="1">[1]Earthwork!#REF!</definedName>
    <definedName name="__123Graph_LBL_A150.CGM" hidden="1">[1]Earthwork!#REF!</definedName>
    <definedName name="__123Graph_LBL_A180.CGM" localSheetId="4" hidden="1">[1]Earthwork!#REF!</definedName>
    <definedName name="__123Graph_LBL_A180.CGM" hidden="1">[1]Earthwork!#REF!</definedName>
    <definedName name="__123Graph_LBL_A210.CGM" localSheetId="4" hidden="1">[1]Earthwork!#REF!</definedName>
    <definedName name="__123Graph_LBL_A210.CGM" hidden="1">[1]Earthwork!#REF!</definedName>
    <definedName name="__123Graph_LBL_A240.CGM" localSheetId="4" hidden="1">[1]Earthwork!#REF!</definedName>
    <definedName name="__123Graph_LBL_A240.CGM" hidden="1">[1]Earthwork!#REF!</definedName>
    <definedName name="__123Graph_LBL_A270.CGM" localSheetId="4" hidden="1">[1]Earthwork!#REF!</definedName>
    <definedName name="__123Graph_LBL_A270.CGM" hidden="1">[1]Earthwork!#REF!</definedName>
    <definedName name="__123Graph_LBL_A300.CGM" localSheetId="4" hidden="1">[1]Earthwork!#REF!</definedName>
    <definedName name="__123Graph_LBL_A300.CGM" hidden="1">[1]Earthwork!#REF!</definedName>
    <definedName name="__123Graph_LBL_A60.CGN" localSheetId="4" hidden="1">[1]Earthwork!#REF!</definedName>
    <definedName name="__123Graph_LBL_A60.CGN" hidden="1">[1]Earthwork!#REF!</definedName>
    <definedName name="__123Graph_LBL_A90.CGM" localSheetId="4" hidden="1">[1]Earthwork!#REF!</definedName>
    <definedName name="__123Graph_LBL_A90.CGM" hidden="1">[1]Earthwork!#REF!</definedName>
    <definedName name="__123Graph_X" localSheetId="4" hidden="1">[1]Earthwork!#REF!</definedName>
    <definedName name="__123Graph_X" hidden="1">[1]Earthwork!#REF!</definedName>
    <definedName name="__123Graph_X120.CGM" localSheetId="4" hidden="1">[1]Earthwork!#REF!</definedName>
    <definedName name="__123Graph_X120.CGM" hidden="1">[1]Earthwork!#REF!</definedName>
    <definedName name="__123Graph_X150.CGM" localSheetId="4" hidden="1">[1]Earthwork!#REF!</definedName>
    <definedName name="__123Graph_X150.CGM" hidden="1">[1]Earthwork!#REF!</definedName>
    <definedName name="__123Graph_X180.CGM" localSheetId="4" hidden="1">[1]Earthwork!#REF!</definedName>
    <definedName name="__123Graph_X180.CGM" hidden="1">[1]Earthwork!#REF!</definedName>
    <definedName name="__123Graph_X210.CGM" localSheetId="4" hidden="1">[1]Earthwork!#REF!</definedName>
    <definedName name="__123Graph_X210.CGM" hidden="1">[1]Earthwork!#REF!</definedName>
    <definedName name="__123Graph_X240.CGM" localSheetId="4" hidden="1">[1]Earthwork!#REF!</definedName>
    <definedName name="__123Graph_X240.CGM" hidden="1">[1]Earthwork!#REF!</definedName>
    <definedName name="__123Graph_X270.CGM" localSheetId="4" hidden="1">[1]Earthwork!#REF!</definedName>
    <definedName name="__123Graph_X270.CGM" hidden="1">[1]Earthwork!#REF!</definedName>
    <definedName name="__123Graph_X300.CGM" localSheetId="4" hidden="1">[1]Earthwork!#REF!</definedName>
    <definedName name="__123Graph_X300.CGM" hidden="1">[1]Earthwork!#REF!</definedName>
    <definedName name="__123Graph_X60.CGN" localSheetId="4" hidden="1">[1]Earthwork!#REF!</definedName>
    <definedName name="__123Graph_X60.CGN" hidden="1">[1]Earthwork!#REF!</definedName>
    <definedName name="__123Graph_X90.CGM" localSheetId="4" hidden="1">[1]Earthwork!#REF!</definedName>
    <definedName name="__123Graph_X90.CGM" hidden="1">[1]Earthwork!#REF!</definedName>
    <definedName name="__BG12" hidden="1">{"'Sheet1'!$L$16"}</definedName>
    <definedName name="__CN1" hidden="1">{"'Sheet1'!$L$16"}</definedName>
    <definedName name="__Goi8" hidden="1">{"'Sheet1'!$L$16"}</definedName>
    <definedName name="__PA3" hidden="1">{"'Sheet1'!$L$16"}</definedName>
    <definedName name="__xlfn.BAHTTEXT" hidden="1">#NAME?</definedName>
    <definedName name="_100__123Graph_Xｸﾞﾗﾌ_3" localSheetId="4" hidden="1">#REF!</definedName>
    <definedName name="_100__123Graph_Xｸﾞﾗﾌ_3" hidden="1">#REF!</definedName>
    <definedName name="_103__123Graph_X????_4" localSheetId="4" hidden="1">#REF!</definedName>
    <definedName name="_103__123Graph_X????_4" hidden="1">#REF!</definedName>
    <definedName name="_103__123Graph_Xｸﾞﾗﾌ_5" localSheetId="4" hidden="1">#REF!</definedName>
    <definedName name="_103__123Graph_Xｸﾞﾗﾌ_5" hidden="1">#REF!</definedName>
    <definedName name="_106__123Graph_Xｸﾞﾗﾌ_4" localSheetId="4" hidden="1">#REF!</definedName>
    <definedName name="_106__123Graph_Xｸﾞﾗﾌ_4" hidden="1">#REF!</definedName>
    <definedName name="_108__123Graph_X????_5" localSheetId="4" hidden="1">#REF!</definedName>
    <definedName name="_108__123Graph_X????_5" hidden="1">#REF!</definedName>
    <definedName name="_112__123Graph_Xｸﾞﾗﾌ_5" localSheetId="4" hidden="1">#REF!</definedName>
    <definedName name="_112__123Graph_Xｸﾞﾗﾌ_5" hidden="1">#REF!</definedName>
    <definedName name="_116__123Graph_Xｸﾞﾗﾌ_1" localSheetId="4" hidden="1">#REF!</definedName>
    <definedName name="_116__123Graph_Xｸﾞﾗﾌ_1" hidden="1">#REF!</definedName>
    <definedName name="_12__123Graph_A????_2" localSheetId="4" hidden="1">#REF!</definedName>
    <definedName name="_12__123Graph_A????_2" hidden="1">#REF!</definedName>
    <definedName name="_124__123Graph_Xｸﾞﾗﾌ_2" localSheetId="4" hidden="1">#REF!</definedName>
    <definedName name="_124__123Graph_Xｸﾞﾗﾌ_2" hidden="1">#REF!</definedName>
    <definedName name="_132__123Graph_Xｸﾞﾗﾌ_3" localSheetId="4" hidden="1">#REF!</definedName>
    <definedName name="_132__123Graph_Xｸﾞﾗﾌ_3" hidden="1">#REF!</definedName>
    <definedName name="_140__123Graph_Xｸﾞﾗﾌ_4" localSheetId="4" hidden="1">#REF!</definedName>
    <definedName name="_140__123Graph_Xｸﾞﾗﾌ_4" hidden="1">#REF!</definedName>
    <definedName name="_148__123Graph_Xｸﾞﾗﾌ_5" localSheetId="4" hidden="1">#REF!</definedName>
    <definedName name="_148__123Graph_Xｸﾞﾗﾌ_5" hidden="1">#REF!</definedName>
    <definedName name="_17__123Graph_A????_1" localSheetId="4" hidden="1">#REF!</definedName>
    <definedName name="_17__123Graph_A????_1" hidden="1">#REF!</definedName>
    <definedName name="_17__123Graph_A????_3" localSheetId="4" hidden="1">#REF!</definedName>
    <definedName name="_17__123Graph_A????_3" hidden="1">#REF!</definedName>
    <definedName name="_21__123Graph_A????_2" localSheetId="4" hidden="1">#REF!</definedName>
    <definedName name="_21__123Graph_A????_2" hidden="1">#REF!</definedName>
    <definedName name="_22__123Graph_A????_4" localSheetId="4" hidden="1">#REF!</definedName>
    <definedName name="_22__123Graph_A????_4" hidden="1">#REF!</definedName>
    <definedName name="_23__123Graph_A????_1" localSheetId="4" hidden="1">#REF!</definedName>
    <definedName name="_23__123Graph_A????_1" hidden="1">#REF!</definedName>
    <definedName name="_25__123Graph_A????_3" localSheetId="4" hidden="1">#REF!</definedName>
    <definedName name="_25__123Graph_A????_3" hidden="1">#REF!</definedName>
    <definedName name="_27__123Graph_A????_5" localSheetId="4" hidden="1">#REF!</definedName>
    <definedName name="_27__123Graph_A????_5" hidden="1">#REF!</definedName>
    <definedName name="_28__123Graph_A????_2" localSheetId="4" hidden="1">#REF!</definedName>
    <definedName name="_28__123Graph_A????_2" hidden="1">#REF!</definedName>
    <definedName name="_29__123Graph_A????_4" localSheetId="4" hidden="1">#REF!</definedName>
    <definedName name="_29__123Graph_A????_4" hidden="1">#REF!</definedName>
    <definedName name="_33__123Graph_A????_3" localSheetId="4" hidden="1">#REF!</definedName>
    <definedName name="_33__123Graph_A????_3" hidden="1">#REF!</definedName>
    <definedName name="_33__123Graph_A????_5" localSheetId="4" hidden="1">#REF!</definedName>
    <definedName name="_33__123Graph_A????_5" hidden="1">#REF!</definedName>
    <definedName name="_33__123Graph_Aｸﾞﾗﾌ_1" localSheetId="4" hidden="1">#REF!</definedName>
    <definedName name="_33__123Graph_Aｸﾞﾗﾌ_1" hidden="1">#REF!</definedName>
    <definedName name="_38__123Graph_A????_4" localSheetId="4" hidden="1">#REF!</definedName>
    <definedName name="_38__123Graph_A????_4" hidden="1">#REF!</definedName>
    <definedName name="_38__123Graph_Aｸﾞﾗﾌ_1" localSheetId="4" hidden="1">#REF!</definedName>
    <definedName name="_38__123Graph_Aｸﾞﾗﾌ_1" hidden="1">#REF!</definedName>
    <definedName name="_39__123Graph_Aｸﾞﾗﾌ_2" localSheetId="4" hidden="1">#REF!</definedName>
    <definedName name="_39__123Graph_Aｸﾞﾗﾌ_2" hidden="1">#REF!</definedName>
    <definedName name="_43__123Graph_A????_5" localSheetId="4" hidden="1">#REF!</definedName>
    <definedName name="_43__123Graph_A????_5" hidden="1">#REF!</definedName>
    <definedName name="_43__123Graph_Aｸﾞﾗﾌ_2" localSheetId="4" hidden="1">#REF!</definedName>
    <definedName name="_43__123Graph_Aｸﾞﾗﾌ_2" hidden="1">#REF!</definedName>
    <definedName name="_45__123Graph_Aｸﾞﾗﾌ_3" localSheetId="4" hidden="1">#REF!</definedName>
    <definedName name="_45__123Graph_Aｸﾞﾗﾌ_3" hidden="1">#REF!</definedName>
    <definedName name="_48__123Graph_Aｸﾞﾗﾌ_3" localSheetId="4" hidden="1">#REF!</definedName>
    <definedName name="_48__123Graph_Aｸﾞﾗﾌ_3" hidden="1">#REF!</definedName>
    <definedName name="_51__123Graph_Aｸﾞﾗﾌ_1" localSheetId="4" hidden="1">#REF!</definedName>
    <definedName name="_51__123Graph_Aｸﾞﾗﾌ_1" hidden="1">#REF!</definedName>
    <definedName name="_51__123Graph_Aｸﾞﾗﾌ_4" localSheetId="4" hidden="1">#REF!</definedName>
    <definedName name="_51__123Graph_Aｸﾞﾗﾌ_4" hidden="1">#REF!</definedName>
    <definedName name="_53__123Graph_Aｸﾞﾗﾌ_4" localSheetId="4" hidden="1">#REF!</definedName>
    <definedName name="_53__123Graph_Aｸﾞﾗﾌ_4" hidden="1">#REF!</definedName>
    <definedName name="_57__123Graph_Aｸﾞﾗﾌ_5" localSheetId="4" hidden="1">#REF!</definedName>
    <definedName name="_57__123Graph_Aｸﾞﾗﾌ_5" hidden="1">#REF!</definedName>
    <definedName name="_58__123Graph_Aｸﾞﾗﾌ_5" localSheetId="4" hidden="1">#REF!</definedName>
    <definedName name="_58__123Graph_Aｸﾞﾗﾌ_5" hidden="1">#REF!</definedName>
    <definedName name="_59__123Graph_Aｸﾞﾗﾌ_2" localSheetId="4" hidden="1">#REF!</definedName>
    <definedName name="_59__123Graph_Aｸﾞﾗﾌ_2" hidden="1">#REF!</definedName>
    <definedName name="_62__123Graph_X????_1" localSheetId="4" hidden="1">#REF!</definedName>
    <definedName name="_62__123Graph_X????_1" hidden="1">#REF!</definedName>
    <definedName name="_66__123Graph_X????_2" localSheetId="4" hidden="1">#REF!</definedName>
    <definedName name="_66__123Graph_X????_2" hidden="1">#REF!</definedName>
    <definedName name="_67__123Graph_Aｸﾞﾗﾌ_3" localSheetId="4" hidden="1">#REF!</definedName>
    <definedName name="_67__123Graph_Aｸﾞﾗﾌ_3" hidden="1">#REF!</definedName>
    <definedName name="_67__123Graph_X????_2" localSheetId="4" hidden="1">#REF!</definedName>
    <definedName name="_67__123Graph_X????_2" hidden="1">#REF!</definedName>
    <definedName name="_7__123Graph_A????_1" localSheetId="4" hidden="1">#REF!</definedName>
    <definedName name="_7__123Graph_A????_1" hidden="1">#REF!</definedName>
    <definedName name="_70__123Graph_X????_3" localSheetId="4" hidden="1">#REF!</definedName>
    <definedName name="_70__123Graph_X????_3" hidden="1">#REF!</definedName>
    <definedName name="_72__123Graph_X????_3" localSheetId="4" hidden="1">#REF!</definedName>
    <definedName name="_72__123Graph_X????_3" hidden="1">#REF!</definedName>
    <definedName name="_74__123Graph_X????_4" localSheetId="4" hidden="1">#REF!</definedName>
    <definedName name="_74__123Graph_X????_4" hidden="1">#REF!</definedName>
    <definedName name="_75__123Graph_Aｸﾞﾗﾌ_4" localSheetId="4" hidden="1">#REF!</definedName>
    <definedName name="_75__123Graph_Aｸﾞﾗﾌ_4" hidden="1">#REF!</definedName>
    <definedName name="_77__123Graph_X????_4" localSheetId="4" hidden="1">#REF!</definedName>
    <definedName name="_77__123Graph_X????_4" hidden="1">#REF!</definedName>
    <definedName name="_78__123Graph_X????_5" localSheetId="4" hidden="1">#REF!</definedName>
    <definedName name="_78__123Graph_X????_5" hidden="1">#REF!</definedName>
    <definedName name="_82__123Graph_X????_5" localSheetId="4" hidden="1">#REF!</definedName>
    <definedName name="_82__123Graph_X????_5" hidden="1">#REF!</definedName>
    <definedName name="_83__123Graph_Aｸﾞﾗﾌ_5" localSheetId="4" hidden="1">#REF!</definedName>
    <definedName name="_83__123Graph_Aｸﾞﾗﾌ_5" hidden="1">#REF!</definedName>
    <definedName name="_83__123Graph_Xｸﾞﾗﾌ_1" localSheetId="4" hidden="1">#REF!</definedName>
    <definedName name="_83__123Graph_Xｸﾞﾗﾌ_1" hidden="1">#REF!</definedName>
    <definedName name="_88__123Graph_X????_1" localSheetId="4" hidden="1">#REF!</definedName>
    <definedName name="_88__123Graph_X????_1" hidden="1">#REF!</definedName>
    <definedName name="_88__123Graph_Xｸﾞﾗﾌ_1" localSheetId="4" hidden="1">#REF!</definedName>
    <definedName name="_88__123Graph_Xｸﾞﾗﾌ_1" hidden="1">#REF!</definedName>
    <definedName name="_88__123Graph_Xｸﾞﾗﾌ_2" localSheetId="4" hidden="1">#REF!</definedName>
    <definedName name="_88__123Graph_Xｸﾞﾗﾌ_2" hidden="1">#REF!</definedName>
    <definedName name="_93__123Graph_X????_2" localSheetId="4" hidden="1">#REF!</definedName>
    <definedName name="_93__123Graph_X????_2" hidden="1">#REF!</definedName>
    <definedName name="_93__123Graph_Xｸﾞﾗﾌ_3" localSheetId="4" hidden="1">#REF!</definedName>
    <definedName name="_93__123Graph_Xｸﾞﾗﾌ_3" hidden="1">#REF!</definedName>
    <definedName name="_94__123Graph_Xｸﾞﾗﾌ_2" localSheetId="4" hidden="1">#REF!</definedName>
    <definedName name="_94__123Graph_Xｸﾞﾗﾌ_2" hidden="1">#REF!</definedName>
    <definedName name="_98__123Graph_X????_3" localSheetId="4" hidden="1">#REF!</definedName>
    <definedName name="_98__123Graph_X????_3" hidden="1">#REF!</definedName>
    <definedName name="_98__123Graph_Xｸﾞﾗﾌ_4" localSheetId="4" hidden="1">#REF!</definedName>
    <definedName name="_98__123Graph_Xｸﾞﾗﾌ_4" hidden="1">#REF!</definedName>
    <definedName name="_a1" hidden="1">{"'Sheet1'!$L$16"}</definedName>
    <definedName name="_Builtin155" hidden="1">#N/A</definedName>
    <definedName name="_Fill" localSheetId="4" hidden="1">#REF!</definedName>
    <definedName name="_Fill" hidden="1">#REF!</definedName>
    <definedName name="_Fill1" localSheetId="4" hidden="1">#REF!</definedName>
    <definedName name="_Fill1" hidden="1">#REF!</definedName>
    <definedName name="_xlnm._FilterDatabase" localSheetId="4" hidden="1">#REF!</definedName>
    <definedName name="_xlnm._FilterDatabase" localSheetId="6" hidden="1">TOA_DO!$AA$2:$AB$227</definedName>
    <definedName name="_xlnm._FilterDatabase" hidden="1">#REF!</definedName>
    <definedName name="_Key1" localSheetId="4" hidden="1">#REF!</definedName>
    <definedName name="_Key1" hidden="1">#REF!</definedName>
    <definedName name="_Key2" localSheetId="4" hidden="1">#REF!</definedName>
    <definedName name="_Key2" hidden="1">#REF!</definedName>
    <definedName name="_Order1" hidden="1">255</definedName>
    <definedName name="_Order2" hidden="1">255</definedName>
    <definedName name="_PA3" hidden="1">{"'Sheet1'!$L$16"}</definedName>
    <definedName name="_Sort" localSheetId="4" hidden="1">#REF!</definedName>
    <definedName name="_Sort" hidden="1">#REF!</definedName>
    <definedName name="_Table1_In1" localSheetId="4" hidden="1">#REF!</definedName>
    <definedName name="_Table1_In1" hidden="1">#REF!</definedName>
    <definedName name="_Table1_Out" localSheetId="4" hidden="1">#REF!</definedName>
    <definedName name="_Table1_Out" hidden="1">#REF!</definedName>
    <definedName name="_Table2_In1" localSheetId="4" hidden="1">#REF!</definedName>
    <definedName name="_Table2_In1" hidden="1">#REF!</definedName>
    <definedName name="_Table2_Out" localSheetId="4" hidden="1">#REF!</definedName>
    <definedName name="_Table2_Out" hidden="1">#REF!</definedName>
    <definedName name="AccessDatabase" hidden="1">"C:\My Documents\tippaporn\MAT PRICE.mdb"</definedName>
    <definedName name="AD" localSheetId="4" hidden="1">#REF!</definedName>
    <definedName name="AD" hidden="1">#REF!</definedName>
    <definedName name="adaiSlab">[3]DATA!$J$37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nscount" hidden="1">1</definedName>
    <definedName name="AS" localSheetId="4" hidden="1">#REF!</definedName>
    <definedName name="AS" hidden="1">#REF!</definedName>
    <definedName name="assss" localSheetId="4" hidden="1">[1]Earthwork!#REF!</definedName>
    <definedName name="assss" hidden="1">[1]Earthwork!#REF!</definedName>
    <definedName name="ATGT" hidden="1">{"'Sheet1'!$L$16"}</definedName>
    <definedName name="b">[4]Cot!$AK$2</definedName>
    <definedName name="BANCHOR">[5]DATA!$I$25:$J$38</definedName>
    <definedName name="BARTIE">[5]DATA!$A$45:$A$57</definedName>
    <definedName name="BartypeSlab">[3]DATA!$B$36:$B$50</definedName>
    <definedName name="BBB" hidden="1">{"'Sheet1'!$L$16"}</definedName>
    <definedName name="BETONG">[5]DATA!$C$45:$C$49</definedName>
    <definedName name="bg" hidden="1">{"'Sheet1'!$L$16"}</definedName>
    <definedName name="BIGC" hidden="1">{#N/A,#N/A,TRUE,"Str.";#N/A,#N/A,TRUE,"Steel &amp; Roof";#N/A,#N/A,TRUE,"Arc.";#N/A,#N/A,TRUE,"Preliminary";#N/A,#N/A,TRUE,"Sum_Prelim"}</definedName>
    <definedName name="bt_san">[5]DATA!$E$80</definedName>
    <definedName name="BTL">[5]DATA!$E$63</definedName>
    <definedName name="CĐTN">[5]DATA!$E$61</definedName>
    <definedName name="COPPHA">[5]DATA!$E$45:$E$57</definedName>
    <definedName name="COTTHEP">[5]DATA!$G$45:$G$57</definedName>
    <definedName name="cp_day">[5]DATA!$E$79</definedName>
    <definedName name="CPQL">'[6]3. KC - PODIUM'!$I$530</definedName>
    <definedName name="CTCT1" hidden="1">{"'Sheet1'!$L$16"}</definedName>
    <definedName name="d">[4]Cot!$AK$21</definedName>
    <definedName name="dc" hidden="1">{"'Sheet1'!$L$16"}</definedName>
    <definedName name="ddc">[5]DATA!$D$8</definedName>
    <definedName name="ddd" hidden="1">{"'Sheet1'!$L$16"}</definedName>
    <definedName name="dddd" hidden="1">{"'Sheet1'!$L$16"}</definedName>
    <definedName name="DGG" localSheetId="4">#REF!</definedName>
    <definedName name="DGG">#REF!</definedName>
    <definedName name="DiaSlab">[3]DATA!$C$36:$C$50</definedName>
    <definedName name="DN1_CT5" hidden="1">{"'Sheet1'!$L$16"}</definedName>
    <definedName name="duc" hidden="1">{"'Sheet1'!$L$16"}</definedName>
    <definedName name="ff" localSheetId="4" hidden="1">#REF!</definedName>
    <definedName name="ff" hidden="1">#REF!</definedName>
    <definedName name="fgff" hidden="1">{#N/A,#N/A,TRUE,"SUM";#N/A,#N/A,TRUE,"EE";#N/A,#N/A,TRUE,"AC";#N/A,#N/A,TRUE,"SN"}</definedName>
    <definedName name="FILLL" localSheetId="4" hidden="1">#REF!</definedName>
    <definedName name="FILLL" hidden="1">#REF!</definedName>
    <definedName name="fo">[5]DATA!$B$15</definedName>
    <definedName name="gcb">[5]DATA!$E$84</definedName>
    <definedName name="gcdai">[5]DATA!$E$82</definedName>
    <definedName name="gcg">[5]DATA!$E$83</definedName>
    <definedName name="GH" localSheetId="4" hidden="1">#REF!</definedName>
    <definedName name="GH" hidden="1">#REF!</definedName>
    <definedName name="h">[4]Cot!$AK$6</definedName>
    <definedName name="hanh" hidden="1">{"'Sheet1'!$L$16"}</definedName>
    <definedName name="hb" hidden="1">{"'Sheet1'!$L$16"}</definedName>
    <definedName name="hfgsdf" hidden="1">{"'Sheet1'!$L$16"}</definedName>
    <definedName name="hhb" hidden="1">{"'Sheet1'!$L$16"}</definedName>
    <definedName name="HS_NTP" localSheetId="4">#REF!</definedName>
    <definedName name="HS_NTP">#REF!</definedName>
    <definedName name="hskl" localSheetId="4">#REF!</definedName>
    <definedName name="hskl">#REF!</definedName>
    <definedName name="HTML_CodePage" hidden="1">950</definedName>
    <definedName name="HTML_Control" hidden="1">{"'Sheet1'!$L$16"}</definedName>
    <definedName name="HTML_Control1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HUYØ" hidden="1">{"'Sheet1'!$L$16"}</definedName>
    <definedName name="K_Taluy">[5]DATA!$E$68</definedName>
    <definedName name="KC_BTL">[5]DATA!$E$65</definedName>
    <definedName name="KC_Dao_DK">[5]DATA!$E$67</definedName>
    <definedName name="KC_Dao_M">[5]DATA!$E$66</definedName>
    <definedName name="kcbtr">[3]DATA!$N$85</definedName>
    <definedName name="kcgt">[3]DATA!$N$86</definedName>
    <definedName name="KNDAT_CHUA_SU_DUNG" localSheetId="4" hidden="1">#REF!</definedName>
    <definedName name="KNDAT_CHUA_SU_DUNG" hidden="1">#REF!</definedName>
    <definedName name="kyhieu">[5]DATA!$D$9</definedName>
    <definedName name="L1LBeam">[5]DATA!$E$81</definedName>
    <definedName name="L1Lco">[5]DATA!$E$89</definedName>
    <definedName name="LAP.A">[5]DATA!$C$25:$D$38</definedName>
    <definedName name="lap11m7">[5]DATA!$F$40</definedName>
    <definedName name="lapsan">[3]DATA!$J$41</definedName>
    <definedName name="loailk">[3]DATA!$M$36:$N$50</definedName>
    <definedName name="luan" hidden="1">{"'Sheet1'!$L$16"}</definedName>
    <definedName name="M10." hidden="1">{"'Sheet1'!$L$16"}</definedName>
    <definedName name="MASS">[3]DATA!$B$16:$C$29</definedName>
    <definedName name="MAU" hidden="1">{"'Sheet1'!$L$16"}</definedName>
    <definedName name="n" localSheetId="4" hidden="1">#REF!</definedName>
    <definedName name="n" hidden="1">#REF!</definedName>
    <definedName name="NC" localSheetId="4">#REF!</definedName>
    <definedName name="NC">#REF!</definedName>
    <definedName name="NC_NK" localSheetId="4">#REF!</definedName>
    <definedName name="NC_NK">#REF!</definedName>
    <definedName name="NEW" hidden="1">{#N/A,#N/A,FALSE,"Chi tiÆt"}</definedName>
    <definedName name="NEWNAME" hidden="1">{#N/A,#N/A,FALSE,"CCTV"}</definedName>
    <definedName name="noichong">[3]DATA!$E$14</definedName>
    <definedName name="ng">[5]DATA!$B$16</definedName>
    <definedName name="nharac" hidden="1">{#N/A,#N/A,FALSE,"Chi tiÆt"}</definedName>
    <definedName name="oa" localSheetId="4" hidden="1">#REF!</definedName>
    <definedName name="oa" hidden="1">#REF!</definedName>
    <definedName name="PAIII_" hidden="1">{"'Sheet1'!$L$16"}</definedName>
    <definedName name="Pipe" hidden="1">{#N/A,#N/A,FALSE,"CCTV"}</definedName>
    <definedName name="PMS" hidden="1">{"'Sheet1'!$L$16"}</definedName>
    <definedName name="pp" hidden="1">{#N/A,#N/A,FALSE,"OUTPUT SHEET "}</definedName>
    <definedName name="PPPP" hidden="1">{"'Sheet1'!$L$16"}</definedName>
    <definedName name="qd10_gt" hidden="1">{"'Sheet1'!$L$16"}</definedName>
    <definedName name="qwwqe" hidden="1">{"'Sheet1'!$L$16"}</definedName>
    <definedName name="RHODIA" hidden="1">{"'DocTypeCode'!$A$142:$A$226"}</definedName>
    <definedName name="rrr" hidden="1">{"'Sheet1'!$L$16"}</definedName>
    <definedName name="rtyrtyt" localSheetId="4" hidden="1">#REF!</definedName>
    <definedName name="rtyrtyt" hidden="1">#REF!</definedName>
    <definedName name="rtytry" localSheetId="4" hidden="1">#REF!</definedName>
    <definedName name="rtytry" hidden="1">#REF!</definedName>
    <definedName name="sagawa" localSheetId="4" hidden="1">#REF!</definedName>
    <definedName name="sagawa" hidden="1">#REF!</definedName>
    <definedName name="SD" hidden="1">{"'ELEC'!$A$2:$H$216","'ELEC'!$C$2:$D$2"}</definedName>
    <definedName name="sdd" hidden="1">{"'Sheet1'!$L$16"}</definedName>
    <definedName name="sdf" hidden="1">{"'Sheet1'!$L$16"}</definedName>
    <definedName name="sdfda" hidden="1">{"'Sheet1'!$L$16"}</definedName>
    <definedName name="SGG" hidden="1">{"'Sheet1'!$L$16"}</definedName>
    <definedName name="sl">[3]DATA!$C$8</definedName>
    <definedName name="Slabplus1">[3]DATA!$J$36</definedName>
    <definedName name="SpacingSlab">[3]DATA!$D$36:$D$50</definedName>
    <definedName name="ss" localSheetId="4" hidden="1">[1]Earthwork!#REF!</definedName>
    <definedName name="ss" hidden="1">[1]Earthwork!#REF!</definedName>
    <definedName name="sssdsdsd" localSheetId="4" hidden="1">[1]Earthwork!#REF!</definedName>
    <definedName name="sssdsdsd" hidden="1">[1]Earthwork!#REF!</definedName>
    <definedName name="ssss" localSheetId="4" hidden="1">[1]Earthwork!#REF!</definedName>
    <definedName name="ssss" hidden="1">[1]Earthwork!#REF!</definedName>
    <definedName name="TLR">[5]DATA!$D$7</definedName>
    <definedName name="tttt" hidden="1">{"'Sheet1'!$L$16"}</definedName>
    <definedName name="TUANKHANHTUYET45" hidden="1">{0}</definedName>
    <definedName name="THDT" hidden="1">{"'Sheet1'!$L$16"}</definedName>
    <definedName name="thuy" hidden="1">{"'Sheet1'!$L$16"}</definedName>
    <definedName name="V8.Refresh" hidden="1">{"NGUYEN QUI THIEP - Personal View",#N/A,FALSE,"XDCB.HT.FUR."}</definedName>
    <definedName name="Viet" hidden="1">{"'Sheet1'!$L$16"}</definedName>
    <definedName name="VT" localSheetId="4">#REF!</definedName>
    <definedName name="VT">#REF!</definedName>
    <definedName name="VT_NK" localSheetId="4">#REF!</definedName>
    <definedName name="VT_NK">#REF!</definedName>
    <definedName name="wis" localSheetId="4" hidden="1">#REF!</definedName>
    <definedName name="wis" hidden="1">#REF!</definedName>
    <definedName name="WRITE" hidden="1">{#N/A,#N/A,FALSE,"CCTV"}</definedName>
    <definedName name="wrn.A." hidden="1">{#N/A,#N/A,TRUE,"SUM";#N/A,#N/A,TRUE,"EE";#N/A,#N/A,TRUE,"AC";#N/A,#N/A,TRUE,"SN"}</definedName>
    <definedName name="wrn.Bang._.ke._.nhan._.hang." hidden="1">{#N/A,#N/A,FALSE,"Ke khai NH"}</definedName>
    <definedName name="wrn.BIDSUM." hidden="1">{#N/A,#N/A,TRUE,"SUMMARY";#N/A,#N/A,TRUE,"ISBL";#N/A,#N/A,TRUE,"OSBL";#N/A,#N/A,TRUE,"OFFSITE";#N/A,#N/A,TRUE,"STEAM"}</definedName>
    <definedName name="wrn.BILLS._.OF._.QUANTITY." hidden="1">{#N/A,#N/A,TRUE,"Str.";#N/A,#N/A,TRUE,"Steel &amp; Roof";#N/A,#N/A,TRUE,"Arc.";#N/A,#N/A,TRUE,"Preliminary";#N/A,#N/A,TRUE,"Sum_Prelim"}</definedName>
    <definedName name="wrn.BM." hidden="1">{#N/A,#N/A,FALSE,"CCTV"}</definedName>
    <definedName name="wrn.Che._.do._.duoc._.huong." hidden="1">{#N/A,#N/A,FALSE,"BN (2)"}</definedName>
    <definedName name="wrn.chi._.tiÆt." hidden="1">{#N/A,#N/A,FALSE,"Chi tiÆt"}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Giáy._.bao._.no." hidden="1">{#N/A,#N/A,FALSE,"BN"}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mai._.khanh." hidden="1">{"NGUYEN QUI THIEP - Personal View",#N/A,FALSE,"XDCB.HT.FUR."}</definedName>
    <definedName name="wrn.Monthly._.Statement." hidden="1">{#N/A,#N/A,FALSE,"Tabelle2";#N/A,#N/A,FALSE,"Tabelle1"}</definedName>
    <definedName name="wrn.Print._.Output." hidden="1">{#N/A,#N/A,FALSE,"OUTPUT SHEET "}</definedName>
    <definedName name="XDKT" hidden="1">{"NGUYEN QUI THIEP - Personal View",#N/A,FALSE,"XDCB.HT.FUR."}</definedName>
    <definedName name="XXXAAAA" hidden="1">{"'Sheet1'!$L$16"}</definedName>
    <definedName name="Z_2BD578FA_E2CB_4B2F_9A88_B148DA6298A5_.wvu.Cols" localSheetId="4" hidden="1">#REF!</definedName>
    <definedName name="Z_2BD578FA_E2CB_4B2F_9A88_B148DA6298A5_.wvu.Cols" hidden="1">#REF!</definedName>
    <definedName name="Z_2BD578FA_E2CB_4B2F_9A88_B148DA6298A5_.wvu.PrintArea" localSheetId="4" hidden="1">#REF!</definedName>
    <definedName name="Z_2BD578FA_E2CB_4B2F_9A88_B148DA6298A5_.wvu.PrintArea" hidden="1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2" i="4" l="1"/>
  <c r="AP24" i="4" s="1"/>
  <c r="AQ21" i="4" l="1"/>
  <c r="AN30" i="4"/>
  <c r="AN25" i="4"/>
  <c r="AP30" i="4"/>
  <c r="AM25" i="4"/>
  <c r="AM18" i="4"/>
  <c r="AN18" i="4"/>
  <c r="AM28" i="4"/>
  <c r="AM20" i="4"/>
  <c r="AO25" i="4"/>
  <c r="AM21" i="4"/>
  <c r="AM19" i="4"/>
  <c r="AQ25" i="4"/>
  <c r="AR30" i="4"/>
  <c r="AM26" i="4"/>
  <c r="AM23" i="4"/>
  <c r="AQ28" i="4"/>
  <c r="AP19" i="4"/>
  <c r="AO26" i="4"/>
  <c r="AO31" i="4"/>
  <c r="AR26" i="4"/>
  <c r="AO20" i="4"/>
  <c r="AN24" i="4"/>
  <c r="AP29" i="4"/>
  <c r="AP25" i="4"/>
  <c r="AR27" i="4"/>
  <c r="AM22" i="4"/>
  <c r="AO30" i="4"/>
  <c r="AO18" i="4"/>
  <c r="AN22" i="4"/>
  <c r="AN28" i="4"/>
  <c r="AO22" i="4"/>
  <c r="AO28" i="4"/>
  <c r="AN23" i="4"/>
  <c r="AN19" i="4"/>
  <c r="AR22" i="4"/>
  <c r="AP28" i="4"/>
  <c r="AM31" i="4"/>
  <c r="AO19" i="4"/>
  <c r="AN26" i="4"/>
  <c r="AN31" i="4"/>
  <c r="AO23" i="4"/>
  <c r="AM29" i="4"/>
  <c r="AN20" i="4"/>
  <c r="AR23" i="4"/>
  <c r="AN29" i="4"/>
  <c r="AP31" i="4"/>
  <c r="AM24" i="4"/>
  <c r="AM27" i="4"/>
  <c r="AO29" i="4"/>
  <c r="AR31" i="4"/>
  <c r="AQ20" i="4"/>
  <c r="AN27" i="4"/>
  <c r="AN21" i="4"/>
  <c r="AO24" i="4"/>
  <c r="AO27" i="4"/>
  <c r="AQ29" i="4"/>
  <c r="AP26" i="4"/>
  <c r="AO21" i="4"/>
  <c r="AQ24" i="4"/>
  <c r="AP27" i="4"/>
  <c r="AM30" i="4"/>
  <c r="AL1" i="4"/>
  <c r="E27" i="7" l="1"/>
  <c r="F27" i="7" s="1"/>
  <c r="D27" i="7"/>
  <c r="AM9" i="4" l="1"/>
  <c r="AR8" i="4"/>
  <c r="AM8" i="4"/>
  <c r="AQ7" i="4"/>
  <c r="AM17" i="4"/>
  <c r="AN7" i="4"/>
  <c r="AO9" i="4"/>
  <c r="AR16" i="4"/>
  <c r="AN4" i="4"/>
  <c r="AO8" i="4"/>
  <c r="AR17" i="4"/>
  <c r="AM15" i="4"/>
  <c r="AN5" i="4"/>
  <c r="AQ15" i="4"/>
  <c r="AM14" i="4"/>
  <c r="AN16" i="4"/>
  <c r="AO6" i="4"/>
  <c r="AM13" i="4"/>
  <c r="AN15" i="4"/>
  <c r="AO5" i="4"/>
  <c r="AN14" i="4"/>
  <c r="AP14" i="4"/>
  <c r="AM11" i="4"/>
  <c r="AN13" i="4"/>
  <c r="AO15" i="4"/>
  <c r="AP17" i="4"/>
  <c r="AP12" i="4"/>
  <c r="AN11" i="4"/>
  <c r="AN10" i="4"/>
  <c r="AM5" i="4"/>
  <c r="AQ10" i="4"/>
  <c r="AM16" i="4"/>
  <c r="AN6" i="4"/>
  <c r="AQ14" i="4"/>
  <c r="AN17" i="4"/>
  <c r="AO7" i="4"/>
  <c r="AO4" i="4"/>
  <c r="AP5" i="4"/>
  <c r="AO17" i="4"/>
  <c r="AP10" i="4"/>
  <c r="AM12" i="4"/>
  <c r="AO16" i="4"/>
  <c r="AP13" i="4"/>
  <c r="AM10" i="4"/>
  <c r="AN12" i="4"/>
  <c r="AO14" i="4"/>
  <c r="AP16" i="4"/>
  <c r="AP11" i="4"/>
  <c r="AP15" i="4"/>
  <c r="AO12" i="4"/>
  <c r="AM7" i="4"/>
  <c r="AN9" i="4"/>
  <c r="AO11" i="4"/>
  <c r="AQ11" i="4"/>
  <c r="AR12" i="4"/>
  <c r="AM4" i="4"/>
  <c r="AM6" i="4"/>
  <c r="AN8" i="4"/>
  <c r="AO10" i="4"/>
  <c r="AQ6" i="4"/>
  <c r="AR13" i="4"/>
  <c r="AO13" i="4"/>
  <c r="AR9" i="4"/>
  <c r="AK6" i="7" l="1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T4" i="4" l="1"/>
  <c r="AB9" i="7" l="1"/>
  <c r="AE9" i="7"/>
  <c r="AB7" i="7"/>
  <c r="AE14" i="7"/>
  <c r="AB14" i="7" l="1"/>
  <c r="AE13" i="7"/>
  <c r="AB13" i="7"/>
  <c r="AE12" i="7"/>
  <c r="AB12" i="7"/>
  <c r="AE11" i="7"/>
  <c r="AB11" i="7"/>
  <c r="AE10" i="7"/>
  <c r="AB10" i="7"/>
  <c r="AE8" i="7"/>
  <c r="AB8" i="7"/>
  <c r="AE7" i="7"/>
  <c r="AE6" i="7"/>
  <c r="AB6" i="7"/>
  <c r="E26" i="7" l="1"/>
  <c r="F26" i="7" s="1"/>
  <c r="D26" i="7"/>
  <c r="E25" i="7"/>
  <c r="F25" i="7" s="1"/>
  <c r="D25" i="7"/>
  <c r="E24" i="7"/>
  <c r="F24" i="7" s="1"/>
  <c r="D24" i="7"/>
  <c r="E23" i="7"/>
  <c r="F23" i="7" s="1"/>
  <c r="D23" i="7"/>
  <c r="E22" i="7"/>
  <c r="F22" i="7" s="1"/>
  <c r="D22" i="7"/>
  <c r="E21" i="7"/>
  <c r="F21" i="7" s="1"/>
  <c r="D21" i="7"/>
  <c r="E20" i="7"/>
  <c r="F20" i="7" s="1"/>
  <c r="D20" i="7"/>
  <c r="E19" i="7"/>
  <c r="F19" i="7" s="1"/>
  <c r="D19" i="7"/>
  <c r="E18" i="7"/>
  <c r="F18" i="7" s="1"/>
  <c r="D18" i="7"/>
  <c r="E17" i="7"/>
  <c r="F17" i="7" s="1"/>
  <c r="D17" i="7"/>
  <c r="E16" i="7"/>
  <c r="F16" i="7" s="1"/>
  <c r="V4" i="4" s="1"/>
  <c r="D16" i="7"/>
  <c r="E15" i="7"/>
  <c r="F15" i="7" s="1"/>
  <c r="D15" i="7"/>
  <c r="E14" i="7"/>
  <c r="F14" i="7" s="1"/>
  <c r="D14" i="7"/>
  <c r="E13" i="7"/>
  <c r="F13" i="7" s="1"/>
  <c r="D13" i="7"/>
  <c r="E12" i="7"/>
  <c r="F12" i="7" s="1"/>
  <c r="D12" i="7"/>
  <c r="E11" i="7"/>
  <c r="F11" i="7" s="1"/>
  <c r="D11" i="7"/>
  <c r="E10" i="7"/>
  <c r="F10" i="7" s="1"/>
  <c r="D10" i="7"/>
  <c r="E9" i="7"/>
  <c r="F9" i="7" s="1"/>
  <c r="D9" i="7"/>
  <c r="E8" i="7"/>
  <c r="F8" i="7" s="1"/>
  <c r="D8" i="7"/>
  <c r="E7" i="7"/>
  <c r="F7" i="7" s="1"/>
  <c r="D7" i="7"/>
  <c r="E6" i="7"/>
  <c r="F6" i="7" s="1"/>
  <c r="D6" i="7"/>
</calcChain>
</file>

<file path=xl/comments1.xml><?xml version="1.0" encoding="utf-8"?>
<comments xmlns="http://schemas.openxmlformats.org/spreadsheetml/2006/main">
  <authors>
    <author>Phat ,Pham Vinh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Phat ,Pham Vinh:</t>
        </r>
        <r>
          <rPr>
            <sz val="9"/>
            <color indexed="81"/>
            <rFont val="Tahoma"/>
            <family val="2"/>
          </rPr>
          <t xml:space="preserve">
MÁC THEO CƯỜNG ĐỘ CHỊU NÉN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Phat ,Pham Vinh:</t>
        </r>
        <r>
          <rPr>
            <sz val="9"/>
            <color indexed="81"/>
            <rFont val="Tahoma"/>
            <family val="2"/>
          </rPr>
          <t xml:space="preserve">
CẤP ĐỘ BỀN CHỊU NÉN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Phat ,Pham Vinh:</t>
        </r>
        <r>
          <rPr>
            <sz val="9"/>
            <color indexed="81"/>
            <rFont val="Tahoma"/>
            <family val="2"/>
          </rPr>
          <t xml:space="preserve">
Cường độ trung bình của mẫu thử chuẩn, mẫu thử hợp lệ (Mẫu lập phương)
Tra bảng: A.1 Phụ luc A, TCVN 5574:2012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Phat ,Pham Vinh:</t>
        </r>
        <r>
          <rPr>
            <sz val="9"/>
            <color indexed="81"/>
            <rFont val="Tahoma"/>
            <family val="2"/>
          </rPr>
          <t xml:space="preserve">
Cường độ đặc trưng của mẫu lập phương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Phat ,Pham Vinh:</t>
        </r>
        <r>
          <rPr>
            <sz val="9"/>
            <color indexed="81"/>
            <rFont val="Tahoma"/>
            <family val="2"/>
          </rPr>
          <t xml:space="preserve">
Cường độ đặc trưng của mẫu lập phương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Phat ,Pham Vinh:</t>
        </r>
        <r>
          <rPr>
            <sz val="9"/>
            <color indexed="81"/>
            <rFont val="Tahoma"/>
            <family val="2"/>
          </rPr>
          <t xml:space="preserve">
Cường độ đặc trưng của mẫu lăng trụ</t>
        </r>
      </text>
    </comment>
  </commentList>
</comments>
</file>

<file path=xl/comments2.xml><?xml version="1.0" encoding="utf-8"?>
<comments xmlns="http://schemas.openxmlformats.org/spreadsheetml/2006/main">
  <authors>
    <author>Duy Nguyễn</author>
    <author>C P</author>
  </authors>
  <commentList>
    <comment ref="AL1" authorId="0" shapeId="0">
      <text>
        <r>
          <rPr>
            <b/>
            <sz val="9"/>
            <color indexed="81"/>
            <rFont val="Times New Roman"/>
            <family val="1"/>
          </rPr>
          <t>PHỤ LỤC H - TCVN 2737-2023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QC03 - PHỤ LỤC A</t>
        </r>
      </text>
    </comment>
    <comment ref="AL3" authorId="1" shapeId="0">
      <text>
        <r>
          <rPr>
            <sz val="9"/>
            <color indexed="81"/>
            <rFont val="Tahoma"/>
            <family val="2"/>
          </rPr>
          <t xml:space="preserve">Ví dụ:
Nếu khai báo Case:
SDL: mặc định là Case có Type Linear Static
Nếu:
Nonlinear S1 thì tên case là S1 và Tye là Nonlinear Static
</t>
        </r>
      </text>
    </comment>
  </commentList>
</comments>
</file>

<file path=xl/sharedStrings.xml><?xml version="1.0" encoding="utf-8"?>
<sst xmlns="http://schemas.openxmlformats.org/spreadsheetml/2006/main" count="675" uniqueCount="528">
  <si>
    <t>ĐIỂM</t>
  </si>
  <si>
    <t>X_START</t>
  </si>
  <si>
    <t>Y_START</t>
  </si>
  <si>
    <t>X_END</t>
  </si>
  <si>
    <t>Y_END</t>
  </si>
  <si>
    <t>STT</t>
  </si>
  <si>
    <t>-</t>
  </si>
  <si>
    <t>"</t>
  </si>
  <si>
    <t>$ POINT COORDINATES</t>
  </si>
  <si>
    <t>$ AREA CONNECTIVITIES</t>
  </si>
  <si>
    <t>$ AREA ASSIGNS</t>
  </si>
  <si>
    <t>$ GRIDS</t>
  </si>
  <si>
    <t>TỌA POINT ĐỘ X</t>
  </si>
  <si>
    <t>TỌA ĐỘ POINT Y</t>
  </si>
  <si>
    <t>$ DIAPHRAGM NAMES</t>
  </si>
  <si>
    <t xml:space="preserve">  DIAPHRAGM "D1"    TYPE RIGID</t>
  </si>
  <si>
    <t>$ MATERIAL PROPERTIES</t>
  </si>
  <si>
    <t xml:space="preserve">  MATERIAL  "B30"    TYPE "Concrete"    WEIGHTPERVOLUME 25</t>
  </si>
  <si>
    <t xml:space="preserve">  MATERIAL  "B30"    SYMTYPE "Isotropic"  E 3.25E+07  U 0.2  A 9.89999989542412E-06</t>
  </si>
  <si>
    <t xml:space="preserve">  MATERIAL  "B30"    FC 27579.0315580631</t>
  </si>
  <si>
    <t xml:space="preserve">  MATERIAL  "B30"  HYSTYPE "Concrete"  ENERGYDEGFACT 0 SSTYPE "Mander"  STRAINATFC 0.00221914 STRAINATULTIMATE 0.005 FINALSLOPE -0.1 IOTENSION 0.01 LSTENSION 0.02 CPTENSION 0.05 IOCOMPRESSION 0.003 LSCOMPRESSION 0.006 CPCOMPRESSION 0.015 </t>
  </si>
  <si>
    <t xml:space="preserve">  MATERIAL  "B30"  TIMEDEPCONCCODE "CEBFIP90"  </t>
  </si>
  <si>
    <t xml:space="preserve">  MATERIAL  "A615Gr60"    TYPE "Rebar"    WEIGHTPERVOLUME 76.97286</t>
  </si>
  <si>
    <t xml:space="preserve">  MATERIAL  "A615Gr60"    SYMTYPE "Uniaxial"  E 1.99948E+08  A 1.16999999590917E-05</t>
  </si>
  <si>
    <t xml:space="preserve">  MATERIAL  "A615Gr60"  FY 413685.5  FU 620528.2</t>
  </si>
  <si>
    <t xml:space="preserve">  MATERIAL  "A615Gr60"  HYSTYPE "Kinematic"  SSTYPE "Simple"  STRAINATHARDENING 0.01 STRAINATULTIMATE 0.09 FINALSLOPE -0.1 IOTENSION 0.01 LSTENSION 0.02 CPTENSION 0.05 IOCOMPRESSION 0.005 LSCOMPRESSION 0.01 CPCOMPRESSION 0.02 </t>
  </si>
  <si>
    <t>$ POINT ASSIGNS</t>
  </si>
  <si>
    <t xml:space="preserve"> </t>
  </si>
  <si>
    <t>$ PROGRAM INFORMATION</t>
  </si>
  <si>
    <t xml:space="preserve">  PROGRAM  "ETABS 2015"  VERSION "15.2.0"  </t>
  </si>
  <si>
    <t>$ CONTROLS</t>
  </si>
  <si>
    <t xml:space="preserve">  UNITS  "KN"  "M"  "C"  </t>
  </si>
  <si>
    <t xml:space="preserve">  TITLE2  "test"  </t>
  </si>
  <si>
    <t xml:space="preserve">  PREFERENCE  MERGETOL 0.001</t>
  </si>
  <si>
    <t xml:space="preserve">  RLLF  METHOD "ASCE7-10"  USEDEFAULTMIN "YES"  </t>
  </si>
  <si>
    <t>$ STORIES - IN SEQUENCE FROM TOP</t>
  </si>
  <si>
    <t xml:space="preserve">  STORY "Story4"  HEIGHT 3 MASTERSTORY "Yes"  </t>
  </si>
  <si>
    <t xml:space="preserve">  STORY "Story3"  HEIGHT 3 SIMILARTO "Story4"  </t>
  </si>
  <si>
    <t xml:space="preserve">  STORY "Story2"  HEIGHT 3 SIMILARTO "Story4"  </t>
  </si>
  <si>
    <t xml:space="preserve">  STORY "Story1"  HEIGHT 3 SIMILARTO "Story4"  </t>
  </si>
  <si>
    <t xml:space="preserve">  STORY "Base"  ELEV 0 </t>
  </si>
  <si>
    <t>$ REBAR DEFINITIONS</t>
  </si>
  <si>
    <t xml:space="preserve">  REBARDEFINITION  "6"  AREA  2.83E-05 DIA  0.006 </t>
  </si>
  <si>
    <t xml:space="preserve">  REBARDEFINITION  "8"  AREA  5.03E-05 DIA  0.008 </t>
  </si>
  <si>
    <t xml:space="preserve">  REBARDEFINITION  "10"  AREA  7.85E-05 DIA  0.01 </t>
  </si>
  <si>
    <t xml:space="preserve">  REBARDEFINITION  "12"  AREA  0.0001131 DIA  0.012 </t>
  </si>
  <si>
    <t xml:space="preserve">  REBARDEFINITION  "14"  AREA  0.0001539 DIA  0.014 </t>
  </si>
  <si>
    <t xml:space="preserve">  REBARDEFINITION  "16"  AREA  0.0002011 DIA  0.016 </t>
  </si>
  <si>
    <t xml:space="preserve">  REBARDEFINITION  "18"  AREA  0.0002545 DIA  0.018 </t>
  </si>
  <si>
    <t xml:space="preserve">  REBARDEFINITION  "20"  AREA  0.0003142 DIA  0.02 </t>
  </si>
  <si>
    <t xml:space="preserve">  REBARDEFINITION  "22"  AREA  0.0003801 DIA  0.022 </t>
  </si>
  <si>
    <t xml:space="preserve">  REBARDEFINITION  "25"  AREA  0.0004909 DIA  0.025 </t>
  </si>
  <si>
    <t xml:space="preserve">  REBARDEFINITION  "26"  AREA  0.0005309 DIA  0.026 </t>
  </si>
  <si>
    <t xml:space="preserve">  REBARDEFINITION  "28"  AREA  0.0006158 DIA  0.028 </t>
  </si>
  <si>
    <t xml:space="preserve">  REBARDEFINITION  "32"  AREA  0.0008042 DIA  0.032 </t>
  </si>
  <si>
    <t xml:space="preserve">  REBARDEFINITION  "36"  AREA  0.0010179 DIA  0.036 </t>
  </si>
  <si>
    <t xml:space="preserve">  REBARDEFINITION  "40"  AREA  0.0012566 DIA  0.04 </t>
  </si>
  <si>
    <t xml:space="preserve">  REBARDEFINITION  "50"  AREA  0.0019635 DIA  0.05 </t>
  </si>
  <si>
    <t>$ FRAME SECTIONS</t>
  </si>
  <si>
    <t xml:space="preserve">  FRAMESECTION  "B200400"  MATERIAL "B30"  SHAPE "Concrete Rectangular"  D 0.4 B 0.2 </t>
  </si>
  <si>
    <t xml:space="preserve">  FRAMESECTION  "C200400"  MATERIAL "B30"  SHAPE "Concrete Rectangular"  D 0.4 B 0.2 </t>
  </si>
  <si>
    <t>$ CONCRETE SECTIONS</t>
  </si>
  <si>
    <t xml:space="preserve">  CONCRETESECTION  "B200400"  LONGBARMATERIAL "A615Gr60"  CONFINEBARMATERIAL "A615Gr60"  TYPE "Beam"  COVERTOP 0.06 COVERBOTTOM 0.06 ATI 0 ABI 0 ATJ 0 ABJ 0 </t>
  </si>
  <si>
    <t xml:space="preserve">  CONCRETESECTION  "C200400"  LONGBARMATERIAL "A615Gr60"  CONFINEBARMATERIAL "A615Gr60"  TYPE "Column"  PATTERN "R-5-3"  TRANSREINF "TIES"  DESIGNCHECK "DESIGN"  COVER 0.04 LONGBARAREA 0.0003142 CONFINEBARAREA 7.85E-05 CONFINEBARSPACING 0.15 NUMCONFINEBARS3 3 NUMCONFINEBARS2 3 </t>
  </si>
  <si>
    <t>$ SLAB PROPERTIES</t>
  </si>
  <si>
    <t>$ DECK PROPERTIES</t>
  </si>
  <si>
    <t xml:space="preserve">  SHELLPROP  "Deck1"  PROPTYPE  "Deck"  DECKTYPE "Filled"  CONCMATERIAL "B30"  DECKMATERIAL "SD490"  DECKSLABDEPTH 0.0875 DECKRIBDEPTH 0.075 DECKRIBWIDTHTOP 0.175 DECKRIBWIDTHBOTTOM 0.125 DECKRIBSPACING 0.3 DECKSHEARTHICKNESS 0.001 DECKUNITWEIGHT 0.1101246 SHEARSTUDDIAM 0.019 SHEARSTUDHEIGHT 0.15 SHEARSTUDFU 4000000 </t>
  </si>
  <si>
    <t>$ WALL PROPERTIES</t>
  </si>
  <si>
    <t xml:space="preserve">  SHELLPROP  "W200"  PROPTYPE  "Wall"  MATERIAL "B30"  MODELINGTYPE "ShellThin"  WALLTHICKNESS 0.2 </t>
  </si>
  <si>
    <t>$ LINK PROPERTIES</t>
  </si>
  <si>
    <t xml:space="preserve">  LINKPROP  "Link1"  TYPE "LINEAR"  </t>
  </si>
  <si>
    <t xml:space="preserve">  LINKPROP  "Link1"  DOF "U1"  </t>
  </si>
  <si>
    <t xml:space="preserve">  LINKPROP  "Link1"  U1STIFF 1 </t>
  </si>
  <si>
    <t>$ PANEL ZONE PROPERTIES</t>
  </si>
  <si>
    <t xml:space="preserve">  PANELZONE  "PZone1"  PZTYPE  "From Column"  PZDOUBLER  0 </t>
  </si>
  <si>
    <t xml:space="preserve">$ PIER/SPANDREL NAMES </t>
  </si>
  <si>
    <t xml:space="preserve">  PIERNAME  "P1"  </t>
  </si>
  <si>
    <t xml:space="preserve">  SPANDRELNAME  "S1"  </t>
  </si>
  <si>
    <t>$ LOAD PATTERNS</t>
  </si>
  <si>
    <t xml:space="preserve">  LOADPATTERN "DL"  TYPE  "Dead"  SELFWEIGHT  1</t>
  </si>
  <si>
    <t xml:space="preserve">  LOADPATTERN "LL"  TYPE  "Live"  SELFWEIGHT  0</t>
  </si>
  <si>
    <t xml:space="preserve">  LOADPATTERN "SDL"  TYPE  "Super Dead"  SELFWEIGHT  0</t>
  </si>
  <si>
    <t xml:space="preserve">  LOADPATTERN "BW"  TYPE  "Super Dead"  SELFWEIGHT  0</t>
  </si>
  <si>
    <t xml:space="preserve">  LOADPATTERN "WX"  TYPE  "Wind"  SELFWEIGHT  0</t>
  </si>
  <si>
    <t xml:space="preserve">  LOADPATTERN "WY"  TYPE  "Wind"  SELFWEIGHT  0</t>
  </si>
  <si>
    <t xml:space="preserve">  LOADPATTERN "LLA"  TYPE  "Live"  SELFWEIGHT  0</t>
  </si>
  <si>
    <t xml:space="preserve">  LOADPATTERN "LLR"  TYPE  "Live"  SELFWEIGHT  0</t>
  </si>
  <si>
    <t xml:space="preserve">  WIND "WX"  "User Loads"  REVERSIBLE "Yes"  </t>
  </si>
  <si>
    <t xml:space="preserve">  WINDEXPOSURE "WX"  "SET"  "1"  ANGLE 0 </t>
  </si>
  <si>
    <t xml:space="preserve">  WIND "WY"  "User Loads"  REVERSIBLE "Yes"  </t>
  </si>
  <si>
    <t xml:space="preserve">  WINDEXPOSURE "WY"  "SET"  "1"  ANGLE 0 </t>
  </si>
  <si>
    <t>$ POINT OBJECT LOADS</t>
  </si>
  <si>
    <t>$ SHELL OBJECT LOADS</t>
  </si>
  <si>
    <t>$ ANALYSIS OPTIONS</t>
  </si>
  <si>
    <t xml:space="preserve">  ACTIVEDOF "UX UY UZ RX RY RZ"  </t>
  </si>
  <si>
    <t xml:space="preserve">  MODELHINGESINLINKS "Yes"  HINGEDAMPINGOPTION "KT"  </t>
  </si>
  <si>
    <t xml:space="preserve">  PDELTA  METHOD "NONE"  </t>
  </si>
  <si>
    <t xml:space="preserve">  AUTORECTMESH  LOCALIZEDFLOORMESHING  "Yes"  FLOORMESHMERGEJOINTS  "Yes"  FLOORMESHMAXSIZE  1.25 WALLMESHMAXSIZE  1.25 </t>
  </si>
  <si>
    <t>$ MASS SOURCE</t>
  </si>
  <si>
    <t xml:space="preserve">  MASSSOURCE  "MsSrc1"    INCLUDEELEMENTS "Yes"    INCLUDEADDEDMASS "Yes"    INCLUDELOADS "No"    INCLUDEMOVE "No"    INCLUDELATERALMASS "Yes"    INCLUDEVERTICALMASS "No"    LUMPATSTORIES "Yes"    ISDEFAULT "Yes"  </t>
  </si>
  <si>
    <t>$ FUNCTIONS</t>
  </si>
  <si>
    <t xml:space="preserve">  FUNCTION "RampTH"  FUNCTYPE "HISTORY"  HISTTYPE "USER"  </t>
  </si>
  <si>
    <t xml:space="preserve">  FUNCTION "RampTH"  TIMEVAL "0  0  1  1  4  1"  </t>
  </si>
  <si>
    <t xml:space="preserve">  FUNCTION "UnifTH"  FUNCTYPE "HISTORY"  HISTTYPE "USER"  </t>
  </si>
  <si>
    <t xml:space="preserve">  FUNCTION "UnifTH"  TIMEVAL "0  1  1  1"  </t>
  </si>
  <si>
    <t xml:space="preserve">  FUNCTION "UnifRS"  FUNCTYPE "SPECTRUM"  DAMPRATIO 0.05  SPECTYPE "USER"  </t>
  </si>
  <si>
    <t xml:space="preserve">  FUNCTION "UnifRS"  TIMEVAL "0  1  1  1"  </t>
  </si>
  <si>
    <t>$ GENERALIZED DISPLACEMENTS</t>
  </si>
  <si>
    <t>$ LOAD CASES</t>
  </si>
  <si>
    <t xml:space="preserve">  LOADCASE "Modal"  TYPE  "Modal - Eigen"  INITCOND  "PRESET"  </t>
  </si>
  <si>
    <t xml:space="preserve">  LOADCASE "Modal"  MAXMODES  12 MINMODES  1 EIGENSHIFTFREQ  0 EIGENCUTOFF  0 EIGENTOL  1E-09 </t>
  </si>
  <si>
    <t xml:space="preserve">  LOADCASE "DL"  TYPE  "Linear Static"  INITCOND  "PRESET"  </t>
  </si>
  <si>
    <t xml:space="preserve">  LOADCASE "DL"  LOADPAT  "DL"  SF  1 </t>
  </si>
  <si>
    <t xml:space="preserve">  LOADCASE "LL"  TYPE  "Linear Static"  INITCOND  "PRESET"  </t>
  </si>
  <si>
    <t xml:space="preserve">  LOADCASE "LL"  LOADPAT  "LL"  SF  1 </t>
  </si>
  <si>
    <t xml:space="preserve">  LOADCASE "SDL"  TYPE  "Linear Static"  INITCOND  "PRESET"  </t>
  </si>
  <si>
    <t xml:space="preserve">  LOADCASE "SDL"  LOADPAT  "SDL"  SF  1 </t>
  </si>
  <si>
    <t xml:space="preserve">  LOADCASE "BW"  TYPE  "Linear Static"  INITCOND  "PRESET"  </t>
  </si>
  <si>
    <t xml:space="preserve">  LOADCASE "BW"  LOADPAT  "BW"  SF  1 </t>
  </si>
  <si>
    <t xml:space="preserve">  LOADCASE "WX"  TYPE  "Linear Static"  INITCOND  "PRESET"  </t>
  </si>
  <si>
    <t xml:space="preserve">  LOADCASE "WX"  LOADPAT  "WX"  SF  1 </t>
  </si>
  <si>
    <t xml:space="preserve">  LOADCASE "WY"  TYPE  "Linear Static"  INITCOND  "PRESET"  </t>
  </si>
  <si>
    <t xml:space="preserve">  LOADCASE "WY"  LOADPAT  "WY"  SF  1 </t>
  </si>
  <si>
    <t xml:space="preserve">  LOADCASE "LLA"  TYPE  "Linear Static"  INITCOND  "PRESET"  </t>
  </si>
  <si>
    <t xml:space="preserve">  LOADCASE "LLA"  LOADPAT  "LLA"  SF  1 </t>
  </si>
  <si>
    <t xml:space="preserve">  LOADCASE "LLR"  TYPE  "Linear Static"  INITCOND  "PRESET"  </t>
  </si>
  <si>
    <t xml:space="preserve">  LOADCASE "LLR"  LOADPAT  "LLR"  SF  1 </t>
  </si>
  <si>
    <t>$ LOAD COMBINATIONS</t>
  </si>
  <si>
    <t>$ STEEL DESIGN PREFERENCES</t>
  </si>
  <si>
    <t xml:space="preserve">  STEELPREFERENCE  CODE "Eurocode 3-2005"  THDESIGN "EVERYSTEP-ALL"  FRAMETYPE "DCHMRF"  </t>
  </si>
  <si>
    <t xml:space="preserve">  STEELPREFERENCE  COUNTRY "CEN_DEFAULT"  COMBOSFROM "EQ_6.10"  KFACTORMETHOD "ANNEX_B"  RELCLAS "CLASS_2"  BEHAVIORFACTOR 4 SYSTEMOVERSTRENGTH 1 GAMMAM005 1 GAMMAM105 1 GAMMAM205 1.25 CONSIDERPDELTADONE "NO"  IGNORESEISMICCODE "NO"  IGNORESPECIALSEISMICLOAD "NO"  ISDOUBLERPLATEPLUGWELDED "YES"  </t>
  </si>
  <si>
    <t xml:space="preserve">  STEELPREFERENCE  CONSIDERDEFLECTION "YES"  RELATIVEDEFLECTION "RATIO"  </t>
  </si>
  <si>
    <t xml:space="preserve">  STEELPREFERENCE  DLDEFLECTIONLIMIT 120 SLDEFLECTIONLIMIT 120 LLDEFLECTIONLIMIT 360 TLDEFLECTIONLIMIT 240 TLMCDEFLECTIONLIMIT 240 </t>
  </si>
  <si>
    <t xml:space="preserve">  STEELPREFERENCE  DLDEFLECTIONLIMITABS 0.025 SLDEFLECTIONLIMITABS 0.025 LLDEFLECTIONLIMITABS 0.025 TLDEFLECTIONLIMITABS 0.025 TLMCDEFLECTIONLIMITABS 0.025 </t>
  </si>
  <si>
    <t xml:space="preserve">  STEELPREFERENCE  CALCULATECAMBER "NO"  PERCENTCAMBERWDL 1 CAMBERRELMAXLIMIT 180 CAMBERIGNORELIMIT 0.015 </t>
  </si>
  <si>
    <t xml:space="preserve">  STEELPREFERENCE  CAMBERABSMAXLIMIT 0.1 CAMBERINTERVAL 0.005 CAMBERROUNDDOWN "YES"  </t>
  </si>
  <si>
    <t xml:space="preserve">  STEELPREFERENCE  PATTERNLLF 0.75 MAXITERATION 1 SRLIMIT 0.95 </t>
  </si>
  <si>
    <t>$ CONCRETE DESIGN PREFERENCES</t>
  </si>
  <si>
    <t xml:space="preserve">  CONCRETEPREFERENCE  CODE "Eurocode 2-2004"THDESIGN "EVERYSTEP-ALL"    CONSIDERMINECCENTRICITY "YES"  </t>
  </si>
  <si>
    <t xml:space="preserve">  CONCRETEPREFERENCE  NUMINTERCURVES 24  NUMINTERPOINTS 11  PATTERNLLF 0.75  UFLIMIT 1</t>
  </si>
  <si>
    <t xml:space="preserve">  CONCRETEPREFERENCE  COUNTRY "CEN_DEFAULT"    COMBOSFROM "EQ6.10"    SECONDORDERMETHOD "NOMINAL_STIFFNESS"  </t>
  </si>
  <si>
    <t xml:space="preserve">  CONCRETEPREFERENCE  EUROTHETA004 0.005  EUROGAMMAS04 1.15  EUROGAMMAC04 1.5</t>
  </si>
  <si>
    <t xml:space="preserve">  CONCRETEPREFERENCE  EUROALPHACC04 1  EUROALPHACT04 1  EUROALPHALCC04 0.85  EUROALPHALCT04 0.85</t>
  </si>
  <si>
    <t>$ COMPOSITE DESIGN PREFERENCES</t>
  </si>
  <si>
    <t xml:space="preserve">  COMPOSITEPREFERENCE  CODE "Eurocode 4-2004"    COUNTRY "CEN_DEFAULT"  </t>
  </si>
  <si>
    <t xml:space="preserve">  COMPOSITEPREFERENCE  PHI-CONC 1  PHI-STEEL 1  PHI-REBAR 1  PHI-CONN 1</t>
  </si>
  <si>
    <t xml:space="preserve">  COMPOSITEPREFERENCE  SHORED "NO"  %MIDDLERANGE 70  PATTERNLLF 0.75  SRLIMIT 1  SINGLESEGMENT "NO"    STUDINCREASEFACTOR 1  MINNUMEXTRASTUDS 0</t>
  </si>
  <si>
    <t xml:space="preserve">  COMPOSITEPREFERENCE  DLLIMIT 0  SLLIMIT 240  LLLIMIT 360  TLLIMIT 240  CREEPFACTOR 1.15  SLIPFACTOR 0.85</t>
  </si>
  <si>
    <t xml:space="preserve">  COMPOSITEPREFERENCE  %DLCAMBER 80  CAMBERIGNORE 0.015  CAMBERABSMAX 0.15  CAMBERRELMAX 180  CAMBERINTERVAL 0.005  CAMBERROUNDDOWN "YES"  </t>
  </si>
  <si>
    <t xml:space="preserve">  COMPOSITEPREFERENCE  %VIBLL 25  CONSIDERFREQ "NO"  MINFREQ 8  CONSIDERDAMP "NO"  %INHERENTDAMP 4</t>
  </si>
  <si>
    <t xml:space="preserve">  COMPOSITEPREFERENCE  VIBRATIONCRITERION "WALKING"  OCCUPANCYCATEGORY "PAPEROFFICE"  DAMPINGRATIO 0.025  WALKINGACCELERATIONLIMIT 0.005</t>
  </si>
  <si>
    <t xml:space="preserve">  COMPOSITEPREFERENCE  RHYTHMICACTIVITY "AEROBICS"  AFFECTEDOCCUPANCYCATEGORY "PAPEROFFICE"</t>
  </si>
  <si>
    <t xml:space="preserve">  COMPOSITEPREFERENCE  RHYTHMICACCELERATIONLIMIT 0.005  UPPERSTEPFREQUENCY 2.75  LOWERSTEPFREQUENCY 2</t>
  </si>
  <si>
    <t xml:space="preserve">  COMPOSITEPREFERENCE  EQUIPMENTORUSECATEGORY "COMPUTERSYSTEM"  VIBVELOCITYLIMIT 0.0002032</t>
  </si>
  <si>
    <t xml:space="preserve">  COMPOSITEPREFERENCE  FOOTFALLIMPULSEFOFAST 5  FOOTFALLIMPULSEFOMODERATE 2.5  FOOTFALLIMPULSEFOSLOW 1.2</t>
  </si>
  <si>
    <t xml:space="preserve">  COMPOSITEPREFERENCE  FOOTFALLIMPULSEFMFAST 1.40119  FOOTFALLIMPULSEFMMODERATE 1.245502  FOOTFALLIMPULSEFMSLOW 1.067573</t>
  </si>
  <si>
    <t xml:space="preserve">  COMPOSITEPREFERENCE  OPTIMIZEPRICE "YES"  CONNECTORPRICE 2  CAMBERPRICE 0</t>
  </si>
  <si>
    <t>$ WALL DESIGN PREFERENCES</t>
  </si>
  <si>
    <t xml:space="preserve">  WALLPREFERENCE  CODE "Eurocode 2-2004"  THDESIGN "ENVELOPES-ALL"  </t>
  </si>
  <si>
    <t xml:space="preserve">  WALLPREFERENCE  REBARMATERIAL "A615Gr60"  REBARSHEARMATERIAL "A615Gr60"</t>
  </si>
  <si>
    <t xml:space="preserve">  WALLPREFERENCE  COUNTRY "CEN_DEFAULT"    COMBOSFROM "EQ6.10"  RELCLAS "CLASS_2"    SECONDORDERMETHOD "NOMINAL_STIFFNESS"    CONSIDERMINECCENTRICITY "YES"  </t>
  </si>
  <si>
    <t xml:space="preserve">  WALLPREFERENCE  EUROTHETA004 0.005  SHEARMF 2  DUCTILITYSF 2  EUROGAMMAS04 1.15  EUROGAMMAC04 1.5  EUROGAMMAM04 1.25</t>
  </si>
  <si>
    <t xml:space="preserve">  WALLPREFERENCE  EUROALPHACC04 1  EUROALPHACT04 1  EUROALPHALCC04 0.85  EUROALPHALCT04 0.85</t>
  </si>
  <si>
    <t xml:space="preserve">  WALLPREFERENCE  NUMCURVES 24  NUMPOINTS 11</t>
  </si>
  <si>
    <t xml:space="preserve">  WALLPREFERENCE  PTMAX 0.06  PCMAX 0.04  IPMAX 0.04  IPMIN 0.0025</t>
  </si>
  <si>
    <t xml:space="preserve">  WALLPREFERENCE  UFLIMIT 0.95</t>
  </si>
  <si>
    <t>$ DIMENSION LINES</t>
  </si>
  <si>
    <t xml:space="preserve">  DIMLINE DEFAULTSYSTEM G1</t>
  </si>
  <si>
    <t>$ TABLE SETS</t>
  </si>
  <si>
    <t>$ LOG</t>
  </si>
  <si>
    <t xml:space="preserve">  STARTCOMMENTS  </t>
  </si>
  <si>
    <t>ETABS 2015 Plus  15.2.0 File saved as C:\Users\duynv\Desktop\test ve etabs\test.EDB at 1/28/2018 10:46:14 AM</t>
  </si>
  <si>
    <t>ETABS 2015 Plus  15.2.0 File saved as C:\Users\duynv\Desktop\test ve etabs\test.EDB at 1/28/2018 10:49:07 AM</t>
  </si>
  <si>
    <t>ETABS 2015 Plus  15.2.0 File saved as C:\Users\duynv\Desktop\test ve etabs\test.EDB at 1/28/2018 10:52:11 AM</t>
  </si>
  <si>
    <t>ETABS 2015 Plus  15.2.0 File saved as C:\Users\duynv\Desktop\test ve etabs\test.EDB at 1/28/2018 11:05:43 AM</t>
  </si>
  <si>
    <t>ETABS 2015 Plus  15.2.0 File saved as C:\Users\duynv\Desktop\test ve etabs\test.EDB at 1/28/2018 11:05:47 AM</t>
  </si>
  <si>
    <t>ETABS 2015 Plus  15.2.0 File saved as C:\Users\duynv\Desktop\test ve etabs\test.EDB at 1/28/2018 11:05:53 AM</t>
  </si>
  <si>
    <t>ETABS 2015 Plus  15.2.0 File saved as C:\Users\duynv\Desktop\test ve etabs\test.EDB at 1/28/2018 12:51:56 PM</t>
  </si>
  <si>
    <t>ETABS 2015 Plus  15.2.0 File saved as C:\Users\duynv\Desktop\test ve etabs\test.EDB at 1/28/2018 1:17:38 PM</t>
  </si>
  <si>
    <t>ETABS 2015 Plus 15.2.0 File imported from  (Untitled) at  1/28/2018 2:29:35 PM</t>
  </si>
  <si>
    <t>ETABS 2015 Plus  15.2.0 File saved as C:\Users\duynv\Desktop\test ve etabs\test.R1.EDB at 1/28/2018 2:31:46 PM</t>
  </si>
  <si>
    <t>ETABS 2015 Plus 15.2.0 File imported from  (Untitled) at  1/28/2018 2:35:17 PM</t>
  </si>
  <si>
    <t>ETABS 2015 Plus  15.2.0 File saved as C:\Users\duynv\Desktop\test ve etabs\test.R2.EDB at 1/28/2018 2:36:18 PM</t>
  </si>
  <si>
    <t xml:space="preserve">  ENDCOMMENTS  </t>
  </si>
  <si>
    <t xml:space="preserve">  END</t>
  </si>
  <si>
    <t>$ END OF MODEL FILE</t>
  </si>
  <si>
    <t>$ LINE CONNECTIVITIES</t>
  </si>
  <si>
    <t>$ LINE ASSIGNS</t>
  </si>
  <si>
    <t>$ File C:\Users\duynv\Desktop\New folder\aaaaaaaaaaaaaaaaaaaaaaaaaa111111111.e2k saved 1/28/2018 4:36:11 PM</t>
  </si>
  <si>
    <t>$ FRAME OBJECT LOADS</t>
  </si>
  <si>
    <t>ETABS 2015 Plus 15.2.0 File imported from  (Untitled) at  1/28/2018 4:24:59 PM</t>
  </si>
  <si>
    <t>ETABS 2015 Plus  15.2.0 File saved as C:\Users\duynv\Desktop\New folder\11111111111111111.EDB at 1/28/2018 4:34:38 PM</t>
  </si>
  <si>
    <t>ETABS 2015 Plus  15.2.0 File saved as C:\Users\duynv\Desktop\New folder\11111111111111111.EDB at 1/28/2018 4:34:53 PM</t>
  </si>
  <si>
    <t>Chiều cao</t>
  </si>
  <si>
    <t>Story Data</t>
  </si>
  <si>
    <t>DL</t>
  </si>
  <si>
    <t>SDL</t>
  </si>
  <si>
    <t>BW</t>
  </si>
  <si>
    <t>LL</t>
  </si>
  <si>
    <t>WX</t>
  </si>
  <si>
    <t>WY</t>
  </si>
  <si>
    <t>mm</t>
  </si>
  <si>
    <t>SỐ LẦN</t>
  </si>
  <si>
    <t>TD X MỚI</t>
  </si>
  <si>
    <t>TD Y MỚI</t>
  </si>
  <si>
    <t>TD X CŨ</t>
  </si>
  <si>
    <t>TD Y CŨ</t>
  </si>
  <si>
    <t>COLUMN</t>
  </si>
  <si>
    <t>Mẫu lập phương: CUBE 150x150x150</t>
  </si>
  <si>
    <t>Mẫu lăng trụ: CYL 300x150</t>
  </si>
  <si>
    <t>TCVN 5574 : 2012 (CUBE)</t>
  </si>
  <si>
    <t>BS (CUBE)</t>
  </si>
  <si>
    <t>EN (CUBE OR CYL)</t>
  </si>
  <si>
    <r>
      <t>f</t>
    </r>
    <r>
      <rPr>
        <b/>
        <vertAlign val="subscript"/>
        <sz val="10"/>
        <rFont val="Arial"/>
        <family val="2"/>
      </rPr>
      <t>ck,cube</t>
    </r>
    <r>
      <rPr>
        <b/>
        <sz val="10"/>
        <rFont val="Arial"/>
        <family val="2"/>
      </rPr>
      <t xml:space="preserve"> (Mpa)</t>
    </r>
  </si>
  <si>
    <r>
      <t>f</t>
    </r>
    <r>
      <rPr>
        <b/>
        <vertAlign val="subscript"/>
        <sz val="10"/>
        <rFont val="Arial"/>
        <family val="2"/>
      </rPr>
      <t>ck</t>
    </r>
    <r>
      <rPr>
        <b/>
        <sz val="10"/>
        <rFont val="Arial"/>
        <family val="2"/>
      </rPr>
      <t xml:space="preserve"> (Mpa)</t>
    </r>
  </si>
  <si>
    <t>Mác</t>
  </si>
  <si>
    <t>B</t>
  </si>
  <si>
    <r>
      <t>f</t>
    </r>
    <r>
      <rPr>
        <b/>
        <vertAlign val="subscript"/>
        <sz val="10"/>
        <rFont val="Arial"/>
        <family val="2"/>
      </rPr>
      <t>avg,cube</t>
    </r>
  </si>
  <si>
    <r>
      <t>f</t>
    </r>
    <r>
      <rPr>
        <b/>
        <vertAlign val="subscript"/>
        <sz val="10"/>
        <rFont val="Arial"/>
        <family val="2"/>
      </rPr>
      <t xml:space="preserve">cu </t>
    </r>
    <r>
      <rPr>
        <b/>
        <sz val="10"/>
        <rFont val="Arial"/>
        <family val="2"/>
      </rPr>
      <t>= f</t>
    </r>
    <r>
      <rPr>
        <b/>
        <vertAlign val="subscript"/>
        <sz val="10"/>
        <rFont val="Arial"/>
        <family val="2"/>
      </rPr>
      <t>avg,cube</t>
    </r>
    <r>
      <rPr>
        <b/>
        <sz val="10"/>
        <rFont val="Arial"/>
        <family val="2"/>
      </rPr>
      <t xml:space="preserve"> - 3</t>
    </r>
  </si>
  <si>
    <r>
      <t>f</t>
    </r>
    <r>
      <rPr>
        <b/>
        <vertAlign val="subscript"/>
        <sz val="10"/>
        <rFont val="Arial"/>
        <family val="2"/>
      </rPr>
      <t xml:space="preserve">ck,cube </t>
    </r>
    <r>
      <rPr>
        <b/>
        <sz val="10"/>
        <rFont val="Arial"/>
        <family val="2"/>
      </rPr>
      <t>= f</t>
    </r>
    <r>
      <rPr>
        <b/>
        <vertAlign val="subscript"/>
        <sz val="10"/>
        <rFont val="Arial"/>
        <family val="2"/>
      </rPr>
      <t>avg,cube</t>
    </r>
    <r>
      <rPr>
        <b/>
        <sz val="10"/>
        <rFont val="Arial"/>
        <family val="2"/>
      </rPr>
      <t xml:space="preserve"> - 4</t>
    </r>
  </si>
  <si>
    <r>
      <t>f</t>
    </r>
    <r>
      <rPr>
        <b/>
        <vertAlign val="subscript"/>
        <sz val="10"/>
        <rFont val="Arial"/>
        <family val="2"/>
      </rPr>
      <t xml:space="preserve">ck </t>
    </r>
    <r>
      <rPr>
        <b/>
        <sz val="10"/>
        <rFont val="Arial"/>
        <family val="2"/>
      </rPr>
      <t>= f</t>
    </r>
    <r>
      <rPr>
        <b/>
        <vertAlign val="subscript"/>
        <sz val="10"/>
        <rFont val="Arial"/>
        <family val="2"/>
      </rPr>
      <t>cyl</t>
    </r>
  </si>
  <si>
    <t>MPa</t>
  </si>
  <si>
    <t>M50</t>
  </si>
  <si>
    <t>B3.5</t>
  </si>
  <si>
    <t>M75</t>
  </si>
  <si>
    <t>B5</t>
  </si>
  <si>
    <t>M100</t>
  </si>
  <si>
    <t>B7.5</t>
  </si>
  <si>
    <t>M150</t>
  </si>
  <si>
    <t>B10</t>
  </si>
  <si>
    <t>B12.5</t>
  </si>
  <si>
    <t>M200</t>
  </si>
  <si>
    <t>B15</t>
  </si>
  <si>
    <t>M250</t>
  </si>
  <si>
    <t>B20</t>
  </si>
  <si>
    <t>M300</t>
  </si>
  <si>
    <t>B22.5</t>
  </si>
  <si>
    <t>M350</t>
  </si>
  <si>
    <t>B25</t>
  </si>
  <si>
    <t>B27.5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</si>
  <si>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</si>
  <si>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</si>
  <si>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</si>
  <si>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</si>
  <si>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</si>
  <si>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</si>
  <si>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</si>
  <si>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</si>
  <si>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</si>
  <si>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</si>
  <si>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</si>
  <si>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</si>
  <si>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</si>
  <si>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t>M900</t>
  </si>
  <si>
    <t>B65</t>
  </si>
  <si>
    <t>B70</t>
  </si>
  <si>
    <t>M1000</t>
  </si>
  <si>
    <t>B75</t>
  </si>
  <si>
    <t>B80</t>
  </si>
  <si>
    <t>Bê tông theo TCVN 5574 : 2012</t>
  </si>
  <si>
    <t>BÊ TÔNG EN</t>
  </si>
  <si>
    <t>BÊ TÔNG BS</t>
  </si>
  <si>
    <t>Thép theo TCVN 5574:2012</t>
  </si>
  <si>
    <t>Bê tông</t>
  </si>
  <si>
    <r>
      <t>R</t>
    </r>
    <r>
      <rPr>
        <b/>
        <vertAlign val="subscript"/>
        <sz val="10"/>
        <rFont val="Arial"/>
        <family val="2"/>
      </rPr>
      <t>bn</t>
    </r>
  </si>
  <si>
    <r>
      <t>R</t>
    </r>
    <r>
      <rPr>
        <b/>
        <vertAlign val="subscript"/>
        <sz val="10"/>
        <rFont val="Arial"/>
        <family val="2"/>
      </rPr>
      <t>b</t>
    </r>
  </si>
  <si>
    <r>
      <t>R</t>
    </r>
    <r>
      <rPr>
        <b/>
        <vertAlign val="subscript"/>
        <sz val="10"/>
        <rFont val="Arial"/>
        <family val="2"/>
      </rPr>
      <t>bt</t>
    </r>
  </si>
  <si>
    <r>
      <t>E</t>
    </r>
    <r>
      <rPr>
        <b/>
        <vertAlign val="subscript"/>
        <sz val="10"/>
        <rFont val="Arial"/>
        <family val="2"/>
      </rPr>
      <t>b</t>
    </r>
  </si>
  <si>
    <r>
      <rPr>
        <b/>
        <sz val="10"/>
        <color theme="1"/>
        <rFont val="Times New Roman"/>
        <family val="1"/>
      </rPr>
      <t>σ</t>
    </r>
    <r>
      <rPr>
        <b/>
        <vertAlign val="subscript"/>
        <sz val="10"/>
        <color theme="1"/>
        <rFont val="Arial"/>
        <family val="2"/>
      </rPr>
      <t>scu</t>
    </r>
  </si>
  <si>
    <r>
      <rPr>
        <b/>
        <sz val="10"/>
        <rFont val="Symbol"/>
        <family val="1"/>
        <charset val="2"/>
      </rPr>
      <t>a</t>
    </r>
    <r>
      <rPr>
        <b/>
        <vertAlign val="subscript"/>
        <sz val="10"/>
        <rFont val="Arial"/>
        <family val="2"/>
      </rPr>
      <t>cc</t>
    </r>
  </si>
  <si>
    <r>
      <rPr>
        <b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c</t>
    </r>
  </si>
  <si>
    <r>
      <t>f</t>
    </r>
    <r>
      <rPr>
        <b/>
        <vertAlign val="subscript"/>
        <sz val="10"/>
        <rFont val="Arial"/>
        <family val="2"/>
      </rPr>
      <t>ck</t>
    </r>
  </si>
  <si>
    <r>
      <t>f</t>
    </r>
    <r>
      <rPr>
        <b/>
        <vertAlign val="subscript"/>
        <sz val="10"/>
        <rFont val="Arial"/>
        <family val="2"/>
      </rPr>
      <t>cu</t>
    </r>
  </si>
  <si>
    <t>Loại thép</t>
  </si>
  <si>
    <r>
      <t>R</t>
    </r>
    <r>
      <rPr>
        <b/>
        <vertAlign val="subscript"/>
        <sz val="10"/>
        <rFont val="Arial"/>
        <family val="2"/>
      </rPr>
      <t>sn</t>
    </r>
  </si>
  <si>
    <r>
      <t>R</t>
    </r>
    <r>
      <rPr>
        <b/>
        <vertAlign val="subscript"/>
        <sz val="10"/>
        <rFont val="Arial"/>
        <family val="2"/>
      </rPr>
      <t>s</t>
    </r>
  </si>
  <si>
    <r>
      <t>R</t>
    </r>
    <r>
      <rPr>
        <b/>
        <vertAlign val="subscript"/>
        <sz val="10"/>
        <rFont val="Arial"/>
        <family val="2"/>
      </rPr>
      <t>sw</t>
    </r>
  </si>
  <si>
    <r>
      <rPr>
        <b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s</t>
    </r>
  </si>
  <si>
    <r>
      <t>E</t>
    </r>
    <r>
      <rPr>
        <b/>
        <vertAlign val="subscript"/>
        <sz val="10"/>
        <rFont val="Arial"/>
        <family val="2"/>
      </rPr>
      <t>s</t>
    </r>
  </si>
  <si>
    <t>Cấp độ bền</t>
  </si>
  <si>
    <t>Mpa</t>
  </si>
  <si>
    <t>CI</t>
  </si>
  <si>
    <t>CII</t>
  </si>
  <si>
    <t>CIII</t>
  </si>
  <si>
    <t>SD490</t>
  </si>
  <si>
    <t>W</t>
  </si>
  <si>
    <t>TÊN</t>
  </si>
  <si>
    <t>BEAM</t>
  </si>
  <si>
    <t>MÁC BÊ TÔNG</t>
  </si>
  <si>
    <t>E</t>
  </si>
  <si>
    <t>BT</t>
  </si>
  <si>
    <t>WALL</t>
  </si>
  <si>
    <t>KLR</t>
  </si>
  <si>
    <t>C300300</t>
  </si>
  <si>
    <t>Depth</t>
  </si>
  <si>
    <t>Width</t>
  </si>
  <si>
    <t>L1</t>
  </si>
  <si>
    <t>L2</t>
  </si>
  <si>
    <t>L3</t>
  </si>
  <si>
    <t>L10</t>
  </si>
  <si>
    <t>L9</t>
  </si>
  <si>
    <t>L8</t>
  </si>
  <si>
    <t>L7</t>
  </si>
  <si>
    <t>L6</t>
  </si>
  <si>
    <t>L5</t>
  </si>
  <si>
    <t>L4</t>
  </si>
  <si>
    <t>GF</t>
  </si>
  <si>
    <t>BM</t>
  </si>
  <si>
    <t>W200B30</t>
  </si>
  <si>
    <t xml:space="preserve">  GRIDSYSTEM "G1"  TYPE "CARTESIAN"  BUBBLESIZE 1.25 </t>
  </si>
  <si>
    <t xml:space="preserve">  COMBO "SLS01"  TYPE "Linear Add"  </t>
  </si>
  <si>
    <t xml:space="preserve">  COMBO "SLS01"  LOADCASE "DL"  SF 1  </t>
  </si>
  <si>
    <t xml:space="preserve">  COMBO "SLS01"  LOADCASE "SDL"  SF 1  </t>
  </si>
  <si>
    <t xml:space="preserve">  COMBO "SLS01"  LOADCASE "BW"  SF 1  </t>
  </si>
  <si>
    <t xml:space="preserve">  COMBO "SLS02"  TYPE "Linear Add"  </t>
  </si>
  <si>
    <t xml:space="preserve">  COMBO "SLS02"  LOADCASE "DL"  SF 1  </t>
  </si>
  <si>
    <t xml:space="preserve">  COMBO "SLS02"  LOADCASE "SDL"  SF 1  </t>
  </si>
  <si>
    <t xml:space="preserve">  COMBO "SLS02"  LOADCASE "BW"  SF 1  </t>
  </si>
  <si>
    <t xml:space="preserve">  COMBO "SLS02"  LOADCASE "LL"  SF 1  </t>
  </si>
  <si>
    <t xml:space="preserve">  COMBO "SLS02"  LOADCASE "LLA"  SF 1  </t>
  </si>
  <si>
    <t xml:space="preserve">  COMBO "SLS02"  LOADCASE "LLR"  SF 1  </t>
  </si>
  <si>
    <t xml:space="preserve">  COMBO "SLS03"  TYPE "Linear Add"  </t>
  </si>
  <si>
    <t xml:space="preserve">  COMBO "SLS03"  LOADCASE "DL"  SF 1  </t>
  </si>
  <si>
    <t xml:space="preserve">  COMBO "SLS03"  LOADCASE "SDL"  SF 1  </t>
  </si>
  <si>
    <t xml:space="preserve">  COMBO "SLS03"  LOADCASE "BW"  SF 1  </t>
  </si>
  <si>
    <t xml:space="preserve">  COMBO "SLS03"  LOADCASE "LL"  SF 0.9  </t>
  </si>
  <si>
    <t xml:space="preserve">  COMBO "SLS03"  LOADCASE "LLA"  SF 0.9  </t>
  </si>
  <si>
    <t xml:space="preserve">  COMBO "SLS03"  LOADCASE "LLR"  SF 0.9  </t>
  </si>
  <si>
    <t xml:space="preserve">  COMBO "SLS03"  LOADCASE "WX"  SF 0.9  </t>
  </si>
  <si>
    <t xml:space="preserve">  COMBO "SLS04"  TYPE "Linear Add"  </t>
  </si>
  <si>
    <t xml:space="preserve">  COMBO "SLS04"  LOADCASE "DL"  SF 1  </t>
  </si>
  <si>
    <t xml:space="preserve">  COMBO "SLS04"  LOADCASE "SDL"  SF 1  </t>
  </si>
  <si>
    <t xml:space="preserve">  COMBO "SLS04"  LOADCASE "BW"  SF 1  </t>
  </si>
  <si>
    <t xml:space="preserve">  COMBO "SLS04"  LOADCASE "LL"  SF 0.9  </t>
  </si>
  <si>
    <t xml:space="preserve">  COMBO "SLS04"  LOADCASE "LLA"  SF 0.9  </t>
  </si>
  <si>
    <t xml:space="preserve">  COMBO "SLS04"  LOADCASE "LLR"  SF 0.9  </t>
  </si>
  <si>
    <t xml:space="preserve">  COMBO "SLS04"  LOADCASE "WX"  SF -0.9  </t>
  </si>
  <si>
    <t xml:space="preserve">  COMBO "SLS05"  TYPE "Linear Add"  </t>
  </si>
  <si>
    <t xml:space="preserve">  COMBO "SLS05"  LOADCASE "DL"  SF 1  </t>
  </si>
  <si>
    <t xml:space="preserve">  COMBO "SLS05"  LOADCASE "SDL"  SF 1  </t>
  </si>
  <si>
    <t xml:space="preserve">  COMBO "SLS05"  LOADCASE "BW"  SF 1  </t>
  </si>
  <si>
    <t xml:space="preserve">  COMBO "SLS05"  LOADCASE "LL"  SF 0.9  </t>
  </si>
  <si>
    <t xml:space="preserve">  COMBO "SLS05"  LOADCASE "LLA"  SF 0.9  </t>
  </si>
  <si>
    <t xml:space="preserve">  COMBO "SLS05"  LOADCASE "LLR"  SF 0.9  </t>
  </si>
  <si>
    <t xml:space="preserve">  COMBO "SLS05"  LOADCASE "WY"  SF 0.9  </t>
  </si>
  <si>
    <t xml:space="preserve">  COMBO "SLS06"  TYPE "Linear Add"  </t>
  </si>
  <si>
    <t xml:space="preserve">  COMBO "SLS06"  LOADCASE "DL"  SF 1  </t>
  </si>
  <si>
    <t xml:space="preserve">  COMBO "SLS06"  LOADCASE "SDL"  SF 1  </t>
  </si>
  <si>
    <t xml:space="preserve">  COMBO "SLS06"  LOADCASE "BW"  SF 1  </t>
  </si>
  <si>
    <t xml:space="preserve">  COMBO "SLS06"  LOADCASE "LL"  SF 0.9  </t>
  </si>
  <si>
    <t xml:space="preserve">  COMBO "SLS06"  LOADCASE "LLA"  SF 0.9  </t>
  </si>
  <si>
    <t xml:space="preserve">  COMBO "SLS06"  LOADCASE "LLR"  SF 0.9  </t>
  </si>
  <si>
    <t xml:space="preserve">  COMBO "SLS06"  LOADCASE "WY"  SF -0.9  </t>
  </si>
  <si>
    <t xml:space="preserve">  COMBO "SLS07"  TYPE "Linear Add"  </t>
  </si>
  <si>
    <t xml:space="preserve">  COMBO "SLS07"  LOADCASE "DL"  SF 1  </t>
  </si>
  <si>
    <t xml:space="preserve">  COMBO "SLS07"  LOADCASE "SDL"  SF 1  </t>
  </si>
  <si>
    <t xml:space="preserve">  COMBO "SLS07"  LOADCASE "BW"  SF 1  </t>
  </si>
  <si>
    <t xml:space="preserve">  COMBO "SLS07"  LOADCASE "WX"  SF 1  </t>
  </si>
  <si>
    <t xml:space="preserve">  COMBO "SLS08"  TYPE "Linear Add"  </t>
  </si>
  <si>
    <t xml:space="preserve">  COMBO "SLS08"  LOADCASE "DL"  SF 1  </t>
  </si>
  <si>
    <t xml:space="preserve">  COMBO "SLS08"  LOADCASE "SDL"  SF 1  </t>
  </si>
  <si>
    <t xml:space="preserve">  COMBO "SLS08"  LOADCASE "BW"  SF 1  </t>
  </si>
  <si>
    <t xml:space="preserve">  COMBO "SLS08"  LOADCASE "WX"  SF -1  </t>
  </si>
  <si>
    <t xml:space="preserve">  COMBO "SLS09"  TYPE "Linear Add"  </t>
  </si>
  <si>
    <t xml:space="preserve">  COMBO "SLS09"  LOADCASE "DL"  SF 1  </t>
  </si>
  <si>
    <t xml:space="preserve">  COMBO "SLS09"  LOADCASE "SDL"  SF 1  </t>
  </si>
  <si>
    <t xml:space="preserve">  COMBO "SLS09"  LOADCASE "BW"  SF 1  </t>
  </si>
  <si>
    <t xml:space="preserve">  COMBO "SLS09"  LOADCASE "WY"  SF 1  </t>
  </si>
  <si>
    <t xml:space="preserve">  COMBO "SLS10"  TYPE "Linear Add"  </t>
  </si>
  <si>
    <t xml:space="preserve">  COMBO "SLS10"  LOADCASE "DL"  SF 1  </t>
  </si>
  <si>
    <t xml:space="preserve">  COMBO "SLS10"  LOADCASE "SDL"  SF 1  </t>
  </si>
  <si>
    <t xml:space="preserve">  COMBO "SLS10"  LOADCASE "BW"  SF 1  </t>
  </si>
  <si>
    <t xml:space="preserve">  COMBO "SLS10"  LOADCASE "WY"  SF -1  </t>
  </si>
  <si>
    <t xml:space="preserve">  COMBO "ULS01"  TYPE "Linear Add"  </t>
  </si>
  <si>
    <t xml:space="preserve">  COMBO "ULS01"  LOADCASE "DL"  SF 1.1  </t>
  </si>
  <si>
    <t xml:space="preserve">  COMBO "ULS01"  LOADCASE "SDL"  SF 1.25  </t>
  </si>
  <si>
    <t xml:space="preserve">  COMBO "ULS01"  LOADCASE "BW"  SF 1.1  </t>
  </si>
  <si>
    <t xml:space="preserve">  COMBO "ULS02"  TYPE "Linear Add"  </t>
  </si>
  <si>
    <t xml:space="preserve">  COMBO "ULS02"  LOADCASE "DL"  SF 1.1  </t>
  </si>
  <si>
    <t xml:space="preserve">  COMBO "ULS02"  LOADCASE "SDL"  SF 1.25  </t>
  </si>
  <si>
    <t xml:space="preserve">  COMBO "ULS02"  LOADCASE "BW"  SF 1.1  </t>
  </si>
  <si>
    <t xml:space="preserve">  COMBO "ULS02"  LOADCASE "LL"  SF 1.2  </t>
  </si>
  <si>
    <t xml:space="preserve">  COMBO "ULS02"  LOADCASE "LLA"  SF 1.3  </t>
  </si>
  <si>
    <t xml:space="preserve">  COMBO "ULS02"  LOADCASE "LLR"  SF 1.2  </t>
  </si>
  <si>
    <t xml:space="preserve">  COMBO "ULS03"  TYPE "Linear Add"  </t>
  </si>
  <si>
    <t xml:space="preserve">  COMBO "ULS03"  LOADCASE "DL"  SF 1.1  </t>
  </si>
  <si>
    <t xml:space="preserve">  COMBO "ULS03"  LOADCASE "SDL"  SF 1.25  </t>
  </si>
  <si>
    <t xml:space="preserve">  COMBO "ULS03"  LOADCASE "BW"  SF 1.1  </t>
  </si>
  <si>
    <t xml:space="preserve">  COMBO "ULS03"  LOADCASE "LL"  SF 1.08  </t>
  </si>
  <si>
    <t xml:space="preserve">  COMBO "ULS03"  LOADCASE "LLA"  SF 1.17  </t>
  </si>
  <si>
    <t xml:space="preserve">  COMBO "ULS03"  LOADCASE "LLR"  SF 1.08  </t>
  </si>
  <si>
    <t xml:space="preserve">  COMBO "ULS03"  LOADCASE "WX"  SF 1.08  </t>
  </si>
  <si>
    <t xml:space="preserve">  COMBO "ULS04"  TYPE "Linear Add"  </t>
  </si>
  <si>
    <t xml:space="preserve">  COMBO "ULS04"  LOADCASE "DL"  SF 1.1  </t>
  </si>
  <si>
    <t xml:space="preserve">  COMBO "ULS04"  LOADCASE "SDL"  SF 1.25  </t>
  </si>
  <si>
    <t xml:space="preserve">  COMBO "ULS04"  LOADCASE "BW"  SF 1.1  </t>
  </si>
  <si>
    <t xml:space="preserve">  COMBO "ULS04"  LOADCASE "LL"  SF 1.08  </t>
  </si>
  <si>
    <t xml:space="preserve">  COMBO "ULS04"  LOADCASE "LLA"  SF 1.17  </t>
  </si>
  <si>
    <t xml:space="preserve">  COMBO "ULS04"  LOADCASE "LLR"  SF 1.08  </t>
  </si>
  <si>
    <t xml:space="preserve">  COMBO "ULS04"  LOADCASE "WX"  SF -1.08  </t>
  </si>
  <si>
    <t xml:space="preserve">  COMBO "ULS05"  TYPE "Linear Add"  </t>
  </si>
  <si>
    <t xml:space="preserve">  COMBO "ULS05"  LOADCASE "DL"  SF 1.1  </t>
  </si>
  <si>
    <t xml:space="preserve">  COMBO "ULS05"  LOADCASE "SDL"  SF 1.25  </t>
  </si>
  <si>
    <t xml:space="preserve">  COMBO "ULS05"  LOADCASE "BW"  SF 1.1  </t>
  </si>
  <si>
    <t xml:space="preserve">  COMBO "ULS05"  LOADCASE "LL"  SF 1.08  </t>
  </si>
  <si>
    <t xml:space="preserve">  COMBO "ULS05"  LOADCASE "LLA"  SF 1.17  </t>
  </si>
  <si>
    <t xml:space="preserve">  COMBO "ULS05"  LOADCASE "LLR"  SF 1.08  </t>
  </si>
  <si>
    <t xml:space="preserve">  COMBO "ULS05"  LOADCASE "WY"  SF 1.08  </t>
  </si>
  <si>
    <t xml:space="preserve">  COMBO "ULS06"  TYPE "Linear Add"  </t>
  </si>
  <si>
    <t xml:space="preserve">  COMBO "ULS06"  LOADCASE "DL"  SF 1.1  </t>
  </si>
  <si>
    <t xml:space="preserve">  COMBO "ULS06"  LOADCASE "SDL"  SF 1.25  </t>
  </si>
  <si>
    <t xml:space="preserve">  COMBO "ULS06"  LOADCASE "BW"  SF 1.1  </t>
  </si>
  <si>
    <t xml:space="preserve">  COMBO "ULS06"  LOADCASE "LL"  SF 1.08  </t>
  </si>
  <si>
    <t xml:space="preserve">  COMBO "ULS06"  LOADCASE "LLA"  SF 1.17  </t>
  </si>
  <si>
    <t xml:space="preserve">  COMBO "ULS06"  LOADCASE "LLR"  SF 1.08  </t>
  </si>
  <si>
    <t xml:space="preserve">  COMBO "ULS06"  LOADCASE "WY"  SF -1.08  </t>
  </si>
  <si>
    <t xml:space="preserve">  COMBO "ULS07"  TYPE "Linear Add"  </t>
  </si>
  <si>
    <t xml:space="preserve">  COMBO "ULS07"  LOADCASE "DL"  SF 1.1  </t>
  </si>
  <si>
    <t xml:space="preserve">  COMBO "ULS07"  LOADCASE "SDL"  SF 1.25  </t>
  </si>
  <si>
    <t xml:space="preserve">  COMBO "ULS07"  LOADCASE "BW"  SF 1.1  </t>
  </si>
  <si>
    <t xml:space="preserve">  COMBO "ULS07"  LOADCASE "WX"  SF 1.2  </t>
  </si>
  <si>
    <t xml:space="preserve">  COMBO "ULS08"  TYPE "Linear Add"  </t>
  </si>
  <si>
    <t xml:space="preserve">  COMBO "ULS08"  LOADCASE "DL"  SF 1.1  </t>
  </si>
  <si>
    <t xml:space="preserve">  COMBO "ULS08"  LOADCASE "SDL"  SF 1.25  </t>
  </si>
  <si>
    <t xml:space="preserve">  COMBO "ULS08"  LOADCASE "BW"  SF 1.1  </t>
  </si>
  <si>
    <t xml:space="preserve">  COMBO "ULS08"  LOADCASE "WX"  SF -1.2  </t>
  </si>
  <si>
    <t xml:space="preserve">  COMBO "ULS09"  TYPE "Linear Add"  </t>
  </si>
  <si>
    <t xml:space="preserve">  COMBO "ULS09"  LOADCASE "DL"  SF 1.1  </t>
  </si>
  <si>
    <t xml:space="preserve">  COMBO "ULS09"  LOADCASE "SDL"  SF 1.25  </t>
  </si>
  <si>
    <t xml:space="preserve">  COMBO "ULS09"  LOADCASE "BW"  SF 1.1  </t>
  </si>
  <si>
    <t xml:space="preserve">  COMBO "ULS09"  LOADCASE "WY"  SF 1.2  </t>
  </si>
  <si>
    <t xml:space="preserve">  COMBO "ULS10"  TYPE "Linear Add"  </t>
  </si>
  <si>
    <t xml:space="preserve">  COMBO "ULS10"  LOADCASE "DL"  SF 1.1  </t>
  </si>
  <si>
    <t xml:space="preserve">  COMBO "ULS10"  LOADCASE "SDL"  SF 1.25  </t>
  </si>
  <si>
    <t xml:space="preserve">  COMBO "ULS10"  LOADCASE "BW"  SF 1.1  </t>
  </si>
  <si>
    <t xml:space="preserve">  COMBO "ULS10"  LOADCASE "WY"  SF -1.2  </t>
  </si>
  <si>
    <t>SLAB</t>
  </si>
  <si>
    <t>Thickness</t>
  </si>
  <si>
    <t xml:space="preserve">  SHELLPROP  "DCES120"  PROPTYPE  "Slab"  MATERIAL "B30"  MODELINGTYPE "ShellThin"  SLABTYPE "Slab"  SLABTHICKNESS 0.12 </t>
  </si>
  <si>
    <t>CB300 - T</t>
  </si>
  <si>
    <t>CB300 - V</t>
  </si>
  <si>
    <t>CB240 -T</t>
  </si>
  <si>
    <t>CB400 - V</t>
  </si>
  <si>
    <t>B225</t>
  </si>
  <si>
    <t>AI</t>
  </si>
  <si>
    <t>AII</t>
  </si>
  <si>
    <t>AIII</t>
  </si>
  <si>
    <t>SD295</t>
  </si>
  <si>
    <t>SD390</t>
  </si>
  <si>
    <t>CB500</t>
  </si>
  <si>
    <t>B250500</t>
  </si>
  <si>
    <t>Base</t>
  </si>
  <si>
    <t>DCES120</t>
  </si>
  <si>
    <r>
      <t>f</t>
    </r>
    <r>
      <rPr>
        <b/>
        <vertAlign val="subscript"/>
        <sz val="11"/>
        <rFont val="Times New Roman"/>
        <family val="1"/>
      </rPr>
      <t xml:space="preserve">ck </t>
    </r>
    <r>
      <rPr>
        <b/>
        <sz val="11"/>
        <rFont val="Times New Roman"/>
        <family val="1"/>
      </rPr>
      <t>= f</t>
    </r>
    <r>
      <rPr>
        <b/>
        <vertAlign val="subscript"/>
        <sz val="11"/>
        <rFont val="Times New Roman"/>
        <family val="1"/>
      </rPr>
      <t>cyl</t>
    </r>
  </si>
  <si>
    <t>m</t>
  </si>
  <si>
    <t xml:space="preserve">  MATERIAL  "SD490"    SYMTYPE "Uniaxial"  E 1.99948E+08  A 1.16999999590917E-05</t>
  </si>
  <si>
    <t xml:space="preserve">  MATERIAL  "SD490"  FY 413685.5  FU 620528.2</t>
  </si>
  <si>
    <t xml:space="preserve">  MATERIAL  "SD490"  HYSTYPE "Kinematic"  SSTYPE "Simple"  STRAINATHARDENING 0.01 STRAINATULTIMATE 0.09 FINALSLOPE -0.1 IOTENSION 0.01 LSTENSION 0.02 CPTENSION 0.05 IOCOMPRESSION 0.005 LSCOMPRESSION 0.01 CPCOMPRESSION 0.02 </t>
  </si>
  <si>
    <t xml:space="preserve">  MATERIAL  "SD490"    TYPE "Rebar"    WEIGHTPERVOLUME 76.97286</t>
  </si>
  <si>
    <t>Tên tầng ghi tiếng
Việt không dấu</t>
  </si>
  <si>
    <t>COMBO ENVELOPE</t>
  </si>
  <si>
    <t>Name</t>
  </si>
  <si>
    <t>CaseCombo</t>
  </si>
  <si>
    <t>Hệ số</t>
  </si>
  <si>
    <t>Type Combo</t>
  </si>
  <si>
    <t>SLS01</t>
  </si>
  <si>
    <t>SLS02</t>
  </si>
  <si>
    <t>SLS03</t>
  </si>
  <si>
    <t>SLS04</t>
  </si>
  <si>
    <t>SLS05</t>
  </si>
  <si>
    <t>SLS06</t>
  </si>
  <si>
    <t>SLS07</t>
  </si>
  <si>
    <t>SLS08</t>
  </si>
  <si>
    <t>SLS09</t>
  </si>
  <si>
    <t>SLS10</t>
  </si>
  <si>
    <t>ULS01</t>
  </si>
  <si>
    <t>ULS02</t>
  </si>
  <si>
    <t>ULS03</t>
  </si>
  <si>
    <t>ULS04</t>
  </si>
  <si>
    <t>ULS05</t>
  </si>
  <si>
    <t>ULS06</t>
  </si>
  <si>
    <t>ULS07</t>
  </si>
  <si>
    <t>ULS08</t>
  </si>
  <si>
    <t>ULS09</t>
  </si>
  <si>
    <t>ULS10</t>
  </si>
  <si>
    <t xml:space="preserve">  COMBO "vong dai han"  TYPE "Linear Add"  </t>
  </si>
  <si>
    <t xml:space="preserve">  COMBO "vong dai han"  LOADCASE "DL"  SF 1  </t>
  </si>
  <si>
    <t xml:space="preserve">  COMBO "vong dai han"  LOADCASE "SDL"  SF 1  </t>
  </si>
  <si>
    <t xml:space="preserve">  COMBO "vong dai han"  LOADCASE "BW"  SF 1  </t>
  </si>
  <si>
    <t xml:space="preserve">  COMBO "vong dai han"  LOADCASE "LL"  SF 0.3  </t>
  </si>
  <si>
    <t xml:space="preserve">  COMBO "vong dai han"  LOADCASE "LLA"  SF 0.3  </t>
  </si>
  <si>
    <t xml:space="preserve">  COMBO "vong dai han"  LOADCASE "LLR"  SF 0.3  </t>
  </si>
  <si>
    <t xml:space="preserve">  COMBO "ULS11"  TYPE "Linear Add"  </t>
  </si>
  <si>
    <t xml:space="preserve">  COMBO "ULS11"  LOADCASE "DL"  SF 1  </t>
  </si>
  <si>
    <t xml:space="preserve">  COMBO "ULS11"  LOADCASE "SDL"  SF 1  </t>
  </si>
  <si>
    <t xml:space="preserve">  COMBO "ULS11"  LOADCASE "BW"  SF 1  </t>
  </si>
  <si>
    <t xml:space="preserve">  COMBO "ULS11"  LOADCASE "LL"  SF 0.3  </t>
  </si>
  <si>
    <t xml:space="preserve">  COMBO "ULS11"  LOADCASE "LLA"  SF 0.3  </t>
  </si>
  <si>
    <t xml:space="preserve">  COMBO "ULS11"  LOADCASE "LLR"  SF 0.6  </t>
  </si>
  <si>
    <t xml:space="preserve">  COMBO "ULS12"  TYPE "Linear Add"  </t>
  </si>
  <si>
    <t xml:space="preserve">  COMBO "ULS12"  LOADCASE "DL"  SF 1  </t>
  </si>
  <si>
    <t xml:space="preserve">  COMBO "ULS12"  LOADCASE "SDL"  SF 1  </t>
  </si>
  <si>
    <t xml:space="preserve">  COMBO "ULS12"  LOADCASE "BW"  SF 1  </t>
  </si>
  <si>
    <t xml:space="preserve">  COMBO "ULS12"  LOADCASE "LL"  SF 0.3  </t>
  </si>
  <si>
    <t xml:space="preserve">  COMBO "ULS12"  LOADCASE "LLA"  SF 0.3  </t>
  </si>
  <si>
    <t xml:space="preserve">  COMBO "ULS12"  LOADCASE "LLR"  SF 0.6  </t>
  </si>
  <si>
    <t xml:space="preserve">  COMBO "ULS13"  TYPE "Linear Add"  </t>
  </si>
  <si>
    <t xml:space="preserve">  COMBO "ULS13"  LOADCASE "DL"  SF 1  </t>
  </si>
  <si>
    <t xml:space="preserve">  COMBO "ULS13"  LOADCASE "SDL"  SF 1  </t>
  </si>
  <si>
    <t xml:space="preserve">  COMBO "ULS13"  LOADCASE "BW"  SF 1  </t>
  </si>
  <si>
    <t xml:space="preserve">  COMBO "ULS14"  TYPE "Linear Add"  </t>
  </si>
  <si>
    <t xml:space="preserve">  COMBO "ULS14"  LOADCASE "DL"  SF 1  </t>
  </si>
  <si>
    <t xml:space="preserve">  COMBO "ULS14"  LOADCASE "SDL"  SF 1  </t>
  </si>
  <si>
    <t xml:space="preserve">  COMBO "ULS14"  LOADCASE "BW"  SF 1  </t>
  </si>
  <si>
    <t>Dead</t>
  </si>
  <si>
    <t>SuperDead</t>
  </si>
  <si>
    <t>Live</t>
  </si>
  <si>
    <t>Wind</t>
  </si>
  <si>
    <t>ULS11</t>
  </si>
  <si>
    <t>ULS12</t>
  </si>
  <si>
    <t>ULS13</t>
  </si>
  <si>
    <t>ULS14</t>
  </si>
  <si>
    <t>SLS11</t>
  </si>
  <si>
    <t>SLS12</t>
  </si>
  <si>
    <t>SLS13</t>
  </si>
  <si>
    <t>SLS14</t>
  </si>
  <si>
    <t>Cấp hậu quả của công trình cấp 2</t>
  </si>
  <si>
    <t>TỔ HỢP/CASE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</si>
</sst>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#,##0.000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00FF"/>
      <name val="Times New Roman"/>
      <family val="1"/>
    </font>
    <font>
      <sz val="11"/>
      <color theme="1"/>
      <name val="Arial"/>
      <family val="2"/>
    </font>
    <font>
      <i/>
      <sz val="9"/>
      <color theme="1"/>
      <name val="Arial"/>
      <family val="2"/>
    </font>
    <font>
      <sz val="10"/>
      <color theme="1"/>
      <name val="Arial"/>
      <family val="2"/>
    </font>
    <font>
      <sz val="11"/>
      <name val="Times New Roman"/>
      <family val="1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color rgb="FF0000FF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Times New Roman"/>
      <family val="1"/>
    </font>
    <font>
      <b/>
      <vertAlign val="subscript"/>
      <sz val="10"/>
      <color theme="1"/>
      <name val="Arial"/>
      <family val="2"/>
    </font>
    <font>
      <b/>
      <sz val="10"/>
      <name val="Symbol"/>
      <family val="1"/>
      <charset val="2"/>
    </font>
    <font>
      <b/>
      <sz val="11"/>
      <name val="Times New Roman"/>
      <family val="1"/>
    </font>
    <font>
      <b/>
      <sz val="11"/>
      <color rgb="FF0000FF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vertAlign val="subscript"/>
      <sz val="11"/>
      <name val="Times New Roman"/>
      <family val="1"/>
    </font>
    <font>
      <b/>
      <sz val="12"/>
      <color rgb="FF000000"/>
      <name val="Times New Roman"/>
      <family val="1"/>
    </font>
    <font>
      <b/>
      <sz val="10"/>
      <color rgb="FF0000FF"/>
      <name val="Arial"/>
      <family val="2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8"/>
      <name val="Calibri"/>
      <family val="2"/>
      <scheme val="minor"/>
    </font>
    <font>
      <b/>
      <sz val="9"/>
      <color indexed="8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FFF9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4" fillId="0" borderId="0"/>
    <xf numFmtId="0" fontId="7" fillId="0" borderId="0"/>
    <xf numFmtId="0" fontId="11" fillId="0" borderId="0"/>
    <xf numFmtId="0" fontId="12" fillId="0" borderId="0"/>
    <xf numFmtId="0" fontId="23" fillId="0" borderId="0"/>
  </cellStyleXfs>
  <cellXfs count="14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2" fillId="4" borderId="0" xfId="0" applyFont="1" applyFill="1"/>
    <xf numFmtId="0" fontId="1" fillId="0" borderId="1" xfId="0" applyFont="1" applyFill="1" applyBorder="1"/>
    <xf numFmtId="0" fontId="1" fillId="0" borderId="1" xfId="0" applyFont="1" applyBorder="1" applyAlignment="1">
      <alignment horizontal="left"/>
    </xf>
    <xf numFmtId="0" fontId="5" fillId="3" borderId="0" xfId="1" applyFont="1" applyFill="1" applyBorder="1" applyAlignment="1">
      <alignment horizontal="left" vertical="center"/>
    </xf>
    <xf numFmtId="0" fontId="6" fillId="6" borderId="0" xfId="1" applyFont="1" applyFill="1" applyBorder="1" applyAlignment="1">
      <alignment horizontal="left" vertical="center"/>
    </xf>
    <xf numFmtId="0" fontId="6" fillId="6" borderId="0" xfId="1" applyFont="1" applyFill="1" applyAlignment="1">
      <alignment vertical="center"/>
    </xf>
    <xf numFmtId="0" fontId="9" fillId="8" borderId="1" xfId="1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8" fillId="10" borderId="1" xfId="2" applyFont="1" applyFill="1" applyBorder="1" applyAlignment="1">
      <alignment horizontal="center" vertical="center"/>
    </xf>
    <xf numFmtId="164" fontId="8" fillId="7" borderId="1" xfId="3" applyNumberFormat="1" applyFont="1" applyFill="1" applyBorder="1" applyAlignment="1">
      <alignment horizontal="center" vertical="center"/>
    </xf>
    <xf numFmtId="164" fontId="8" fillId="8" borderId="1" xfId="3" applyNumberFormat="1" applyFont="1" applyFill="1" applyBorder="1" applyAlignment="1">
      <alignment horizontal="center" vertical="center"/>
    </xf>
    <xf numFmtId="164" fontId="8" fillId="9" borderId="1" xfId="3" applyNumberFormat="1" applyFont="1" applyFill="1" applyBorder="1" applyAlignment="1">
      <alignment horizontal="center" vertical="center"/>
    </xf>
    <xf numFmtId="164" fontId="8" fillId="3" borderId="0" xfId="3" applyNumberFormat="1" applyFont="1" applyFill="1" applyBorder="1" applyAlignment="1">
      <alignment horizontal="center" vertical="center"/>
    </xf>
    <xf numFmtId="0" fontId="12" fillId="6" borderId="1" xfId="2" applyFont="1" applyFill="1" applyBorder="1" applyAlignment="1">
      <alignment vertical="center"/>
    </xf>
    <xf numFmtId="0" fontId="8" fillId="7" borderId="1" xfId="3" applyFont="1" applyFill="1" applyBorder="1" applyAlignment="1">
      <alignment horizontal="center" vertical="center"/>
    </xf>
    <xf numFmtId="0" fontId="8" fillId="8" borderId="1" xfId="3" applyFont="1" applyFill="1" applyBorder="1" applyAlignment="1">
      <alignment horizontal="center" vertical="center"/>
    </xf>
    <xf numFmtId="0" fontId="8" fillId="9" borderId="1" xfId="3" applyFont="1" applyFill="1" applyBorder="1" applyAlignment="1">
      <alignment horizontal="center" vertical="center"/>
    </xf>
    <xf numFmtId="0" fontId="8" fillId="3" borderId="0" xfId="3" applyFont="1" applyFill="1" applyBorder="1" applyAlignment="1">
      <alignment horizontal="center" vertical="center"/>
    </xf>
    <xf numFmtId="0" fontId="13" fillId="6" borderId="1" xfId="3" applyFont="1" applyFill="1" applyBorder="1" applyAlignment="1">
      <alignment horizontal="left" vertical="center"/>
    </xf>
    <xf numFmtId="2" fontId="13" fillId="6" borderId="1" xfId="3" applyNumberFormat="1" applyFont="1" applyFill="1" applyBorder="1" applyAlignment="1">
      <alignment horizontal="right" vertical="center"/>
    </xf>
    <xf numFmtId="2" fontId="14" fillId="6" borderId="1" xfId="3" applyNumberFormat="1" applyFont="1" applyFill="1" applyBorder="1" applyAlignment="1">
      <alignment horizontal="right" vertical="center"/>
    </xf>
    <xf numFmtId="2" fontId="13" fillId="3" borderId="0" xfId="3" applyNumberFormat="1" applyFont="1" applyFill="1" applyBorder="1" applyAlignment="1">
      <alignment horizontal="right" vertical="center"/>
    </xf>
    <xf numFmtId="164" fontId="13" fillId="6" borderId="0" xfId="3" applyNumberFormat="1" applyFont="1" applyFill="1" applyBorder="1" applyAlignment="1">
      <alignment horizontal="right" vertical="center"/>
    </xf>
    <xf numFmtId="0" fontId="6" fillId="3" borderId="0" xfId="1" applyFont="1" applyFill="1" applyAlignment="1">
      <alignment vertical="center"/>
    </xf>
    <xf numFmtId="0" fontId="6" fillId="6" borderId="0" xfId="1" applyFont="1" applyFill="1" applyBorder="1" applyAlignment="1">
      <alignment vertical="center"/>
    </xf>
    <xf numFmtId="164" fontId="8" fillId="0" borderId="1" xfId="3" applyNumberFormat="1" applyFont="1" applyBorder="1" applyAlignment="1">
      <alignment horizontal="center" vertical="center"/>
    </xf>
    <xf numFmtId="0" fontId="8" fillId="0" borderId="1" xfId="3" applyFont="1" applyFill="1" applyBorder="1" applyAlignment="1">
      <alignment horizontal="center" vertical="center"/>
    </xf>
    <xf numFmtId="1" fontId="8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2" fillId="0" borderId="1" xfId="3" applyFont="1" applyBorder="1" applyAlignment="1">
      <alignment horizontal="center" vertical="center"/>
    </xf>
    <xf numFmtId="164" fontId="12" fillId="0" borderId="1" xfId="3" applyNumberFormat="1" applyFont="1" applyBorder="1" applyAlignment="1">
      <alignment horizontal="center" vertical="center"/>
    </xf>
    <xf numFmtId="1" fontId="12" fillId="0" borderId="1" xfId="3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/>
    <xf numFmtId="0" fontId="7" fillId="4" borderId="0" xfId="0" applyFont="1" applyFill="1"/>
    <xf numFmtId="0" fontId="7" fillId="2" borderId="1" xfId="0" applyFont="1" applyFill="1" applyBorder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3" fontId="7" fillId="2" borderId="3" xfId="0" applyNumberFormat="1" applyFont="1" applyFill="1" applyBorder="1" applyAlignment="1">
      <alignment horizontal="center" vertical="center"/>
    </xf>
    <xf numFmtId="3" fontId="3" fillId="3" borderId="3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/>
    <xf numFmtId="0" fontId="8" fillId="0" borderId="1" xfId="3" applyFont="1" applyBorder="1" applyAlignment="1">
      <alignment horizontal="center" vertical="center"/>
    </xf>
    <xf numFmtId="0" fontId="0" fillId="0" borderId="0" xfId="0" applyProtection="1"/>
    <xf numFmtId="0" fontId="6" fillId="6" borderId="0" xfId="1" applyFont="1" applyFill="1" applyAlignment="1">
      <alignment horizontal="center" vertical="center"/>
    </xf>
    <xf numFmtId="1" fontId="12" fillId="0" borderId="0" xfId="2" applyNumberFormat="1" applyFont="1" applyAlignment="1">
      <alignment horizontal="center" vertical="center"/>
    </xf>
    <xf numFmtId="1" fontId="9" fillId="3" borderId="1" xfId="4" applyNumberFormat="1" applyFont="1" applyFill="1" applyBorder="1" applyAlignment="1" applyProtection="1">
      <alignment horizontal="center" vertical="center"/>
    </xf>
    <xf numFmtId="2" fontId="12" fillId="0" borderId="1" xfId="2" applyNumberFormat="1" applyFont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21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3" fillId="0" borderId="1" xfId="2" applyFont="1" applyBorder="1" applyAlignment="1">
      <alignment horizontal="left"/>
    </xf>
    <xf numFmtId="0" fontId="13" fillId="0" borderId="1" xfId="3" applyFont="1" applyBorder="1" applyAlignment="1">
      <alignment horizontal="left"/>
    </xf>
    <xf numFmtId="0" fontId="13" fillId="0" borderId="1" xfId="3" applyFont="1" applyBorder="1" applyAlignment="1">
      <alignment horizontal="left" vertical="center"/>
    </xf>
    <xf numFmtId="164" fontId="13" fillId="0" borderId="1" xfId="3" applyNumberFormat="1" applyFont="1" applyBorder="1" applyAlignment="1">
      <alignment horizontal="left"/>
    </xf>
    <xf numFmtId="2" fontId="13" fillId="0" borderId="1" xfId="3" applyNumberFormat="1" applyFont="1" applyBorder="1" applyAlignment="1">
      <alignment horizontal="left"/>
    </xf>
    <xf numFmtId="1" fontId="13" fillId="0" borderId="1" xfId="2" applyNumberFormat="1" applyFont="1" applyBorder="1" applyAlignment="1">
      <alignment horizontal="left" vertical="center"/>
    </xf>
    <xf numFmtId="0" fontId="13" fillId="0" borderId="1" xfId="2" applyFont="1" applyBorder="1" applyAlignment="1">
      <alignment horizontal="left" vertical="center"/>
    </xf>
    <xf numFmtId="164" fontId="13" fillId="0" borderId="1" xfId="3" applyNumberFormat="1" applyFont="1" applyBorder="1" applyAlignment="1">
      <alignment horizontal="left" vertical="center"/>
    </xf>
    <xf numFmtId="2" fontId="13" fillId="0" borderId="1" xfId="3" applyNumberFormat="1" applyFont="1" applyBorder="1" applyAlignment="1">
      <alignment horizontal="left" vertical="center"/>
    </xf>
    <xf numFmtId="164" fontId="12" fillId="0" borderId="1" xfId="2" applyNumberFormat="1" applyFont="1" applyBorder="1" applyAlignment="1">
      <alignment horizontal="left" vertical="center"/>
    </xf>
    <xf numFmtId="2" fontId="13" fillId="0" borderId="1" xfId="2" applyNumberFormat="1" applyFont="1" applyBorder="1" applyAlignment="1">
      <alignment horizontal="left" vertical="center"/>
    </xf>
    <xf numFmtId="164" fontId="13" fillId="0" borderId="1" xfId="2" applyNumberFormat="1" applyFont="1" applyBorder="1" applyAlignment="1">
      <alignment horizontal="left" vertical="center"/>
    </xf>
    <xf numFmtId="0" fontId="13" fillId="0" borderId="1" xfId="2" applyFont="1" applyFill="1" applyBorder="1" applyAlignment="1">
      <alignment horizontal="left" vertical="center"/>
    </xf>
    <xf numFmtId="0" fontId="6" fillId="6" borderId="1" xfId="1" applyFont="1" applyFill="1" applyBorder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1" fillId="12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0" fontId="21" fillId="0" borderId="3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6" fillId="11" borderId="1" xfId="3" applyFont="1" applyFill="1" applyBorder="1" applyAlignment="1">
      <alignment horizontal="left" vertical="center"/>
    </xf>
    <xf numFmtId="0" fontId="26" fillId="0" borderId="1" xfId="3" applyFont="1" applyBorder="1" applyAlignment="1">
      <alignment horizontal="left" vertical="center"/>
    </xf>
    <xf numFmtId="0" fontId="26" fillId="0" borderId="1" xfId="2" applyFont="1" applyBorder="1" applyAlignment="1">
      <alignment horizontal="left" vertical="center"/>
    </xf>
    <xf numFmtId="0" fontId="26" fillId="0" borderId="1" xfId="2" applyFont="1" applyBorder="1" applyAlignment="1">
      <alignment horizontal="left"/>
    </xf>
    <xf numFmtId="0" fontId="26" fillId="11" borderId="1" xfId="2" applyFont="1" applyFill="1" applyBorder="1" applyAlignment="1">
      <alignment horizontal="left" vertical="center"/>
    </xf>
    <xf numFmtId="0" fontId="27" fillId="0" borderId="2" xfId="0" applyFont="1" applyFill="1" applyBorder="1" applyAlignment="1">
      <alignment horizontal="center"/>
    </xf>
    <xf numFmtId="0" fontId="28" fillId="0" borderId="2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/>
    <xf numFmtId="3" fontId="21" fillId="3" borderId="3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3" fillId="3" borderId="0" xfId="0" applyFont="1" applyFill="1"/>
    <xf numFmtId="165" fontId="3" fillId="0" borderId="1" xfId="0" applyNumberFormat="1" applyFont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22" fillId="13" borderId="1" xfId="0" applyFont="1" applyFill="1" applyBorder="1" applyAlignment="1"/>
    <xf numFmtId="0" fontId="22" fillId="13" borderId="1" xfId="0" applyFont="1" applyFill="1" applyBorder="1" applyAlignment="1">
      <alignment wrapText="1"/>
    </xf>
    <xf numFmtId="0" fontId="21" fillId="2" borderId="1" xfId="0" applyFont="1" applyFill="1" applyBorder="1" applyAlignment="1">
      <alignment horizontal="center" vertical="center"/>
    </xf>
    <xf numFmtId="4" fontId="3" fillId="2" borderId="1" xfId="0" applyNumberFormat="1" applyFont="1" applyFill="1" applyBorder="1" applyAlignment="1">
      <alignment horizontal="center" vertical="center"/>
    </xf>
    <xf numFmtId="4" fontId="3" fillId="3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 vertical="center"/>
    </xf>
    <xf numFmtId="0" fontId="21" fillId="2" borderId="1" xfId="0" quotePrefix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166" fontId="3" fillId="3" borderId="1" xfId="0" applyNumberFormat="1" applyFont="1" applyFill="1" applyBorder="1" applyAlignment="1">
      <alignment horizontal="center" vertical="center"/>
    </xf>
    <xf numFmtId="166" fontId="3" fillId="11" borderId="1" xfId="0" applyNumberFormat="1" applyFont="1" applyFill="1" applyBorder="1" applyAlignment="1">
      <alignment horizontal="center" vertical="center"/>
    </xf>
    <xf numFmtId="165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/>
    </xf>
    <xf numFmtId="0" fontId="8" fillId="11" borderId="3" xfId="2" applyFont="1" applyFill="1" applyBorder="1" applyAlignment="1">
      <alignment horizontal="center" vertical="center"/>
    </xf>
    <xf numFmtId="0" fontId="8" fillId="11" borderId="4" xfId="2" applyFont="1" applyFill="1" applyBorder="1" applyAlignment="1">
      <alignment horizontal="center" vertical="center"/>
    </xf>
    <xf numFmtId="0" fontId="8" fillId="11" borderId="5" xfId="2" applyFont="1" applyFill="1" applyBorder="1" applyAlignment="1">
      <alignment horizontal="center" vertical="center"/>
    </xf>
    <xf numFmtId="0" fontId="8" fillId="11" borderId="1" xfId="2" applyFont="1" applyFill="1" applyBorder="1" applyAlignment="1">
      <alignment horizontal="center" vertical="center"/>
    </xf>
    <xf numFmtId="0" fontId="8" fillId="0" borderId="1" xfId="3" applyFont="1" applyBorder="1" applyAlignment="1">
      <alignment horizontal="center" vertical="center"/>
    </xf>
    <xf numFmtId="0" fontId="5" fillId="5" borderId="3" xfId="1" applyFont="1" applyFill="1" applyBorder="1" applyAlignment="1">
      <alignment horizontal="left" vertical="center"/>
    </xf>
    <xf numFmtId="0" fontId="5" fillId="5" borderId="4" xfId="1" applyFont="1" applyFill="1" applyBorder="1" applyAlignment="1">
      <alignment horizontal="left" vertical="center"/>
    </xf>
    <xf numFmtId="0" fontId="5" fillId="5" borderId="5" xfId="1" applyFont="1" applyFill="1" applyBorder="1" applyAlignment="1">
      <alignment horizontal="left" vertical="center"/>
    </xf>
    <xf numFmtId="0" fontId="8" fillId="7" borderId="1" xfId="2" applyFont="1" applyFill="1" applyBorder="1" applyAlignment="1">
      <alignment horizontal="center" vertical="center"/>
    </xf>
    <xf numFmtId="0" fontId="9" fillId="9" borderId="1" xfId="1" applyFont="1" applyFill="1" applyBorder="1" applyAlignment="1">
      <alignment horizontal="center" vertical="center"/>
    </xf>
    <xf numFmtId="0" fontId="8" fillId="7" borderId="1" xfId="3" applyFont="1" applyFill="1" applyBorder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4" fontId="21" fillId="2" borderId="1" xfId="0" applyNumberFormat="1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22" fillId="14" borderId="6" xfId="0" applyFont="1" applyFill="1" applyBorder="1" applyAlignment="1">
      <alignment horizontal="center"/>
    </xf>
    <xf numFmtId="0" fontId="22" fillId="14" borderId="7" xfId="0" applyFont="1" applyFill="1" applyBorder="1" applyAlignment="1">
      <alignment horizontal="center"/>
    </xf>
  </cellXfs>
  <cellStyles count="6">
    <cellStyle name="Normal" xfId="0" builtinId="0"/>
    <cellStyle name="Normal 2" xfId="1"/>
    <cellStyle name="Normal 2 2" xfId="2"/>
    <cellStyle name="Normal 3" xfId="5"/>
    <cellStyle name="Normal_Sheet3" xfId="3"/>
    <cellStyle name="Normal_Thep san" xf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10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5"/>
            <c:backward val="5"/>
            <c:dispRSqr val="1"/>
            <c:dispEq val="1"/>
            <c:trendlineLbl>
              <c:layout>
                <c:manualLayout>
                  <c:x val="-0.36007895888013997"/>
                  <c:y val="-2.564102564102564E-2"/>
                </c:manualLayout>
              </c:layout>
              <c:numFmt formatCode="General" sourceLinked="0"/>
              <c:spPr>
                <a:noFill/>
                <a:ln>
                  <a:solidFill>
                    <a:schemeClr val="accent1">
                      <a:alpha val="99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'STRENGTH CLASSES FOR CONCRETE'!$H$4:$H$17</c:f>
              <c:numCache>
                <c:formatCode>General</c:formatCode>
                <c:ptCount val="14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37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67</c:v>
                </c:pt>
                <c:pt idx="10">
                  <c:v>75</c:v>
                </c:pt>
                <c:pt idx="11">
                  <c:v>85</c:v>
                </c:pt>
                <c:pt idx="12">
                  <c:v>95</c:v>
                </c:pt>
                <c:pt idx="13">
                  <c:v>105</c:v>
                </c:pt>
              </c:numCache>
            </c:numRef>
          </c:xVal>
          <c:yVal>
            <c:numRef>
              <c:f>'STRENGTH CLASSES FOR CONCRETE'!$I$4:$I$17</c:f>
              <c:numCache>
                <c:formatCode>General</c:formatCode>
                <c:ptCount val="14"/>
                <c:pt idx="0">
                  <c:v>12</c:v>
                </c:pt>
                <c:pt idx="1">
                  <c:v>16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FF-4CCB-9E71-FEE0954E4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25592960"/>
        <c:axId val="-425615808"/>
      </c:scatterChart>
      <c:valAx>
        <c:axId val="-42559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25615808"/>
        <c:crosses val="autoZero"/>
        <c:crossBetween val="midCat"/>
      </c:valAx>
      <c:valAx>
        <c:axId val="-42561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2559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166687</xdr:rowOff>
    </xdr:from>
    <xdr:to>
      <xdr:col>15</xdr:col>
      <xdr:colOff>523875</xdr:colOff>
      <xdr:row>17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47625</xdr:rowOff>
        </xdr:from>
        <xdr:to>
          <xdr:col>4</xdr:col>
          <xdr:colOff>1390650</xdr:colOff>
          <xdr:row>2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Tạo file .e2k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kret\c\Documents%20and%20Settings\&#37428;&#26408;&#12288;&#36948;&#21705;\Local%20Settings\Temporary%20Internet%20Files\Content.IE5\XV65FD25\BOURJOIS\BOURJBQ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u2ng\Nu2nG\Nu2nG\NISSAN%20BSD%20Tender\NISSAN%20BSD%20PI\BQ_TIMAH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ata%20Duy%20Viet\Dai%20quang%20Minh\VU_T6-MAI\KienTruc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T\AppData\Roaming\Microsoft\Excel\Kata-05-2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01.WORK\29.DAI_QUANG_MINH(FULL)\File_Tinh\06A%20-%20Format%20Ket%20cau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unt.COTECCONS\Desktop\BOQ%20-%20PHAN%20HOAN%20THI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rthwork"/>
      <sheetName val="TenderAnaly"/>
      <sheetName val="AppendixA"/>
      <sheetName val="BQ"/>
      <sheetName val="GrossBQ"/>
      <sheetName val="GrossBQ (2)"/>
      <sheetName val="BQ(2)"/>
      <sheetName val="BQ(3)"/>
      <sheetName val="Summary"/>
      <sheetName val="G1"/>
      <sheetName val="FlrArea"/>
      <sheetName val="Analysis"/>
      <sheetName val="Notes"/>
      <sheetName val="Prelims"/>
      <sheetName val="Site Expense"/>
      <sheetName val="Steelwork"/>
      <sheetName val="ExtWalls"/>
      <sheetName val="Founds"/>
      <sheetName val="Slab"/>
      <sheetName val="Retaining Wall"/>
      <sheetName val="Summary Final"/>
      <sheetName val="G1 Final"/>
      <sheetName val="Thiet bi"/>
      <sheetName val="Nhan cong"/>
      <sheetName val="GrossBQ_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kap rap"/>
      <sheetName val="Sheet1"/>
      <sheetName val="harsat"/>
      <sheetName val="AN BONGKARAN"/>
      <sheetName val="ANALISA"/>
      <sheetName val="AN kusen"/>
      <sheetName val="AN beton"/>
      <sheetName val="REKAP"/>
      <sheetName val="upah bahan"/>
      <sheetName val="RAB BONGKARAN"/>
      <sheetName val="bq tam-penghub"/>
      <sheetName val="RAB AR&amp;STR"/>
      <sheetName val="RAB M&amp;E"/>
      <sheetName val="RAB AR_STR"/>
      <sheetName val="rekap_rap"/>
      <sheetName val="AN_BONGKARAN"/>
      <sheetName val="AN_kusen"/>
      <sheetName val="AN_beton"/>
      <sheetName val="upah_bahan"/>
      <sheetName val="RAB_BONGKARAN"/>
      <sheetName val="bq_tam-penghub"/>
      <sheetName val="RAB_AR&amp;STR"/>
      <sheetName val="RAB_M&amp;E"/>
      <sheetName val="Lat gach san nha"/>
      <sheetName val="Lat_gach_san_nha"/>
      <sheetName val="Earthwork"/>
      <sheetName val="01.THGTTT"/>
      <sheetName val="HD 15122"/>
      <sheetName val="GT Bieu hanh lang"/>
      <sheetName val="BAG-2"/>
      <sheetName val="rekap_rap1"/>
      <sheetName val="AN_BONGKARAN1"/>
      <sheetName val="AN_kusen1"/>
      <sheetName val="AN_beton1"/>
      <sheetName val="upah_bahan1"/>
      <sheetName val="RAB_BONGKARAN1"/>
      <sheetName val="bq_tam-penghub1"/>
      <sheetName val="RAB_AR&amp;STR1"/>
      <sheetName val="RAB_M&amp;E1"/>
      <sheetName val="Lat_gach_san_nha1"/>
      <sheetName val="RAB_AR_STR"/>
      <sheetName val="CV CHAO GIA 2"/>
      <sheetName val="COMMON AREA"/>
      <sheetName val="Sheet2"/>
      <sheetName val="Sheet3"/>
      <sheetName val="Goc C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inhtoan"/>
      <sheetName val="Sheet2"/>
      <sheetName val="Thepsan"/>
      <sheetName val="Kien truc"/>
      <sheetName val="Sheet1"/>
      <sheetName val="HT PODIUM"/>
      <sheetName val="HT VAN PHONG"/>
      <sheetName val="3. KC - PODIUM"/>
      <sheetName val="4. KC - THAP VP"/>
    </sheetNames>
    <sheetDataSet>
      <sheetData sheetId="0">
        <row r="8">
          <cell r="C8">
            <v>20</v>
          </cell>
        </row>
        <row r="14">
          <cell r="E14">
            <v>30</v>
          </cell>
        </row>
        <row r="16">
          <cell r="B16">
            <v>6</v>
          </cell>
          <cell r="C16">
            <v>0.222</v>
          </cell>
        </row>
        <row r="17">
          <cell r="B17">
            <v>8</v>
          </cell>
          <cell r="C17">
            <v>0.39500000000000002</v>
          </cell>
        </row>
        <row r="18">
          <cell r="B18">
            <v>10</v>
          </cell>
          <cell r="C18">
            <v>0.61699999999999999</v>
          </cell>
        </row>
        <row r="19">
          <cell r="B19">
            <v>12</v>
          </cell>
          <cell r="C19">
            <v>0.88800000000000001</v>
          </cell>
        </row>
        <row r="20">
          <cell r="B20">
            <v>14</v>
          </cell>
          <cell r="C20">
            <v>1.208</v>
          </cell>
        </row>
        <row r="21">
          <cell r="B21">
            <v>16</v>
          </cell>
          <cell r="C21">
            <v>1.5780000000000001</v>
          </cell>
        </row>
        <row r="22">
          <cell r="B22">
            <v>18</v>
          </cell>
          <cell r="C22">
            <v>1.998</v>
          </cell>
        </row>
        <row r="23">
          <cell r="B23">
            <v>20</v>
          </cell>
          <cell r="C23">
            <v>2.4660000000000002</v>
          </cell>
        </row>
        <row r="24">
          <cell r="B24">
            <v>22</v>
          </cell>
          <cell r="C24">
            <v>2.984</v>
          </cell>
        </row>
        <row r="25">
          <cell r="B25">
            <v>25</v>
          </cell>
          <cell r="C25">
            <v>3.8530000000000002</v>
          </cell>
        </row>
        <row r="26">
          <cell r="B26">
            <v>28</v>
          </cell>
          <cell r="C26">
            <v>4.8339999999999996</v>
          </cell>
        </row>
        <row r="27">
          <cell r="B27">
            <v>32</v>
          </cell>
          <cell r="C27">
            <v>6.3129999999999997</v>
          </cell>
        </row>
        <row r="28">
          <cell r="B28">
            <v>36</v>
          </cell>
          <cell r="C28">
            <v>7.99</v>
          </cell>
        </row>
        <row r="29">
          <cell r="B29">
            <v>40</v>
          </cell>
          <cell r="C29">
            <v>9.8650000000000002</v>
          </cell>
        </row>
        <row r="36">
          <cell r="J36">
            <v>1</v>
          </cell>
        </row>
        <row r="37">
          <cell r="B37" t="str">
            <v>Ne-Ne</v>
          </cell>
          <cell r="C37">
            <v>10</v>
          </cell>
          <cell r="D37">
            <v>250</v>
          </cell>
          <cell r="J37">
            <v>50</v>
          </cell>
          <cell r="M37" t="str">
            <v>Ne</v>
          </cell>
          <cell r="N37">
            <v>30</v>
          </cell>
        </row>
        <row r="38">
          <cell r="B38" t="str">
            <v>Ne-Tu</v>
          </cell>
          <cell r="C38">
            <v>14</v>
          </cell>
          <cell r="D38">
            <v>150</v>
          </cell>
          <cell r="M38" t="str">
            <v>Tu</v>
          </cell>
          <cell r="N38">
            <v>0</v>
          </cell>
        </row>
        <row r="39">
          <cell r="B39" t="str">
            <v>Tu-Tu</v>
          </cell>
          <cell r="C39">
            <v>16</v>
          </cell>
          <cell r="D39">
            <v>200</v>
          </cell>
          <cell r="M39" t="str">
            <v>Mo</v>
          </cell>
          <cell r="N39">
            <v>10</v>
          </cell>
        </row>
        <row r="40">
          <cell r="B40" t="str">
            <v>Ne-Mo</v>
          </cell>
          <cell r="M40" t="str">
            <v>Ho</v>
          </cell>
          <cell r="N40">
            <v>210</v>
          </cell>
        </row>
        <row r="41">
          <cell r="B41" t="str">
            <v>Tu-Mo</v>
          </cell>
          <cell r="J41">
            <v>1</v>
          </cell>
        </row>
        <row r="42">
          <cell r="B42" t="str">
            <v>Mo-Mo</v>
          </cell>
        </row>
        <row r="43">
          <cell r="B43" t="str">
            <v>Ho-Ho</v>
          </cell>
        </row>
        <row r="44">
          <cell r="B44" t="str">
            <v>Ne-Ho</v>
          </cell>
        </row>
        <row r="85">
          <cell r="N85">
            <v>4</v>
          </cell>
        </row>
        <row r="86">
          <cell r="N86">
            <v>4.5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"/>
      <sheetName val="Dam"/>
      <sheetName val="save_info"/>
      <sheetName val="Kata-05-20"/>
    </sheetNames>
    <sheetDataSet>
      <sheetData sheetId="0">
        <row r="2">
          <cell r="AK2">
            <v>1200</v>
          </cell>
        </row>
        <row r="6">
          <cell r="AK6">
            <v>800</v>
          </cell>
        </row>
        <row r="21">
          <cell r="AK21">
            <v>25</v>
          </cell>
        </row>
      </sheetData>
      <sheetData sheetId="1"/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00000000"/>
      <sheetName val="10000000"/>
      <sheetName val="20000000"/>
      <sheetName val="30000000"/>
      <sheetName val="40000000"/>
      <sheetName val="STA"/>
      <sheetName val="COC"/>
      <sheetName val="MONG"/>
      <sheetName val="DAM"/>
      <sheetName val="COT-VACH"/>
      <sheetName val="TUONG VAY"/>
      <sheetName val="CKDB"/>
      <sheetName val="KCT"/>
      <sheetName val="KT"/>
      <sheetName val="BoQ KC"/>
    </sheetNames>
    <sheetDataSet>
      <sheetData sheetId="0">
        <row r="7">
          <cell r="D7">
            <v>7850</v>
          </cell>
        </row>
        <row r="8">
          <cell r="D8">
            <v>1</v>
          </cell>
        </row>
        <row r="9">
          <cell r="D9" t="str">
            <v>-</v>
          </cell>
        </row>
        <row r="15">
          <cell r="B15">
            <v>45</v>
          </cell>
        </row>
        <row r="16">
          <cell r="B16">
            <v>50</v>
          </cell>
        </row>
        <row r="25">
          <cell r="C25">
            <v>6</v>
          </cell>
          <cell r="D25">
            <v>210</v>
          </cell>
          <cell r="I25">
            <v>6</v>
          </cell>
          <cell r="J25">
            <v>210</v>
          </cell>
        </row>
        <row r="26">
          <cell r="C26">
            <v>8</v>
          </cell>
          <cell r="D26">
            <v>280</v>
          </cell>
          <cell r="I26">
            <v>8</v>
          </cell>
          <cell r="J26">
            <v>280</v>
          </cell>
        </row>
        <row r="27">
          <cell r="C27">
            <v>10</v>
          </cell>
          <cell r="D27">
            <v>350</v>
          </cell>
          <cell r="I27">
            <v>10</v>
          </cell>
          <cell r="J27">
            <v>350</v>
          </cell>
        </row>
        <row r="28">
          <cell r="C28">
            <v>12</v>
          </cell>
          <cell r="D28">
            <v>420</v>
          </cell>
          <cell r="I28">
            <v>12</v>
          </cell>
          <cell r="J28">
            <v>420</v>
          </cell>
        </row>
        <row r="29">
          <cell r="C29">
            <v>14</v>
          </cell>
          <cell r="D29">
            <v>490</v>
          </cell>
          <cell r="I29">
            <v>14</v>
          </cell>
          <cell r="J29">
            <v>490</v>
          </cell>
        </row>
        <row r="30">
          <cell r="C30">
            <v>16</v>
          </cell>
          <cell r="D30">
            <v>560</v>
          </cell>
          <cell r="I30">
            <v>16</v>
          </cell>
          <cell r="J30">
            <v>560</v>
          </cell>
        </row>
        <row r="31">
          <cell r="C31">
            <v>18</v>
          </cell>
          <cell r="D31">
            <v>630</v>
          </cell>
          <cell r="I31">
            <v>18</v>
          </cell>
          <cell r="J31">
            <v>630</v>
          </cell>
        </row>
        <row r="32">
          <cell r="C32">
            <v>20</v>
          </cell>
          <cell r="D32">
            <v>700</v>
          </cell>
          <cell r="I32">
            <v>20</v>
          </cell>
          <cell r="J32">
            <v>700</v>
          </cell>
        </row>
        <row r="33">
          <cell r="C33">
            <v>22</v>
          </cell>
          <cell r="D33">
            <v>770</v>
          </cell>
          <cell r="I33">
            <v>22</v>
          </cell>
          <cell r="J33">
            <v>770</v>
          </cell>
        </row>
        <row r="34">
          <cell r="C34">
            <v>25</v>
          </cell>
          <cell r="D34">
            <v>880</v>
          </cell>
          <cell r="I34">
            <v>25</v>
          </cell>
          <cell r="J34">
            <v>880</v>
          </cell>
        </row>
        <row r="35">
          <cell r="C35">
            <v>28</v>
          </cell>
          <cell r="D35">
            <v>980</v>
          </cell>
          <cell r="I35">
            <v>28</v>
          </cell>
          <cell r="J35">
            <v>980</v>
          </cell>
        </row>
        <row r="36">
          <cell r="C36">
            <v>32</v>
          </cell>
          <cell r="D36">
            <v>1120</v>
          </cell>
          <cell r="I36">
            <v>32</v>
          </cell>
          <cell r="J36">
            <v>1120</v>
          </cell>
        </row>
        <row r="37">
          <cell r="C37">
            <v>36</v>
          </cell>
          <cell r="D37">
            <v>1260</v>
          </cell>
          <cell r="I37">
            <v>36</v>
          </cell>
          <cell r="J37">
            <v>1260</v>
          </cell>
        </row>
        <row r="38">
          <cell r="C38">
            <v>40</v>
          </cell>
          <cell r="D38">
            <v>1400</v>
          </cell>
          <cell r="I38">
            <v>40</v>
          </cell>
          <cell r="J38">
            <v>1400</v>
          </cell>
        </row>
        <row r="40">
          <cell r="F40">
            <v>1</v>
          </cell>
        </row>
        <row r="45">
          <cell r="A45" t="str">
            <v>Ne</v>
          </cell>
          <cell r="C45" t="str">
            <v>BT</v>
          </cell>
          <cell r="E45" t="str">
            <v>CPV</v>
          </cell>
          <cell r="G45" t="str">
            <v>TS</v>
          </cell>
        </row>
        <row r="46">
          <cell r="A46" t="str">
            <v>Tu</v>
          </cell>
          <cell r="C46" t="str">
            <v>BTD</v>
          </cell>
          <cell r="E46" t="str">
            <v>CPS</v>
          </cell>
          <cell r="G46" t="str">
            <v>TC</v>
          </cell>
        </row>
        <row r="47">
          <cell r="A47" t="str">
            <v>Mo</v>
          </cell>
          <cell r="C47" t="str">
            <v>BTC</v>
          </cell>
          <cell r="E47" t="str">
            <v>CPD</v>
          </cell>
          <cell r="G47" t="str">
            <v>TD</v>
          </cell>
        </row>
        <row r="48">
          <cell r="A48" t="str">
            <v>Ho</v>
          </cell>
          <cell r="C48" t="str">
            <v>BTM(Vác góc)</v>
          </cell>
          <cell r="E48" t="str">
            <v>CPM</v>
          </cell>
          <cell r="G48" t="str">
            <v>CC</v>
          </cell>
        </row>
        <row r="49">
          <cell r="A49" t="str">
            <v>Hos</v>
          </cell>
          <cell r="C49" t="str">
            <v>BTV</v>
          </cell>
          <cell r="E49" t="str">
            <v>CPC</v>
          </cell>
          <cell r="G49" t="str">
            <v>TCT</v>
          </cell>
        </row>
        <row r="50">
          <cell r="A50" t="str">
            <v>R</v>
          </cell>
          <cell r="E50" t="str">
            <v>CPCS</v>
          </cell>
        </row>
        <row r="51">
          <cell r="A51" t="str">
            <v>U</v>
          </cell>
        </row>
        <row r="52">
          <cell r="A52" t="str">
            <v>O</v>
          </cell>
        </row>
        <row r="53">
          <cell r="A53" t="str">
            <v>xR</v>
          </cell>
        </row>
        <row r="54">
          <cell r="A54" t="str">
            <v>xU</v>
          </cell>
        </row>
        <row r="55">
          <cell r="A55" t="str">
            <v>Cv</v>
          </cell>
        </row>
        <row r="56">
          <cell r="A56" t="str">
            <v>Ch</v>
          </cell>
        </row>
        <row r="57">
          <cell r="A57" t="str">
            <v>La</v>
          </cell>
        </row>
        <row r="61">
          <cell r="E61">
            <v>0</v>
          </cell>
        </row>
        <row r="63">
          <cell r="E63">
            <v>100</v>
          </cell>
        </row>
        <row r="65">
          <cell r="E65">
            <v>100</v>
          </cell>
        </row>
        <row r="66">
          <cell r="E66">
            <v>500</v>
          </cell>
        </row>
        <row r="67">
          <cell r="E67">
            <v>300</v>
          </cell>
        </row>
        <row r="68">
          <cell r="E68">
            <v>1.3</v>
          </cell>
        </row>
        <row r="79">
          <cell r="E79">
            <v>0</v>
          </cell>
        </row>
        <row r="80">
          <cell r="E80">
            <v>1</v>
          </cell>
        </row>
        <row r="81">
          <cell r="E81">
            <v>0.25</v>
          </cell>
        </row>
        <row r="82">
          <cell r="E82">
            <v>10</v>
          </cell>
        </row>
        <row r="83">
          <cell r="E83">
            <v>0.25</v>
          </cell>
        </row>
        <row r="84">
          <cell r="E84">
            <v>0.16666666666666666</v>
          </cell>
        </row>
        <row r="89">
          <cell r="E89">
            <v>0.25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NG HOP"/>
      <sheetName val="DIEN TICH"/>
      <sheetName val="HT HAM"/>
      <sheetName val="HT PODIUM"/>
      <sheetName val="HT VAN PHONG"/>
      <sheetName val="3. KC - PODIUM"/>
      <sheetName val="4. KC - THAP VP"/>
    </sheetNames>
    <sheetDataSet>
      <sheetData sheetId="0"/>
      <sheetData sheetId="1">
        <row r="41">
          <cell r="I41">
            <v>0</v>
          </cell>
        </row>
      </sheetData>
      <sheetData sheetId="2"/>
      <sheetData sheetId="3"/>
      <sheetData sheetId="4"/>
      <sheetData sheetId="5">
        <row r="530">
          <cell r="I530">
            <v>0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226"/>
  <sheetViews>
    <sheetView workbookViewId="0">
      <selection activeCell="A13" sqref="A13"/>
    </sheetView>
  </sheetViews>
  <sheetFormatPr defaultRowHeight="15" x14ac:dyDescent="0.25"/>
  <cols>
    <col min="1" max="1" width="255.7109375" style="58" bestFit="1" customWidth="1"/>
    <col min="2" max="16384" width="9.140625" style="58"/>
  </cols>
  <sheetData>
    <row r="1" spans="1:1" x14ac:dyDescent="0.25">
      <c r="A1" s="58" t="s">
        <v>188</v>
      </c>
    </row>
    <row r="2" spans="1:1" x14ac:dyDescent="0.25">
      <c r="A2" s="58" t="s">
        <v>27</v>
      </c>
    </row>
    <row r="3" spans="1:1" x14ac:dyDescent="0.25">
      <c r="A3" s="58" t="s">
        <v>28</v>
      </c>
    </row>
    <row r="4" spans="1:1" x14ac:dyDescent="0.25">
      <c r="A4" s="58" t="s">
        <v>29</v>
      </c>
    </row>
    <row r="6" spans="1:1" x14ac:dyDescent="0.25">
      <c r="A6" s="58" t="s">
        <v>30</v>
      </c>
    </row>
    <row r="7" spans="1:1" x14ac:dyDescent="0.25">
      <c r="A7" s="58" t="s">
        <v>31</v>
      </c>
    </row>
    <row r="8" spans="1:1" x14ac:dyDescent="0.25">
      <c r="A8" s="58" t="s">
        <v>32</v>
      </c>
    </row>
    <row r="9" spans="1:1" x14ac:dyDescent="0.25">
      <c r="A9" s="58" t="s">
        <v>33</v>
      </c>
    </row>
    <row r="10" spans="1:1" x14ac:dyDescent="0.25">
      <c r="A10" s="58" t="s">
        <v>34</v>
      </c>
    </row>
    <row r="12" spans="1:1" x14ac:dyDescent="0.25">
      <c r="A12" s="58" t="s">
        <v>35</v>
      </c>
    </row>
    <row r="13" spans="1:1" x14ac:dyDescent="0.25">
      <c r="A13" s="58" t="s">
        <v>36</v>
      </c>
    </row>
    <row r="14" spans="1:1" x14ac:dyDescent="0.25">
      <c r="A14" s="58" t="s">
        <v>37</v>
      </c>
    </row>
    <row r="15" spans="1:1" x14ac:dyDescent="0.25">
      <c r="A15" s="58" t="s">
        <v>38</v>
      </c>
    </row>
    <row r="16" spans="1:1" x14ac:dyDescent="0.25">
      <c r="A16" s="58" t="s">
        <v>39</v>
      </c>
    </row>
    <row r="17" spans="1:1" x14ac:dyDescent="0.25">
      <c r="A17" s="58" t="s">
        <v>40</v>
      </c>
    </row>
    <row r="19" spans="1:1" x14ac:dyDescent="0.25">
      <c r="A19" s="58" t="s">
        <v>11</v>
      </c>
    </row>
    <row r="21" spans="1:1" x14ac:dyDescent="0.25">
      <c r="A21" s="58" t="s">
        <v>14</v>
      </c>
    </row>
    <row r="22" spans="1:1" x14ac:dyDescent="0.25">
      <c r="A22" s="58" t="s">
        <v>15</v>
      </c>
    </row>
    <row r="24" spans="1:1" x14ac:dyDescent="0.25">
      <c r="A24" s="58" t="s">
        <v>16</v>
      </c>
    </row>
    <row r="25" spans="1:1" x14ac:dyDescent="0.25">
      <c r="A25" s="58" t="s">
        <v>458</v>
      </c>
    </row>
    <row r="26" spans="1:1" x14ac:dyDescent="0.25">
      <c r="A26" s="58" t="s">
        <v>455</v>
      </c>
    </row>
    <row r="27" spans="1:1" x14ac:dyDescent="0.25">
      <c r="A27" s="58" t="s">
        <v>456</v>
      </c>
    </row>
    <row r="28" spans="1:1" x14ac:dyDescent="0.25">
      <c r="A28" s="58" t="s">
        <v>457</v>
      </c>
    </row>
    <row r="29" spans="1:1" x14ac:dyDescent="0.25">
      <c r="A29" s="58" t="s">
        <v>17</v>
      </c>
    </row>
    <row r="30" spans="1:1" x14ac:dyDescent="0.25">
      <c r="A30" s="58" t="s">
        <v>18</v>
      </c>
    </row>
    <row r="31" spans="1:1" x14ac:dyDescent="0.25">
      <c r="A31" s="58" t="s">
        <v>19</v>
      </c>
    </row>
    <row r="32" spans="1:1" x14ac:dyDescent="0.25">
      <c r="A32" s="58" t="s">
        <v>20</v>
      </c>
    </row>
    <row r="33" spans="1:1" x14ac:dyDescent="0.25">
      <c r="A33" s="58" t="s">
        <v>21</v>
      </c>
    </row>
    <row r="34" spans="1:1" x14ac:dyDescent="0.25">
      <c r="A34" s="58" t="s">
        <v>22</v>
      </c>
    </row>
    <row r="35" spans="1:1" x14ac:dyDescent="0.25">
      <c r="A35" s="58" t="s">
        <v>23</v>
      </c>
    </row>
    <row r="36" spans="1:1" x14ac:dyDescent="0.25">
      <c r="A36" s="58" t="s">
        <v>24</v>
      </c>
    </row>
    <row r="37" spans="1:1" x14ac:dyDescent="0.25">
      <c r="A37" s="58" t="s">
        <v>25</v>
      </c>
    </row>
    <row r="39" spans="1:1" x14ac:dyDescent="0.25">
      <c r="A39" s="58" t="s">
        <v>41</v>
      </c>
    </row>
    <row r="40" spans="1:1" x14ac:dyDescent="0.25">
      <c r="A40" s="58" t="s">
        <v>42</v>
      </c>
    </row>
    <row r="41" spans="1:1" x14ac:dyDescent="0.25">
      <c r="A41" s="58" t="s">
        <v>43</v>
      </c>
    </row>
    <row r="42" spans="1:1" x14ac:dyDescent="0.25">
      <c r="A42" s="58" t="s">
        <v>44</v>
      </c>
    </row>
    <row r="43" spans="1:1" x14ac:dyDescent="0.25">
      <c r="A43" s="58" t="s">
        <v>45</v>
      </c>
    </row>
    <row r="44" spans="1:1" x14ac:dyDescent="0.25">
      <c r="A44" s="58" t="s">
        <v>46</v>
      </c>
    </row>
    <row r="45" spans="1:1" x14ac:dyDescent="0.25">
      <c r="A45" s="58" t="s">
        <v>47</v>
      </c>
    </row>
    <row r="46" spans="1:1" x14ac:dyDescent="0.25">
      <c r="A46" s="58" t="s">
        <v>48</v>
      </c>
    </row>
    <row r="47" spans="1:1" x14ac:dyDescent="0.25">
      <c r="A47" s="58" t="s">
        <v>49</v>
      </c>
    </row>
    <row r="48" spans="1:1" x14ac:dyDescent="0.25">
      <c r="A48" s="58" t="s">
        <v>50</v>
      </c>
    </row>
    <row r="49" spans="1:1" x14ac:dyDescent="0.25">
      <c r="A49" s="58" t="s">
        <v>51</v>
      </c>
    </row>
    <row r="50" spans="1:1" x14ac:dyDescent="0.25">
      <c r="A50" s="58" t="s">
        <v>52</v>
      </c>
    </row>
    <row r="51" spans="1:1" x14ac:dyDescent="0.25">
      <c r="A51" s="58" t="s">
        <v>53</v>
      </c>
    </row>
    <row r="52" spans="1:1" x14ac:dyDescent="0.25">
      <c r="A52" s="58" t="s">
        <v>54</v>
      </c>
    </row>
    <row r="53" spans="1:1" x14ac:dyDescent="0.25">
      <c r="A53" s="58" t="s">
        <v>55</v>
      </c>
    </row>
    <row r="54" spans="1:1" x14ac:dyDescent="0.25">
      <c r="A54" s="58" t="s">
        <v>56</v>
      </c>
    </row>
    <row r="55" spans="1:1" x14ac:dyDescent="0.25">
      <c r="A55" s="58" t="s">
        <v>57</v>
      </c>
    </row>
    <row r="57" spans="1:1" x14ac:dyDescent="0.25">
      <c r="A57" s="58" t="s">
        <v>58</v>
      </c>
    </row>
    <row r="58" spans="1:1" x14ac:dyDescent="0.25">
      <c r="A58" s="58" t="s">
        <v>59</v>
      </c>
    </row>
    <row r="59" spans="1:1" x14ac:dyDescent="0.25">
      <c r="A59" s="58" t="s">
        <v>60</v>
      </c>
    </row>
    <row r="61" spans="1:1" x14ac:dyDescent="0.25">
      <c r="A61" s="58" t="s">
        <v>61</v>
      </c>
    </row>
    <row r="62" spans="1:1" x14ac:dyDescent="0.25">
      <c r="A62" s="58" t="s">
        <v>62</v>
      </c>
    </row>
    <row r="63" spans="1:1" x14ac:dyDescent="0.25">
      <c r="A63" s="58" t="s">
        <v>63</v>
      </c>
    </row>
    <row r="65" spans="1:1" x14ac:dyDescent="0.25">
      <c r="A65" s="58" t="s">
        <v>64</v>
      </c>
    </row>
    <row r="66" spans="1:1" x14ac:dyDescent="0.25">
      <c r="A66" s="58" t="s">
        <v>438</v>
      </c>
    </row>
    <row r="68" spans="1:1" x14ac:dyDescent="0.25">
      <c r="A68" s="58" t="s">
        <v>65</v>
      </c>
    </row>
    <row r="69" spans="1:1" x14ac:dyDescent="0.25">
      <c r="A69" s="58" t="s">
        <v>66</v>
      </c>
    </row>
    <row r="71" spans="1:1" x14ac:dyDescent="0.25">
      <c r="A71" s="58" t="s">
        <v>67</v>
      </c>
    </row>
    <row r="72" spans="1:1" x14ac:dyDescent="0.25">
      <c r="A72" s="58" t="s">
        <v>68</v>
      </c>
    </row>
    <row r="74" spans="1:1" x14ac:dyDescent="0.25">
      <c r="A74" s="58" t="s">
        <v>69</v>
      </c>
    </row>
    <row r="75" spans="1:1" x14ac:dyDescent="0.25">
      <c r="A75" s="58" t="s">
        <v>70</v>
      </c>
    </row>
    <row r="76" spans="1:1" x14ac:dyDescent="0.25">
      <c r="A76" s="58" t="s">
        <v>71</v>
      </c>
    </row>
    <row r="77" spans="1:1" x14ac:dyDescent="0.25">
      <c r="A77" s="58" t="s">
        <v>72</v>
      </c>
    </row>
    <row r="79" spans="1:1" x14ac:dyDescent="0.25">
      <c r="A79" s="58" t="s">
        <v>73</v>
      </c>
    </row>
    <row r="80" spans="1:1" x14ac:dyDescent="0.25">
      <c r="A80" s="58" t="s">
        <v>74</v>
      </c>
    </row>
    <row r="82" spans="1:1" x14ac:dyDescent="0.25">
      <c r="A82" s="58" t="s">
        <v>75</v>
      </c>
    </row>
    <row r="83" spans="1:1" x14ac:dyDescent="0.25">
      <c r="A83" s="58" t="s">
        <v>76</v>
      </c>
    </row>
    <row r="84" spans="1:1" x14ac:dyDescent="0.25">
      <c r="A84" s="58" t="s">
        <v>77</v>
      </c>
    </row>
    <row r="86" spans="1:1" x14ac:dyDescent="0.25">
      <c r="A86" s="58" t="s">
        <v>8</v>
      </c>
    </row>
    <row r="88" spans="1:1" x14ac:dyDescent="0.25">
      <c r="A88" s="58" t="s">
        <v>186</v>
      </c>
    </row>
    <row r="90" spans="1:1" x14ac:dyDescent="0.25">
      <c r="A90" s="58" t="s">
        <v>9</v>
      </c>
    </row>
    <row r="92" spans="1:1" x14ac:dyDescent="0.25">
      <c r="A92" s="58" t="s">
        <v>26</v>
      </c>
    </row>
    <row r="94" spans="1:1" x14ac:dyDescent="0.25">
      <c r="A94" s="58" t="s">
        <v>187</v>
      </c>
    </row>
    <row r="96" spans="1:1" x14ac:dyDescent="0.25">
      <c r="A96" s="58" t="s">
        <v>10</v>
      </c>
    </row>
    <row r="98" spans="1:1" x14ac:dyDescent="0.25">
      <c r="A98" s="58" t="s">
        <v>78</v>
      </c>
    </row>
    <row r="99" spans="1:1" x14ac:dyDescent="0.25">
      <c r="A99" s="58" t="s">
        <v>79</v>
      </c>
    </row>
    <row r="100" spans="1:1" x14ac:dyDescent="0.25">
      <c r="A100" s="58" t="s">
        <v>80</v>
      </c>
    </row>
    <row r="101" spans="1:1" x14ac:dyDescent="0.25">
      <c r="A101" s="58" t="s">
        <v>81</v>
      </c>
    </row>
    <row r="102" spans="1:1" x14ac:dyDescent="0.25">
      <c r="A102" s="58" t="s">
        <v>82</v>
      </c>
    </row>
    <row r="103" spans="1:1" x14ac:dyDescent="0.25">
      <c r="A103" s="58" t="s">
        <v>83</v>
      </c>
    </row>
    <row r="104" spans="1:1" x14ac:dyDescent="0.25">
      <c r="A104" s="58" t="s">
        <v>84</v>
      </c>
    </row>
    <row r="105" spans="1:1" x14ac:dyDescent="0.25">
      <c r="A105" s="58" t="s">
        <v>85</v>
      </c>
    </row>
    <row r="106" spans="1:1" x14ac:dyDescent="0.25">
      <c r="A106" s="58" t="s">
        <v>86</v>
      </c>
    </row>
    <row r="107" spans="1:1" x14ac:dyDescent="0.25">
      <c r="A107" s="58" t="s">
        <v>87</v>
      </c>
    </row>
    <row r="108" spans="1:1" x14ac:dyDescent="0.25">
      <c r="A108" s="58" t="s">
        <v>88</v>
      </c>
    </row>
    <row r="109" spans="1:1" x14ac:dyDescent="0.25">
      <c r="A109" s="58" t="s">
        <v>89</v>
      </c>
    </row>
    <row r="110" spans="1:1" x14ac:dyDescent="0.25">
      <c r="A110" s="58" t="s">
        <v>90</v>
      </c>
    </row>
    <row r="112" spans="1:1" x14ac:dyDescent="0.25">
      <c r="A112" s="58" t="s">
        <v>91</v>
      </c>
    </row>
    <row r="114" spans="1:1" x14ac:dyDescent="0.25">
      <c r="A114" s="58" t="s">
        <v>189</v>
      </c>
    </row>
    <row r="116" spans="1:1" x14ac:dyDescent="0.25">
      <c r="A116" s="58" t="s">
        <v>92</v>
      </c>
    </row>
    <row r="118" spans="1:1" x14ac:dyDescent="0.25">
      <c r="A118" s="58" t="s">
        <v>93</v>
      </c>
    </row>
    <row r="119" spans="1:1" x14ac:dyDescent="0.25">
      <c r="A119" s="58" t="s">
        <v>94</v>
      </c>
    </row>
    <row r="120" spans="1:1" x14ac:dyDescent="0.25">
      <c r="A120" s="58" t="s">
        <v>95</v>
      </c>
    </row>
    <row r="121" spans="1:1" x14ac:dyDescent="0.25">
      <c r="A121" s="58" t="s">
        <v>96</v>
      </c>
    </row>
    <row r="122" spans="1:1" x14ac:dyDescent="0.25">
      <c r="A122" s="58" t="s">
        <v>97</v>
      </c>
    </row>
    <row r="124" spans="1:1" x14ac:dyDescent="0.25">
      <c r="A124" s="58" t="s">
        <v>98</v>
      </c>
    </row>
    <row r="125" spans="1:1" x14ac:dyDescent="0.25">
      <c r="A125" s="58" t="s">
        <v>99</v>
      </c>
    </row>
    <row r="127" spans="1:1" x14ac:dyDescent="0.25">
      <c r="A127" s="58" t="s">
        <v>100</v>
      </c>
    </row>
    <row r="128" spans="1:1" x14ac:dyDescent="0.25">
      <c r="A128" s="58" t="s">
        <v>101</v>
      </c>
    </row>
    <row r="129" spans="1:1" x14ac:dyDescent="0.25">
      <c r="A129" s="58" t="s">
        <v>102</v>
      </c>
    </row>
    <row r="130" spans="1:1" x14ac:dyDescent="0.25">
      <c r="A130" s="58" t="s">
        <v>103</v>
      </c>
    </row>
    <row r="131" spans="1:1" x14ac:dyDescent="0.25">
      <c r="A131" s="58" t="s">
        <v>104</v>
      </c>
    </row>
    <row r="132" spans="1:1" x14ac:dyDescent="0.25">
      <c r="A132" s="58" t="s">
        <v>105</v>
      </c>
    </row>
    <row r="133" spans="1:1" x14ac:dyDescent="0.25">
      <c r="A133" s="58" t="s">
        <v>106</v>
      </c>
    </row>
    <row r="135" spans="1:1" x14ac:dyDescent="0.25">
      <c r="A135" s="58" t="s">
        <v>107</v>
      </c>
    </row>
    <row r="137" spans="1:1" x14ac:dyDescent="0.25">
      <c r="A137" s="58" t="s">
        <v>108</v>
      </c>
    </row>
    <row r="138" spans="1:1" x14ac:dyDescent="0.25">
      <c r="A138" s="58" t="s">
        <v>109</v>
      </c>
    </row>
    <row r="139" spans="1:1" x14ac:dyDescent="0.25">
      <c r="A139" s="58" t="s">
        <v>110</v>
      </c>
    </row>
    <row r="140" spans="1:1" x14ac:dyDescent="0.25">
      <c r="A140" s="58" t="s">
        <v>111</v>
      </c>
    </row>
    <row r="141" spans="1:1" x14ac:dyDescent="0.25">
      <c r="A141" s="58" t="s">
        <v>112</v>
      </c>
    </row>
    <row r="142" spans="1:1" x14ac:dyDescent="0.25">
      <c r="A142" s="58" t="s">
        <v>113</v>
      </c>
    </row>
    <row r="143" spans="1:1" x14ac:dyDescent="0.25">
      <c r="A143" s="58" t="s">
        <v>114</v>
      </c>
    </row>
    <row r="144" spans="1:1" x14ac:dyDescent="0.25">
      <c r="A144" s="58" t="s">
        <v>115</v>
      </c>
    </row>
    <row r="145" spans="1:1" x14ac:dyDescent="0.25">
      <c r="A145" s="58" t="s">
        <v>116</v>
      </c>
    </row>
    <row r="146" spans="1:1" x14ac:dyDescent="0.25">
      <c r="A146" s="58" t="s">
        <v>117</v>
      </c>
    </row>
    <row r="147" spans="1:1" x14ac:dyDescent="0.25">
      <c r="A147" s="58" t="s">
        <v>118</v>
      </c>
    </row>
    <row r="148" spans="1:1" x14ac:dyDescent="0.25">
      <c r="A148" s="58" t="s">
        <v>119</v>
      </c>
    </row>
    <row r="149" spans="1:1" x14ac:dyDescent="0.25">
      <c r="A149" s="58" t="s">
        <v>120</v>
      </c>
    </row>
    <row r="150" spans="1:1" x14ac:dyDescent="0.25">
      <c r="A150" s="58" t="s">
        <v>121</v>
      </c>
    </row>
    <row r="151" spans="1:1" x14ac:dyDescent="0.25">
      <c r="A151" s="58" t="s">
        <v>122</v>
      </c>
    </row>
    <row r="152" spans="1:1" x14ac:dyDescent="0.25">
      <c r="A152" s="58" t="s">
        <v>123</v>
      </c>
    </row>
    <row r="153" spans="1:1" x14ac:dyDescent="0.25">
      <c r="A153" s="58" t="s">
        <v>124</v>
      </c>
    </row>
    <row r="154" spans="1:1" x14ac:dyDescent="0.25">
      <c r="A154" s="58" t="s">
        <v>125</v>
      </c>
    </row>
    <row r="155" spans="1:1" x14ac:dyDescent="0.25">
      <c r="A155" s="58" t="s">
        <v>126</v>
      </c>
    </row>
    <row r="157" spans="1:1" x14ac:dyDescent="0.25">
      <c r="A157" s="58" t="s">
        <v>127</v>
      </c>
    </row>
    <row r="159" spans="1:1" x14ac:dyDescent="0.25">
      <c r="A159" s="58" t="s">
        <v>128</v>
      </c>
    </row>
    <row r="160" spans="1:1" x14ac:dyDescent="0.25">
      <c r="A160" s="58" t="s">
        <v>129</v>
      </c>
    </row>
    <row r="161" spans="1:1" x14ac:dyDescent="0.25">
      <c r="A161" s="58" t="s">
        <v>130</v>
      </c>
    </row>
    <row r="162" spans="1:1" x14ac:dyDescent="0.25">
      <c r="A162" s="58" t="s">
        <v>131</v>
      </c>
    </row>
    <row r="163" spans="1:1" x14ac:dyDescent="0.25">
      <c r="A163" s="58" t="s">
        <v>132</v>
      </c>
    </row>
    <row r="164" spans="1:1" x14ac:dyDescent="0.25">
      <c r="A164" s="58" t="s">
        <v>133</v>
      </c>
    </row>
    <row r="165" spans="1:1" x14ac:dyDescent="0.25">
      <c r="A165" s="58" t="s">
        <v>134</v>
      </c>
    </row>
    <row r="166" spans="1:1" x14ac:dyDescent="0.25">
      <c r="A166" s="58" t="s">
        <v>135</v>
      </c>
    </row>
    <row r="167" spans="1:1" x14ac:dyDescent="0.25">
      <c r="A167" s="58" t="s">
        <v>136</v>
      </c>
    </row>
    <row r="169" spans="1:1" x14ac:dyDescent="0.25">
      <c r="A169" s="58" t="s">
        <v>137</v>
      </c>
    </row>
    <row r="170" spans="1:1" x14ac:dyDescent="0.25">
      <c r="A170" s="58" t="s">
        <v>138</v>
      </c>
    </row>
    <row r="171" spans="1:1" x14ac:dyDescent="0.25">
      <c r="A171" s="58" t="s">
        <v>139</v>
      </c>
    </row>
    <row r="172" spans="1:1" x14ac:dyDescent="0.25">
      <c r="A172" s="58" t="s">
        <v>140</v>
      </c>
    </row>
    <row r="173" spans="1:1" x14ac:dyDescent="0.25">
      <c r="A173" s="58" t="s">
        <v>141</v>
      </c>
    </row>
    <row r="174" spans="1:1" x14ac:dyDescent="0.25">
      <c r="A174" s="58" t="s">
        <v>142</v>
      </c>
    </row>
    <row r="176" spans="1:1" x14ac:dyDescent="0.25">
      <c r="A176" s="58" t="s">
        <v>143</v>
      </c>
    </row>
    <row r="177" spans="1:1" x14ac:dyDescent="0.25">
      <c r="A177" s="58" t="s">
        <v>144</v>
      </c>
    </row>
    <row r="178" spans="1:1" x14ac:dyDescent="0.25">
      <c r="A178" s="58" t="s">
        <v>145</v>
      </c>
    </row>
    <row r="179" spans="1:1" x14ac:dyDescent="0.25">
      <c r="A179" s="58" t="s">
        <v>146</v>
      </c>
    </row>
    <row r="180" spans="1:1" x14ac:dyDescent="0.25">
      <c r="A180" s="58" t="s">
        <v>147</v>
      </c>
    </row>
    <row r="181" spans="1:1" x14ac:dyDescent="0.25">
      <c r="A181" s="58" t="s">
        <v>148</v>
      </c>
    </row>
    <row r="182" spans="1:1" x14ac:dyDescent="0.25">
      <c r="A182" s="58" t="s">
        <v>149</v>
      </c>
    </row>
    <row r="183" spans="1:1" x14ac:dyDescent="0.25">
      <c r="A183" s="58" t="s">
        <v>150</v>
      </c>
    </row>
    <row r="184" spans="1:1" x14ac:dyDescent="0.25">
      <c r="A184" s="58" t="s">
        <v>151</v>
      </c>
    </row>
    <row r="185" spans="1:1" x14ac:dyDescent="0.25">
      <c r="A185" s="58" t="s">
        <v>152</v>
      </c>
    </row>
    <row r="186" spans="1:1" x14ac:dyDescent="0.25">
      <c r="A186" s="58" t="s">
        <v>153</v>
      </c>
    </row>
    <row r="187" spans="1:1" x14ac:dyDescent="0.25">
      <c r="A187" s="58" t="s">
        <v>154</v>
      </c>
    </row>
    <row r="188" spans="1:1" x14ac:dyDescent="0.25">
      <c r="A188" s="58" t="s">
        <v>155</v>
      </c>
    </row>
    <row r="189" spans="1:1" x14ac:dyDescent="0.25">
      <c r="A189" s="58" t="s">
        <v>156</v>
      </c>
    </row>
    <row r="191" spans="1:1" x14ac:dyDescent="0.25">
      <c r="A191" s="58" t="s">
        <v>157</v>
      </c>
    </row>
    <row r="192" spans="1:1" x14ac:dyDescent="0.25">
      <c r="A192" s="58" t="s">
        <v>158</v>
      </c>
    </row>
    <row r="193" spans="1:1" x14ac:dyDescent="0.25">
      <c r="A193" s="58" t="s">
        <v>159</v>
      </c>
    </row>
    <row r="194" spans="1:1" x14ac:dyDescent="0.25">
      <c r="A194" s="58" t="s">
        <v>160</v>
      </c>
    </row>
    <row r="195" spans="1:1" x14ac:dyDescent="0.25">
      <c r="A195" s="58" t="s">
        <v>161</v>
      </c>
    </row>
    <row r="196" spans="1:1" x14ac:dyDescent="0.25">
      <c r="A196" s="58" t="s">
        <v>162</v>
      </c>
    </row>
    <row r="197" spans="1:1" x14ac:dyDescent="0.25">
      <c r="A197" s="58" t="s">
        <v>163</v>
      </c>
    </row>
    <row r="198" spans="1:1" x14ac:dyDescent="0.25">
      <c r="A198" s="58" t="s">
        <v>164</v>
      </c>
    </row>
    <row r="199" spans="1:1" x14ac:dyDescent="0.25">
      <c r="A199" s="58" t="s">
        <v>165</v>
      </c>
    </row>
    <row r="201" spans="1:1" x14ac:dyDescent="0.25">
      <c r="A201" s="58" t="s">
        <v>166</v>
      </c>
    </row>
    <row r="202" spans="1:1" x14ac:dyDescent="0.25">
      <c r="A202" s="58" t="s">
        <v>167</v>
      </c>
    </row>
    <row r="204" spans="1:1" x14ac:dyDescent="0.25">
      <c r="A204" s="58" t="s">
        <v>168</v>
      </c>
    </row>
    <row r="206" spans="1:1" x14ac:dyDescent="0.25">
      <c r="A206" s="58" t="s">
        <v>169</v>
      </c>
    </row>
    <row r="207" spans="1:1" x14ac:dyDescent="0.25">
      <c r="A207" s="58" t="s">
        <v>170</v>
      </c>
    </row>
    <row r="208" spans="1:1" x14ac:dyDescent="0.25">
      <c r="A208" s="58" t="s">
        <v>171</v>
      </c>
    </row>
    <row r="209" spans="1:1" x14ac:dyDescent="0.25">
      <c r="A209" s="58" t="s">
        <v>172</v>
      </c>
    </row>
    <row r="210" spans="1:1" x14ac:dyDescent="0.25">
      <c r="A210" s="58" t="s">
        <v>173</v>
      </c>
    </row>
    <row r="211" spans="1:1" x14ac:dyDescent="0.25">
      <c r="A211" s="58" t="s">
        <v>174</v>
      </c>
    </row>
    <row r="212" spans="1:1" x14ac:dyDescent="0.25">
      <c r="A212" s="58" t="s">
        <v>175</v>
      </c>
    </row>
    <row r="213" spans="1:1" x14ac:dyDescent="0.25">
      <c r="A213" s="58" t="s">
        <v>176</v>
      </c>
    </row>
    <row r="214" spans="1:1" x14ac:dyDescent="0.25">
      <c r="A214" s="58" t="s">
        <v>177</v>
      </c>
    </row>
    <row r="215" spans="1:1" x14ac:dyDescent="0.25">
      <c r="A215" s="58" t="s">
        <v>178</v>
      </c>
    </row>
    <row r="216" spans="1:1" x14ac:dyDescent="0.25">
      <c r="A216" s="58" t="s">
        <v>179</v>
      </c>
    </row>
    <row r="217" spans="1:1" x14ac:dyDescent="0.25">
      <c r="A217" s="58" t="s">
        <v>180</v>
      </c>
    </row>
    <row r="218" spans="1:1" x14ac:dyDescent="0.25">
      <c r="A218" s="58" t="s">
        <v>181</v>
      </c>
    </row>
    <row r="219" spans="1:1" x14ac:dyDescent="0.25">
      <c r="A219" s="58" t="s">
        <v>182</v>
      </c>
    </row>
    <row r="220" spans="1:1" x14ac:dyDescent="0.25">
      <c r="A220" s="58" t="s">
        <v>190</v>
      </c>
    </row>
    <row r="221" spans="1:1" x14ac:dyDescent="0.25">
      <c r="A221" s="58" t="s">
        <v>191</v>
      </c>
    </row>
    <row r="222" spans="1:1" x14ac:dyDescent="0.25">
      <c r="A222" s="58" t="s">
        <v>192</v>
      </c>
    </row>
    <row r="223" spans="1:1" x14ac:dyDescent="0.25">
      <c r="A223" s="58" t="s">
        <v>183</v>
      </c>
    </row>
    <row r="225" spans="1:1" x14ac:dyDescent="0.25">
      <c r="A225" s="58" t="s">
        <v>184</v>
      </c>
    </row>
    <row r="226" spans="1:1" x14ac:dyDescent="0.25">
      <c r="A226" s="58" t="s">
        <v>185</v>
      </c>
    </row>
  </sheetData>
  <sheetProtection algorithmName="SHA-512" hashValue="dK7ZRqupXKU96SsbsdRVOguA68Yy341zI8vxVbvQxeNVTGlxPCb/Ajxkg4cPTqyb9FsivYhmPn3bx6hqP9iziw==" saltValue="ywoB8CKsaMUXCUKZbYgtt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M27"/>
  <sheetViews>
    <sheetView topLeftCell="K1" zoomScaleNormal="100" workbookViewId="0">
      <selection activeCell="X6" sqref="X6:X17"/>
    </sheetView>
  </sheetViews>
  <sheetFormatPr defaultRowHeight="12.75" x14ac:dyDescent="0.25"/>
  <cols>
    <col min="1" max="1" width="6.5703125" style="11" bestFit="1" customWidth="1"/>
    <col min="2" max="2" width="5.85546875" style="11" bestFit="1" customWidth="1"/>
    <col min="3" max="3" width="7.42578125" style="11" bestFit="1" customWidth="1"/>
    <col min="4" max="4" width="14.42578125" style="11" bestFit="1" customWidth="1"/>
    <col min="5" max="5" width="18" style="11" bestFit="1" customWidth="1"/>
    <col min="6" max="6" width="7.5703125" style="11" bestFit="1" customWidth="1"/>
    <col min="7" max="7" width="7.5703125" style="29" customWidth="1"/>
    <col min="8" max="8" width="12.140625" style="30" bestFit="1" customWidth="1"/>
    <col min="9" max="9" width="8.5703125" style="11" bestFit="1" customWidth="1"/>
    <col min="10" max="17" width="9.140625" style="11"/>
    <col min="18" max="32" width="9.140625" style="59"/>
    <col min="33" max="33" width="9.5703125" style="59" bestFit="1" customWidth="1"/>
    <col min="34" max="39" width="9.140625" style="59"/>
    <col min="40" max="16384" width="9.140625" style="11"/>
  </cols>
  <sheetData>
    <row r="1" spans="1:38" x14ac:dyDescent="0.25">
      <c r="A1" s="127" t="s">
        <v>208</v>
      </c>
      <c r="B1" s="128"/>
      <c r="C1" s="128"/>
      <c r="D1" s="128"/>
      <c r="E1" s="128"/>
      <c r="F1" s="129"/>
      <c r="G1" s="9"/>
      <c r="H1" s="10"/>
    </row>
    <row r="2" spans="1:38" x14ac:dyDescent="0.25">
      <c r="A2" s="127" t="s">
        <v>209</v>
      </c>
      <c r="B2" s="128"/>
      <c r="C2" s="128"/>
      <c r="D2" s="128"/>
      <c r="E2" s="128"/>
      <c r="F2" s="129"/>
      <c r="G2" s="9"/>
      <c r="H2" s="10"/>
    </row>
    <row r="3" spans="1:38" ht="14.25" x14ac:dyDescent="0.25">
      <c r="A3" s="130" t="s">
        <v>210</v>
      </c>
      <c r="B3" s="130"/>
      <c r="C3" s="130"/>
      <c r="D3" s="12" t="s">
        <v>211</v>
      </c>
      <c r="E3" s="131" t="s">
        <v>212</v>
      </c>
      <c r="F3" s="131"/>
      <c r="G3" s="13"/>
      <c r="H3" s="14" t="s">
        <v>213</v>
      </c>
      <c r="I3" s="14" t="s">
        <v>214</v>
      </c>
      <c r="R3" s="122" t="s">
        <v>259</v>
      </c>
      <c r="S3" s="123"/>
      <c r="T3" s="123"/>
      <c r="U3" s="123"/>
      <c r="V3" s="123"/>
      <c r="W3" s="123"/>
      <c r="X3" s="123"/>
      <c r="Y3" s="124"/>
      <c r="Z3" s="122" t="s">
        <v>260</v>
      </c>
      <c r="AA3" s="123"/>
      <c r="AB3" s="124"/>
      <c r="AC3" s="122" t="s">
        <v>261</v>
      </c>
      <c r="AD3" s="123"/>
      <c r="AE3" s="124"/>
      <c r="AF3" s="60"/>
      <c r="AG3" s="125" t="s">
        <v>262</v>
      </c>
      <c r="AH3" s="125"/>
      <c r="AI3" s="125"/>
      <c r="AJ3" s="125"/>
      <c r="AK3" s="125"/>
      <c r="AL3" s="125"/>
    </row>
    <row r="4" spans="1:38" ht="14.25" x14ac:dyDescent="0.25">
      <c r="A4" s="132" t="s">
        <v>215</v>
      </c>
      <c r="B4" s="132" t="s">
        <v>216</v>
      </c>
      <c r="C4" s="15" t="s">
        <v>217</v>
      </c>
      <c r="D4" s="16" t="s">
        <v>218</v>
      </c>
      <c r="E4" s="17" t="s">
        <v>219</v>
      </c>
      <c r="F4" s="17" t="s">
        <v>220</v>
      </c>
      <c r="G4" s="18"/>
      <c r="H4" s="19">
        <v>15</v>
      </c>
      <c r="I4" s="19">
        <v>12</v>
      </c>
      <c r="R4" s="126" t="s">
        <v>263</v>
      </c>
      <c r="S4" s="126"/>
      <c r="T4" s="31" t="s">
        <v>216</v>
      </c>
      <c r="U4" s="57" t="s">
        <v>264</v>
      </c>
      <c r="V4" s="57" t="s">
        <v>265</v>
      </c>
      <c r="W4" s="57" t="s">
        <v>266</v>
      </c>
      <c r="X4" s="32" t="s">
        <v>267</v>
      </c>
      <c r="Y4" s="61" t="s">
        <v>268</v>
      </c>
      <c r="Z4" s="32" t="s">
        <v>269</v>
      </c>
      <c r="AA4" s="32" t="s">
        <v>270</v>
      </c>
      <c r="AB4" s="33" t="s">
        <v>271</v>
      </c>
      <c r="AC4" s="32" t="s">
        <v>269</v>
      </c>
      <c r="AD4" s="32" t="s">
        <v>270</v>
      </c>
      <c r="AE4" s="33" t="s">
        <v>272</v>
      </c>
      <c r="AF4" s="60"/>
      <c r="AG4" s="126" t="s">
        <v>273</v>
      </c>
      <c r="AH4" s="34" t="s">
        <v>274</v>
      </c>
      <c r="AI4" s="57" t="s">
        <v>275</v>
      </c>
      <c r="AJ4" s="57" t="s">
        <v>276</v>
      </c>
      <c r="AK4" s="32" t="s">
        <v>277</v>
      </c>
      <c r="AL4" s="34" t="s">
        <v>278</v>
      </c>
    </row>
    <row r="5" spans="1:38" x14ac:dyDescent="0.25">
      <c r="A5" s="132"/>
      <c r="B5" s="132"/>
      <c r="C5" s="20" t="s">
        <v>221</v>
      </c>
      <c r="D5" s="21" t="s">
        <v>221</v>
      </c>
      <c r="E5" s="22" t="s">
        <v>221</v>
      </c>
      <c r="F5" s="22" t="s">
        <v>221</v>
      </c>
      <c r="G5" s="23"/>
      <c r="H5" s="19">
        <v>20</v>
      </c>
      <c r="I5" s="19">
        <v>16</v>
      </c>
      <c r="R5" s="35" t="s">
        <v>215</v>
      </c>
      <c r="S5" s="35" t="s">
        <v>279</v>
      </c>
      <c r="T5" s="36" t="s">
        <v>280</v>
      </c>
      <c r="U5" s="35" t="s">
        <v>221</v>
      </c>
      <c r="V5" s="35" t="s">
        <v>221</v>
      </c>
      <c r="W5" s="35" t="s">
        <v>221</v>
      </c>
      <c r="X5" s="35" t="s">
        <v>221</v>
      </c>
      <c r="Y5" s="37" t="s">
        <v>280</v>
      </c>
      <c r="Z5" s="35" t="s">
        <v>6</v>
      </c>
      <c r="AA5" s="35" t="s">
        <v>6</v>
      </c>
      <c r="AB5" s="35" t="s">
        <v>221</v>
      </c>
      <c r="AC5" s="35" t="s">
        <v>6</v>
      </c>
      <c r="AD5" s="35" t="s">
        <v>6</v>
      </c>
      <c r="AE5" s="35" t="s">
        <v>221</v>
      </c>
      <c r="AF5" s="60"/>
      <c r="AG5" s="126"/>
      <c r="AH5" s="35" t="s">
        <v>221</v>
      </c>
      <c r="AI5" s="35" t="s">
        <v>221</v>
      </c>
      <c r="AJ5" s="35" t="s">
        <v>221</v>
      </c>
      <c r="AK5" s="35" t="s">
        <v>6</v>
      </c>
      <c r="AL5" s="35" t="s">
        <v>221</v>
      </c>
    </row>
    <row r="6" spans="1:38" x14ac:dyDescent="0.25">
      <c r="A6" s="24" t="s">
        <v>222</v>
      </c>
      <c r="B6" s="24" t="s">
        <v>223</v>
      </c>
      <c r="C6" s="25">
        <v>4.5</v>
      </c>
      <c r="D6" s="25">
        <f>C6-3</f>
        <v>1.5</v>
      </c>
      <c r="E6" s="25">
        <f t="shared" ref="E6:E26" si="0">C6-4</f>
        <v>0.5</v>
      </c>
      <c r="F6" s="26">
        <f>0.00002*E6^3 - 0.0028*E6^2 + 0.9187*E6 - 1.3414</f>
        <v>-0.88274750000000002</v>
      </c>
      <c r="G6" s="27"/>
      <c r="H6" s="19">
        <v>25</v>
      </c>
      <c r="I6" s="19">
        <v>20</v>
      </c>
      <c r="R6" s="72" t="s">
        <v>231</v>
      </c>
      <c r="S6" s="68" t="s">
        <v>232</v>
      </c>
      <c r="T6" s="73">
        <v>15</v>
      </c>
      <c r="U6" s="74">
        <v>11</v>
      </c>
      <c r="V6" s="74">
        <v>8.5</v>
      </c>
      <c r="W6" s="74">
        <v>0.75</v>
      </c>
      <c r="X6" s="68">
        <v>24000</v>
      </c>
      <c r="Y6" s="71">
        <v>400</v>
      </c>
      <c r="Z6" s="68">
        <v>0.85</v>
      </c>
      <c r="AA6" s="68">
        <v>1.5</v>
      </c>
      <c r="AB6" s="75">
        <f t="shared" ref="AB6:AB8" si="1">V6*AA6/Z6</f>
        <v>15</v>
      </c>
      <c r="AC6" s="76">
        <v>0.67</v>
      </c>
      <c r="AD6" s="77">
        <v>1.5</v>
      </c>
      <c r="AE6" s="75">
        <f>V6*AD6/AC6</f>
        <v>19.029850746268657</v>
      </c>
      <c r="AF6" s="60"/>
      <c r="AG6" s="86" t="s">
        <v>281</v>
      </c>
      <c r="AH6" s="86">
        <v>235</v>
      </c>
      <c r="AI6" s="86">
        <v>225</v>
      </c>
      <c r="AJ6" s="86">
        <v>175</v>
      </c>
      <c r="AK6" s="62">
        <f>AH6/AI6</f>
        <v>1.0444444444444445</v>
      </c>
      <c r="AL6" s="86">
        <v>210000</v>
      </c>
    </row>
    <row r="7" spans="1:38" x14ac:dyDescent="0.25">
      <c r="A7" s="24" t="s">
        <v>224</v>
      </c>
      <c r="B7" s="24" t="s">
        <v>225</v>
      </c>
      <c r="C7" s="25">
        <v>6.42</v>
      </c>
      <c r="D7" s="25">
        <f t="shared" ref="D7:D26" si="2">C7-3</f>
        <v>3.42</v>
      </c>
      <c r="E7" s="25">
        <f t="shared" si="0"/>
        <v>2.42</v>
      </c>
      <c r="F7" s="26">
        <f t="shared" ref="F7:F26" si="3">0.00002*E7^3 - 0.0028*E7^2 + 0.9187*E7 - 1.3414</f>
        <v>0.86573952976000013</v>
      </c>
      <c r="G7" s="27"/>
      <c r="H7" s="19">
        <v>30</v>
      </c>
      <c r="I7" s="19">
        <v>25</v>
      </c>
      <c r="R7" s="72" t="s">
        <v>233</v>
      </c>
      <c r="S7" s="68" t="s">
        <v>234</v>
      </c>
      <c r="T7" s="73">
        <v>20</v>
      </c>
      <c r="U7" s="74">
        <v>15</v>
      </c>
      <c r="V7" s="74">
        <v>11.5</v>
      </c>
      <c r="W7" s="74">
        <v>0.9</v>
      </c>
      <c r="X7" s="68">
        <v>27500</v>
      </c>
      <c r="Y7" s="71">
        <v>400</v>
      </c>
      <c r="Z7" s="68">
        <v>0.85</v>
      </c>
      <c r="AA7" s="68">
        <v>1.5</v>
      </c>
      <c r="AB7" s="75">
        <f>V7*AA7/Z7</f>
        <v>20.294117647058822</v>
      </c>
      <c r="AC7" s="76">
        <v>0.67</v>
      </c>
      <c r="AD7" s="77">
        <v>1.5</v>
      </c>
      <c r="AE7" s="75">
        <f t="shared" ref="AE7:AE8" si="4">V7*AD7/AC7</f>
        <v>25.746268656716417</v>
      </c>
      <c r="AF7" s="60"/>
      <c r="AG7" s="86" t="s">
        <v>282</v>
      </c>
      <c r="AH7" s="86">
        <v>295</v>
      </c>
      <c r="AI7" s="86">
        <v>280</v>
      </c>
      <c r="AJ7" s="86">
        <v>225</v>
      </c>
      <c r="AK7" s="62">
        <f>AH7/AI7</f>
        <v>1.0535714285714286</v>
      </c>
      <c r="AL7" s="86">
        <v>200000</v>
      </c>
    </row>
    <row r="8" spans="1:38" x14ac:dyDescent="0.25">
      <c r="A8" s="24" t="s">
        <v>226</v>
      </c>
      <c r="B8" s="24" t="s">
        <v>227</v>
      </c>
      <c r="C8" s="25">
        <v>9.6300000000000008</v>
      </c>
      <c r="D8" s="25">
        <f t="shared" si="2"/>
        <v>6.6300000000000008</v>
      </c>
      <c r="E8" s="25">
        <f t="shared" si="0"/>
        <v>5.6300000000000008</v>
      </c>
      <c r="F8" s="26">
        <f t="shared" si="3"/>
        <v>3.7456987509400008</v>
      </c>
      <c r="G8" s="27"/>
      <c r="H8" s="19">
        <v>37</v>
      </c>
      <c r="I8" s="19">
        <v>30</v>
      </c>
      <c r="R8" s="72" t="s">
        <v>235</v>
      </c>
      <c r="S8" s="68" t="s">
        <v>236</v>
      </c>
      <c r="T8" s="73">
        <v>22.5</v>
      </c>
      <c r="U8" s="74">
        <v>16.75</v>
      </c>
      <c r="V8" s="74">
        <v>13</v>
      </c>
      <c r="W8" s="74">
        <v>1</v>
      </c>
      <c r="X8" s="68">
        <v>29000</v>
      </c>
      <c r="Y8" s="71">
        <v>400</v>
      </c>
      <c r="Z8" s="68">
        <v>0.85</v>
      </c>
      <c r="AA8" s="68">
        <v>1.5</v>
      </c>
      <c r="AB8" s="75">
        <f t="shared" si="1"/>
        <v>22.941176470588236</v>
      </c>
      <c r="AC8" s="76">
        <v>0.67</v>
      </c>
      <c r="AD8" s="77">
        <v>1.5</v>
      </c>
      <c r="AE8" s="75">
        <f t="shared" si="4"/>
        <v>29.104477611940297</v>
      </c>
      <c r="AF8" s="60"/>
      <c r="AG8" s="86" t="s">
        <v>283</v>
      </c>
      <c r="AH8" s="86">
        <v>390</v>
      </c>
      <c r="AI8" s="86">
        <v>365</v>
      </c>
      <c r="AJ8" s="86">
        <v>290</v>
      </c>
      <c r="AK8" s="62">
        <f>AH8/AI8</f>
        <v>1.0684931506849316</v>
      </c>
      <c r="AL8" s="86">
        <v>200000</v>
      </c>
    </row>
    <row r="9" spans="1:38" x14ac:dyDescent="0.2">
      <c r="A9" s="24" t="s">
        <v>228</v>
      </c>
      <c r="B9" s="24" t="s">
        <v>229</v>
      </c>
      <c r="C9" s="25">
        <v>12.84</v>
      </c>
      <c r="D9" s="25">
        <f t="shared" si="2"/>
        <v>9.84</v>
      </c>
      <c r="E9" s="25">
        <f t="shared" si="0"/>
        <v>8.84</v>
      </c>
      <c r="F9" s="26">
        <f t="shared" si="3"/>
        <v>6.5749164620799991</v>
      </c>
      <c r="G9" s="27"/>
      <c r="H9" s="19">
        <v>45</v>
      </c>
      <c r="I9" s="19">
        <v>35</v>
      </c>
      <c r="R9" s="66" t="s">
        <v>235</v>
      </c>
      <c r="S9" s="66" t="s">
        <v>443</v>
      </c>
      <c r="T9" s="69">
        <v>22.5</v>
      </c>
      <c r="U9" s="70">
        <v>16.75</v>
      </c>
      <c r="V9" s="70">
        <v>13</v>
      </c>
      <c r="W9" s="70">
        <v>1</v>
      </c>
      <c r="X9" s="67">
        <v>29000</v>
      </c>
      <c r="Y9" s="68">
        <v>400</v>
      </c>
      <c r="Z9" s="68">
        <v>0.85</v>
      </c>
      <c r="AA9" s="68">
        <v>1.5</v>
      </c>
      <c r="AB9" s="75">
        <f t="shared" ref="AB9" si="5">V9*AA9/Z9</f>
        <v>22.941176470588236</v>
      </c>
      <c r="AC9" s="76">
        <v>0.67</v>
      </c>
      <c r="AD9" s="77">
        <v>1.5</v>
      </c>
      <c r="AE9" s="75">
        <f t="shared" ref="AE9" si="6">V9*AD9/AC9</f>
        <v>29.104477611940297</v>
      </c>
      <c r="AF9" s="60"/>
      <c r="AG9" s="87" t="s">
        <v>444</v>
      </c>
      <c r="AH9" s="88">
        <v>235</v>
      </c>
      <c r="AI9" s="87">
        <v>225</v>
      </c>
      <c r="AJ9" s="87">
        <v>175</v>
      </c>
      <c r="AK9" s="62">
        <f t="shared" ref="AK9:AK19" si="7">AH9/AI9</f>
        <v>1.0444444444444445</v>
      </c>
      <c r="AL9" s="89">
        <v>210000</v>
      </c>
    </row>
    <row r="10" spans="1:38" x14ac:dyDescent="0.2">
      <c r="A10" s="24" t="s">
        <v>228</v>
      </c>
      <c r="B10" s="24" t="s">
        <v>230</v>
      </c>
      <c r="C10" s="25">
        <v>16.05</v>
      </c>
      <c r="D10" s="25">
        <f t="shared" si="2"/>
        <v>13.05</v>
      </c>
      <c r="E10" s="25">
        <f t="shared" si="0"/>
        <v>12.05</v>
      </c>
      <c r="F10" s="26">
        <f t="shared" si="3"/>
        <v>9.3573618024999998</v>
      </c>
      <c r="G10" s="27"/>
      <c r="H10" s="19">
        <v>50</v>
      </c>
      <c r="I10" s="19">
        <v>40</v>
      </c>
      <c r="R10" s="72" t="s">
        <v>237</v>
      </c>
      <c r="S10" s="68" t="s">
        <v>238</v>
      </c>
      <c r="T10" s="73">
        <v>25</v>
      </c>
      <c r="U10" s="74">
        <v>18.5</v>
      </c>
      <c r="V10" s="74">
        <v>14.5</v>
      </c>
      <c r="W10" s="74">
        <v>1.05</v>
      </c>
      <c r="X10" s="68">
        <v>30000</v>
      </c>
      <c r="Y10" s="71">
        <v>400</v>
      </c>
      <c r="Z10" s="68">
        <v>0.85</v>
      </c>
      <c r="AA10" s="68">
        <v>1.5</v>
      </c>
      <c r="AB10" s="75">
        <f>V10*AA10/Z10</f>
        <v>25.588235294117649</v>
      </c>
      <c r="AC10" s="76">
        <v>0.67</v>
      </c>
      <c r="AD10" s="77">
        <v>1.5</v>
      </c>
      <c r="AE10" s="75">
        <f>V10*AD10/AC10</f>
        <v>32.462686567164177</v>
      </c>
      <c r="AF10" s="60"/>
      <c r="AG10" s="87" t="s">
        <v>445</v>
      </c>
      <c r="AH10" s="88">
        <v>295</v>
      </c>
      <c r="AI10" s="87">
        <v>280</v>
      </c>
      <c r="AJ10" s="87">
        <v>225</v>
      </c>
      <c r="AK10" s="62">
        <f t="shared" si="7"/>
        <v>1.0535714285714286</v>
      </c>
      <c r="AL10" s="89">
        <v>200000</v>
      </c>
    </row>
    <row r="11" spans="1:38" x14ac:dyDescent="0.2">
      <c r="A11" s="24" t="s">
        <v>231</v>
      </c>
      <c r="B11" s="24" t="s">
        <v>232</v>
      </c>
      <c r="C11" s="25">
        <v>19.27</v>
      </c>
      <c r="D11" s="25">
        <f t="shared" si="2"/>
        <v>16.27</v>
      </c>
      <c r="E11" s="25">
        <f t="shared" si="0"/>
        <v>15.27</v>
      </c>
      <c r="F11" s="26">
        <f t="shared" si="3"/>
        <v>12.105475883659999</v>
      </c>
      <c r="G11" s="27"/>
      <c r="H11" s="19">
        <v>55</v>
      </c>
      <c r="I11" s="19">
        <v>45</v>
      </c>
      <c r="R11" s="72" t="s">
        <v>240</v>
      </c>
      <c r="S11" s="68" t="s">
        <v>241</v>
      </c>
      <c r="T11" s="73">
        <v>30</v>
      </c>
      <c r="U11" s="74">
        <v>22</v>
      </c>
      <c r="V11" s="74">
        <v>17</v>
      </c>
      <c r="W11" s="74">
        <v>1.2</v>
      </c>
      <c r="X11" s="68">
        <v>32500</v>
      </c>
      <c r="Y11" s="71">
        <v>400</v>
      </c>
      <c r="Z11" s="68">
        <v>0.85</v>
      </c>
      <c r="AA11" s="68">
        <v>1.5</v>
      </c>
      <c r="AB11" s="75">
        <f>V11*AA11/Z11</f>
        <v>30</v>
      </c>
      <c r="AC11" s="76">
        <v>0.67</v>
      </c>
      <c r="AD11" s="77">
        <v>1.5</v>
      </c>
      <c r="AE11" s="75">
        <f>V11*AD11/AC11</f>
        <v>38.059701492537314</v>
      </c>
      <c r="AF11" s="60"/>
      <c r="AG11" s="87" t="s">
        <v>446</v>
      </c>
      <c r="AH11" s="88">
        <v>390</v>
      </c>
      <c r="AI11" s="87">
        <v>365</v>
      </c>
      <c r="AJ11" s="87">
        <v>290</v>
      </c>
      <c r="AK11" s="62">
        <f t="shared" si="7"/>
        <v>1.0684931506849316</v>
      </c>
      <c r="AL11" s="89">
        <v>200000</v>
      </c>
    </row>
    <row r="12" spans="1:38" x14ac:dyDescent="0.25">
      <c r="A12" s="24" t="s">
        <v>233</v>
      </c>
      <c r="B12" s="24" t="s">
        <v>234</v>
      </c>
      <c r="C12" s="25">
        <v>25.69</v>
      </c>
      <c r="D12" s="25">
        <f t="shared" si="2"/>
        <v>22.69</v>
      </c>
      <c r="E12" s="25">
        <f t="shared" si="0"/>
        <v>21.69</v>
      </c>
      <c r="F12" s="26">
        <f t="shared" si="3"/>
        <v>17.472009776179998</v>
      </c>
      <c r="G12" s="27"/>
      <c r="H12" s="19">
        <v>60</v>
      </c>
      <c r="I12" s="19">
        <v>50</v>
      </c>
      <c r="R12" s="72" t="s">
        <v>242</v>
      </c>
      <c r="S12" s="68" t="s">
        <v>243</v>
      </c>
      <c r="T12" s="73">
        <v>35</v>
      </c>
      <c r="U12" s="74">
        <v>25.5</v>
      </c>
      <c r="V12" s="74">
        <v>19.5</v>
      </c>
      <c r="W12" s="74">
        <v>1.3</v>
      </c>
      <c r="X12" s="68">
        <v>34500</v>
      </c>
      <c r="Y12" s="71">
        <v>400</v>
      </c>
      <c r="Z12" s="68">
        <v>0.85</v>
      </c>
      <c r="AA12" s="68">
        <v>1.5</v>
      </c>
      <c r="AB12" s="75">
        <f>V12*AA12/Z12</f>
        <v>34.411764705882355</v>
      </c>
      <c r="AC12" s="76">
        <v>0.67</v>
      </c>
      <c r="AD12" s="77">
        <v>1.5</v>
      </c>
      <c r="AE12" s="75">
        <f>V12*AD12/AC12</f>
        <v>43.656716417910445</v>
      </c>
      <c r="AF12" s="60"/>
      <c r="AG12" s="86" t="s">
        <v>441</v>
      </c>
      <c r="AH12" s="90">
        <v>240</v>
      </c>
      <c r="AI12" s="86">
        <v>210</v>
      </c>
      <c r="AJ12" s="86">
        <v>170</v>
      </c>
      <c r="AK12" s="62">
        <f t="shared" si="7"/>
        <v>1.1428571428571428</v>
      </c>
      <c r="AL12" s="86">
        <v>210000</v>
      </c>
    </row>
    <row r="13" spans="1:38" x14ac:dyDescent="0.25">
      <c r="A13" s="24" t="s">
        <v>235</v>
      </c>
      <c r="B13" s="24" t="s">
        <v>236</v>
      </c>
      <c r="C13" s="25">
        <v>28.9</v>
      </c>
      <c r="D13" s="25">
        <f t="shared" si="2"/>
        <v>25.9</v>
      </c>
      <c r="E13" s="25">
        <f t="shared" si="0"/>
        <v>24.9</v>
      </c>
      <c r="F13" s="26">
        <f t="shared" si="3"/>
        <v>20.106966979999996</v>
      </c>
      <c r="G13" s="27"/>
      <c r="H13" s="19">
        <v>67</v>
      </c>
      <c r="I13" s="19">
        <v>55</v>
      </c>
      <c r="R13" s="78" t="s">
        <v>244</v>
      </c>
      <c r="S13" s="68" t="s">
        <v>245</v>
      </c>
      <c r="T13" s="73">
        <v>40</v>
      </c>
      <c r="U13" s="74">
        <v>29</v>
      </c>
      <c r="V13" s="74">
        <v>22</v>
      </c>
      <c r="W13" s="74">
        <v>1.4</v>
      </c>
      <c r="X13" s="68">
        <v>36000</v>
      </c>
      <c r="Y13" s="71">
        <v>500</v>
      </c>
      <c r="Z13" s="68">
        <v>0.85</v>
      </c>
      <c r="AA13" s="68">
        <v>1.5</v>
      </c>
      <c r="AB13" s="75">
        <f>V13*AA13/Z13</f>
        <v>38.82352941176471</v>
      </c>
      <c r="AC13" s="76">
        <v>0.67</v>
      </c>
      <c r="AD13" s="77">
        <v>1.5</v>
      </c>
      <c r="AE13" s="75">
        <f>V13*AD13/AC13</f>
        <v>49.253731343283576</v>
      </c>
      <c r="AF13" s="60"/>
      <c r="AG13" s="86" t="s">
        <v>439</v>
      </c>
      <c r="AH13" s="90">
        <v>300</v>
      </c>
      <c r="AI13" s="86">
        <v>260</v>
      </c>
      <c r="AJ13" s="86">
        <v>210</v>
      </c>
      <c r="AK13" s="62">
        <f t="shared" si="7"/>
        <v>1.1538461538461537</v>
      </c>
      <c r="AL13" s="86">
        <v>210000</v>
      </c>
    </row>
    <row r="14" spans="1:38" x14ac:dyDescent="0.25">
      <c r="A14" s="24" t="s">
        <v>237</v>
      </c>
      <c r="B14" s="24" t="s">
        <v>238</v>
      </c>
      <c r="C14" s="25">
        <v>32.11</v>
      </c>
      <c r="D14" s="25">
        <f t="shared" si="2"/>
        <v>29.11</v>
      </c>
      <c r="E14" s="25">
        <f t="shared" si="0"/>
        <v>28.11</v>
      </c>
      <c r="F14" s="26">
        <f t="shared" si="3"/>
        <v>22.715009874619998</v>
      </c>
      <c r="G14" s="27"/>
      <c r="H14" s="19">
        <v>75</v>
      </c>
      <c r="I14" s="19">
        <v>60</v>
      </c>
      <c r="R14" s="72" t="s">
        <v>246</v>
      </c>
      <c r="S14" s="68" t="s">
        <v>247</v>
      </c>
      <c r="T14" s="73">
        <v>45</v>
      </c>
      <c r="U14" s="74">
        <v>32</v>
      </c>
      <c r="V14" s="74">
        <v>25</v>
      </c>
      <c r="W14" s="74">
        <v>1.45</v>
      </c>
      <c r="X14" s="68">
        <v>37000</v>
      </c>
      <c r="Y14" s="71">
        <v>600</v>
      </c>
      <c r="Z14" s="68">
        <v>0.85</v>
      </c>
      <c r="AA14" s="68">
        <v>1.5</v>
      </c>
      <c r="AB14" s="75">
        <f>V14*AA14/Z14</f>
        <v>44.117647058823529</v>
      </c>
      <c r="AC14" s="76">
        <v>0.67</v>
      </c>
      <c r="AD14" s="77">
        <v>1.5</v>
      </c>
      <c r="AE14" s="75">
        <f>V14*AD14/AC14</f>
        <v>55.970149253731343</v>
      </c>
      <c r="AG14" s="86" t="s">
        <v>440</v>
      </c>
      <c r="AH14" s="90">
        <v>300</v>
      </c>
      <c r="AI14" s="86">
        <v>260</v>
      </c>
      <c r="AJ14" s="86">
        <v>210</v>
      </c>
      <c r="AK14" s="62">
        <f t="shared" si="7"/>
        <v>1.1538461538461537</v>
      </c>
      <c r="AL14" s="86">
        <v>210000</v>
      </c>
    </row>
    <row r="15" spans="1:38" x14ac:dyDescent="0.25">
      <c r="A15" s="24" t="s">
        <v>237</v>
      </c>
      <c r="B15" s="24" t="s">
        <v>239</v>
      </c>
      <c r="C15" s="25">
        <v>35.32</v>
      </c>
      <c r="D15" s="25">
        <f t="shared" si="2"/>
        <v>32.32</v>
      </c>
      <c r="E15" s="25">
        <f t="shared" si="0"/>
        <v>31.32</v>
      </c>
      <c r="F15" s="26">
        <f t="shared" si="3"/>
        <v>25.30010759936</v>
      </c>
      <c r="G15" s="27"/>
      <c r="H15" s="19">
        <v>85</v>
      </c>
      <c r="I15" s="19">
        <v>70</v>
      </c>
      <c r="R15" s="72" t="s">
        <v>248</v>
      </c>
      <c r="S15" s="68" t="s">
        <v>249</v>
      </c>
      <c r="T15" s="73">
        <v>50</v>
      </c>
      <c r="U15" s="74">
        <v>36</v>
      </c>
      <c r="V15" s="74">
        <v>27.5</v>
      </c>
      <c r="W15" s="74">
        <v>1.55</v>
      </c>
      <c r="X15" s="68">
        <v>38000</v>
      </c>
      <c r="Y15" s="79"/>
      <c r="Z15" s="80"/>
      <c r="AA15" s="80"/>
      <c r="AB15" s="80"/>
      <c r="AC15" s="80"/>
      <c r="AD15" s="80"/>
      <c r="AE15" s="80"/>
      <c r="AG15" s="86" t="s">
        <v>442</v>
      </c>
      <c r="AH15" s="90">
        <v>400</v>
      </c>
      <c r="AI15" s="86">
        <v>350</v>
      </c>
      <c r="AJ15" s="86">
        <v>280</v>
      </c>
      <c r="AK15" s="62">
        <f t="shared" si="7"/>
        <v>1.1428571428571428</v>
      </c>
      <c r="AL15" s="86">
        <v>200000</v>
      </c>
    </row>
    <row r="16" spans="1:38" x14ac:dyDescent="0.25">
      <c r="A16" s="24" t="s">
        <v>240</v>
      </c>
      <c r="B16" s="24" t="s">
        <v>241</v>
      </c>
      <c r="C16" s="25">
        <v>38.53</v>
      </c>
      <c r="D16" s="25">
        <f t="shared" si="2"/>
        <v>35.53</v>
      </c>
      <c r="E16" s="25">
        <f t="shared" si="0"/>
        <v>34.53</v>
      </c>
      <c r="F16" s="26">
        <f t="shared" si="3"/>
        <v>27.866229293540002</v>
      </c>
      <c r="G16" s="27"/>
      <c r="H16" s="19">
        <v>95</v>
      </c>
      <c r="I16" s="19">
        <v>80</v>
      </c>
      <c r="R16" s="72" t="s">
        <v>248</v>
      </c>
      <c r="S16" s="68" t="s">
        <v>250</v>
      </c>
      <c r="T16" s="73">
        <v>55</v>
      </c>
      <c r="U16" s="74">
        <v>39.5</v>
      </c>
      <c r="V16" s="74">
        <v>30</v>
      </c>
      <c r="W16" s="74">
        <v>1.6</v>
      </c>
      <c r="X16" s="68">
        <v>39000</v>
      </c>
      <c r="Y16" s="79"/>
      <c r="Z16" s="80"/>
      <c r="AA16" s="80"/>
      <c r="AB16" s="80"/>
      <c r="AC16" s="80"/>
      <c r="AD16" s="80"/>
      <c r="AE16" s="80"/>
      <c r="AG16" s="86" t="s">
        <v>449</v>
      </c>
      <c r="AH16" s="90">
        <v>500</v>
      </c>
      <c r="AI16" s="86">
        <v>435</v>
      </c>
      <c r="AJ16" s="86">
        <v>300</v>
      </c>
      <c r="AK16" s="62">
        <f t="shared" si="7"/>
        <v>1.1494252873563218</v>
      </c>
      <c r="AL16" s="86">
        <v>190000</v>
      </c>
    </row>
    <row r="17" spans="1:38" x14ac:dyDescent="0.25">
      <c r="A17" s="24" t="s">
        <v>242</v>
      </c>
      <c r="B17" s="24" t="s">
        <v>243</v>
      </c>
      <c r="C17" s="25">
        <v>44.95</v>
      </c>
      <c r="D17" s="25">
        <f t="shared" si="2"/>
        <v>41.95</v>
      </c>
      <c r="E17" s="25">
        <f t="shared" si="0"/>
        <v>40.950000000000003</v>
      </c>
      <c r="F17" s="26">
        <f t="shared" si="3"/>
        <v>32.9574211475</v>
      </c>
      <c r="G17" s="27"/>
      <c r="H17" s="19">
        <v>105</v>
      </c>
      <c r="I17" s="19">
        <v>90</v>
      </c>
      <c r="R17" s="72" t="s">
        <v>251</v>
      </c>
      <c r="S17" s="68" t="s">
        <v>252</v>
      </c>
      <c r="T17" s="73">
        <v>60</v>
      </c>
      <c r="U17" s="74">
        <v>43</v>
      </c>
      <c r="V17" s="74">
        <v>33</v>
      </c>
      <c r="W17" s="74">
        <v>1.65</v>
      </c>
      <c r="X17" s="68">
        <v>39500</v>
      </c>
      <c r="Y17" s="79"/>
      <c r="Z17" s="80"/>
      <c r="AA17" s="80"/>
      <c r="AB17" s="80"/>
      <c r="AC17" s="80"/>
      <c r="AD17" s="80"/>
      <c r="AE17" s="80"/>
      <c r="AG17" s="87" t="s">
        <v>447</v>
      </c>
      <c r="AH17" s="88">
        <v>295</v>
      </c>
      <c r="AI17" s="87">
        <v>280</v>
      </c>
      <c r="AJ17" s="87">
        <v>225</v>
      </c>
      <c r="AK17" s="62">
        <f t="shared" si="7"/>
        <v>1.0535714285714286</v>
      </c>
      <c r="AL17" s="88">
        <v>210000</v>
      </c>
    </row>
    <row r="18" spans="1:38" x14ac:dyDescent="0.2">
      <c r="A18" s="24" t="s">
        <v>244</v>
      </c>
      <c r="B18" s="24" t="s">
        <v>245</v>
      </c>
      <c r="C18" s="25">
        <v>51.37</v>
      </c>
      <c r="D18" s="25">
        <f t="shared" si="2"/>
        <v>48.37</v>
      </c>
      <c r="E18" s="25">
        <f t="shared" si="0"/>
        <v>47.37</v>
      </c>
      <c r="F18" s="26">
        <f t="shared" si="3"/>
        <v>38.020338551059993</v>
      </c>
      <c r="G18" s="27"/>
      <c r="H18" s="28"/>
      <c r="R18" s="72"/>
      <c r="S18" s="72"/>
      <c r="T18" s="68"/>
      <c r="U18" s="68"/>
      <c r="V18" s="68"/>
      <c r="W18" s="68"/>
      <c r="X18" s="68"/>
      <c r="Y18" s="68"/>
      <c r="Z18" s="80"/>
      <c r="AA18" s="80"/>
      <c r="AB18" s="80"/>
      <c r="AC18" s="80"/>
      <c r="AD18" s="80"/>
      <c r="AE18" s="80"/>
      <c r="AG18" s="87" t="s">
        <v>448</v>
      </c>
      <c r="AH18" s="88">
        <v>390</v>
      </c>
      <c r="AI18" s="87">
        <v>365</v>
      </c>
      <c r="AJ18" s="87">
        <v>290</v>
      </c>
      <c r="AK18" s="62">
        <f t="shared" si="7"/>
        <v>1.0684931506849316</v>
      </c>
      <c r="AL18" s="89">
        <v>200000</v>
      </c>
    </row>
    <row r="19" spans="1:38" x14ac:dyDescent="0.25">
      <c r="A19" s="24" t="s">
        <v>246</v>
      </c>
      <c r="B19" s="24" t="s">
        <v>247</v>
      </c>
      <c r="C19" s="25">
        <v>57.8</v>
      </c>
      <c r="D19" s="25">
        <f t="shared" si="2"/>
        <v>54.8</v>
      </c>
      <c r="E19" s="25">
        <f t="shared" si="0"/>
        <v>53.8</v>
      </c>
      <c r="F19" s="26">
        <f t="shared" si="3"/>
        <v>43.094645439999994</v>
      </c>
      <c r="G19" s="27"/>
      <c r="H19" s="28"/>
      <c r="AG19" s="87" t="s">
        <v>284</v>
      </c>
      <c r="AH19" s="88">
        <v>490</v>
      </c>
      <c r="AI19" s="87">
        <v>426</v>
      </c>
      <c r="AJ19" s="87">
        <v>300</v>
      </c>
      <c r="AK19" s="62">
        <f t="shared" si="7"/>
        <v>1.1502347417840375</v>
      </c>
      <c r="AL19" s="88">
        <v>190000</v>
      </c>
    </row>
    <row r="20" spans="1:38" x14ac:dyDescent="0.25">
      <c r="A20" s="24" t="s">
        <v>248</v>
      </c>
      <c r="B20" s="24" t="s">
        <v>249</v>
      </c>
      <c r="C20" s="25">
        <v>64.22</v>
      </c>
      <c r="D20" s="25">
        <f t="shared" si="2"/>
        <v>61.22</v>
      </c>
      <c r="E20" s="25">
        <f t="shared" si="0"/>
        <v>60.22</v>
      </c>
      <c r="F20" s="26">
        <f t="shared" si="3"/>
        <v>48.196352932959996</v>
      </c>
      <c r="G20" s="27"/>
      <c r="H20" s="28"/>
    </row>
    <row r="21" spans="1:38" x14ac:dyDescent="0.25">
      <c r="A21" s="24" t="s">
        <v>248</v>
      </c>
      <c r="B21" s="24" t="s">
        <v>250</v>
      </c>
      <c r="C21" s="25">
        <v>70.64</v>
      </c>
      <c r="D21" s="25">
        <f t="shared" si="2"/>
        <v>67.64</v>
      </c>
      <c r="E21" s="25">
        <f t="shared" si="0"/>
        <v>66.64</v>
      </c>
      <c r="F21" s="26">
        <f t="shared" si="3"/>
        <v>53.36509477888</v>
      </c>
      <c r="G21" s="27"/>
      <c r="H21" s="28"/>
    </row>
    <row r="22" spans="1:38" x14ac:dyDescent="0.25">
      <c r="A22" s="24" t="s">
        <v>251</v>
      </c>
      <c r="B22" s="24" t="s">
        <v>252</v>
      </c>
      <c r="C22" s="25">
        <v>77.06</v>
      </c>
      <c r="D22" s="25">
        <f t="shared" si="2"/>
        <v>74.06</v>
      </c>
      <c r="E22" s="25">
        <f t="shared" si="0"/>
        <v>73.06</v>
      </c>
      <c r="F22" s="26">
        <f t="shared" si="3"/>
        <v>58.63262409232</v>
      </c>
      <c r="G22" s="27"/>
      <c r="H22" s="28"/>
    </row>
    <row r="23" spans="1:38" x14ac:dyDescent="0.25">
      <c r="A23" s="24" t="s">
        <v>253</v>
      </c>
      <c r="B23" s="24" t="s">
        <v>254</v>
      </c>
      <c r="C23" s="25">
        <v>83.48</v>
      </c>
      <c r="D23" s="25">
        <f t="shared" si="2"/>
        <v>80.48</v>
      </c>
      <c r="E23" s="25">
        <f t="shared" si="0"/>
        <v>79.48</v>
      </c>
      <c r="F23" s="26">
        <f t="shared" si="3"/>
        <v>64.03069398784001</v>
      </c>
      <c r="G23" s="27"/>
      <c r="H23" s="28"/>
    </row>
    <row r="24" spans="1:38" x14ac:dyDescent="0.25">
      <c r="A24" s="24" t="s">
        <v>253</v>
      </c>
      <c r="B24" s="24" t="s">
        <v>255</v>
      </c>
      <c r="C24" s="25">
        <v>89.9</v>
      </c>
      <c r="D24" s="25">
        <f t="shared" si="2"/>
        <v>86.9</v>
      </c>
      <c r="E24" s="25">
        <f t="shared" si="0"/>
        <v>85.9</v>
      </c>
      <c r="F24" s="26">
        <f t="shared" si="3"/>
        <v>69.591057580000012</v>
      </c>
      <c r="G24" s="27"/>
      <c r="H24" s="28"/>
    </row>
    <row r="25" spans="1:38" x14ac:dyDescent="0.25">
      <c r="A25" s="24" t="s">
        <v>256</v>
      </c>
      <c r="B25" s="24" t="s">
        <v>257</v>
      </c>
      <c r="C25" s="25">
        <v>96.33</v>
      </c>
      <c r="D25" s="25">
        <f t="shared" si="2"/>
        <v>93.33</v>
      </c>
      <c r="E25" s="25">
        <f t="shared" si="0"/>
        <v>92.33</v>
      </c>
      <c r="F25" s="26">
        <f t="shared" si="3"/>
        <v>75.354599126740013</v>
      </c>
      <c r="G25" s="27"/>
      <c r="H25" s="28"/>
    </row>
    <row r="26" spans="1:38" x14ac:dyDescent="0.25">
      <c r="A26" s="24" t="s">
        <v>256</v>
      </c>
      <c r="B26" s="24" t="s">
        <v>258</v>
      </c>
      <c r="C26" s="25">
        <v>102.75</v>
      </c>
      <c r="D26" s="25">
        <f t="shared" si="2"/>
        <v>99.75</v>
      </c>
      <c r="E26" s="25">
        <f t="shared" si="0"/>
        <v>98.75</v>
      </c>
      <c r="F26" s="26">
        <f t="shared" si="3"/>
        <v>81.335185937500015</v>
      </c>
      <c r="G26" s="27"/>
      <c r="H26" s="28"/>
    </row>
    <row r="27" spans="1:38" x14ac:dyDescent="0.25">
      <c r="A27" s="24" t="s">
        <v>235</v>
      </c>
      <c r="B27" s="24" t="s">
        <v>443</v>
      </c>
      <c r="C27" s="25">
        <v>28.9</v>
      </c>
      <c r="D27" s="25">
        <f t="shared" ref="D27" si="8">C27-3</f>
        <v>25.9</v>
      </c>
      <c r="E27" s="25">
        <f t="shared" ref="E27" si="9">C27-4</f>
        <v>24.9</v>
      </c>
      <c r="F27" s="26">
        <f t="shared" ref="F27" si="10">0.00002*E27^3 - 0.0028*E27^2 + 0.9187*E27 - 1.3414</f>
        <v>20.106966979999996</v>
      </c>
    </row>
  </sheetData>
  <mergeCells count="12">
    <mergeCell ref="A1:F1"/>
    <mergeCell ref="A2:F2"/>
    <mergeCell ref="A3:C3"/>
    <mergeCell ref="E3:F3"/>
    <mergeCell ref="A4:A5"/>
    <mergeCell ref="B4:B5"/>
    <mergeCell ref="R3:Y3"/>
    <mergeCell ref="Z3:AB3"/>
    <mergeCell ref="AC3:AE3"/>
    <mergeCell ref="AG3:AL3"/>
    <mergeCell ref="R4:S4"/>
    <mergeCell ref="AG4:AG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"/>
  <sheetViews>
    <sheetView workbookViewId="0">
      <selection sqref="A1:D104857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"/>
  <sheetViews>
    <sheetView workbookViewId="0">
      <selection sqref="A1: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"/>
  <sheetViews>
    <sheetView workbookViewId="0">
      <selection sqref="A1:D1048576"/>
    </sheetView>
  </sheetViews>
  <sheetFormatPr defaultRowHeight="15" x14ac:dyDescent="0.25"/>
  <cols>
    <col min="1" max="1" width="5" bestFit="1" customWidth="1"/>
    <col min="2" max="2" width="12.140625" bestFit="1" customWidth="1"/>
    <col min="3" max="3" width="9.28515625" bestFit="1" customWidth="1"/>
    <col min="4" max="4" width="12.7109375" bestFit="1" customWidth="1"/>
    <col min="5" max="5" width="12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>
      <selection sqref="A1:D1048576"/>
    </sheetView>
  </sheetViews>
  <sheetFormatPr defaultRowHeight="15" x14ac:dyDescent="0.25"/>
  <cols>
    <col min="4" max="4" width="12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R226"/>
  <sheetViews>
    <sheetView topLeftCell="I1" workbookViewId="0">
      <selection activeCell="AA2" sqref="AA2:AB650000"/>
    </sheetView>
  </sheetViews>
  <sheetFormatPr defaultRowHeight="12.75" outlineLevelCol="1" x14ac:dyDescent="0.2"/>
  <cols>
    <col min="1" max="1" width="4.28515625" style="4" hidden="1" customWidth="1" outlineLevel="1"/>
    <col min="2" max="2" width="8.7109375" style="4" hidden="1" customWidth="1" outlineLevel="1"/>
    <col min="3" max="3" width="9.140625" style="4" hidden="1" customWidth="1" outlineLevel="1"/>
    <col min="4" max="4" width="9" style="4" hidden="1" customWidth="1" outlineLevel="1"/>
    <col min="5" max="7" width="8.7109375" style="4" hidden="1" customWidth="1" outlineLevel="1"/>
    <col min="8" max="8" width="9.140625" style="2" hidden="1" customWidth="1" outlineLevel="1"/>
    <col min="9" max="9" width="8.7109375" style="4" bestFit="1" customWidth="1" collapsed="1"/>
    <col min="10" max="10" width="8.7109375" style="4" bestFit="1" customWidth="1"/>
    <col min="11" max="11" width="9.140625" style="4" customWidth="1"/>
    <col min="12" max="12" width="9" style="4" customWidth="1"/>
    <col min="13" max="15" width="8.7109375" style="4" bestFit="1" customWidth="1"/>
    <col min="16" max="16" width="11.5703125" style="82" bestFit="1" customWidth="1"/>
    <col min="17" max="17" width="5.5703125" style="4" hidden="1" customWidth="1" outlineLevel="1"/>
    <col min="18" max="18" width="9.140625" style="4" hidden="1" customWidth="1" outlineLevel="1"/>
    <col min="19" max="19" width="9" style="4" hidden="1" customWidth="1" outlineLevel="1"/>
    <col min="20" max="20" width="1.85546875" style="51" hidden="1" customWidth="1" outlineLevel="1"/>
    <col min="21" max="21" width="20.85546875" style="4" hidden="1" customWidth="1" outlineLevel="1"/>
    <col min="22" max="22" width="9.140625" style="2" hidden="1" customWidth="1" outlineLevel="1"/>
    <col min="23" max="23" width="48.5703125" style="53" hidden="1" customWidth="1" outlineLevel="1"/>
    <col min="24" max="24" width="96.5703125" style="5" hidden="1" customWidth="1" outlineLevel="1"/>
    <col min="25" max="25" width="9.140625" style="2" hidden="1" customWidth="1" outlineLevel="1"/>
    <col min="26" max="26" width="15.42578125" style="5" hidden="1" customWidth="1" outlineLevel="1"/>
    <col min="27" max="27" width="15.28515625" style="5" hidden="1" customWidth="1" outlineLevel="1"/>
    <col min="28" max="28" width="9.140625" style="2" hidden="1" customWidth="1" outlineLevel="1"/>
    <col min="29" max="29" width="70.5703125" style="5" hidden="1" customWidth="1" outlineLevel="1"/>
    <col min="30" max="30" width="9.140625" style="2" hidden="1" customWidth="1" outlineLevel="1"/>
    <col min="31" max="31" width="32.42578125" style="8" hidden="1" customWidth="1" outlineLevel="1"/>
    <col min="32" max="32" width="86.28515625" style="8" hidden="1" customWidth="1" outlineLevel="1"/>
    <col min="33" max="33" width="9.140625" style="2" hidden="1" customWidth="1" outlineLevel="1"/>
    <col min="34" max="34" width="40" style="53" hidden="1" customWidth="1" outlineLevel="1"/>
    <col min="35" max="35" width="9.140625" style="2" collapsed="1"/>
    <col min="36" max="36" width="8" style="5" bestFit="1" customWidth="1"/>
    <col min="37" max="37" width="7.42578125" style="5" bestFit="1" customWidth="1"/>
    <col min="38" max="38" width="9.140625" style="5"/>
    <col min="39" max="39" width="7.85546875" style="5" bestFit="1" customWidth="1"/>
    <col min="40" max="40" width="7.42578125" style="5" bestFit="1" customWidth="1"/>
    <col min="41" max="41" width="9" style="5" bestFit="1" customWidth="1"/>
    <col min="42" max="42" width="9.140625" style="2"/>
    <col min="43" max="44" width="9.140625" style="5"/>
    <col min="45" max="16384" width="9.140625" style="2"/>
  </cols>
  <sheetData>
    <row r="1" spans="1:44" x14ac:dyDescent="0.2">
      <c r="A1" s="1" t="s">
        <v>5</v>
      </c>
      <c r="B1" s="1" t="s">
        <v>0</v>
      </c>
      <c r="C1" s="1" t="s">
        <v>1</v>
      </c>
      <c r="D1" s="1" t="s">
        <v>2</v>
      </c>
      <c r="E1" s="1" t="s">
        <v>0</v>
      </c>
      <c r="F1" s="1" t="s">
        <v>3</v>
      </c>
      <c r="G1" s="1" t="s">
        <v>4</v>
      </c>
      <c r="I1" s="1" t="s">
        <v>5</v>
      </c>
      <c r="J1" s="1" t="s">
        <v>0</v>
      </c>
      <c r="K1" s="1" t="s">
        <v>1</v>
      </c>
      <c r="L1" s="1" t="s">
        <v>2</v>
      </c>
      <c r="M1" s="1" t="s">
        <v>0</v>
      </c>
      <c r="N1" s="1" t="s">
        <v>3</v>
      </c>
      <c r="O1" s="1" t="s">
        <v>4</v>
      </c>
      <c r="P1" s="81" t="s">
        <v>194</v>
      </c>
      <c r="Q1" s="1" t="s">
        <v>0</v>
      </c>
      <c r="R1" s="1" t="s">
        <v>1</v>
      </c>
      <c r="S1" s="1" t="s">
        <v>2</v>
      </c>
      <c r="T1" s="1" t="s">
        <v>7</v>
      </c>
      <c r="U1" s="1" t="s">
        <v>8</v>
      </c>
      <c r="W1" s="52" t="s">
        <v>9</v>
      </c>
      <c r="X1" s="3" t="s">
        <v>10</v>
      </c>
      <c r="Z1" s="3" t="s">
        <v>12</v>
      </c>
      <c r="AA1" s="3" t="s">
        <v>13</v>
      </c>
      <c r="AC1" s="3" t="s">
        <v>11</v>
      </c>
      <c r="AE1" s="54" t="s">
        <v>186</v>
      </c>
      <c r="AF1" s="54" t="s">
        <v>187</v>
      </c>
      <c r="AH1" s="52" t="s">
        <v>127</v>
      </c>
      <c r="AJ1" s="1" t="s">
        <v>205</v>
      </c>
      <c r="AK1" s="1" t="s">
        <v>202</v>
      </c>
      <c r="AL1" s="1" t="s">
        <v>203</v>
      </c>
      <c r="AM1" s="1" t="s">
        <v>206</v>
      </c>
      <c r="AN1" s="1" t="s">
        <v>202</v>
      </c>
      <c r="AO1" s="1" t="s">
        <v>204</v>
      </c>
      <c r="AQ1" s="1" t="s">
        <v>205</v>
      </c>
      <c r="AR1" s="1" t="s">
        <v>206</v>
      </c>
    </row>
    <row r="2" spans="1:44" x14ac:dyDescent="0.2">
      <c r="A2" s="1" t="s">
        <v>6</v>
      </c>
      <c r="B2" s="1" t="s">
        <v>6</v>
      </c>
      <c r="C2" s="1" t="s">
        <v>6</v>
      </c>
      <c r="D2" s="1" t="s">
        <v>6</v>
      </c>
      <c r="E2" s="1" t="s">
        <v>6</v>
      </c>
      <c r="F2" s="1" t="s">
        <v>6</v>
      </c>
      <c r="G2" s="1" t="s">
        <v>6</v>
      </c>
      <c r="I2" s="1" t="s">
        <v>6</v>
      </c>
      <c r="J2" s="1" t="s">
        <v>6</v>
      </c>
      <c r="K2" s="1" t="s">
        <v>6</v>
      </c>
      <c r="L2" s="1" t="s">
        <v>6</v>
      </c>
      <c r="M2" s="1" t="s">
        <v>6</v>
      </c>
      <c r="N2" s="1" t="s">
        <v>6</v>
      </c>
      <c r="O2" s="1" t="s">
        <v>6</v>
      </c>
      <c r="P2" s="81" t="s">
        <v>6</v>
      </c>
      <c r="Q2" s="1" t="s">
        <v>6</v>
      </c>
      <c r="R2" s="1" t="s">
        <v>6</v>
      </c>
      <c r="S2" s="1" t="s">
        <v>6</v>
      </c>
      <c r="U2" s="1" t="s">
        <v>6</v>
      </c>
      <c r="W2" s="52" t="s">
        <v>6</v>
      </c>
      <c r="X2" s="3" t="s">
        <v>6</v>
      </c>
      <c r="Z2" s="3" t="s">
        <v>6</v>
      </c>
      <c r="AA2" s="3" t="s">
        <v>6</v>
      </c>
      <c r="AC2" s="3" t="s">
        <v>6</v>
      </c>
      <c r="AE2" s="54" t="s">
        <v>6</v>
      </c>
      <c r="AF2" s="54" t="s">
        <v>6</v>
      </c>
      <c r="AH2" s="52" t="s">
        <v>6</v>
      </c>
      <c r="AJ2" s="1" t="s">
        <v>6</v>
      </c>
      <c r="AK2" s="1" t="s">
        <v>6</v>
      </c>
      <c r="AL2" s="1" t="s">
        <v>6</v>
      </c>
      <c r="AM2" s="1" t="s">
        <v>6</v>
      </c>
      <c r="AN2" s="1" t="s">
        <v>6</v>
      </c>
      <c r="AO2" s="1" t="s">
        <v>6</v>
      </c>
      <c r="AQ2" s="1" t="s">
        <v>6</v>
      </c>
      <c r="AR2" s="1" t="s">
        <v>6</v>
      </c>
    </row>
    <row r="3" spans="1:44" x14ac:dyDescent="0.2">
      <c r="AB3" s="56"/>
      <c r="AC3" s="5" t="s">
        <v>309</v>
      </c>
      <c r="AH3" s="53" t="s">
        <v>310</v>
      </c>
      <c r="AJ3" s="7"/>
      <c r="AK3" s="7"/>
    </row>
    <row r="4" spans="1:44" x14ac:dyDescent="0.2">
      <c r="Y4" s="56"/>
      <c r="AH4" s="53" t="s">
        <v>311</v>
      </c>
    </row>
    <row r="5" spans="1:44" x14ac:dyDescent="0.2">
      <c r="Y5" s="55"/>
      <c r="Z5" s="4"/>
      <c r="AB5" s="56"/>
      <c r="AH5" s="53" t="s">
        <v>312</v>
      </c>
    </row>
    <row r="6" spans="1:44" x14ac:dyDescent="0.2">
      <c r="Y6" s="56"/>
      <c r="AB6" s="56"/>
      <c r="AH6" s="53" t="s">
        <v>313</v>
      </c>
      <c r="AJ6" s="7"/>
      <c r="AK6" s="7"/>
    </row>
    <row r="7" spans="1:44" x14ac:dyDescent="0.2">
      <c r="Y7" s="56"/>
      <c r="AB7" s="56"/>
      <c r="AH7" s="53" t="s">
        <v>314</v>
      </c>
      <c r="AJ7" s="7"/>
      <c r="AK7" s="7"/>
    </row>
    <row r="8" spans="1:44" x14ac:dyDescent="0.2">
      <c r="Y8" s="56"/>
      <c r="AH8" s="53" t="s">
        <v>315</v>
      </c>
    </row>
    <row r="9" spans="1:44" x14ac:dyDescent="0.2">
      <c r="AB9" s="56"/>
      <c r="AH9" s="53" t="s">
        <v>316</v>
      </c>
    </row>
    <row r="10" spans="1:44" x14ac:dyDescent="0.2">
      <c r="Y10" s="56"/>
      <c r="AA10" s="4"/>
      <c r="AB10" s="55"/>
      <c r="AH10" s="53" t="s">
        <v>317</v>
      </c>
      <c r="AJ10" s="7"/>
      <c r="AK10" s="7"/>
    </row>
    <row r="11" spans="1:44" x14ac:dyDescent="0.2">
      <c r="Y11" s="56"/>
      <c r="AB11" s="56"/>
      <c r="AH11" s="53" t="s">
        <v>318</v>
      </c>
      <c r="AJ11" s="7"/>
      <c r="AK11" s="7"/>
    </row>
    <row r="12" spans="1:44" x14ac:dyDescent="0.2">
      <c r="Y12" s="56"/>
      <c r="AB12" s="56"/>
      <c r="AH12" s="53" t="s">
        <v>319</v>
      </c>
      <c r="AJ12" s="7"/>
      <c r="AK12" s="7"/>
      <c r="AL12" s="7"/>
    </row>
    <row r="13" spans="1:44" x14ac:dyDescent="0.2">
      <c r="Y13" s="56"/>
      <c r="AH13" s="53" t="s">
        <v>320</v>
      </c>
      <c r="AJ13" s="7"/>
      <c r="AK13" s="7"/>
      <c r="AL13" s="7"/>
    </row>
    <row r="14" spans="1:44" x14ac:dyDescent="0.2">
      <c r="Y14" s="56"/>
      <c r="AB14" s="56"/>
      <c r="AH14" s="53" t="s">
        <v>321</v>
      </c>
      <c r="AJ14" s="7"/>
      <c r="AK14" s="7"/>
      <c r="AL14" s="7"/>
    </row>
    <row r="15" spans="1:44" x14ac:dyDescent="0.2">
      <c r="Y15" s="56"/>
      <c r="AB15" s="56"/>
      <c r="AH15" s="53" t="s">
        <v>322</v>
      </c>
      <c r="AL15" s="7"/>
    </row>
    <row r="16" spans="1:44" x14ac:dyDescent="0.2">
      <c r="H16" s="4"/>
      <c r="P16" s="81"/>
      <c r="T16" s="4"/>
      <c r="V16" s="4"/>
      <c r="X16" s="53"/>
      <c r="Y16" s="5"/>
      <c r="AB16" s="5"/>
      <c r="AC16" s="4"/>
      <c r="AD16" s="4"/>
      <c r="AE16" s="53"/>
      <c r="AF16" s="53"/>
      <c r="AG16" s="4"/>
      <c r="AH16" s="53" t="s">
        <v>323</v>
      </c>
      <c r="AI16" s="4"/>
    </row>
    <row r="17" spans="25:39" x14ac:dyDescent="0.2">
      <c r="AB17" s="56"/>
      <c r="AH17" s="53" t="s">
        <v>324</v>
      </c>
    </row>
    <row r="18" spans="25:39" x14ac:dyDescent="0.2">
      <c r="Y18" s="56"/>
      <c r="AH18" s="53" t="s">
        <v>325</v>
      </c>
      <c r="AJ18" s="7"/>
      <c r="AK18" s="7"/>
    </row>
    <row r="19" spans="25:39" x14ac:dyDescent="0.2">
      <c r="Y19" s="56"/>
      <c r="AH19" s="53" t="s">
        <v>326</v>
      </c>
      <c r="AJ19" s="7"/>
      <c r="AK19" s="7"/>
    </row>
    <row r="20" spans="25:39" x14ac:dyDescent="0.2">
      <c r="Y20" s="56"/>
      <c r="AB20" s="56"/>
      <c r="AH20" s="53" t="s">
        <v>327</v>
      </c>
      <c r="AJ20" s="7"/>
      <c r="AK20" s="7"/>
    </row>
    <row r="21" spans="25:39" x14ac:dyDescent="0.2">
      <c r="Y21" s="56"/>
      <c r="AH21" s="53" t="s">
        <v>328</v>
      </c>
    </row>
    <row r="22" spans="25:39" x14ac:dyDescent="0.2">
      <c r="AB22" s="56"/>
      <c r="AH22" s="53" t="s">
        <v>329</v>
      </c>
    </row>
    <row r="23" spans="25:39" x14ac:dyDescent="0.2">
      <c r="Y23" s="56"/>
      <c r="AH23" s="53" t="s">
        <v>330</v>
      </c>
      <c r="AJ23" s="7"/>
      <c r="AK23" s="7"/>
    </row>
    <row r="24" spans="25:39" x14ac:dyDescent="0.2">
      <c r="Y24" s="56"/>
      <c r="AH24" s="53" t="s">
        <v>331</v>
      </c>
      <c r="AJ24" s="7"/>
      <c r="AK24" s="7"/>
    </row>
    <row r="25" spans="25:39" x14ac:dyDescent="0.2">
      <c r="AH25" s="53" t="s">
        <v>332</v>
      </c>
    </row>
    <row r="26" spans="25:39" x14ac:dyDescent="0.2">
      <c r="Y26" s="56"/>
      <c r="AB26" s="56"/>
      <c r="AH26" s="53" t="s">
        <v>333</v>
      </c>
      <c r="AJ26" s="7"/>
      <c r="AK26" s="7"/>
    </row>
    <row r="27" spans="25:39" x14ac:dyDescent="0.2">
      <c r="Y27" s="56"/>
      <c r="AB27" s="56"/>
      <c r="AH27" s="53" t="s">
        <v>334</v>
      </c>
    </row>
    <row r="28" spans="25:39" x14ac:dyDescent="0.2">
      <c r="AB28" s="56"/>
      <c r="AH28" s="53" t="s">
        <v>335</v>
      </c>
    </row>
    <row r="29" spans="25:39" x14ac:dyDescent="0.2">
      <c r="AB29" s="56"/>
      <c r="AH29" s="53" t="s">
        <v>336</v>
      </c>
      <c r="AJ29" s="7"/>
      <c r="AK29" s="7"/>
    </row>
    <row r="30" spans="25:39" x14ac:dyDescent="0.2">
      <c r="Y30" s="56"/>
      <c r="AH30" s="53" t="s">
        <v>337</v>
      </c>
      <c r="AJ30" s="7"/>
      <c r="AK30" s="7"/>
      <c r="AM30" s="7"/>
    </row>
    <row r="31" spans="25:39" x14ac:dyDescent="0.2">
      <c r="AH31" s="53" t="s">
        <v>338</v>
      </c>
      <c r="AJ31" s="7"/>
      <c r="AK31" s="7"/>
    </row>
    <row r="32" spans="25:39" x14ac:dyDescent="0.2">
      <c r="AB32" s="56"/>
      <c r="AH32" s="53" t="s">
        <v>339</v>
      </c>
      <c r="AJ32" s="7"/>
    </row>
    <row r="33" spans="15:37" x14ac:dyDescent="0.2">
      <c r="Y33" s="56"/>
      <c r="AH33" s="53" t="s">
        <v>340</v>
      </c>
    </row>
    <row r="34" spans="15:37" x14ac:dyDescent="0.2">
      <c r="AB34" s="56"/>
      <c r="AH34" s="53" t="s">
        <v>341</v>
      </c>
      <c r="AJ34" s="7"/>
      <c r="AK34" s="7"/>
    </row>
    <row r="35" spans="15:37" x14ac:dyDescent="0.2">
      <c r="AB35" s="56"/>
      <c r="AH35" s="53" t="s">
        <v>342</v>
      </c>
      <c r="AJ35" s="7"/>
      <c r="AK35" s="7"/>
    </row>
    <row r="36" spans="15:37" x14ac:dyDescent="0.2">
      <c r="Y36" s="56"/>
      <c r="AH36" s="53" t="s">
        <v>343</v>
      </c>
      <c r="AJ36" s="7"/>
      <c r="AK36" s="7"/>
    </row>
    <row r="37" spans="15:37" x14ac:dyDescent="0.2">
      <c r="AH37" s="53" t="s">
        <v>344</v>
      </c>
    </row>
    <row r="38" spans="15:37" x14ac:dyDescent="0.2">
      <c r="AB38" s="56"/>
      <c r="AH38" s="53" t="s">
        <v>345</v>
      </c>
    </row>
    <row r="39" spans="15:37" x14ac:dyDescent="0.2">
      <c r="AB39" s="56"/>
      <c r="AH39" s="53" t="s">
        <v>346</v>
      </c>
    </row>
    <row r="40" spans="15:37" x14ac:dyDescent="0.2">
      <c r="AB40" s="56"/>
      <c r="AH40" s="53" t="s">
        <v>347</v>
      </c>
    </row>
    <row r="41" spans="15:37" x14ac:dyDescent="0.2">
      <c r="AH41" s="53" t="s">
        <v>348</v>
      </c>
    </row>
    <row r="42" spans="15:37" x14ac:dyDescent="0.2">
      <c r="AB42" s="56"/>
      <c r="AH42" s="53" t="s">
        <v>349</v>
      </c>
    </row>
    <row r="43" spans="15:37" x14ac:dyDescent="0.2">
      <c r="AB43" s="56"/>
      <c r="AH43" s="53" t="s">
        <v>350</v>
      </c>
    </row>
    <row r="44" spans="15:37" x14ac:dyDescent="0.2">
      <c r="AB44" s="56"/>
      <c r="AH44" s="53" t="s">
        <v>351</v>
      </c>
    </row>
    <row r="45" spans="15:37" x14ac:dyDescent="0.2">
      <c r="AB45" s="56"/>
      <c r="AH45" s="53" t="s">
        <v>352</v>
      </c>
    </row>
    <row r="46" spans="15:37" x14ac:dyDescent="0.2">
      <c r="O46" s="50"/>
      <c r="AB46" s="56"/>
      <c r="AH46" s="53" t="s">
        <v>353</v>
      </c>
    </row>
    <row r="47" spans="15:37" x14ac:dyDescent="0.2">
      <c r="O47" s="50"/>
      <c r="AH47" s="53" t="s">
        <v>354</v>
      </c>
      <c r="AJ47" s="7"/>
      <c r="AK47" s="7"/>
    </row>
    <row r="48" spans="15:37" x14ac:dyDescent="0.2">
      <c r="O48" s="50"/>
      <c r="AH48" s="53" t="s">
        <v>355</v>
      </c>
      <c r="AJ48" s="7"/>
      <c r="AK48" s="7"/>
    </row>
    <row r="49" spans="15:37" x14ac:dyDescent="0.2">
      <c r="O49" s="50"/>
      <c r="AH49" s="53" t="s">
        <v>356</v>
      </c>
    </row>
    <row r="50" spans="15:37" x14ac:dyDescent="0.2">
      <c r="O50" s="50"/>
      <c r="AB50" s="56"/>
      <c r="AH50" s="53" t="s">
        <v>357</v>
      </c>
    </row>
    <row r="51" spans="15:37" x14ac:dyDescent="0.2">
      <c r="O51" s="50"/>
      <c r="AB51" s="56"/>
      <c r="AH51" s="53" t="s">
        <v>358</v>
      </c>
      <c r="AJ51" s="7"/>
      <c r="AK51" s="7"/>
    </row>
    <row r="52" spans="15:37" x14ac:dyDescent="0.2">
      <c r="O52" s="50"/>
      <c r="AH52" s="53" t="s">
        <v>359</v>
      </c>
      <c r="AJ52" s="7"/>
      <c r="AK52" s="7"/>
    </row>
    <row r="53" spans="15:37" x14ac:dyDescent="0.2">
      <c r="O53" s="50"/>
      <c r="AH53" s="53" t="s">
        <v>360</v>
      </c>
      <c r="AJ53" s="7"/>
      <c r="AK53" s="7"/>
    </row>
    <row r="54" spans="15:37" x14ac:dyDescent="0.2">
      <c r="O54" s="50"/>
      <c r="AB54" s="56"/>
      <c r="AH54" s="53" t="s">
        <v>361</v>
      </c>
    </row>
    <row r="55" spans="15:37" x14ac:dyDescent="0.2">
      <c r="O55" s="50"/>
      <c r="AB55" s="56"/>
      <c r="AH55" s="53" t="s">
        <v>362</v>
      </c>
      <c r="AJ55" s="7"/>
      <c r="AK55" s="7"/>
    </row>
    <row r="56" spans="15:37" x14ac:dyDescent="0.2">
      <c r="O56" s="50"/>
      <c r="AB56" s="56"/>
      <c r="AH56" s="53" t="s">
        <v>363</v>
      </c>
      <c r="AJ56" s="7"/>
      <c r="AK56" s="7"/>
    </row>
    <row r="57" spans="15:37" x14ac:dyDescent="0.2">
      <c r="O57" s="50"/>
      <c r="AH57" s="53" t="s">
        <v>364</v>
      </c>
    </row>
    <row r="58" spans="15:37" x14ac:dyDescent="0.2">
      <c r="O58" s="50"/>
      <c r="AB58" s="56"/>
      <c r="AH58" s="53" t="s">
        <v>365</v>
      </c>
      <c r="AJ58" s="7"/>
      <c r="AK58" s="7"/>
    </row>
    <row r="59" spans="15:37" x14ac:dyDescent="0.2">
      <c r="O59" s="50"/>
      <c r="AH59" s="53" t="s">
        <v>366</v>
      </c>
      <c r="AJ59" s="7"/>
      <c r="AK59" s="7"/>
    </row>
    <row r="60" spans="15:37" x14ac:dyDescent="0.2">
      <c r="O60" s="50"/>
      <c r="AH60" s="53" t="s">
        <v>367</v>
      </c>
      <c r="AJ60" s="7"/>
      <c r="AK60" s="7"/>
    </row>
    <row r="61" spans="15:37" x14ac:dyDescent="0.2">
      <c r="O61" s="50"/>
      <c r="AH61" s="53" t="s">
        <v>368</v>
      </c>
      <c r="AJ61" s="7"/>
      <c r="AK61" s="7"/>
    </row>
    <row r="62" spans="15:37" x14ac:dyDescent="0.2">
      <c r="O62" s="50"/>
      <c r="AH62" s="53" t="s">
        <v>369</v>
      </c>
    </row>
    <row r="63" spans="15:37" x14ac:dyDescent="0.2">
      <c r="O63" s="50"/>
      <c r="AH63" s="53" t="s">
        <v>370</v>
      </c>
      <c r="AJ63" s="7"/>
      <c r="AK63" s="7"/>
    </row>
    <row r="64" spans="15:37" x14ac:dyDescent="0.2">
      <c r="O64" s="50"/>
      <c r="AH64" s="53" t="s">
        <v>371</v>
      </c>
      <c r="AJ64" s="7"/>
      <c r="AK64" s="7"/>
    </row>
    <row r="65" spans="15:37" x14ac:dyDescent="0.2">
      <c r="O65" s="50"/>
      <c r="AH65" s="53" t="s">
        <v>372</v>
      </c>
    </row>
    <row r="66" spans="15:37" x14ac:dyDescent="0.2">
      <c r="O66" s="50"/>
      <c r="AH66" s="53" t="s">
        <v>373</v>
      </c>
    </row>
    <row r="67" spans="15:37" x14ac:dyDescent="0.2">
      <c r="O67" s="50"/>
      <c r="AH67" s="53" t="s">
        <v>374</v>
      </c>
    </row>
    <row r="68" spans="15:37" x14ac:dyDescent="0.2">
      <c r="O68" s="50"/>
      <c r="AH68" s="53" t="s">
        <v>375</v>
      </c>
    </row>
    <row r="69" spans="15:37" x14ac:dyDescent="0.2">
      <c r="AH69" s="53" t="s">
        <v>376</v>
      </c>
      <c r="AJ69" s="7"/>
      <c r="AK69" s="7"/>
    </row>
    <row r="70" spans="15:37" x14ac:dyDescent="0.2">
      <c r="AH70" s="53" t="s">
        <v>377</v>
      </c>
    </row>
    <row r="71" spans="15:37" x14ac:dyDescent="0.2">
      <c r="AH71" s="53" t="s">
        <v>378</v>
      </c>
      <c r="AJ71" s="7"/>
      <c r="AK71" s="7"/>
    </row>
    <row r="72" spans="15:37" x14ac:dyDescent="0.2">
      <c r="AH72" s="53" t="s">
        <v>379</v>
      </c>
      <c r="AJ72" s="7"/>
      <c r="AK72" s="7"/>
    </row>
    <row r="73" spans="15:37" x14ac:dyDescent="0.2">
      <c r="AH73" s="53" t="s">
        <v>380</v>
      </c>
    </row>
    <row r="74" spans="15:37" x14ac:dyDescent="0.2">
      <c r="AH74" s="53" t="s">
        <v>381</v>
      </c>
      <c r="AJ74" s="7"/>
      <c r="AK74" s="7"/>
    </row>
    <row r="75" spans="15:37" x14ac:dyDescent="0.2">
      <c r="AH75" s="53" t="s">
        <v>382</v>
      </c>
    </row>
    <row r="76" spans="15:37" x14ac:dyDescent="0.2">
      <c r="AH76" s="53" t="s">
        <v>383</v>
      </c>
      <c r="AJ76" s="7"/>
      <c r="AK76" s="7"/>
    </row>
    <row r="77" spans="15:37" x14ac:dyDescent="0.2">
      <c r="AH77" s="53" t="s">
        <v>384</v>
      </c>
      <c r="AJ77" s="7"/>
      <c r="AK77" s="7"/>
    </row>
    <row r="78" spans="15:37" x14ac:dyDescent="0.2">
      <c r="AH78" s="53" t="s">
        <v>385</v>
      </c>
      <c r="AJ78" s="7"/>
      <c r="AK78" s="7"/>
    </row>
    <row r="79" spans="15:37" x14ac:dyDescent="0.2">
      <c r="AH79" s="53" t="s">
        <v>386</v>
      </c>
    </row>
    <row r="80" spans="15:37" x14ac:dyDescent="0.2">
      <c r="AH80" s="53" t="s">
        <v>387</v>
      </c>
    </row>
    <row r="81" spans="34:37" x14ac:dyDescent="0.2">
      <c r="AH81" s="53" t="s">
        <v>388</v>
      </c>
      <c r="AJ81" s="7"/>
      <c r="AK81" s="7"/>
    </row>
    <row r="82" spans="34:37" x14ac:dyDescent="0.2">
      <c r="AH82" s="53" t="s">
        <v>389</v>
      </c>
      <c r="AJ82" s="7"/>
      <c r="AK82" s="7"/>
    </row>
    <row r="83" spans="34:37" x14ac:dyDescent="0.2">
      <c r="AH83" s="53" t="s">
        <v>390</v>
      </c>
    </row>
    <row r="84" spans="34:37" x14ac:dyDescent="0.2">
      <c r="AH84" s="53" t="s">
        <v>391</v>
      </c>
    </row>
    <row r="85" spans="34:37" x14ac:dyDescent="0.2">
      <c r="AH85" s="53" t="s">
        <v>392</v>
      </c>
      <c r="AJ85" s="7"/>
      <c r="AK85" s="7"/>
    </row>
    <row r="86" spans="34:37" x14ac:dyDescent="0.2">
      <c r="AH86" s="53" t="s">
        <v>393</v>
      </c>
    </row>
    <row r="87" spans="34:37" x14ac:dyDescent="0.2">
      <c r="AH87" s="53" t="s">
        <v>394</v>
      </c>
    </row>
    <row r="88" spans="34:37" x14ac:dyDescent="0.2">
      <c r="AH88" s="53" t="s">
        <v>395</v>
      </c>
    </row>
    <row r="89" spans="34:37" x14ac:dyDescent="0.2">
      <c r="AH89" s="53" t="s">
        <v>396</v>
      </c>
    </row>
    <row r="90" spans="34:37" x14ac:dyDescent="0.2">
      <c r="AH90" s="53" t="s">
        <v>397</v>
      </c>
      <c r="AJ90" s="7"/>
      <c r="AK90" s="7"/>
    </row>
    <row r="91" spans="34:37" x14ac:dyDescent="0.2">
      <c r="AH91" s="53" t="s">
        <v>398</v>
      </c>
      <c r="AJ91" s="7"/>
      <c r="AK91" s="7"/>
    </row>
    <row r="92" spans="34:37" x14ac:dyDescent="0.2">
      <c r="AH92" s="53" t="s">
        <v>399</v>
      </c>
      <c r="AJ92" s="7"/>
      <c r="AK92" s="7"/>
    </row>
    <row r="93" spans="34:37" x14ac:dyDescent="0.2">
      <c r="AH93" s="53" t="s">
        <v>400</v>
      </c>
    </row>
    <row r="94" spans="34:37" x14ac:dyDescent="0.2">
      <c r="AH94" s="53" t="s">
        <v>401</v>
      </c>
    </row>
    <row r="95" spans="34:37" x14ac:dyDescent="0.2">
      <c r="AH95" s="53" t="s">
        <v>402</v>
      </c>
    </row>
    <row r="96" spans="34:37" x14ac:dyDescent="0.2">
      <c r="AH96" s="53" t="s">
        <v>403</v>
      </c>
    </row>
    <row r="97" spans="34:37" x14ac:dyDescent="0.2">
      <c r="AH97" s="53" t="s">
        <v>404</v>
      </c>
      <c r="AJ97" s="7"/>
      <c r="AK97" s="7"/>
    </row>
    <row r="98" spans="34:37" x14ac:dyDescent="0.2">
      <c r="AH98" s="53" t="s">
        <v>405</v>
      </c>
    </row>
    <row r="99" spans="34:37" x14ac:dyDescent="0.2">
      <c r="AH99" s="53" t="s">
        <v>406</v>
      </c>
    </row>
    <row r="100" spans="34:37" x14ac:dyDescent="0.2">
      <c r="AH100" s="53" t="s">
        <v>407</v>
      </c>
    </row>
    <row r="101" spans="34:37" x14ac:dyDescent="0.2">
      <c r="AH101" s="53" t="s">
        <v>408</v>
      </c>
    </row>
    <row r="102" spans="34:37" x14ac:dyDescent="0.2">
      <c r="AH102" s="53" t="s">
        <v>409</v>
      </c>
      <c r="AJ102" s="7"/>
      <c r="AK102" s="7"/>
    </row>
    <row r="103" spans="34:37" x14ac:dyDescent="0.2">
      <c r="AH103" s="53" t="s">
        <v>410</v>
      </c>
    </row>
    <row r="104" spans="34:37" x14ac:dyDescent="0.2">
      <c r="AH104" s="53" t="s">
        <v>411</v>
      </c>
    </row>
    <row r="105" spans="34:37" x14ac:dyDescent="0.2">
      <c r="AH105" s="53" t="s">
        <v>412</v>
      </c>
      <c r="AJ105" s="7"/>
      <c r="AK105" s="7"/>
    </row>
    <row r="106" spans="34:37" x14ac:dyDescent="0.2">
      <c r="AH106" s="53" t="s">
        <v>413</v>
      </c>
      <c r="AJ106" s="7"/>
      <c r="AK106" s="7"/>
    </row>
    <row r="107" spans="34:37" x14ac:dyDescent="0.2">
      <c r="AH107" s="53" t="s">
        <v>414</v>
      </c>
    </row>
    <row r="108" spans="34:37" x14ac:dyDescent="0.2">
      <c r="AH108" s="53" t="s">
        <v>415</v>
      </c>
    </row>
    <row r="109" spans="34:37" x14ac:dyDescent="0.2">
      <c r="AH109" s="53" t="s">
        <v>416</v>
      </c>
    </row>
    <row r="110" spans="34:37" x14ac:dyDescent="0.2">
      <c r="AH110" s="53" t="s">
        <v>417</v>
      </c>
      <c r="AJ110" s="7"/>
      <c r="AK110" s="7"/>
    </row>
    <row r="111" spans="34:37" x14ac:dyDescent="0.2">
      <c r="AH111" s="53" t="s">
        <v>418</v>
      </c>
    </row>
    <row r="112" spans="34:37" x14ac:dyDescent="0.2">
      <c r="AH112" s="53" t="s">
        <v>419</v>
      </c>
      <c r="AJ112" s="7"/>
      <c r="AK112" s="7"/>
    </row>
    <row r="113" spans="34:37" x14ac:dyDescent="0.2">
      <c r="AH113" s="53" t="s">
        <v>420</v>
      </c>
      <c r="AJ113" s="7"/>
      <c r="AK113" s="7"/>
    </row>
    <row r="114" spans="34:37" x14ac:dyDescent="0.2">
      <c r="AH114" s="53" t="s">
        <v>421</v>
      </c>
      <c r="AJ114" s="7"/>
      <c r="AK114" s="7"/>
    </row>
    <row r="115" spans="34:37" x14ac:dyDescent="0.2">
      <c r="AH115" s="53" t="s">
        <v>422</v>
      </c>
    </row>
    <row r="116" spans="34:37" x14ac:dyDescent="0.2">
      <c r="AH116" s="53" t="s">
        <v>423</v>
      </c>
    </row>
    <row r="117" spans="34:37" x14ac:dyDescent="0.2">
      <c r="AH117" s="53" t="s">
        <v>424</v>
      </c>
      <c r="AJ117" s="7"/>
      <c r="AK117" s="7"/>
    </row>
    <row r="118" spans="34:37" x14ac:dyDescent="0.2">
      <c r="AH118" s="53" t="s">
        <v>425</v>
      </c>
    </row>
    <row r="119" spans="34:37" x14ac:dyDescent="0.2">
      <c r="AH119" s="53" t="s">
        <v>426</v>
      </c>
    </row>
    <row r="120" spans="34:37" x14ac:dyDescent="0.2">
      <c r="AH120" s="53" t="s">
        <v>427</v>
      </c>
    </row>
    <row r="121" spans="34:37" x14ac:dyDescent="0.2">
      <c r="AH121" s="53" t="s">
        <v>428</v>
      </c>
      <c r="AJ121" s="7"/>
      <c r="AK121" s="7"/>
    </row>
    <row r="122" spans="34:37" x14ac:dyDescent="0.2">
      <c r="AH122" s="53" t="s">
        <v>429</v>
      </c>
    </row>
    <row r="123" spans="34:37" x14ac:dyDescent="0.2">
      <c r="AH123" s="53" t="s">
        <v>430</v>
      </c>
    </row>
    <row r="124" spans="34:37" x14ac:dyDescent="0.2">
      <c r="AH124" s="53" t="s">
        <v>431</v>
      </c>
    </row>
    <row r="125" spans="34:37" x14ac:dyDescent="0.2">
      <c r="AH125" s="53" t="s">
        <v>432</v>
      </c>
    </row>
    <row r="126" spans="34:37" x14ac:dyDescent="0.2">
      <c r="AH126" s="53" t="s">
        <v>433</v>
      </c>
      <c r="AJ126" s="7"/>
      <c r="AK126" s="7"/>
    </row>
    <row r="127" spans="34:37" x14ac:dyDescent="0.2">
      <c r="AH127" s="53" t="s">
        <v>434</v>
      </c>
    </row>
    <row r="128" spans="34:37" x14ac:dyDescent="0.2">
      <c r="AH128" s="53" t="s">
        <v>435</v>
      </c>
      <c r="AJ128" s="7"/>
      <c r="AK128" s="7"/>
    </row>
    <row r="129" spans="34:37" x14ac:dyDescent="0.2">
      <c r="AH129" s="53" t="s">
        <v>485</v>
      </c>
    </row>
    <row r="130" spans="34:37" x14ac:dyDescent="0.2">
      <c r="AH130" s="53" t="s">
        <v>486</v>
      </c>
    </row>
    <row r="131" spans="34:37" x14ac:dyDescent="0.2">
      <c r="AH131" s="53" t="s">
        <v>487</v>
      </c>
    </row>
    <row r="132" spans="34:37" x14ac:dyDescent="0.2">
      <c r="AH132" s="53" t="s">
        <v>488</v>
      </c>
      <c r="AJ132" s="7"/>
      <c r="AK132" s="7"/>
    </row>
    <row r="133" spans="34:37" x14ac:dyDescent="0.2">
      <c r="AH133" s="53" t="s">
        <v>489</v>
      </c>
    </row>
    <row r="134" spans="34:37" x14ac:dyDescent="0.2">
      <c r="AH134" s="53" t="s">
        <v>490</v>
      </c>
      <c r="AJ134" s="7"/>
      <c r="AK134" s="7"/>
    </row>
    <row r="135" spans="34:37" x14ac:dyDescent="0.2">
      <c r="AH135" s="53" t="s">
        <v>491</v>
      </c>
    </row>
    <row r="136" spans="34:37" x14ac:dyDescent="0.2">
      <c r="AH136" s="53" t="s">
        <v>492</v>
      </c>
    </row>
    <row r="137" spans="34:37" x14ac:dyDescent="0.2">
      <c r="AH137" s="53" t="s">
        <v>493</v>
      </c>
      <c r="AJ137" s="7"/>
      <c r="AK137" s="7"/>
    </row>
    <row r="138" spans="34:37" x14ac:dyDescent="0.2">
      <c r="AH138" s="53" t="s">
        <v>494</v>
      </c>
      <c r="AJ138" s="7"/>
      <c r="AK138" s="7"/>
    </row>
    <row r="139" spans="34:37" x14ac:dyDescent="0.2">
      <c r="AH139" s="53" t="s">
        <v>495</v>
      </c>
      <c r="AJ139" s="7"/>
      <c r="AK139" s="7"/>
    </row>
    <row r="140" spans="34:37" x14ac:dyDescent="0.2">
      <c r="AH140" s="53" t="s">
        <v>496</v>
      </c>
      <c r="AJ140" s="7"/>
      <c r="AK140" s="7"/>
    </row>
    <row r="141" spans="34:37" x14ac:dyDescent="0.2">
      <c r="AH141" s="53" t="s">
        <v>497</v>
      </c>
    </row>
    <row r="142" spans="34:37" x14ac:dyDescent="0.2">
      <c r="AH142" s="53" t="s">
        <v>498</v>
      </c>
      <c r="AJ142" s="7"/>
      <c r="AK142" s="7"/>
    </row>
    <row r="143" spans="34:37" x14ac:dyDescent="0.2">
      <c r="AH143" s="53" t="s">
        <v>499</v>
      </c>
      <c r="AJ143" s="7"/>
      <c r="AK143" s="7"/>
    </row>
    <row r="144" spans="34:37" x14ac:dyDescent="0.2">
      <c r="AH144" s="53" t="s">
        <v>500</v>
      </c>
      <c r="AJ144" s="7"/>
      <c r="AK144" s="7"/>
    </row>
    <row r="145" spans="34:37" x14ac:dyDescent="0.2">
      <c r="AH145" s="53" t="s">
        <v>501</v>
      </c>
    </row>
    <row r="146" spans="34:37" x14ac:dyDescent="0.2">
      <c r="AH146" s="53" t="s">
        <v>502</v>
      </c>
    </row>
    <row r="147" spans="34:37" x14ac:dyDescent="0.2">
      <c r="AH147" s="53" t="s">
        <v>503</v>
      </c>
      <c r="AJ147" s="7"/>
      <c r="AK147" s="7"/>
    </row>
    <row r="148" spans="34:37" x14ac:dyDescent="0.2">
      <c r="AH148" s="53" t="s">
        <v>504</v>
      </c>
    </row>
    <row r="149" spans="34:37" x14ac:dyDescent="0.2">
      <c r="AH149" s="53" t="s">
        <v>505</v>
      </c>
    </row>
    <row r="150" spans="34:37" x14ac:dyDescent="0.2">
      <c r="AH150" s="53" t="s">
        <v>506</v>
      </c>
    </row>
    <row r="151" spans="34:37" x14ac:dyDescent="0.2">
      <c r="AH151" s="53" t="s">
        <v>507</v>
      </c>
      <c r="AJ151" s="7"/>
      <c r="AK151" s="7"/>
    </row>
    <row r="152" spans="34:37" x14ac:dyDescent="0.2">
      <c r="AH152" s="53" t="s">
        <v>508</v>
      </c>
      <c r="AJ152" s="7"/>
      <c r="AK152" s="7"/>
    </row>
    <row r="153" spans="34:37" x14ac:dyDescent="0.2">
      <c r="AH153" s="53" t="s">
        <v>509</v>
      </c>
      <c r="AJ153" s="7"/>
      <c r="AK153" s="7"/>
    </row>
    <row r="154" spans="34:37" x14ac:dyDescent="0.2">
      <c r="AH154" s="53" t="s">
        <v>510</v>
      </c>
    </row>
    <row r="155" spans="34:37" x14ac:dyDescent="0.2">
      <c r="AH155" s="53" t="s">
        <v>511</v>
      </c>
    </row>
    <row r="156" spans="34:37" x14ac:dyDescent="0.2">
      <c r="AH156" s="53" t="s">
        <v>512</v>
      </c>
      <c r="AJ156" s="7"/>
      <c r="AK156" s="7"/>
    </row>
    <row r="157" spans="34:37" x14ac:dyDescent="0.2">
      <c r="AH157" s="53" t="s">
        <v>513</v>
      </c>
    </row>
    <row r="158" spans="34:37" x14ac:dyDescent="0.2">
      <c r="AJ158" s="7"/>
      <c r="AK158" s="7"/>
    </row>
    <row r="163" spans="36:37" x14ac:dyDescent="0.2">
      <c r="AJ163" s="7"/>
      <c r="AK163" s="7"/>
    </row>
    <row r="172" spans="36:37" x14ac:dyDescent="0.2">
      <c r="AJ172" s="4"/>
      <c r="AK172" s="7"/>
    </row>
    <row r="173" spans="36:37" x14ac:dyDescent="0.2">
      <c r="AJ173" s="7"/>
      <c r="AK173" s="7"/>
    </row>
    <row r="174" spans="36:37" x14ac:dyDescent="0.2">
      <c r="AJ174" s="7"/>
      <c r="AK174" s="7"/>
    </row>
    <row r="175" spans="36:37" x14ac:dyDescent="0.2">
      <c r="AJ175" s="7"/>
      <c r="AK175" s="7"/>
    </row>
    <row r="176" spans="36:37" x14ac:dyDescent="0.2">
      <c r="AJ176" s="7"/>
      <c r="AK176" s="7"/>
    </row>
    <row r="183" spans="36:37" x14ac:dyDescent="0.2">
      <c r="AJ183" s="7"/>
      <c r="AK183" s="7"/>
    </row>
    <row r="184" spans="36:37" x14ac:dyDescent="0.2">
      <c r="AJ184" s="7"/>
      <c r="AK184" s="7"/>
    </row>
    <row r="187" spans="36:37" x14ac:dyDescent="0.2">
      <c r="AJ187" s="7"/>
      <c r="AK187" s="7"/>
    </row>
    <row r="188" spans="36:37" x14ac:dyDescent="0.2">
      <c r="AJ188" s="7"/>
      <c r="AK188" s="7"/>
    </row>
    <row r="192" spans="36:37" x14ac:dyDescent="0.2">
      <c r="AJ192" s="7"/>
      <c r="AK192" s="7"/>
    </row>
    <row r="199" spans="36:37" x14ac:dyDescent="0.2">
      <c r="AJ199" s="7"/>
      <c r="AK199" s="7"/>
    </row>
    <row r="200" spans="36:37" x14ac:dyDescent="0.2">
      <c r="AJ200" s="7"/>
      <c r="AK200" s="7"/>
    </row>
    <row r="204" spans="36:37" x14ac:dyDescent="0.2">
      <c r="AJ204" s="7"/>
      <c r="AK204" s="7"/>
    </row>
    <row r="205" spans="36:37" x14ac:dyDescent="0.2">
      <c r="AJ205" s="7"/>
      <c r="AK205" s="7"/>
    </row>
    <row r="206" spans="36:37" x14ac:dyDescent="0.2">
      <c r="AJ206" s="7"/>
      <c r="AK206" s="7"/>
    </row>
    <row r="207" spans="36:37" x14ac:dyDescent="0.2">
      <c r="AJ207" s="7"/>
      <c r="AK207" s="7"/>
    </row>
    <row r="210" spans="36:37" x14ac:dyDescent="0.2">
      <c r="AJ210" s="7"/>
      <c r="AK210" s="7"/>
    </row>
    <row r="213" spans="36:37" x14ac:dyDescent="0.2">
      <c r="AJ213" s="7"/>
      <c r="AK213" s="7"/>
    </row>
    <row r="214" spans="36:37" x14ac:dyDescent="0.2">
      <c r="AJ214" s="7"/>
      <c r="AK214" s="7"/>
    </row>
    <row r="215" spans="36:37" x14ac:dyDescent="0.2">
      <c r="AJ215" s="7"/>
      <c r="AK215" s="7"/>
    </row>
    <row r="216" spans="36:37" x14ac:dyDescent="0.2">
      <c r="AJ216" s="7"/>
      <c r="AK216" s="7"/>
    </row>
    <row r="217" spans="36:37" x14ac:dyDescent="0.2">
      <c r="AJ217" s="7"/>
      <c r="AK217" s="7"/>
    </row>
    <row r="218" spans="36:37" x14ac:dyDescent="0.2">
      <c r="AJ218" s="7"/>
      <c r="AK218" s="7"/>
    </row>
    <row r="219" spans="36:37" x14ac:dyDescent="0.2">
      <c r="AJ219" s="7"/>
      <c r="AK219" s="7"/>
    </row>
    <row r="226" spans="36:37" x14ac:dyDescent="0.2">
      <c r="AJ226" s="7"/>
      <c r="AK226" s="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A1:AT136"/>
  <sheetViews>
    <sheetView tabSelected="1" zoomScale="85" zoomScaleNormal="85" workbookViewId="0">
      <pane ySplit="3" topLeftCell="A4" activePane="bottomLeft" state="frozen"/>
      <selection activeCell="A3" sqref="A3"/>
      <selection pane="bottomLeft" activeCell="AQ5" sqref="AQ5"/>
    </sheetView>
  </sheetViews>
  <sheetFormatPr defaultColWidth="8.7109375" defaultRowHeight="15" outlineLevelCol="1" x14ac:dyDescent="0.25"/>
  <cols>
    <col min="1" max="1" width="6.42578125" style="99" hidden="1" customWidth="1" outlineLevel="1"/>
    <col min="2" max="2" width="12.42578125" style="99" hidden="1" customWidth="1" outlineLevel="1"/>
    <col min="3" max="3" width="6.5703125" style="106" hidden="1" customWidth="1" outlineLevel="1"/>
    <col min="4" max="4" width="13.140625" style="107" hidden="1" customWidth="1" outlineLevel="1"/>
    <col min="5" max="5" width="22.5703125" style="6" customWidth="1" collapsed="1"/>
    <col min="6" max="6" width="16.7109375" style="49" customWidth="1"/>
    <col min="7" max="7" width="18.140625" style="85" customWidth="1"/>
    <col min="8" max="13" width="9" style="94" hidden="1" customWidth="1"/>
    <col min="14" max="14" width="3.85546875" style="94" customWidth="1"/>
    <col min="15" max="15" width="9.42578125" style="38" hidden="1" customWidth="1" outlineLevel="1"/>
    <col min="16" max="16" width="9.42578125" style="39" hidden="1" customWidth="1" outlineLevel="1"/>
    <col min="17" max="17" width="4.5703125" style="40" hidden="1" customWidth="1" outlineLevel="1"/>
    <col min="18" max="18" width="3.42578125" style="6" hidden="1" customWidth="1" outlineLevel="1"/>
    <col min="19" max="19" width="5.140625" style="65" hidden="1" customWidth="1" outlineLevel="1"/>
    <col min="20" max="20" width="7.28515625" style="46" hidden="1" customWidth="1" outlineLevel="1"/>
    <col min="21" max="21" width="5.28515625" style="47" hidden="1" customWidth="1" outlineLevel="1"/>
    <col min="22" max="22" width="7.5703125" style="47" hidden="1" customWidth="1" outlineLevel="1"/>
    <col min="23" max="23" width="3.42578125" style="6" hidden="1" customWidth="1" outlineLevel="1"/>
    <col min="24" max="24" width="8.5703125" style="38" hidden="1" customWidth="1" outlineLevel="1"/>
    <col min="25" max="25" width="6.42578125" style="38" hidden="1" customWidth="1" outlineLevel="1"/>
    <col min="26" max="26" width="6.140625" style="39" hidden="1" customWidth="1" outlineLevel="1"/>
    <col min="27" max="27" width="4.5703125" style="40" hidden="1" customWidth="1" outlineLevel="1"/>
    <col min="28" max="28" width="3.42578125" style="6" hidden="1" customWidth="1" outlineLevel="1"/>
    <col min="29" max="29" width="8.5703125" style="38" hidden="1" customWidth="1" outlineLevel="1"/>
    <col min="30" max="30" width="6.42578125" style="38" hidden="1" customWidth="1" outlineLevel="1"/>
    <col min="31" max="31" width="6.140625" style="39" hidden="1" customWidth="1" outlineLevel="1"/>
    <col min="32" max="32" width="4.5703125" style="40" hidden="1" customWidth="1" outlineLevel="1"/>
    <col min="33" max="33" width="4.140625" style="41" hidden="1" customWidth="1" outlineLevel="1"/>
    <col min="34" max="34" width="9.42578125" style="38" hidden="1" customWidth="1" outlineLevel="1"/>
    <col min="35" max="35" width="4.140625" style="39" hidden="1" customWidth="1" outlineLevel="1"/>
    <col min="36" max="36" width="4.5703125" style="40" hidden="1" customWidth="1" outlineLevel="1"/>
    <col min="37" max="37" width="4.140625" style="6" hidden="1" customWidth="1" outlineLevel="1"/>
    <col min="38" max="38" width="18.42578125" style="97" customWidth="1" collapsed="1"/>
    <col min="39" max="39" width="6.5703125" style="113" customWidth="1"/>
    <col min="40" max="40" width="10.5703125" style="113" bestFit="1" customWidth="1"/>
    <col min="41" max="41" width="11.42578125" style="113" customWidth="1"/>
    <col min="42" max="42" width="5.7109375" style="113" bestFit="1" customWidth="1"/>
    <col min="43" max="44" width="6.42578125" style="113" bestFit="1" customWidth="1"/>
    <col min="45" max="46" width="5.85546875" style="113" bestFit="1" customWidth="1"/>
    <col min="47" max="47" width="7.28515625" style="101" bestFit="1" customWidth="1"/>
    <col min="48" max="48" width="3.140625" style="101" bestFit="1" customWidth="1"/>
    <col min="49" max="49" width="4.85546875" style="101" bestFit="1" customWidth="1"/>
    <col min="50" max="50" width="5.85546875" style="101" bestFit="1" customWidth="1"/>
    <col min="51" max="53" width="6.85546875" style="101" bestFit="1" customWidth="1"/>
    <col min="54" max="16384" width="8.7109375" style="101"/>
  </cols>
  <sheetData>
    <row r="1" spans="1:46" ht="15" customHeight="1" x14ac:dyDescent="0.25">
      <c r="A1" s="133" t="s">
        <v>460</v>
      </c>
      <c r="B1" s="134"/>
      <c r="C1" s="134"/>
      <c r="D1" s="134"/>
      <c r="F1" s="140" t="s">
        <v>459</v>
      </c>
      <c r="G1" s="141"/>
      <c r="O1" s="139" t="s">
        <v>436</v>
      </c>
      <c r="P1" s="137"/>
      <c r="Q1" s="138"/>
      <c r="S1" s="139" t="s">
        <v>288</v>
      </c>
      <c r="T1" s="137"/>
      <c r="U1" s="137"/>
      <c r="V1" s="138"/>
      <c r="X1" s="136" t="s">
        <v>287</v>
      </c>
      <c r="Y1" s="137"/>
      <c r="Z1" s="137"/>
      <c r="AA1" s="138"/>
      <c r="AC1" s="136" t="s">
        <v>207</v>
      </c>
      <c r="AD1" s="137"/>
      <c r="AE1" s="137"/>
      <c r="AF1" s="138"/>
      <c r="AH1" s="136" t="s">
        <v>291</v>
      </c>
      <c r="AI1" s="137"/>
      <c r="AJ1" s="138"/>
      <c r="AK1" s="41"/>
      <c r="AL1" s="114">
        <f>IF(AM1="Cấp hậu quả của công trình cấp 1",0.87,IF(AM1="Cấp hậu quả của công trình cấp 2",1,1.15))</f>
        <v>1</v>
      </c>
      <c r="AM1" s="135" t="s">
        <v>526</v>
      </c>
      <c r="AN1" s="135"/>
      <c r="AO1" s="135"/>
      <c r="AP1" s="135"/>
      <c r="AQ1" s="135"/>
      <c r="AR1" s="135"/>
      <c r="AS1" s="135"/>
      <c r="AT1" s="135"/>
    </row>
    <row r="2" spans="1:46" ht="17.25" customHeight="1" x14ac:dyDescent="0.25">
      <c r="A2" s="103" t="s">
        <v>461</v>
      </c>
      <c r="B2" s="100" t="s">
        <v>462</v>
      </c>
      <c r="C2" s="104" t="s">
        <v>463</v>
      </c>
      <c r="D2" s="103" t="s">
        <v>464</v>
      </c>
      <c r="F2" s="108" t="s">
        <v>461</v>
      </c>
      <c r="G2" s="83" t="s">
        <v>193</v>
      </c>
      <c r="O2" s="42" t="s">
        <v>286</v>
      </c>
      <c r="P2" s="42" t="s">
        <v>437</v>
      </c>
      <c r="Q2" s="44" t="s">
        <v>290</v>
      </c>
      <c r="S2" s="63" t="s">
        <v>286</v>
      </c>
      <c r="T2" s="45" t="s">
        <v>289</v>
      </c>
      <c r="U2" s="43" t="s">
        <v>292</v>
      </c>
      <c r="V2" s="43" t="s">
        <v>453</v>
      </c>
      <c r="X2" s="42" t="s">
        <v>286</v>
      </c>
      <c r="Y2" s="42" t="s">
        <v>294</v>
      </c>
      <c r="Z2" s="44" t="s">
        <v>295</v>
      </c>
      <c r="AA2" s="44" t="s">
        <v>290</v>
      </c>
      <c r="AC2" s="42" t="s">
        <v>286</v>
      </c>
      <c r="AD2" s="42" t="s">
        <v>294</v>
      </c>
      <c r="AE2" s="44" t="s">
        <v>295</v>
      </c>
      <c r="AF2" s="44" t="s">
        <v>290</v>
      </c>
      <c r="AH2" s="42" t="s">
        <v>286</v>
      </c>
      <c r="AI2" s="44" t="s">
        <v>285</v>
      </c>
      <c r="AJ2" s="44" t="s">
        <v>290</v>
      </c>
      <c r="AK2" s="41"/>
      <c r="AL2" s="110">
        <f>IF(AM1="Cấp hậu quả của công trình cấp 1",1,IF(AM1="Cấp hậu quả của công trình cấp 2",1,1))</f>
        <v>1</v>
      </c>
      <c r="AM2" s="111" t="s">
        <v>514</v>
      </c>
      <c r="AN2" s="111" t="s">
        <v>515</v>
      </c>
      <c r="AO2" s="111" t="s">
        <v>515</v>
      </c>
      <c r="AP2" s="111" t="s">
        <v>516</v>
      </c>
      <c r="AQ2" s="111" t="s">
        <v>517</v>
      </c>
      <c r="AR2" s="111" t="s">
        <v>517</v>
      </c>
      <c r="AS2" s="111"/>
      <c r="AT2" s="111"/>
    </row>
    <row r="3" spans="1:46" x14ac:dyDescent="0.25">
      <c r="A3" s="103" t="s">
        <v>6</v>
      </c>
      <c r="B3" s="100" t="s">
        <v>6</v>
      </c>
      <c r="C3" s="104" t="s">
        <v>6</v>
      </c>
      <c r="D3" s="103" t="s">
        <v>6</v>
      </c>
      <c r="F3" s="109" t="s">
        <v>6</v>
      </c>
      <c r="G3" s="83" t="s">
        <v>454</v>
      </c>
      <c r="O3" s="42" t="s">
        <v>201</v>
      </c>
      <c r="P3" s="44" t="s">
        <v>201</v>
      </c>
      <c r="Q3" s="44" t="s">
        <v>6</v>
      </c>
      <c r="S3" s="63" t="s">
        <v>6</v>
      </c>
      <c r="T3" s="45" t="s">
        <v>6</v>
      </c>
      <c r="U3" s="43" t="s">
        <v>6</v>
      </c>
      <c r="V3" s="43" t="s">
        <v>6</v>
      </c>
      <c r="X3" s="42" t="s">
        <v>6</v>
      </c>
      <c r="Y3" s="42" t="s">
        <v>201</v>
      </c>
      <c r="Z3" s="44" t="s">
        <v>201</v>
      </c>
      <c r="AA3" s="44" t="s">
        <v>6</v>
      </c>
      <c r="AC3" s="42" t="s">
        <v>6</v>
      </c>
      <c r="AD3" s="42" t="s">
        <v>201</v>
      </c>
      <c r="AE3" s="44" t="s">
        <v>201</v>
      </c>
      <c r="AF3" s="44" t="s">
        <v>6</v>
      </c>
      <c r="AH3" s="42" t="s">
        <v>6</v>
      </c>
      <c r="AI3" s="44" t="s">
        <v>201</v>
      </c>
      <c r="AJ3" s="44" t="s">
        <v>6</v>
      </c>
      <c r="AK3" s="41"/>
      <c r="AL3" s="93" t="s">
        <v>527</v>
      </c>
      <c r="AM3" s="111" t="s">
        <v>195</v>
      </c>
      <c r="AN3" s="111" t="s">
        <v>196</v>
      </c>
      <c r="AO3" s="111" t="s">
        <v>197</v>
      </c>
      <c r="AP3" s="111" t="s">
        <v>198</v>
      </c>
      <c r="AQ3" s="111" t="s">
        <v>199</v>
      </c>
      <c r="AR3" s="111" t="s">
        <v>200</v>
      </c>
      <c r="AS3" s="111"/>
      <c r="AT3" s="111"/>
    </row>
    <row r="4" spans="1:46" x14ac:dyDescent="0.25">
      <c r="A4" s="102"/>
      <c r="B4" s="98"/>
      <c r="C4" s="105"/>
      <c r="F4" s="91" t="s">
        <v>299</v>
      </c>
      <c r="G4" s="84">
        <v>3.1</v>
      </c>
      <c r="O4" s="38" t="s">
        <v>452</v>
      </c>
      <c r="P4" s="39">
        <v>120</v>
      </c>
      <c r="Q4" s="40" t="s">
        <v>443</v>
      </c>
      <c r="S4" s="64" t="s">
        <v>443</v>
      </c>
      <c r="T4" s="95">
        <f>IF(S4="","",ROUND(VLOOKUP(S4,'STRENGTH CLASSES FOR CONCRETE'!$S:$X,6,0),2))</f>
        <v>29000</v>
      </c>
      <c r="U4" s="48">
        <v>25</v>
      </c>
      <c r="V4" s="48">
        <f>IF(S4="","",ROUND(VLOOKUP(S4,'STRENGTH CLASSES FOR CONCRETE'!$B:$F,5,0),2))</f>
        <v>20.11</v>
      </c>
      <c r="X4" s="38" t="s">
        <v>450</v>
      </c>
      <c r="Y4" s="38">
        <v>500</v>
      </c>
      <c r="Z4" s="39">
        <v>250</v>
      </c>
      <c r="AA4" s="40" t="s">
        <v>443</v>
      </c>
      <c r="AC4" s="38" t="s">
        <v>293</v>
      </c>
      <c r="AD4" s="38">
        <v>300</v>
      </c>
      <c r="AE4" s="39">
        <v>300</v>
      </c>
      <c r="AF4" s="40" t="s">
        <v>443</v>
      </c>
      <c r="AH4" s="38" t="s">
        <v>308</v>
      </c>
      <c r="AI4" s="39">
        <v>200</v>
      </c>
      <c r="AJ4" s="40" t="s">
        <v>443</v>
      </c>
      <c r="AL4" s="96" t="s">
        <v>475</v>
      </c>
      <c r="AM4" s="116">
        <f>1.1*$AL$1</f>
        <v>1.1000000000000001</v>
      </c>
      <c r="AN4" s="116">
        <f>1.3*$AL$1</f>
        <v>1.3</v>
      </c>
      <c r="AO4" s="116">
        <f>1.2*$AL$1</f>
        <v>1.2</v>
      </c>
      <c r="AP4" s="116"/>
      <c r="AQ4" s="116"/>
      <c r="AR4" s="116"/>
      <c r="AS4" s="116"/>
      <c r="AT4" s="116"/>
    </row>
    <row r="5" spans="1:46" x14ac:dyDescent="0.25">
      <c r="A5" s="102"/>
      <c r="B5" s="98"/>
      <c r="C5" s="105"/>
      <c r="F5" s="91" t="s">
        <v>300</v>
      </c>
      <c r="G5" s="84">
        <v>3.1</v>
      </c>
      <c r="S5" s="64"/>
      <c r="T5" s="95"/>
      <c r="U5" s="48"/>
      <c r="V5" s="48"/>
      <c r="AL5" s="96" t="s">
        <v>476</v>
      </c>
      <c r="AM5" s="116">
        <f t="shared" ref="AM5:AM17" si="0">1.1*$AL$1</f>
        <v>1.1000000000000001</v>
      </c>
      <c r="AN5" s="116">
        <f t="shared" ref="AN5:AN17" si="1">1.3*$AL$1</f>
        <v>1.3</v>
      </c>
      <c r="AO5" s="116">
        <f t="shared" ref="AO5:AO17" si="2">1.2*$AL$1</f>
        <v>1.2</v>
      </c>
      <c r="AP5" s="116">
        <f>$AL$1*1.3</f>
        <v>1.3</v>
      </c>
      <c r="AQ5" s="116"/>
      <c r="AR5" s="116"/>
      <c r="AS5" s="116"/>
      <c r="AT5" s="116"/>
    </row>
    <row r="6" spans="1:46" x14ac:dyDescent="0.25">
      <c r="A6" s="102"/>
      <c r="B6" s="98"/>
      <c r="C6" s="105"/>
      <c r="F6" s="91" t="s">
        <v>301</v>
      </c>
      <c r="G6" s="84">
        <v>3.1</v>
      </c>
      <c r="S6" s="64"/>
      <c r="T6" s="95"/>
      <c r="U6" s="48"/>
      <c r="V6" s="48"/>
      <c r="AL6" s="96" t="s">
        <v>477</v>
      </c>
      <c r="AM6" s="116">
        <f t="shared" si="0"/>
        <v>1.1000000000000001</v>
      </c>
      <c r="AN6" s="116">
        <f t="shared" si="1"/>
        <v>1.3</v>
      </c>
      <c r="AO6" s="116">
        <f t="shared" si="2"/>
        <v>1.2</v>
      </c>
      <c r="AP6" s="116"/>
      <c r="AQ6" s="116">
        <f>$AL$1*2.1</f>
        <v>2.1</v>
      </c>
      <c r="AR6" s="116"/>
      <c r="AS6" s="116"/>
      <c r="AT6" s="116"/>
    </row>
    <row r="7" spans="1:46" x14ac:dyDescent="0.25">
      <c r="A7" s="102"/>
      <c r="B7" s="98"/>
      <c r="C7" s="105"/>
      <c r="F7" s="91" t="s">
        <v>302</v>
      </c>
      <c r="G7" s="84">
        <v>3.1</v>
      </c>
      <c r="S7" s="64"/>
      <c r="T7" s="95"/>
      <c r="U7" s="48"/>
      <c r="V7" s="48"/>
      <c r="AL7" s="96" t="s">
        <v>478</v>
      </c>
      <c r="AM7" s="116">
        <f t="shared" si="0"/>
        <v>1.1000000000000001</v>
      </c>
      <c r="AN7" s="116">
        <f t="shared" si="1"/>
        <v>1.3</v>
      </c>
      <c r="AO7" s="116">
        <f t="shared" si="2"/>
        <v>1.2</v>
      </c>
      <c r="AP7" s="116"/>
      <c r="AQ7" s="116">
        <f>$AL$1*(-2.1)</f>
        <v>-2.1</v>
      </c>
      <c r="AR7" s="116"/>
      <c r="AS7" s="116"/>
      <c r="AT7" s="116"/>
    </row>
    <row r="8" spans="1:46" x14ac:dyDescent="0.25">
      <c r="A8" s="102"/>
      <c r="B8" s="98"/>
      <c r="C8" s="105"/>
      <c r="F8" s="91" t="s">
        <v>303</v>
      </c>
      <c r="G8" s="84">
        <v>3.1</v>
      </c>
      <c r="S8" s="64"/>
      <c r="T8" s="95"/>
      <c r="U8" s="48"/>
      <c r="V8" s="48"/>
      <c r="AL8" s="96" t="s">
        <v>479</v>
      </c>
      <c r="AM8" s="116">
        <f t="shared" si="0"/>
        <v>1.1000000000000001</v>
      </c>
      <c r="AN8" s="116">
        <f t="shared" si="1"/>
        <v>1.3</v>
      </c>
      <c r="AO8" s="116">
        <f t="shared" si="2"/>
        <v>1.2</v>
      </c>
      <c r="AP8" s="116"/>
      <c r="AQ8" s="116"/>
      <c r="AR8" s="116">
        <f>$AL$1*2.1</f>
        <v>2.1</v>
      </c>
      <c r="AS8" s="116"/>
      <c r="AT8" s="116"/>
    </row>
    <row r="9" spans="1:46" x14ac:dyDescent="0.25">
      <c r="A9" s="102"/>
      <c r="B9" s="98"/>
      <c r="C9" s="105"/>
      <c r="F9" s="91" t="s">
        <v>304</v>
      </c>
      <c r="G9" s="84">
        <v>3.1</v>
      </c>
      <c r="S9" s="64"/>
      <c r="T9" s="95"/>
      <c r="U9" s="48"/>
      <c r="V9" s="48"/>
      <c r="AL9" s="96" t="s">
        <v>480</v>
      </c>
      <c r="AM9" s="116">
        <f t="shared" si="0"/>
        <v>1.1000000000000001</v>
      </c>
      <c r="AN9" s="116">
        <f t="shared" si="1"/>
        <v>1.3</v>
      </c>
      <c r="AO9" s="116">
        <f t="shared" si="2"/>
        <v>1.2</v>
      </c>
      <c r="AP9" s="116"/>
      <c r="AQ9" s="116"/>
      <c r="AR9" s="116">
        <f>-$AL$1*2.1</f>
        <v>-2.1</v>
      </c>
      <c r="AS9" s="116"/>
      <c r="AT9" s="116"/>
    </row>
    <row r="10" spans="1:46" ht="15" customHeight="1" x14ac:dyDescent="0.25">
      <c r="A10" s="102"/>
      <c r="B10" s="98"/>
      <c r="C10" s="105"/>
      <c r="F10" s="91" t="s">
        <v>305</v>
      </c>
      <c r="G10" s="84">
        <v>3.1</v>
      </c>
      <c r="S10" s="64"/>
      <c r="T10" s="95"/>
      <c r="U10" s="48"/>
      <c r="V10" s="48"/>
      <c r="AL10" s="96" t="s">
        <v>481</v>
      </c>
      <c r="AM10" s="116">
        <f t="shared" si="0"/>
        <v>1.1000000000000001</v>
      </c>
      <c r="AN10" s="116">
        <f t="shared" si="1"/>
        <v>1.3</v>
      </c>
      <c r="AO10" s="116">
        <f t="shared" si="2"/>
        <v>1.2</v>
      </c>
      <c r="AP10" s="116">
        <f>$AL$1*1.3*0.9</f>
        <v>1.1700000000000002</v>
      </c>
      <c r="AQ10" s="116">
        <f>$AL$1*2.1</f>
        <v>2.1</v>
      </c>
      <c r="AR10" s="116"/>
      <c r="AS10" s="116"/>
      <c r="AT10" s="116"/>
    </row>
    <row r="11" spans="1:46" x14ac:dyDescent="0.25">
      <c r="A11" s="102"/>
      <c r="B11" s="98"/>
      <c r="C11" s="105"/>
      <c r="F11" s="91" t="s">
        <v>298</v>
      </c>
      <c r="G11" s="84">
        <v>3.1</v>
      </c>
      <c r="S11" s="64"/>
      <c r="T11" s="95"/>
      <c r="U11" s="48"/>
      <c r="V11" s="48"/>
      <c r="AL11" s="96" t="s">
        <v>482</v>
      </c>
      <c r="AM11" s="116">
        <f t="shared" si="0"/>
        <v>1.1000000000000001</v>
      </c>
      <c r="AN11" s="116">
        <f t="shared" si="1"/>
        <v>1.3</v>
      </c>
      <c r="AO11" s="116">
        <f t="shared" si="2"/>
        <v>1.2</v>
      </c>
      <c r="AP11" s="116">
        <f t="shared" ref="AP11:AP13" si="3">$AL$1*1.3*0.9</f>
        <v>1.1700000000000002</v>
      </c>
      <c r="AQ11" s="116">
        <f>$AL$1*(-2.1)</f>
        <v>-2.1</v>
      </c>
      <c r="AR11" s="116"/>
      <c r="AS11" s="116"/>
      <c r="AT11" s="116"/>
    </row>
    <row r="12" spans="1:46" ht="15" customHeight="1" x14ac:dyDescent="0.25">
      <c r="A12" s="102"/>
      <c r="B12" s="98"/>
      <c r="C12" s="105"/>
      <c r="F12" s="91" t="s">
        <v>297</v>
      </c>
      <c r="G12" s="84">
        <v>3.1</v>
      </c>
      <c r="S12" s="64"/>
      <c r="T12" s="95"/>
      <c r="U12" s="48"/>
      <c r="V12" s="48"/>
      <c r="AL12" s="96" t="s">
        <v>483</v>
      </c>
      <c r="AM12" s="116">
        <f t="shared" si="0"/>
        <v>1.1000000000000001</v>
      </c>
      <c r="AN12" s="116">
        <f t="shared" si="1"/>
        <v>1.3</v>
      </c>
      <c r="AO12" s="116">
        <f t="shared" si="2"/>
        <v>1.2</v>
      </c>
      <c r="AP12" s="116">
        <f t="shared" si="3"/>
        <v>1.1700000000000002</v>
      </c>
      <c r="AQ12" s="116"/>
      <c r="AR12" s="116">
        <f>$AL$1*2.1</f>
        <v>2.1</v>
      </c>
      <c r="AS12" s="116"/>
      <c r="AT12" s="116"/>
    </row>
    <row r="13" spans="1:46" x14ac:dyDescent="0.25">
      <c r="A13" s="102"/>
      <c r="C13" s="105"/>
      <c r="F13" s="91" t="s">
        <v>296</v>
      </c>
      <c r="G13" s="84">
        <v>6</v>
      </c>
      <c r="S13" s="64"/>
      <c r="T13" s="95"/>
      <c r="U13" s="48"/>
      <c r="V13" s="48"/>
      <c r="AL13" s="96" t="s">
        <v>484</v>
      </c>
      <c r="AM13" s="116">
        <f t="shared" si="0"/>
        <v>1.1000000000000001</v>
      </c>
      <c r="AN13" s="116">
        <f t="shared" si="1"/>
        <v>1.3</v>
      </c>
      <c r="AO13" s="116">
        <f t="shared" si="2"/>
        <v>1.2</v>
      </c>
      <c r="AP13" s="116">
        <f t="shared" si="3"/>
        <v>1.1700000000000002</v>
      </c>
      <c r="AQ13" s="116"/>
      <c r="AR13" s="116">
        <f>-$AL$1*2.1</f>
        <v>-2.1</v>
      </c>
      <c r="AS13" s="116"/>
      <c r="AT13" s="116"/>
    </row>
    <row r="14" spans="1:46" x14ac:dyDescent="0.25">
      <c r="A14" s="102"/>
      <c r="C14" s="105"/>
      <c r="F14" s="91" t="s">
        <v>306</v>
      </c>
      <c r="G14" s="84">
        <v>4.3</v>
      </c>
      <c r="S14" s="64"/>
      <c r="T14" s="95"/>
      <c r="V14" s="48"/>
      <c r="AL14" s="96" t="s">
        <v>518</v>
      </c>
      <c r="AM14" s="116">
        <f t="shared" si="0"/>
        <v>1.1000000000000001</v>
      </c>
      <c r="AN14" s="116">
        <f t="shared" si="1"/>
        <v>1.3</v>
      </c>
      <c r="AO14" s="116">
        <f t="shared" si="2"/>
        <v>1.2</v>
      </c>
      <c r="AP14" s="116">
        <f>$AL$1*1.3</f>
        <v>1.3</v>
      </c>
      <c r="AQ14" s="116">
        <f>$AL$1*2.1*0.9</f>
        <v>1.8900000000000001</v>
      </c>
      <c r="AR14" s="116"/>
      <c r="AS14" s="116"/>
      <c r="AT14" s="116"/>
    </row>
    <row r="15" spans="1:46" x14ac:dyDescent="0.25">
      <c r="A15" s="102"/>
      <c r="C15" s="105"/>
      <c r="F15" s="91" t="s">
        <v>307</v>
      </c>
      <c r="G15" s="84">
        <v>0.5</v>
      </c>
      <c r="T15" s="95"/>
      <c r="V15" s="48"/>
      <c r="AL15" s="96" t="s">
        <v>519</v>
      </c>
      <c r="AM15" s="116">
        <f t="shared" si="0"/>
        <v>1.1000000000000001</v>
      </c>
      <c r="AN15" s="116">
        <f t="shared" si="1"/>
        <v>1.3</v>
      </c>
      <c r="AO15" s="116">
        <f t="shared" si="2"/>
        <v>1.2</v>
      </c>
      <c r="AP15" s="116">
        <f t="shared" ref="AP15:AP17" si="4">$AL$1*1.3</f>
        <v>1.3</v>
      </c>
      <c r="AQ15" s="116">
        <f>-$AL$1*2.1*0.9</f>
        <v>-1.8900000000000001</v>
      </c>
      <c r="AR15" s="116"/>
      <c r="AS15" s="116"/>
      <c r="AT15" s="116"/>
    </row>
    <row r="16" spans="1:46" x14ac:dyDescent="0.25">
      <c r="A16" s="102"/>
      <c r="C16" s="105"/>
      <c r="F16" s="91" t="s">
        <v>451</v>
      </c>
      <c r="G16" s="84">
        <v>0</v>
      </c>
      <c r="T16" s="95"/>
      <c r="V16" s="48"/>
      <c r="AL16" s="96" t="s">
        <v>520</v>
      </c>
      <c r="AM16" s="116">
        <f t="shared" si="0"/>
        <v>1.1000000000000001</v>
      </c>
      <c r="AN16" s="116">
        <f t="shared" si="1"/>
        <v>1.3</v>
      </c>
      <c r="AO16" s="116">
        <f t="shared" si="2"/>
        <v>1.2</v>
      </c>
      <c r="AP16" s="116">
        <f t="shared" si="4"/>
        <v>1.3</v>
      </c>
      <c r="AQ16" s="116"/>
      <c r="AR16" s="116">
        <f>$AL$1*2.1*0.9</f>
        <v>1.8900000000000001</v>
      </c>
      <c r="AS16" s="116"/>
      <c r="AT16" s="116"/>
    </row>
    <row r="17" spans="1:46" x14ac:dyDescent="0.25">
      <c r="A17" s="102"/>
      <c r="C17" s="105"/>
      <c r="F17" s="91"/>
      <c r="G17" s="84"/>
      <c r="T17" s="95"/>
      <c r="V17" s="48"/>
      <c r="AL17" s="96" t="s">
        <v>521</v>
      </c>
      <c r="AM17" s="116">
        <f t="shared" si="0"/>
        <v>1.1000000000000001</v>
      </c>
      <c r="AN17" s="116">
        <f t="shared" si="1"/>
        <v>1.3</v>
      </c>
      <c r="AO17" s="116">
        <f t="shared" si="2"/>
        <v>1.2</v>
      </c>
      <c r="AP17" s="116">
        <f t="shared" si="4"/>
        <v>1.3</v>
      </c>
      <c r="AQ17" s="116"/>
      <c r="AR17" s="116">
        <f>-$AL$1*2.1*0.9</f>
        <v>-1.8900000000000001</v>
      </c>
      <c r="AS17" s="116"/>
      <c r="AT17" s="116"/>
    </row>
    <row r="18" spans="1:46" x14ac:dyDescent="0.25">
      <c r="A18" s="118"/>
      <c r="B18" s="119"/>
      <c r="C18" s="120"/>
      <c r="D18" s="121"/>
      <c r="F18" s="91"/>
      <c r="G18" s="84"/>
      <c r="T18" s="95"/>
      <c r="V18" s="48"/>
      <c r="AL18" s="115" t="s">
        <v>465</v>
      </c>
      <c r="AM18" s="117">
        <f t="shared" ref="AM18:AO31" si="5">$AL$2</f>
        <v>1</v>
      </c>
      <c r="AN18" s="117">
        <f t="shared" si="5"/>
        <v>1</v>
      </c>
      <c r="AO18" s="117">
        <f t="shared" si="5"/>
        <v>1</v>
      </c>
      <c r="AP18" s="117"/>
      <c r="AQ18" s="117"/>
      <c r="AR18" s="117"/>
      <c r="AS18" s="117"/>
      <c r="AT18" s="117"/>
    </row>
    <row r="19" spans="1:46" x14ac:dyDescent="0.25">
      <c r="A19" s="118"/>
      <c r="B19" s="119"/>
      <c r="C19" s="120"/>
      <c r="D19" s="121"/>
      <c r="F19" s="91"/>
      <c r="G19" s="84"/>
      <c r="T19" s="95"/>
      <c r="V19" s="48"/>
      <c r="AL19" s="115" t="s">
        <v>466</v>
      </c>
      <c r="AM19" s="117">
        <f t="shared" si="5"/>
        <v>1</v>
      </c>
      <c r="AN19" s="117">
        <f t="shared" si="5"/>
        <v>1</v>
      </c>
      <c r="AO19" s="117">
        <f t="shared" si="5"/>
        <v>1</v>
      </c>
      <c r="AP19" s="117">
        <f>$AL$2</f>
        <v>1</v>
      </c>
      <c r="AQ19" s="117"/>
      <c r="AR19" s="117"/>
      <c r="AS19" s="117"/>
      <c r="AT19" s="117"/>
    </row>
    <row r="20" spans="1:46" x14ac:dyDescent="0.25">
      <c r="A20" s="118"/>
      <c r="B20" s="119"/>
      <c r="C20" s="120"/>
      <c r="D20" s="121"/>
      <c r="F20" s="91"/>
      <c r="G20" s="84"/>
      <c r="T20" s="95"/>
      <c r="V20" s="48"/>
      <c r="AL20" s="115" t="s">
        <v>467</v>
      </c>
      <c r="AM20" s="117">
        <f t="shared" si="5"/>
        <v>1</v>
      </c>
      <c r="AN20" s="117">
        <f t="shared" si="5"/>
        <v>1</v>
      </c>
      <c r="AO20" s="117">
        <f t="shared" si="5"/>
        <v>1</v>
      </c>
      <c r="AP20" s="117"/>
      <c r="AQ20" s="117">
        <f>$AL$2</f>
        <v>1</v>
      </c>
      <c r="AR20" s="117"/>
      <c r="AS20" s="117"/>
      <c r="AT20" s="117"/>
    </row>
    <row r="21" spans="1:46" x14ac:dyDescent="0.25">
      <c r="A21" s="118"/>
      <c r="B21" s="119"/>
      <c r="C21" s="120"/>
      <c r="D21" s="121"/>
      <c r="F21" s="91"/>
      <c r="G21" s="84"/>
      <c r="T21" s="95"/>
      <c r="V21" s="48"/>
      <c r="AL21" s="115" t="s">
        <v>468</v>
      </c>
      <c r="AM21" s="117">
        <f t="shared" si="5"/>
        <v>1</v>
      </c>
      <c r="AN21" s="117">
        <f t="shared" si="5"/>
        <v>1</v>
      </c>
      <c r="AO21" s="117">
        <f t="shared" si="5"/>
        <v>1</v>
      </c>
      <c r="AP21" s="117"/>
      <c r="AQ21" s="117">
        <f>-$AL$2</f>
        <v>-1</v>
      </c>
      <c r="AR21" s="117"/>
      <c r="AS21" s="117"/>
      <c r="AT21" s="117"/>
    </row>
    <row r="22" spans="1:46" x14ac:dyDescent="0.25">
      <c r="A22" s="118"/>
      <c r="B22" s="119"/>
      <c r="C22" s="120"/>
      <c r="D22" s="121"/>
      <c r="F22" s="91"/>
      <c r="G22" s="84"/>
      <c r="T22" s="95"/>
      <c r="V22" s="48"/>
      <c r="AL22" s="115" t="s">
        <v>469</v>
      </c>
      <c r="AM22" s="117">
        <f t="shared" si="5"/>
        <v>1</v>
      </c>
      <c r="AN22" s="117">
        <f t="shared" si="5"/>
        <v>1</v>
      </c>
      <c r="AO22" s="117">
        <f t="shared" si="5"/>
        <v>1</v>
      </c>
      <c r="AP22" s="117"/>
      <c r="AQ22" s="117"/>
      <c r="AR22" s="117">
        <f>$AL$2</f>
        <v>1</v>
      </c>
      <c r="AS22" s="117"/>
      <c r="AT22" s="117"/>
    </row>
    <row r="23" spans="1:46" x14ac:dyDescent="0.25">
      <c r="A23" s="118"/>
      <c r="B23" s="119"/>
      <c r="C23" s="120"/>
      <c r="D23" s="121"/>
      <c r="F23" s="91"/>
      <c r="G23" s="84"/>
      <c r="T23" s="95"/>
      <c r="V23" s="48"/>
      <c r="AL23" s="115" t="s">
        <v>470</v>
      </c>
      <c r="AM23" s="117">
        <f t="shared" si="5"/>
        <v>1</v>
      </c>
      <c r="AN23" s="117">
        <f t="shared" si="5"/>
        <v>1</v>
      </c>
      <c r="AO23" s="117">
        <f t="shared" si="5"/>
        <v>1</v>
      </c>
      <c r="AP23" s="117"/>
      <c r="AQ23" s="117"/>
      <c r="AR23" s="117">
        <f>-$AL$2</f>
        <v>-1</v>
      </c>
      <c r="AS23" s="117"/>
      <c r="AT23" s="117"/>
    </row>
    <row r="24" spans="1:46" x14ac:dyDescent="0.25">
      <c r="A24" s="118"/>
      <c r="B24" s="119"/>
      <c r="C24" s="120"/>
      <c r="D24" s="121"/>
      <c r="F24" s="91"/>
      <c r="G24" s="84"/>
      <c r="T24" s="95"/>
      <c r="V24" s="48"/>
      <c r="AL24" s="115" t="s">
        <v>471</v>
      </c>
      <c r="AM24" s="117">
        <f t="shared" si="5"/>
        <v>1</v>
      </c>
      <c r="AN24" s="117">
        <f t="shared" si="5"/>
        <v>1</v>
      </c>
      <c r="AO24" s="117">
        <f t="shared" si="5"/>
        <v>1</v>
      </c>
      <c r="AP24" s="117">
        <f>$AL$2*0.9</f>
        <v>0.9</v>
      </c>
      <c r="AQ24" s="117">
        <f>$AL$2</f>
        <v>1</v>
      </c>
      <c r="AR24" s="117"/>
      <c r="AS24" s="117"/>
      <c r="AT24" s="117"/>
    </row>
    <row r="25" spans="1:46" x14ac:dyDescent="0.25">
      <c r="A25" s="118"/>
      <c r="B25" s="119"/>
      <c r="C25" s="120"/>
      <c r="D25" s="121"/>
      <c r="F25" s="91"/>
      <c r="G25" s="84"/>
      <c r="T25" s="95"/>
      <c r="V25" s="48"/>
      <c r="AL25" s="115" t="s">
        <v>472</v>
      </c>
      <c r="AM25" s="117">
        <f t="shared" si="5"/>
        <v>1</v>
      </c>
      <c r="AN25" s="117">
        <f t="shared" si="5"/>
        <v>1</v>
      </c>
      <c r="AO25" s="117">
        <f t="shared" si="5"/>
        <v>1</v>
      </c>
      <c r="AP25" s="117">
        <f>$AL$2*0.9</f>
        <v>0.9</v>
      </c>
      <c r="AQ25" s="117">
        <f>-$AL$2</f>
        <v>-1</v>
      </c>
      <c r="AR25" s="117"/>
      <c r="AS25" s="117"/>
      <c r="AT25" s="117"/>
    </row>
    <row r="26" spans="1:46" x14ac:dyDescent="0.25">
      <c r="A26" s="118"/>
      <c r="B26" s="119"/>
      <c r="C26" s="120"/>
      <c r="D26" s="121"/>
      <c r="F26" s="91"/>
      <c r="G26" s="84"/>
      <c r="T26" s="95"/>
      <c r="V26" s="48"/>
      <c r="AL26" s="115" t="s">
        <v>473</v>
      </c>
      <c r="AM26" s="117">
        <f t="shared" si="5"/>
        <v>1</v>
      </c>
      <c r="AN26" s="117">
        <f t="shared" si="5"/>
        <v>1</v>
      </c>
      <c r="AO26" s="117">
        <f t="shared" si="5"/>
        <v>1</v>
      </c>
      <c r="AP26" s="117">
        <f>$AL$2*0.9</f>
        <v>0.9</v>
      </c>
      <c r="AQ26" s="117"/>
      <c r="AR26" s="117">
        <f>$AL$2</f>
        <v>1</v>
      </c>
      <c r="AS26" s="117"/>
      <c r="AT26" s="117"/>
    </row>
    <row r="27" spans="1:46" x14ac:dyDescent="0.25">
      <c r="A27" s="118"/>
      <c r="B27" s="119"/>
      <c r="C27" s="120"/>
      <c r="D27" s="121"/>
      <c r="F27" s="91"/>
      <c r="G27" s="84"/>
      <c r="V27" s="48"/>
      <c r="AL27" s="115" t="s">
        <v>474</v>
      </c>
      <c r="AM27" s="117">
        <f t="shared" si="5"/>
        <v>1</v>
      </c>
      <c r="AN27" s="117">
        <f t="shared" si="5"/>
        <v>1</v>
      </c>
      <c r="AO27" s="117">
        <f t="shared" si="5"/>
        <v>1</v>
      </c>
      <c r="AP27" s="117">
        <f>$AL$2*0.9</f>
        <v>0.9</v>
      </c>
      <c r="AQ27" s="117"/>
      <c r="AR27" s="117">
        <f>-$AL$2</f>
        <v>-1</v>
      </c>
      <c r="AS27" s="117"/>
      <c r="AT27" s="117"/>
    </row>
    <row r="28" spans="1:46" x14ac:dyDescent="0.25">
      <c r="A28" s="118"/>
      <c r="B28" s="119"/>
      <c r="C28" s="120"/>
      <c r="D28" s="121"/>
      <c r="F28" s="91"/>
      <c r="G28" s="84"/>
      <c r="V28" s="48"/>
      <c r="AL28" s="115" t="s">
        <v>522</v>
      </c>
      <c r="AM28" s="117">
        <f t="shared" si="5"/>
        <v>1</v>
      </c>
      <c r="AN28" s="117">
        <f t="shared" si="5"/>
        <v>1</v>
      </c>
      <c r="AO28" s="117">
        <f t="shared" si="5"/>
        <v>1</v>
      </c>
      <c r="AP28" s="117">
        <f>$AL$2</f>
        <v>1</v>
      </c>
      <c r="AQ28" s="117">
        <f>$AL$2*0.9</f>
        <v>0.9</v>
      </c>
      <c r="AR28" s="117"/>
      <c r="AS28" s="117"/>
      <c r="AT28" s="117"/>
    </row>
    <row r="29" spans="1:46" x14ac:dyDescent="0.25">
      <c r="A29" s="118"/>
      <c r="B29" s="119"/>
      <c r="C29" s="120"/>
      <c r="D29" s="121"/>
      <c r="F29" s="91"/>
      <c r="G29" s="84"/>
      <c r="AL29" s="115" t="s">
        <v>523</v>
      </c>
      <c r="AM29" s="117">
        <f t="shared" si="5"/>
        <v>1</v>
      </c>
      <c r="AN29" s="117">
        <f t="shared" si="5"/>
        <v>1</v>
      </c>
      <c r="AO29" s="117">
        <f t="shared" si="5"/>
        <v>1</v>
      </c>
      <c r="AP29" s="117">
        <f>$AL$2</f>
        <v>1</v>
      </c>
      <c r="AQ29" s="117">
        <f>-$AL$2*0.9</f>
        <v>-0.9</v>
      </c>
      <c r="AR29" s="117"/>
      <c r="AS29" s="117"/>
      <c r="AT29" s="117"/>
    </row>
    <row r="30" spans="1:46" x14ac:dyDescent="0.25">
      <c r="A30" s="118"/>
      <c r="B30" s="119"/>
      <c r="C30" s="120"/>
      <c r="D30" s="121"/>
      <c r="F30" s="91"/>
      <c r="G30" s="84"/>
      <c r="AL30" s="115" t="s">
        <v>524</v>
      </c>
      <c r="AM30" s="117">
        <f t="shared" si="5"/>
        <v>1</v>
      </c>
      <c r="AN30" s="117">
        <f t="shared" si="5"/>
        <v>1</v>
      </c>
      <c r="AO30" s="117">
        <f t="shared" si="5"/>
        <v>1</v>
      </c>
      <c r="AP30" s="117">
        <f>$AL$2</f>
        <v>1</v>
      </c>
      <c r="AQ30" s="117"/>
      <c r="AR30" s="117">
        <f>$AL$2*0.9</f>
        <v>0.9</v>
      </c>
      <c r="AS30" s="117"/>
      <c r="AT30" s="117"/>
    </row>
    <row r="31" spans="1:46" x14ac:dyDescent="0.25">
      <c r="A31" s="118"/>
      <c r="B31" s="119"/>
      <c r="C31" s="120"/>
      <c r="D31" s="121"/>
      <c r="F31" s="91"/>
      <c r="G31" s="84"/>
      <c r="AL31" s="115" t="s">
        <v>525</v>
      </c>
      <c r="AM31" s="117">
        <f t="shared" si="5"/>
        <v>1</v>
      </c>
      <c r="AN31" s="117">
        <f t="shared" si="5"/>
        <v>1</v>
      </c>
      <c r="AO31" s="117">
        <f t="shared" si="5"/>
        <v>1</v>
      </c>
      <c r="AP31" s="117">
        <f>$AL$2</f>
        <v>1</v>
      </c>
      <c r="AQ31" s="117"/>
      <c r="AR31" s="117">
        <f>-$AL$2*0.9</f>
        <v>-0.9</v>
      </c>
      <c r="AS31" s="117"/>
      <c r="AT31" s="117"/>
    </row>
    <row r="32" spans="1:46" x14ac:dyDescent="0.25">
      <c r="F32" s="91"/>
      <c r="G32" s="84"/>
      <c r="AL32" s="96"/>
      <c r="AM32" s="112"/>
      <c r="AN32" s="112"/>
      <c r="AO32" s="112"/>
      <c r="AP32" s="112"/>
      <c r="AQ32" s="112"/>
      <c r="AR32" s="112"/>
      <c r="AS32" s="112"/>
      <c r="AT32" s="112"/>
    </row>
    <row r="33" spans="6:46" x14ac:dyDescent="0.25">
      <c r="F33" s="91"/>
      <c r="G33" s="84"/>
      <c r="AL33" s="96"/>
      <c r="AM33" s="112"/>
      <c r="AN33" s="112"/>
      <c r="AO33" s="112"/>
      <c r="AP33" s="112"/>
      <c r="AQ33" s="112"/>
      <c r="AR33" s="112"/>
      <c r="AS33" s="112"/>
      <c r="AT33" s="112"/>
    </row>
    <row r="34" spans="6:46" x14ac:dyDescent="0.25">
      <c r="F34" s="91"/>
      <c r="G34" s="84"/>
      <c r="AL34" s="96"/>
      <c r="AM34" s="112"/>
      <c r="AN34" s="112"/>
      <c r="AO34" s="112"/>
      <c r="AP34" s="112"/>
      <c r="AQ34" s="112"/>
      <c r="AR34" s="112"/>
      <c r="AS34" s="112"/>
      <c r="AT34" s="112"/>
    </row>
    <row r="35" spans="6:46" x14ac:dyDescent="0.25">
      <c r="F35" s="91"/>
      <c r="G35" s="84"/>
      <c r="AL35" s="96"/>
      <c r="AM35" s="112"/>
      <c r="AN35" s="112"/>
      <c r="AO35" s="112"/>
      <c r="AP35" s="112"/>
      <c r="AQ35" s="112"/>
      <c r="AR35" s="112"/>
      <c r="AS35" s="112"/>
      <c r="AT35" s="112"/>
    </row>
    <row r="36" spans="6:46" x14ac:dyDescent="0.25">
      <c r="F36" s="91"/>
      <c r="G36" s="84"/>
      <c r="AL36" s="96"/>
      <c r="AM36" s="112"/>
      <c r="AN36" s="112"/>
      <c r="AO36" s="112"/>
      <c r="AP36" s="112"/>
      <c r="AQ36" s="112"/>
      <c r="AR36" s="112"/>
      <c r="AS36" s="112"/>
      <c r="AT36" s="112"/>
    </row>
    <row r="37" spans="6:46" x14ac:dyDescent="0.25">
      <c r="F37" s="91"/>
      <c r="G37" s="84"/>
      <c r="AL37" s="96"/>
      <c r="AM37" s="112"/>
      <c r="AN37" s="112"/>
      <c r="AO37" s="112"/>
      <c r="AP37" s="112"/>
      <c r="AQ37" s="112"/>
      <c r="AR37" s="112"/>
      <c r="AS37" s="112"/>
      <c r="AT37" s="112"/>
    </row>
    <row r="38" spans="6:46" x14ac:dyDescent="0.25">
      <c r="F38" s="91"/>
      <c r="G38" s="84"/>
      <c r="AL38" s="96"/>
      <c r="AM38" s="112"/>
      <c r="AN38" s="112"/>
      <c r="AO38" s="112"/>
      <c r="AP38" s="112"/>
      <c r="AQ38" s="112"/>
      <c r="AR38" s="112"/>
      <c r="AS38" s="112"/>
      <c r="AT38" s="112"/>
    </row>
    <row r="39" spans="6:46" x14ac:dyDescent="0.25">
      <c r="F39" s="91"/>
      <c r="G39" s="84"/>
      <c r="AL39" s="96"/>
      <c r="AM39" s="112"/>
      <c r="AN39" s="112"/>
      <c r="AO39" s="112"/>
      <c r="AP39" s="112"/>
      <c r="AQ39" s="112"/>
      <c r="AR39" s="112"/>
      <c r="AS39" s="112"/>
      <c r="AT39" s="112"/>
    </row>
    <row r="40" spans="6:46" x14ac:dyDescent="0.25">
      <c r="F40" s="91"/>
      <c r="G40" s="84"/>
      <c r="AL40" s="96"/>
      <c r="AM40" s="112"/>
      <c r="AN40" s="112"/>
      <c r="AO40" s="112"/>
      <c r="AP40" s="112"/>
      <c r="AQ40" s="112"/>
      <c r="AR40" s="112"/>
      <c r="AS40" s="112"/>
      <c r="AT40" s="112"/>
    </row>
    <row r="41" spans="6:46" x14ac:dyDescent="0.25">
      <c r="F41" s="91"/>
      <c r="G41" s="84"/>
      <c r="AL41" s="96"/>
      <c r="AM41" s="112"/>
      <c r="AN41" s="112"/>
      <c r="AO41" s="112"/>
      <c r="AP41" s="112"/>
      <c r="AQ41" s="112"/>
      <c r="AR41" s="112"/>
      <c r="AS41" s="112"/>
      <c r="AT41" s="112"/>
    </row>
    <row r="42" spans="6:46" x14ac:dyDescent="0.25">
      <c r="F42" s="92"/>
      <c r="AL42" s="96"/>
      <c r="AM42" s="112"/>
      <c r="AN42" s="112"/>
      <c r="AO42" s="112"/>
      <c r="AP42" s="112"/>
      <c r="AQ42" s="112"/>
      <c r="AR42" s="112"/>
      <c r="AS42" s="112"/>
      <c r="AT42" s="112"/>
    </row>
    <row r="43" spans="6:46" x14ac:dyDescent="0.25">
      <c r="F43" s="92"/>
      <c r="AL43" s="96"/>
      <c r="AM43" s="112"/>
      <c r="AN43" s="112"/>
      <c r="AO43" s="112"/>
      <c r="AP43" s="112"/>
      <c r="AQ43" s="112"/>
      <c r="AR43" s="112"/>
      <c r="AS43" s="112"/>
      <c r="AT43" s="112"/>
    </row>
    <row r="44" spans="6:46" x14ac:dyDescent="0.25">
      <c r="F44" s="92"/>
      <c r="AL44" s="96"/>
      <c r="AM44" s="112"/>
      <c r="AN44" s="112"/>
      <c r="AO44" s="112"/>
      <c r="AP44" s="112"/>
      <c r="AQ44" s="112"/>
      <c r="AR44" s="112"/>
      <c r="AS44" s="112"/>
      <c r="AT44" s="112"/>
    </row>
    <row r="45" spans="6:46" x14ac:dyDescent="0.25">
      <c r="F45" s="92"/>
      <c r="AL45" s="96"/>
      <c r="AM45" s="112"/>
      <c r="AN45" s="112"/>
      <c r="AO45" s="112"/>
      <c r="AP45" s="112"/>
      <c r="AQ45" s="112"/>
      <c r="AR45" s="112"/>
      <c r="AS45" s="112"/>
      <c r="AT45" s="112"/>
    </row>
    <row r="46" spans="6:46" x14ac:dyDescent="0.25">
      <c r="F46" s="92"/>
      <c r="AL46" s="96"/>
      <c r="AM46" s="112"/>
      <c r="AN46" s="112"/>
      <c r="AO46" s="112"/>
      <c r="AP46" s="112"/>
      <c r="AQ46" s="112"/>
      <c r="AR46" s="112"/>
      <c r="AS46" s="112"/>
      <c r="AT46" s="112"/>
    </row>
    <row r="47" spans="6:46" x14ac:dyDescent="0.25">
      <c r="F47" s="92"/>
      <c r="AL47" s="96"/>
      <c r="AM47" s="112"/>
      <c r="AN47" s="112"/>
      <c r="AO47" s="112"/>
      <c r="AP47" s="112"/>
      <c r="AQ47" s="112"/>
      <c r="AR47" s="112"/>
      <c r="AS47" s="112"/>
      <c r="AT47" s="112"/>
    </row>
    <row r="48" spans="6:46" x14ac:dyDescent="0.25">
      <c r="F48" s="92"/>
      <c r="AL48" s="96"/>
      <c r="AM48" s="112"/>
      <c r="AN48" s="112"/>
      <c r="AO48" s="112"/>
      <c r="AP48" s="112"/>
      <c r="AQ48" s="112"/>
      <c r="AR48" s="112"/>
      <c r="AS48" s="112"/>
      <c r="AT48" s="112"/>
    </row>
    <row r="49" spans="6:46" x14ac:dyDescent="0.25">
      <c r="F49" s="92"/>
      <c r="AL49" s="96"/>
      <c r="AM49" s="112"/>
      <c r="AN49" s="112"/>
      <c r="AO49" s="112"/>
      <c r="AP49" s="112"/>
      <c r="AQ49" s="112"/>
      <c r="AR49" s="112"/>
      <c r="AS49" s="112"/>
      <c r="AT49" s="112"/>
    </row>
    <row r="50" spans="6:46" x14ac:dyDescent="0.25">
      <c r="F50" s="92"/>
      <c r="AL50" s="96"/>
      <c r="AM50" s="112"/>
      <c r="AN50" s="112"/>
      <c r="AO50" s="112"/>
      <c r="AP50" s="112"/>
      <c r="AQ50" s="112"/>
      <c r="AR50" s="112"/>
      <c r="AS50" s="112"/>
      <c r="AT50" s="112"/>
    </row>
    <row r="51" spans="6:46" x14ac:dyDescent="0.25">
      <c r="F51" s="92"/>
      <c r="AL51" s="96"/>
      <c r="AM51" s="112"/>
      <c r="AN51" s="112"/>
      <c r="AO51" s="112"/>
      <c r="AP51" s="112"/>
      <c r="AQ51" s="112"/>
      <c r="AR51" s="112"/>
      <c r="AS51" s="112"/>
      <c r="AT51" s="112"/>
    </row>
    <row r="52" spans="6:46" x14ac:dyDescent="0.25">
      <c r="F52" s="92"/>
      <c r="AL52" s="96"/>
      <c r="AM52" s="112"/>
      <c r="AN52" s="112"/>
      <c r="AO52" s="112"/>
      <c r="AP52" s="112"/>
      <c r="AQ52" s="112"/>
      <c r="AR52" s="112"/>
      <c r="AS52" s="112"/>
      <c r="AT52" s="112"/>
    </row>
    <row r="53" spans="6:46" x14ac:dyDescent="0.25">
      <c r="F53" s="92"/>
      <c r="AL53" s="96"/>
      <c r="AM53" s="112"/>
      <c r="AN53" s="112"/>
      <c r="AO53" s="112"/>
      <c r="AP53" s="112"/>
      <c r="AQ53" s="112"/>
      <c r="AR53" s="112"/>
      <c r="AS53" s="112"/>
      <c r="AT53" s="112"/>
    </row>
    <row r="54" spans="6:46" x14ac:dyDescent="0.25">
      <c r="F54" s="92"/>
      <c r="AL54" s="96"/>
      <c r="AM54" s="112"/>
      <c r="AN54" s="112"/>
      <c r="AO54" s="112"/>
      <c r="AP54" s="112"/>
      <c r="AQ54" s="112"/>
      <c r="AR54" s="112"/>
      <c r="AS54" s="112"/>
      <c r="AT54" s="112"/>
    </row>
    <row r="55" spans="6:46" x14ac:dyDescent="0.25">
      <c r="F55" s="92"/>
      <c r="AL55" s="96"/>
      <c r="AM55" s="112"/>
      <c r="AN55" s="112"/>
      <c r="AO55" s="112"/>
      <c r="AP55" s="112"/>
      <c r="AQ55" s="112"/>
      <c r="AR55" s="112"/>
      <c r="AS55" s="112"/>
      <c r="AT55" s="112"/>
    </row>
    <row r="56" spans="6:46" x14ac:dyDescent="0.25">
      <c r="F56" s="92"/>
      <c r="AL56" s="96"/>
      <c r="AM56" s="112"/>
      <c r="AN56" s="112"/>
      <c r="AO56" s="112"/>
      <c r="AP56" s="112"/>
      <c r="AQ56" s="112"/>
      <c r="AR56" s="112"/>
      <c r="AS56" s="112"/>
      <c r="AT56" s="112"/>
    </row>
    <row r="57" spans="6:46" x14ac:dyDescent="0.25">
      <c r="F57" s="92"/>
      <c r="AL57" s="96"/>
      <c r="AM57" s="112"/>
      <c r="AN57" s="112"/>
      <c r="AO57" s="112"/>
      <c r="AP57" s="112"/>
      <c r="AQ57" s="112"/>
      <c r="AR57" s="112"/>
      <c r="AS57" s="112"/>
      <c r="AT57" s="112"/>
    </row>
    <row r="58" spans="6:46" x14ac:dyDescent="0.25">
      <c r="F58" s="92"/>
      <c r="AL58" s="96"/>
      <c r="AM58" s="112"/>
      <c r="AN58" s="112"/>
      <c r="AO58" s="112"/>
      <c r="AP58" s="112"/>
      <c r="AQ58" s="112"/>
      <c r="AR58" s="112"/>
      <c r="AS58" s="112"/>
      <c r="AT58" s="112"/>
    </row>
    <row r="59" spans="6:46" x14ac:dyDescent="0.25">
      <c r="F59" s="92"/>
      <c r="AL59" s="96"/>
      <c r="AM59" s="112"/>
      <c r="AN59" s="112"/>
      <c r="AO59" s="112"/>
      <c r="AP59" s="112"/>
      <c r="AQ59" s="112"/>
      <c r="AR59" s="112"/>
      <c r="AS59" s="112"/>
      <c r="AT59" s="112"/>
    </row>
    <row r="60" spans="6:46" x14ac:dyDescent="0.25">
      <c r="F60" s="92"/>
      <c r="AL60" s="96"/>
      <c r="AM60" s="112"/>
      <c r="AN60" s="112"/>
      <c r="AO60" s="112"/>
      <c r="AP60" s="112"/>
      <c r="AQ60" s="112"/>
      <c r="AR60" s="112"/>
      <c r="AS60" s="112"/>
      <c r="AT60" s="112"/>
    </row>
    <row r="61" spans="6:46" x14ac:dyDescent="0.25">
      <c r="F61" s="92"/>
      <c r="AL61" s="96"/>
      <c r="AM61" s="112"/>
      <c r="AN61" s="112"/>
      <c r="AO61" s="112"/>
      <c r="AP61" s="112"/>
      <c r="AQ61" s="112"/>
      <c r="AR61" s="112"/>
      <c r="AS61" s="112"/>
      <c r="AT61" s="112"/>
    </row>
    <row r="62" spans="6:46" x14ac:dyDescent="0.25">
      <c r="F62" s="92"/>
      <c r="AL62" s="96"/>
      <c r="AM62" s="112"/>
      <c r="AN62" s="112"/>
      <c r="AO62" s="112"/>
      <c r="AP62" s="112"/>
      <c r="AQ62" s="112"/>
      <c r="AR62" s="112"/>
      <c r="AS62" s="112"/>
      <c r="AT62" s="112"/>
    </row>
    <row r="63" spans="6:46" x14ac:dyDescent="0.25">
      <c r="F63" s="92"/>
      <c r="AL63" s="96"/>
      <c r="AM63" s="112"/>
      <c r="AN63" s="112"/>
      <c r="AO63" s="112"/>
      <c r="AP63" s="112"/>
      <c r="AQ63" s="112"/>
      <c r="AR63" s="112"/>
      <c r="AS63" s="112"/>
      <c r="AT63" s="112"/>
    </row>
    <row r="64" spans="6:46" x14ac:dyDescent="0.25">
      <c r="F64" s="92"/>
      <c r="AL64" s="96"/>
      <c r="AM64" s="112"/>
      <c r="AN64" s="112"/>
      <c r="AO64" s="112"/>
      <c r="AP64" s="112"/>
      <c r="AQ64" s="112"/>
      <c r="AR64" s="112"/>
      <c r="AS64" s="112"/>
      <c r="AT64" s="112"/>
    </row>
    <row r="65" spans="6:46" x14ac:dyDescent="0.25">
      <c r="F65" s="92"/>
      <c r="AL65" s="96"/>
      <c r="AM65" s="112"/>
      <c r="AN65" s="112"/>
      <c r="AO65" s="112"/>
      <c r="AP65" s="112"/>
      <c r="AQ65" s="112"/>
      <c r="AR65" s="112"/>
      <c r="AS65" s="112"/>
      <c r="AT65" s="112"/>
    </row>
    <row r="66" spans="6:46" x14ac:dyDescent="0.25">
      <c r="F66" s="92"/>
      <c r="AL66" s="96"/>
      <c r="AM66" s="112"/>
      <c r="AN66" s="112"/>
      <c r="AO66" s="112"/>
      <c r="AP66" s="112"/>
      <c r="AQ66" s="112"/>
      <c r="AR66" s="112"/>
      <c r="AS66" s="112"/>
      <c r="AT66" s="112"/>
    </row>
    <row r="67" spans="6:46" x14ac:dyDescent="0.25">
      <c r="F67" s="92"/>
      <c r="AL67" s="96"/>
      <c r="AM67" s="112"/>
      <c r="AN67" s="112"/>
      <c r="AO67" s="112"/>
      <c r="AP67" s="112"/>
      <c r="AQ67" s="112"/>
      <c r="AR67" s="112"/>
      <c r="AS67" s="112"/>
      <c r="AT67" s="112"/>
    </row>
    <row r="68" spans="6:46" x14ac:dyDescent="0.25">
      <c r="F68" s="92"/>
      <c r="AL68" s="96"/>
      <c r="AM68" s="112"/>
      <c r="AN68" s="112"/>
      <c r="AO68" s="112"/>
      <c r="AP68" s="112"/>
      <c r="AQ68" s="112"/>
      <c r="AR68" s="112"/>
      <c r="AS68" s="112"/>
      <c r="AT68" s="112"/>
    </row>
    <row r="69" spans="6:46" x14ac:dyDescent="0.25">
      <c r="F69" s="92"/>
      <c r="AL69" s="96"/>
      <c r="AM69" s="112"/>
      <c r="AN69" s="112"/>
      <c r="AO69" s="112"/>
      <c r="AP69" s="112"/>
      <c r="AQ69" s="112"/>
      <c r="AR69" s="112"/>
      <c r="AS69" s="112"/>
      <c r="AT69" s="112"/>
    </row>
    <row r="70" spans="6:46" x14ac:dyDescent="0.25">
      <c r="AL70" s="96"/>
      <c r="AM70" s="112"/>
      <c r="AN70" s="112"/>
      <c r="AO70" s="112"/>
      <c r="AP70" s="112"/>
      <c r="AQ70" s="112"/>
      <c r="AR70" s="112"/>
      <c r="AS70" s="112"/>
      <c r="AT70" s="112"/>
    </row>
    <row r="71" spans="6:46" x14ac:dyDescent="0.25">
      <c r="AL71" s="96"/>
      <c r="AM71" s="112"/>
      <c r="AN71" s="112"/>
      <c r="AO71" s="112"/>
      <c r="AP71" s="112"/>
      <c r="AQ71" s="112"/>
      <c r="AR71" s="112"/>
      <c r="AS71" s="112"/>
      <c r="AT71" s="112"/>
    </row>
    <row r="72" spans="6:46" x14ac:dyDescent="0.25">
      <c r="AL72" s="96"/>
      <c r="AM72" s="112"/>
      <c r="AN72" s="112"/>
      <c r="AO72" s="112"/>
      <c r="AP72" s="112"/>
      <c r="AQ72" s="112"/>
      <c r="AR72" s="112"/>
      <c r="AS72" s="112"/>
      <c r="AT72" s="112"/>
    </row>
    <row r="73" spans="6:46" x14ac:dyDescent="0.25">
      <c r="AL73" s="96"/>
      <c r="AM73" s="112"/>
      <c r="AN73" s="112"/>
      <c r="AO73" s="112"/>
      <c r="AP73" s="112"/>
      <c r="AQ73" s="112"/>
      <c r="AR73" s="112"/>
      <c r="AS73" s="112"/>
      <c r="AT73" s="112"/>
    </row>
    <row r="74" spans="6:46" x14ac:dyDescent="0.25">
      <c r="AL74" s="96"/>
      <c r="AM74" s="112"/>
      <c r="AN74" s="112"/>
      <c r="AO74" s="112"/>
      <c r="AP74" s="112"/>
      <c r="AQ74" s="112"/>
      <c r="AR74" s="112"/>
      <c r="AS74" s="112"/>
      <c r="AT74" s="112"/>
    </row>
    <row r="75" spans="6:46" x14ac:dyDescent="0.25">
      <c r="AL75" s="96"/>
      <c r="AM75" s="112"/>
      <c r="AN75" s="112"/>
      <c r="AO75" s="112"/>
      <c r="AP75" s="112"/>
      <c r="AQ75" s="112"/>
      <c r="AR75" s="112"/>
      <c r="AS75" s="112"/>
      <c r="AT75" s="112"/>
    </row>
    <row r="76" spans="6:46" x14ac:dyDescent="0.25">
      <c r="AL76" s="96"/>
      <c r="AM76" s="112"/>
      <c r="AN76" s="112"/>
      <c r="AO76" s="112"/>
      <c r="AP76" s="112"/>
      <c r="AQ76" s="112"/>
      <c r="AR76" s="112"/>
      <c r="AS76" s="112"/>
      <c r="AT76" s="112"/>
    </row>
    <row r="77" spans="6:46" x14ac:dyDescent="0.25">
      <c r="AL77" s="96"/>
      <c r="AM77" s="112"/>
      <c r="AN77" s="112"/>
      <c r="AO77" s="112"/>
      <c r="AP77" s="112"/>
      <c r="AQ77" s="112"/>
      <c r="AR77" s="112"/>
      <c r="AS77" s="112"/>
      <c r="AT77" s="112"/>
    </row>
    <row r="78" spans="6:46" x14ac:dyDescent="0.25">
      <c r="AL78" s="96"/>
      <c r="AM78" s="112"/>
      <c r="AN78" s="112"/>
      <c r="AO78" s="112"/>
      <c r="AP78" s="112"/>
      <c r="AQ78" s="112"/>
      <c r="AR78" s="112"/>
      <c r="AS78" s="112"/>
      <c r="AT78" s="112"/>
    </row>
    <row r="79" spans="6:46" x14ac:dyDescent="0.25">
      <c r="AL79" s="96"/>
      <c r="AM79" s="112"/>
      <c r="AN79" s="112"/>
      <c r="AO79" s="112"/>
      <c r="AP79" s="112"/>
      <c r="AQ79" s="112"/>
      <c r="AR79" s="112"/>
      <c r="AS79" s="112"/>
      <c r="AT79" s="112"/>
    </row>
    <row r="80" spans="6:46" x14ac:dyDescent="0.25">
      <c r="AL80" s="96"/>
      <c r="AM80" s="112"/>
      <c r="AN80" s="112"/>
      <c r="AO80" s="112"/>
      <c r="AP80" s="112"/>
      <c r="AQ80" s="112"/>
      <c r="AR80" s="112"/>
      <c r="AS80" s="112"/>
      <c r="AT80" s="112"/>
    </row>
    <row r="81" spans="38:46" x14ac:dyDescent="0.25">
      <c r="AL81" s="96"/>
      <c r="AM81" s="112"/>
      <c r="AN81" s="112"/>
      <c r="AO81" s="112"/>
      <c r="AP81" s="112"/>
      <c r="AQ81" s="112"/>
      <c r="AR81" s="112"/>
      <c r="AS81" s="112"/>
      <c r="AT81" s="112"/>
    </row>
    <row r="82" spans="38:46" x14ac:dyDescent="0.25">
      <c r="AL82" s="96"/>
      <c r="AM82" s="112"/>
      <c r="AN82" s="112"/>
      <c r="AO82" s="112"/>
      <c r="AP82" s="112"/>
      <c r="AQ82" s="112"/>
      <c r="AR82" s="112"/>
      <c r="AS82" s="112"/>
      <c r="AT82" s="112"/>
    </row>
    <row r="83" spans="38:46" x14ac:dyDescent="0.25">
      <c r="AL83" s="96"/>
      <c r="AM83" s="112"/>
      <c r="AN83" s="112"/>
      <c r="AO83" s="112"/>
      <c r="AP83" s="112"/>
      <c r="AQ83" s="112"/>
      <c r="AR83" s="112"/>
      <c r="AS83" s="112"/>
      <c r="AT83" s="112"/>
    </row>
    <row r="84" spans="38:46" x14ac:dyDescent="0.25">
      <c r="AL84" s="96"/>
      <c r="AM84" s="112"/>
      <c r="AN84" s="112"/>
      <c r="AO84" s="112"/>
      <c r="AP84" s="112"/>
      <c r="AQ84" s="112"/>
      <c r="AR84" s="112"/>
      <c r="AS84" s="112"/>
      <c r="AT84" s="112"/>
    </row>
    <row r="85" spans="38:46" x14ac:dyDescent="0.25">
      <c r="AL85" s="96"/>
      <c r="AM85" s="112"/>
      <c r="AN85" s="112"/>
      <c r="AO85" s="112"/>
      <c r="AP85" s="112"/>
      <c r="AQ85" s="112"/>
      <c r="AR85" s="112"/>
      <c r="AS85" s="112"/>
      <c r="AT85" s="112"/>
    </row>
    <row r="86" spans="38:46" x14ac:dyDescent="0.25">
      <c r="AL86" s="96"/>
      <c r="AM86" s="112"/>
      <c r="AN86" s="112"/>
      <c r="AO86" s="112"/>
      <c r="AP86" s="112"/>
      <c r="AQ86" s="112"/>
      <c r="AR86" s="112"/>
      <c r="AS86" s="112"/>
      <c r="AT86" s="112"/>
    </row>
    <row r="87" spans="38:46" x14ac:dyDescent="0.25">
      <c r="AL87" s="96"/>
      <c r="AM87" s="112"/>
      <c r="AN87" s="112"/>
      <c r="AO87" s="112"/>
      <c r="AP87" s="112"/>
      <c r="AQ87" s="112"/>
      <c r="AR87" s="112"/>
      <c r="AS87" s="112"/>
      <c r="AT87" s="112"/>
    </row>
    <row r="88" spans="38:46" x14ac:dyDescent="0.25">
      <c r="AL88" s="96"/>
      <c r="AM88" s="112"/>
      <c r="AN88" s="112"/>
      <c r="AO88" s="112"/>
      <c r="AP88" s="112"/>
      <c r="AQ88" s="112"/>
      <c r="AR88" s="112"/>
      <c r="AS88" s="112"/>
      <c r="AT88" s="112"/>
    </row>
    <row r="89" spans="38:46" x14ac:dyDescent="0.25">
      <c r="AL89" s="96"/>
      <c r="AM89" s="112"/>
      <c r="AN89" s="112"/>
      <c r="AO89" s="112"/>
      <c r="AP89" s="112"/>
      <c r="AQ89" s="112"/>
      <c r="AR89" s="112"/>
      <c r="AS89" s="112"/>
      <c r="AT89" s="112"/>
    </row>
    <row r="90" spans="38:46" x14ac:dyDescent="0.25">
      <c r="AL90" s="96"/>
      <c r="AM90" s="112"/>
      <c r="AN90" s="112"/>
      <c r="AO90" s="112"/>
      <c r="AP90" s="112"/>
      <c r="AQ90" s="112"/>
      <c r="AR90" s="112"/>
      <c r="AS90" s="112"/>
      <c r="AT90" s="112"/>
    </row>
    <row r="91" spans="38:46" x14ac:dyDescent="0.25">
      <c r="AL91" s="96"/>
      <c r="AM91" s="112"/>
      <c r="AN91" s="112"/>
      <c r="AO91" s="112"/>
      <c r="AP91" s="112"/>
      <c r="AQ91" s="112"/>
      <c r="AR91" s="112"/>
      <c r="AS91" s="112"/>
      <c r="AT91" s="112"/>
    </row>
    <row r="92" spans="38:46" x14ac:dyDescent="0.25">
      <c r="AL92" s="96"/>
      <c r="AM92" s="112"/>
      <c r="AN92" s="112"/>
      <c r="AO92" s="112"/>
      <c r="AP92" s="112"/>
      <c r="AQ92" s="112"/>
      <c r="AR92" s="112"/>
      <c r="AS92" s="112"/>
      <c r="AT92" s="112"/>
    </row>
    <row r="93" spans="38:46" x14ac:dyDescent="0.25">
      <c r="AL93" s="96"/>
      <c r="AM93" s="112"/>
      <c r="AN93" s="112"/>
      <c r="AO93" s="112"/>
      <c r="AP93" s="112"/>
      <c r="AQ93" s="112"/>
      <c r="AR93" s="112"/>
      <c r="AS93" s="112"/>
      <c r="AT93" s="112"/>
    </row>
    <row r="94" spans="38:46" x14ac:dyDescent="0.25">
      <c r="AL94" s="96"/>
      <c r="AM94" s="112"/>
      <c r="AN94" s="112"/>
      <c r="AO94" s="112"/>
      <c r="AP94" s="112"/>
      <c r="AQ94" s="112"/>
      <c r="AR94" s="112"/>
      <c r="AS94" s="112"/>
      <c r="AT94" s="112"/>
    </row>
    <row r="95" spans="38:46" x14ac:dyDescent="0.25">
      <c r="AL95" s="96"/>
      <c r="AM95" s="112"/>
      <c r="AN95" s="112"/>
      <c r="AO95" s="112"/>
      <c r="AP95" s="112"/>
      <c r="AQ95" s="112"/>
      <c r="AR95" s="112"/>
      <c r="AS95" s="112"/>
      <c r="AT95" s="112"/>
    </row>
    <row r="96" spans="38:46" x14ac:dyDescent="0.25">
      <c r="AL96" s="96"/>
      <c r="AM96" s="112"/>
      <c r="AN96" s="112"/>
      <c r="AO96" s="112"/>
      <c r="AP96" s="112"/>
      <c r="AQ96" s="112"/>
      <c r="AR96" s="112"/>
      <c r="AS96" s="112"/>
      <c r="AT96" s="112"/>
    </row>
    <row r="97" spans="38:46" x14ac:dyDescent="0.25">
      <c r="AL97" s="96"/>
      <c r="AM97" s="112"/>
      <c r="AN97" s="112"/>
      <c r="AO97" s="112"/>
      <c r="AP97" s="112"/>
      <c r="AQ97" s="112"/>
      <c r="AR97" s="112"/>
      <c r="AS97" s="112"/>
      <c r="AT97" s="112"/>
    </row>
    <row r="98" spans="38:46" x14ac:dyDescent="0.25">
      <c r="AL98" s="96"/>
      <c r="AM98" s="112"/>
      <c r="AN98" s="112"/>
      <c r="AO98" s="112"/>
      <c r="AP98" s="112"/>
      <c r="AQ98" s="112"/>
      <c r="AR98" s="112"/>
      <c r="AS98" s="112"/>
      <c r="AT98" s="112"/>
    </row>
    <row r="99" spans="38:46" x14ac:dyDescent="0.25">
      <c r="AL99" s="96"/>
      <c r="AM99" s="112"/>
      <c r="AN99" s="112"/>
      <c r="AO99" s="112"/>
      <c r="AP99" s="112"/>
      <c r="AQ99" s="112"/>
      <c r="AR99" s="112"/>
      <c r="AS99" s="112"/>
      <c r="AT99" s="112"/>
    </row>
    <row r="100" spans="38:46" x14ac:dyDescent="0.25">
      <c r="AL100" s="96"/>
      <c r="AM100" s="112"/>
      <c r="AN100" s="112"/>
      <c r="AO100" s="112"/>
      <c r="AP100" s="112"/>
      <c r="AQ100" s="112"/>
      <c r="AR100" s="112"/>
      <c r="AS100" s="112"/>
      <c r="AT100" s="112"/>
    </row>
    <row r="101" spans="38:46" x14ac:dyDescent="0.25">
      <c r="AL101" s="96"/>
      <c r="AM101" s="112"/>
      <c r="AN101" s="112"/>
      <c r="AO101" s="112"/>
      <c r="AP101" s="112"/>
      <c r="AQ101" s="112"/>
      <c r="AR101" s="112"/>
      <c r="AS101" s="112"/>
      <c r="AT101" s="112"/>
    </row>
    <row r="102" spans="38:46" x14ac:dyDescent="0.25">
      <c r="AL102" s="96"/>
      <c r="AM102" s="112"/>
      <c r="AN102" s="112"/>
      <c r="AO102" s="112"/>
      <c r="AP102" s="112"/>
      <c r="AQ102" s="112"/>
      <c r="AR102" s="112"/>
      <c r="AS102" s="112"/>
      <c r="AT102" s="112"/>
    </row>
    <row r="103" spans="38:46" x14ac:dyDescent="0.25">
      <c r="AL103" s="96"/>
      <c r="AM103" s="112"/>
      <c r="AN103" s="112"/>
      <c r="AO103" s="112"/>
      <c r="AP103" s="112"/>
      <c r="AQ103" s="112"/>
      <c r="AR103" s="112"/>
      <c r="AS103" s="112"/>
      <c r="AT103" s="112"/>
    </row>
    <row r="104" spans="38:46" x14ac:dyDescent="0.25">
      <c r="AL104" s="96"/>
      <c r="AM104" s="112"/>
      <c r="AN104" s="112"/>
      <c r="AO104" s="112"/>
      <c r="AP104" s="112"/>
      <c r="AQ104" s="112"/>
      <c r="AR104" s="112"/>
      <c r="AS104" s="112"/>
      <c r="AT104" s="112"/>
    </row>
    <row r="105" spans="38:46" x14ac:dyDescent="0.25">
      <c r="AL105" s="96"/>
      <c r="AM105" s="112"/>
      <c r="AN105" s="112"/>
      <c r="AO105" s="112"/>
      <c r="AP105" s="112"/>
      <c r="AQ105" s="112"/>
      <c r="AR105" s="112"/>
      <c r="AS105" s="112"/>
      <c r="AT105" s="112"/>
    </row>
    <row r="106" spans="38:46" x14ac:dyDescent="0.25">
      <c r="AL106" s="96"/>
      <c r="AM106" s="112"/>
      <c r="AN106" s="112"/>
      <c r="AO106" s="112"/>
      <c r="AP106" s="112"/>
      <c r="AQ106" s="112"/>
      <c r="AR106" s="112"/>
      <c r="AS106" s="112"/>
      <c r="AT106" s="112"/>
    </row>
    <row r="107" spans="38:46" x14ac:dyDescent="0.25">
      <c r="AL107" s="96"/>
      <c r="AM107" s="112"/>
      <c r="AN107" s="112"/>
      <c r="AO107" s="112"/>
      <c r="AP107" s="112"/>
      <c r="AQ107" s="112"/>
      <c r="AR107" s="112"/>
      <c r="AS107" s="112"/>
      <c r="AT107" s="112"/>
    </row>
    <row r="108" spans="38:46" x14ac:dyDescent="0.25">
      <c r="AL108" s="96"/>
      <c r="AM108" s="112"/>
      <c r="AN108" s="112"/>
      <c r="AO108" s="112"/>
      <c r="AP108" s="112"/>
      <c r="AQ108" s="112"/>
      <c r="AR108" s="112"/>
      <c r="AS108" s="112"/>
      <c r="AT108" s="112"/>
    </row>
    <row r="109" spans="38:46" x14ac:dyDescent="0.25">
      <c r="AL109" s="96"/>
      <c r="AM109" s="112"/>
      <c r="AN109" s="112"/>
      <c r="AO109" s="112"/>
      <c r="AP109" s="112"/>
      <c r="AQ109" s="112"/>
      <c r="AR109" s="112"/>
      <c r="AS109" s="112"/>
      <c r="AT109" s="112"/>
    </row>
    <row r="110" spans="38:46" x14ac:dyDescent="0.25">
      <c r="AL110" s="96"/>
      <c r="AM110" s="112"/>
      <c r="AN110" s="112"/>
      <c r="AO110" s="112"/>
      <c r="AP110" s="112"/>
      <c r="AQ110" s="112"/>
      <c r="AR110" s="112"/>
      <c r="AS110" s="112"/>
      <c r="AT110" s="112"/>
    </row>
    <row r="111" spans="38:46" x14ac:dyDescent="0.25">
      <c r="AL111" s="96"/>
      <c r="AM111" s="112"/>
      <c r="AN111" s="112"/>
      <c r="AO111" s="112"/>
      <c r="AP111" s="112"/>
      <c r="AQ111" s="112"/>
      <c r="AR111" s="112"/>
      <c r="AS111" s="112"/>
      <c r="AT111" s="112"/>
    </row>
    <row r="112" spans="38:46" x14ac:dyDescent="0.25">
      <c r="AL112" s="96"/>
      <c r="AM112" s="112"/>
      <c r="AN112" s="112"/>
      <c r="AO112" s="112"/>
      <c r="AP112" s="112"/>
      <c r="AQ112" s="112"/>
      <c r="AR112" s="112"/>
      <c r="AS112" s="112"/>
      <c r="AT112" s="112"/>
    </row>
    <row r="113" spans="38:46" x14ac:dyDescent="0.25">
      <c r="AL113" s="96"/>
      <c r="AM113" s="112"/>
      <c r="AN113" s="112"/>
      <c r="AO113" s="112"/>
      <c r="AP113" s="112"/>
      <c r="AQ113" s="112"/>
      <c r="AR113" s="112"/>
      <c r="AS113" s="112"/>
      <c r="AT113" s="112"/>
    </row>
    <row r="114" spans="38:46" x14ac:dyDescent="0.25">
      <c r="AL114" s="96"/>
      <c r="AM114" s="112"/>
      <c r="AN114" s="112"/>
      <c r="AO114" s="112"/>
      <c r="AP114" s="112"/>
      <c r="AQ114" s="112"/>
      <c r="AR114" s="112"/>
      <c r="AS114" s="112"/>
      <c r="AT114" s="112"/>
    </row>
    <row r="115" spans="38:46" x14ac:dyDescent="0.25">
      <c r="AL115" s="96"/>
      <c r="AM115" s="112"/>
      <c r="AN115" s="112"/>
      <c r="AO115" s="112"/>
      <c r="AP115" s="112"/>
      <c r="AQ115" s="112"/>
      <c r="AR115" s="112"/>
      <c r="AS115" s="112"/>
      <c r="AT115" s="112"/>
    </row>
    <row r="116" spans="38:46" x14ac:dyDescent="0.25">
      <c r="AL116" s="96"/>
      <c r="AM116" s="112"/>
      <c r="AN116" s="112"/>
      <c r="AO116" s="112"/>
      <c r="AP116" s="112"/>
      <c r="AQ116" s="112"/>
      <c r="AR116" s="112"/>
      <c r="AS116" s="112"/>
      <c r="AT116" s="112"/>
    </row>
    <row r="117" spans="38:46" x14ac:dyDescent="0.25">
      <c r="AL117" s="96"/>
      <c r="AM117" s="112"/>
      <c r="AN117" s="112"/>
      <c r="AO117" s="112"/>
      <c r="AP117" s="112"/>
      <c r="AQ117" s="112"/>
      <c r="AR117" s="112"/>
      <c r="AS117" s="112"/>
      <c r="AT117" s="112"/>
    </row>
    <row r="118" spans="38:46" x14ac:dyDescent="0.25">
      <c r="AL118" s="96"/>
      <c r="AM118" s="112"/>
      <c r="AN118" s="112"/>
      <c r="AO118" s="112"/>
      <c r="AP118" s="112"/>
      <c r="AQ118" s="112"/>
      <c r="AR118" s="112"/>
      <c r="AS118" s="112"/>
      <c r="AT118" s="112"/>
    </row>
    <row r="119" spans="38:46" x14ac:dyDescent="0.25">
      <c r="AL119" s="96"/>
      <c r="AM119" s="112"/>
      <c r="AN119" s="112"/>
      <c r="AO119" s="112"/>
      <c r="AP119" s="112"/>
      <c r="AQ119" s="112"/>
      <c r="AR119" s="112"/>
      <c r="AS119" s="112"/>
      <c r="AT119" s="112"/>
    </row>
    <row r="120" spans="38:46" x14ac:dyDescent="0.25">
      <c r="AL120" s="96"/>
      <c r="AM120" s="112"/>
      <c r="AN120" s="112"/>
      <c r="AO120" s="112"/>
      <c r="AP120" s="112"/>
      <c r="AQ120" s="112"/>
      <c r="AR120" s="112"/>
      <c r="AS120" s="112"/>
      <c r="AT120" s="112"/>
    </row>
    <row r="121" spans="38:46" x14ac:dyDescent="0.25">
      <c r="AL121" s="96"/>
      <c r="AM121" s="112"/>
      <c r="AN121" s="112"/>
      <c r="AO121" s="112"/>
      <c r="AP121" s="112"/>
      <c r="AQ121" s="112"/>
      <c r="AR121" s="112"/>
      <c r="AS121" s="112"/>
      <c r="AT121" s="112"/>
    </row>
    <row r="122" spans="38:46" x14ac:dyDescent="0.25">
      <c r="AL122" s="96"/>
      <c r="AM122" s="112"/>
      <c r="AN122" s="112"/>
      <c r="AO122" s="112"/>
      <c r="AP122" s="112"/>
      <c r="AQ122" s="112"/>
      <c r="AR122" s="112"/>
      <c r="AS122" s="112"/>
      <c r="AT122" s="112"/>
    </row>
    <row r="123" spans="38:46" x14ac:dyDescent="0.25">
      <c r="AL123" s="96"/>
      <c r="AM123" s="112"/>
      <c r="AN123" s="112"/>
      <c r="AO123" s="112"/>
      <c r="AP123" s="112"/>
      <c r="AQ123" s="112"/>
      <c r="AR123" s="112"/>
      <c r="AS123" s="112"/>
      <c r="AT123" s="112"/>
    </row>
    <row r="124" spans="38:46" x14ac:dyDescent="0.25">
      <c r="AL124" s="96"/>
      <c r="AM124" s="112"/>
      <c r="AN124" s="112"/>
      <c r="AO124" s="112"/>
      <c r="AP124" s="112"/>
      <c r="AQ124" s="112"/>
      <c r="AR124" s="112"/>
      <c r="AS124" s="112"/>
      <c r="AT124" s="112"/>
    </row>
    <row r="125" spans="38:46" x14ac:dyDescent="0.25">
      <c r="AL125" s="96"/>
      <c r="AM125" s="112"/>
      <c r="AN125" s="112"/>
      <c r="AO125" s="112"/>
      <c r="AP125" s="112"/>
      <c r="AQ125" s="112"/>
      <c r="AR125" s="112"/>
      <c r="AS125" s="112"/>
      <c r="AT125" s="112"/>
    </row>
    <row r="126" spans="38:46" x14ac:dyDescent="0.25">
      <c r="AL126" s="96"/>
      <c r="AM126" s="112"/>
      <c r="AN126" s="112"/>
      <c r="AO126" s="112"/>
      <c r="AP126" s="112"/>
      <c r="AQ126" s="112"/>
      <c r="AR126" s="112"/>
      <c r="AS126" s="112"/>
      <c r="AT126" s="112"/>
    </row>
    <row r="127" spans="38:46" x14ac:dyDescent="0.25">
      <c r="AL127" s="96"/>
      <c r="AM127" s="112"/>
      <c r="AN127" s="112"/>
      <c r="AO127" s="112"/>
      <c r="AP127" s="112"/>
      <c r="AQ127" s="112"/>
      <c r="AR127" s="112"/>
      <c r="AS127" s="112"/>
      <c r="AT127" s="112"/>
    </row>
    <row r="128" spans="38:46" x14ac:dyDescent="0.25">
      <c r="AL128" s="96"/>
      <c r="AM128" s="112"/>
      <c r="AN128" s="112"/>
      <c r="AO128" s="112"/>
      <c r="AP128" s="112"/>
      <c r="AQ128" s="112"/>
      <c r="AR128" s="112"/>
      <c r="AS128" s="112"/>
      <c r="AT128" s="112"/>
    </row>
    <row r="129" spans="38:46" x14ac:dyDescent="0.25">
      <c r="AL129" s="96"/>
      <c r="AM129" s="112"/>
      <c r="AN129" s="112"/>
      <c r="AO129" s="112"/>
      <c r="AP129" s="112"/>
      <c r="AQ129" s="112"/>
      <c r="AR129" s="112"/>
      <c r="AS129" s="112"/>
      <c r="AT129" s="112"/>
    </row>
    <row r="130" spans="38:46" x14ac:dyDescent="0.25">
      <c r="AL130" s="96"/>
      <c r="AM130" s="112"/>
      <c r="AN130" s="112"/>
      <c r="AO130" s="112"/>
      <c r="AP130" s="112"/>
      <c r="AQ130" s="112"/>
      <c r="AR130" s="112"/>
      <c r="AS130" s="112"/>
      <c r="AT130" s="112"/>
    </row>
    <row r="131" spans="38:46" x14ac:dyDescent="0.25">
      <c r="AL131" s="96"/>
      <c r="AM131" s="112"/>
      <c r="AN131" s="112"/>
      <c r="AO131" s="112"/>
      <c r="AP131" s="112"/>
      <c r="AQ131" s="112"/>
      <c r="AR131" s="112"/>
      <c r="AS131" s="112"/>
      <c r="AT131" s="112"/>
    </row>
    <row r="132" spans="38:46" x14ac:dyDescent="0.25">
      <c r="AL132" s="96"/>
      <c r="AM132" s="112"/>
      <c r="AN132" s="112"/>
      <c r="AO132" s="112"/>
      <c r="AP132" s="112"/>
      <c r="AQ132" s="112"/>
      <c r="AR132" s="112"/>
      <c r="AS132" s="112"/>
      <c r="AT132" s="112"/>
    </row>
    <row r="133" spans="38:46" x14ac:dyDescent="0.25">
      <c r="AL133" s="96"/>
      <c r="AM133" s="112"/>
      <c r="AN133" s="112"/>
      <c r="AO133" s="112"/>
      <c r="AP133" s="112"/>
      <c r="AQ133" s="112"/>
      <c r="AR133" s="112"/>
      <c r="AS133" s="112"/>
      <c r="AT133" s="112"/>
    </row>
    <row r="134" spans="38:46" x14ac:dyDescent="0.25">
      <c r="AL134" s="96"/>
      <c r="AM134" s="112"/>
      <c r="AN134" s="112"/>
      <c r="AO134" s="112"/>
      <c r="AP134" s="112"/>
      <c r="AQ134" s="112"/>
      <c r="AR134" s="112"/>
      <c r="AS134" s="112"/>
      <c r="AT134" s="112"/>
    </row>
    <row r="135" spans="38:46" x14ac:dyDescent="0.25">
      <c r="AL135" s="96"/>
      <c r="AM135" s="112"/>
      <c r="AN135" s="112"/>
      <c r="AO135" s="112"/>
      <c r="AP135" s="112"/>
      <c r="AQ135" s="112"/>
      <c r="AR135" s="112"/>
      <c r="AS135" s="112"/>
      <c r="AT135" s="112"/>
    </row>
    <row r="136" spans="38:46" x14ac:dyDescent="0.25">
      <c r="AL136" s="96"/>
      <c r="AM136" s="112"/>
      <c r="AN136" s="112"/>
      <c r="AO136" s="112"/>
      <c r="AP136" s="112"/>
      <c r="AQ136" s="112"/>
      <c r="AR136" s="112"/>
      <c r="AS136" s="112"/>
      <c r="AT136" s="112"/>
    </row>
  </sheetData>
  <mergeCells count="8">
    <mergeCell ref="A1:D1"/>
    <mergeCell ref="AM1:AT1"/>
    <mergeCell ref="AC1:AF1"/>
    <mergeCell ref="AH1:AJ1"/>
    <mergeCell ref="X1:AA1"/>
    <mergeCell ref="S1:V1"/>
    <mergeCell ref="F1:G1"/>
    <mergeCell ref="O1:Q1"/>
  </mergeCells>
  <phoneticPr fontId="29" type="noConversion"/>
  <conditionalFormatting sqref="AG4:AG183">
    <cfRule type="cellIs" dxfId="12" priority="22" operator="equal">
      <formula>"FAIL"</formula>
    </cfRule>
  </conditionalFormatting>
  <conditionalFormatting sqref="AG1:AG3">
    <cfRule type="cellIs" dxfId="11" priority="19" operator="equal">
      <formula>"FAIL"</formula>
    </cfRule>
    <cfRule type="cellIs" dxfId="10" priority="20" operator="equal">
      <formula>"FAIL"</formula>
    </cfRule>
  </conditionalFormatting>
  <conditionalFormatting sqref="AK4:AK183">
    <cfRule type="cellIs" dxfId="9" priority="18" operator="equal">
      <formula>"FAIL"</formula>
    </cfRule>
  </conditionalFormatting>
  <conditionalFormatting sqref="AK1:AK3">
    <cfRule type="cellIs" dxfId="8" priority="16" operator="equal">
      <formula>"FAIL"</formula>
    </cfRule>
    <cfRule type="cellIs" dxfId="7" priority="17" operator="equal">
      <formula>"FAIL"</formula>
    </cfRule>
  </conditionalFormatting>
  <conditionalFormatting sqref="F4:F1048576 F1:F2">
    <cfRule type="duplicateValues" dxfId="6" priority="15"/>
  </conditionalFormatting>
  <conditionalFormatting sqref="S1:S1048576">
    <cfRule type="duplicateValues" dxfId="5" priority="14"/>
  </conditionalFormatting>
  <conditionalFormatting sqref="X1:X1048576">
    <cfRule type="duplicateValues" dxfId="4" priority="13"/>
  </conditionalFormatting>
  <conditionalFormatting sqref="AC1:AC1048576">
    <cfRule type="duplicateValues" dxfId="3" priority="12"/>
  </conditionalFormatting>
  <conditionalFormatting sqref="AH1:AH1048576">
    <cfRule type="duplicateValues" dxfId="2" priority="11"/>
  </conditionalFormatting>
  <conditionalFormatting sqref="O1">
    <cfRule type="duplicateValues" dxfId="1" priority="9"/>
  </conditionalFormatting>
  <conditionalFormatting sqref="O2">
    <cfRule type="duplicateValues" dxfId="0" priority="8"/>
  </conditionalFormatting>
  <dataValidations disablePrompts="1" count="8">
    <dataValidation type="list" allowBlank="1" showInputMessage="1" showErrorMessage="1" sqref="AF4:AF13 AJ4:AJ30 Q4:Q13 AA4:AA39">
      <formula1>$S$4:$S$50</formula1>
    </dataValidation>
    <dataValidation type="list" allowBlank="1" showInputMessage="1" showErrorMessage="1" sqref="J4:J177">
      <formula1>$F$4:$F$120</formula1>
    </dataValidation>
    <dataValidation type="list" allowBlank="1" showInputMessage="1" showErrorMessage="1" sqref="I4:I147">
      <formula1>"TRUE,FALSE"</formula1>
    </dataValidation>
    <dataValidation type="list" allowBlank="1" showInputMessage="1" showErrorMessage="1" sqref="N4:N183">
      <formula1>"Slab,Drop,Ribbed,Waffle"</formula1>
    </dataValidation>
    <dataValidation type="list" allowBlank="1" showInputMessage="1" showErrorMessage="1" sqref="B4">
      <formula1>$AL$4:$AL$100</formula1>
    </dataValidation>
    <dataValidation type="list" allowBlank="1" showInputMessage="1" showErrorMessage="1" sqref="D4:D136">
      <formula1>"Linear Additive,Envelope,Absolute Additive,SRSS,Range Additive"</formula1>
    </dataValidation>
    <dataValidation type="list" allowBlank="1" showInputMessage="1" showErrorMessage="1" sqref="AM2:AT2">
      <formula1>"Dead,Live,SuperDead,Wind"</formula1>
    </dataValidation>
    <dataValidation type="list" allowBlank="1" showInputMessage="1" showErrorMessage="1" sqref="AM1:AT1">
      <formula1>"Cấp hậu quả của công trình cấp 1,Cấp hậu quả của công trình cấp 2,Cấp hậu quả của công trình cấp 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AO_FILE_E2K">
                <anchor moveWithCells="1" sizeWithCells="1">
                  <from>
                    <xdr:col>4</xdr:col>
                    <xdr:colOff>123825</xdr:colOff>
                    <xdr:row>0</xdr:row>
                    <xdr:rowOff>47625</xdr:rowOff>
                  </from>
                  <to>
                    <xdr:col>4</xdr:col>
                    <xdr:colOff>1390650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STRENGTH CLASSES FOR CONCRETE</vt:lpstr>
      <vt:lpstr>POINT_WALL</vt:lpstr>
      <vt:lpstr>POINT_COLUMN</vt:lpstr>
      <vt:lpstr>POINT_SLAB</vt:lpstr>
      <vt:lpstr>POINT_BEAM</vt:lpstr>
      <vt:lpstr>TOA_DO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Van</dc:creator>
  <cp:lastModifiedBy>C P</cp:lastModifiedBy>
  <dcterms:created xsi:type="dcterms:W3CDTF">2018-01-28T04:58:18Z</dcterms:created>
  <dcterms:modified xsi:type="dcterms:W3CDTF">2026-01-26T08:39:39Z</dcterms:modified>
</cp:coreProperties>
</file>