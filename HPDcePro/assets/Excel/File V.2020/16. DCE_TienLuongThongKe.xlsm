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28800" windowHeight="12300"/>
  </bookViews>
  <sheets>
    <sheet name="TienLuong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441" i="1" l="1"/>
  <c r="V440" i="1"/>
  <c r="U439" i="1"/>
  <c r="V438" i="1"/>
  <c r="U437" i="1"/>
  <c r="U436" i="1"/>
  <c r="V435" i="1"/>
  <c r="U434" i="1"/>
  <c r="V433" i="1"/>
  <c r="U432" i="1"/>
  <c r="U431" i="1"/>
  <c r="V430" i="1"/>
  <c r="U429" i="1"/>
  <c r="V428" i="1"/>
  <c r="U427" i="1"/>
  <c r="U426" i="1"/>
  <c r="V425" i="1"/>
  <c r="U424" i="1"/>
  <c r="U423" i="1"/>
  <c r="U422" i="1"/>
  <c r="V421" i="1"/>
  <c r="U420" i="1"/>
  <c r="V419" i="1"/>
  <c r="U418" i="1"/>
  <c r="V417" i="1"/>
  <c r="U416" i="1"/>
  <c r="U415" i="1"/>
  <c r="U414" i="1"/>
  <c r="V413" i="1"/>
  <c r="U412" i="1"/>
  <c r="V411" i="1"/>
  <c r="U410" i="1"/>
  <c r="U409" i="1"/>
  <c r="U408" i="1"/>
  <c r="V407" i="1"/>
  <c r="V406" i="1"/>
  <c r="G406" i="1"/>
  <c r="U405" i="1"/>
  <c r="V404" i="1"/>
  <c r="U403" i="1"/>
  <c r="V402" i="1"/>
  <c r="U402" i="1"/>
  <c r="U401" i="1"/>
  <c r="U400" i="1"/>
  <c r="U399" i="1"/>
  <c r="V398" i="1"/>
  <c r="U397" i="1"/>
  <c r="V396" i="1"/>
  <c r="U396" i="1"/>
  <c r="U395" i="1"/>
  <c r="U394" i="1"/>
  <c r="U393" i="1"/>
  <c r="V392" i="1"/>
  <c r="U391" i="1"/>
  <c r="V390" i="1"/>
  <c r="U389" i="1"/>
  <c r="U388" i="1"/>
  <c r="V387" i="1"/>
  <c r="U387" i="1"/>
  <c r="U386" i="1"/>
  <c r="U385" i="1"/>
  <c r="U384" i="1"/>
  <c r="U383" i="1"/>
  <c r="U382" i="1"/>
  <c r="U381" i="1"/>
  <c r="V380" i="1"/>
  <c r="U379" i="1"/>
  <c r="V378" i="1"/>
  <c r="U377" i="1"/>
  <c r="V376" i="1"/>
  <c r="U376" i="1"/>
  <c r="U375" i="1"/>
  <c r="U374" i="1"/>
  <c r="U373" i="1"/>
  <c r="U372" i="1"/>
  <c r="U371" i="1"/>
  <c r="U370" i="1"/>
  <c r="V369" i="1"/>
  <c r="U369" i="1"/>
  <c r="U368" i="1"/>
  <c r="U367" i="1"/>
  <c r="V366" i="1"/>
  <c r="U366" i="1"/>
  <c r="U365" i="1"/>
  <c r="U364" i="1"/>
  <c r="U363" i="1"/>
  <c r="U362" i="1"/>
  <c r="U361" i="1"/>
  <c r="V360" i="1"/>
  <c r="V359" i="1"/>
  <c r="G359" i="1"/>
  <c r="U358" i="1"/>
  <c r="V357" i="1"/>
  <c r="U356" i="1"/>
  <c r="V355" i="1"/>
  <c r="U354" i="1"/>
  <c r="V353" i="1"/>
  <c r="U352" i="1"/>
  <c r="U351" i="1"/>
  <c r="V350" i="1"/>
  <c r="U349" i="1"/>
  <c r="V348" i="1"/>
  <c r="U347" i="1"/>
  <c r="U346" i="1"/>
  <c r="U345" i="1"/>
  <c r="V344" i="1"/>
  <c r="U343" i="1"/>
  <c r="V342" i="1"/>
  <c r="U341" i="1"/>
  <c r="U340" i="1"/>
  <c r="V339" i="1"/>
  <c r="U338" i="1"/>
  <c r="U337" i="1"/>
  <c r="U336" i="1"/>
  <c r="V335" i="1"/>
  <c r="U334" i="1"/>
  <c r="V333" i="1"/>
  <c r="U332" i="1"/>
  <c r="V331" i="1"/>
  <c r="U330" i="1"/>
  <c r="U329" i="1"/>
  <c r="U328" i="1"/>
  <c r="V327" i="1"/>
  <c r="U326" i="1"/>
  <c r="V325" i="1"/>
  <c r="U324" i="1"/>
  <c r="U323" i="1"/>
  <c r="U322" i="1"/>
  <c r="V321" i="1"/>
  <c r="U320" i="1"/>
  <c r="V319" i="1"/>
  <c r="V318" i="1"/>
  <c r="G318" i="1"/>
  <c r="U317" i="1"/>
  <c r="V316" i="1"/>
  <c r="U315" i="1"/>
  <c r="V314" i="1"/>
  <c r="U314" i="1"/>
  <c r="U313" i="1"/>
  <c r="U312" i="1"/>
  <c r="V311" i="1"/>
  <c r="U311" i="1"/>
  <c r="U310" i="1"/>
  <c r="U309" i="1"/>
  <c r="U308" i="1"/>
  <c r="V307" i="1"/>
  <c r="U306" i="1"/>
  <c r="V305" i="1"/>
  <c r="U305" i="1"/>
  <c r="U304" i="1"/>
  <c r="U303" i="1"/>
  <c r="U302" i="1"/>
  <c r="U301" i="1"/>
  <c r="V300" i="1"/>
  <c r="U299" i="1"/>
  <c r="V298" i="1"/>
  <c r="U297" i="1"/>
  <c r="U296" i="1"/>
  <c r="V295" i="1"/>
  <c r="U295" i="1"/>
  <c r="U294" i="1"/>
  <c r="U293" i="1"/>
  <c r="U292" i="1"/>
  <c r="U291" i="1"/>
  <c r="U290" i="1"/>
  <c r="U289" i="1"/>
  <c r="V288" i="1"/>
  <c r="U287" i="1"/>
  <c r="V286" i="1"/>
  <c r="U285" i="1"/>
  <c r="V284" i="1"/>
  <c r="U284" i="1"/>
  <c r="U283" i="1"/>
  <c r="U282" i="1"/>
  <c r="U281" i="1"/>
  <c r="U280" i="1"/>
  <c r="U279" i="1"/>
  <c r="U278" i="1"/>
  <c r="V277" i="1"/>
  <c r="U277" i="1"/>
  <c r="U276" i="1"/>
  <c r="U275" i="1"/>
  <c r="V274" i="1"/>
  <c r="U274" i="1"/>
  <c r="U273" i="1"/>
  <c r="U272" i="1"/>
  <c r="U271" i="1"/>
  <c r="U270" i="1"/>
  <c r="U269" i="1"/>
  <c r="V268" i="1"/>
  <c r="U268" i="1"/>
  <c r="U267" i="1"/>
  <c r="U266" i="1"/>
  <c r="V265" i="1"/>
  <c r="V264" i="1"/>
  <c r="G264" i="1"/>
  <c r="U263" i="1"/>
  <c r="V262" i="1"/>
  <c r="U261" i="1"/>
  <c r="V260" i="1"/>
  <c r="U259" i="1"/>
  <c r="V258" i="1"/>
  <c r="U257" i="1"/>
  <c r="U256" i="1"/>
  <c r="U255" i="1"/>
  <c r="V254" i="1"/>
  <c r="U253" i="1"/>
  <c r="V252" i="1"/>
  <c r="U251" i="1"/>
  <c r="U250" i="1"/>
  <c r="V249" i="1"/>
  <c r="U248" i="1"/>
  <c r="V247" i="1"/>
  <c r="U246" i="1"/>
  <c r="U245" i="1"/>
  <c r="U244" i="1"/>
  <c r="V243" i="1"/>
  <c r="U242" i="1"/>
  <c r="V241" i="1"/>
  <c r="U240" i="1"/>
  <c r="V239" i="1"/>
  <c r="U238" i="1"/>
  <c r="U237" i="1"/>
  <c r="V236" i="1"/>
  <c r="U235" i="1"/>
  <c r="U234" i="1"/>
  <c r="U233" i="1"/>
  <c r="V232" i="1"/>
  <c r="U231" i="1"/>
  <c r="V230" i="1"/>
  <c r="U229" i="1"/>
  <c r="V228" i="1"/>
  <c r="U227" i="1"/>
  <c r="U226" i="1"/>
  <c r="V225" i="1"/>
  <c r="U224" i="1"/>
  <c r="U223" i="1"/>
  <c r="U222" i="1"/>
  <c r="V221" i="1"/>
  <c r="U220" i="1"/>
  <c r="V219" i="1"/>
  <c r="U218" i="1"/>
  <c r="U217" i="1"/>
  <c r="U216" i="1"/>
  <c r="U215" i="1"/>
  <c r="V214" i="1"/>
  <c r="U213" i="1"/>
  <c r="V212" i="1"/>
  <c r="U211" i="1"/>
  <c r="V210" i="1"/>
  <c r="U209" i="1"/>
  <c r="V208" i="1"/>
  <c r="U207" i="1"/>
  <c r="V206" i="1"/>
  <c r="U205" i="1"/>
  <c r="V204" i="1"/>
  <c r="V203" i="1"/>
  <c r="G203" i="1"/>
  <c r="U202" i="1"/>
  <c r="V201" i="1"/>
  <c r="U201" i="1"/>
  <c r="U200" i="1"/>
  <c r="U199" i="1"/>
  <c r="V198" i="1"/>
  <c r="U197" i="1"/>
  <c r="V196" i="1"/>
  <c r="U196" i="1"/>
  <c r="U195" i="1"/>
  <c r="U194" i="1"/>
  <c r="U193" i="1"/>
  <c r="U192" i="1"/>
  <c r="V191" i="1"/>
  <c r="U191" i="1"/>
  <c r="U190" i="1"/>
  <c r="U189" i="1"/>
  <c r="V188" i="1"/>
  <c r="U188" i="1"/>
  <c r="U187" i="1"/>
  <c r="U186" i="1"/>
  <c r="U185" i="1"/>
  <c r="V184" i="1"/>
  <c r="U183" i="1"/>
  <c r="V182" i="1"/>
  <c r="U182" i="1"/>
  <c r="U181" i="1"/>
  <c r="U180" i="1"/>
  <c r="U179" i="1"/>
  <c r="U178" i="1"/>
  <c r="V177" i="1"/>
  <c r="U176" i="1"/>
  <c r="V175" i="1"/>
  <c r="U174" i="1"/>
  <c r="V173" i="1"/>
  <c r="U172" i="1"/>
  <c r="U171" i="1"/>
  <c r="V170" i="1"/>
  <c r="U170" i="1"/>
  <c r="U169" i="1"/>
  <c r="U168" i="1"/>
  <c r="U167" i="1"/>
  <c r="U166" i="1"/>
  <c r="U165" i="1"/>
  <c r="U164" i="1"/>
  <c r="V163" i="1"/>
  <c r="U162" i="1"/>
  <c r="V161" i="1"/>
  <c r="U160" i="1"/>
  <c r="V159" i="1"/>
  <c r="U159" i="1"/>
  <c r="U158" i="1"/>
  <c r="U157" i="1"/>
  <c r="U156" i="1"/>
  <c r="V155" i="1"/>
  <c r="U155" i="1"/>
  <c r="U154" i="1"/>
  <c r="U153" i="1"/>
  <c r="U152" i="1"/>
  <c r="U151" i="1"/>
  <c r="U150" i="1"/>
  <c r="U149" i="1"/>
  <c r="V148" i="1"/>
  <c r="U148" i="1"/>
  <c r="U147" i="1"/>
  <c r="U146" i="1"/>
  <c r="V145" i="1"/>
  <c r="U145" i="1"/>
  <c r="U144" i="1"/>
  <c r="U143" i="1"/>
  <c r="U142" i="1"/>
  <c r="U141" i="1"/>
  <c r="U140" i="1"/>
  <c r="U139" i="1"/>
  <c r="U138" i="1"/>
  <c r="V137" i="1"/>
  <c r="U136" i="1"/>
  <c r="V135" i="1"/>
  <c r="U134" i="1"/>
  <c r="V133" i="1"/>
  <c r="U132" i="1"/>
  <c r="V131" i="1"/>
  <c r="U130" i="1"/>
  <c r="V129" i="1"/>
  <c r="U129" i="1"/>
  <c r="U128" i="1"/>
  <c r="U127" i="1"/>
  <c r="V126" i="1"/>
  <c r="V125" i="1"/>
  <c r="G125" i="1"/>
  <c r="U124" i="1"/>
  <c r="V123" i="1"/>
  <c r="U122" i="1"/>
  <c r="U121" i="1"/>
  <c r="U120" i="1"/>
  <c r="V119" i="1"/>
  <c r="U118" i="1"/>
  <c r="V117" i="1"/>
  <c r="U116" i="1"/>
  <c r="U115" i="1"/>
  <c r="V114" i="1"/>
  <c r="U113" i="1"/>
  <c r="V112" i="1"/>
  <c r="U111" i="1"/>
  <c r="U110" i="1"/>
  <c r="U109" i="1"/>
  <c r="V108" i="1"/>
  <c r="U107" i="1"/>
  <c r="V106" i="1"/>
  <c r="U105" i="1"/>
  <c r="V104" i="1"/>
  <c r="U103" i="1"/>
  <c r="U102" i="1"/>
  <c r="V101" i="1"/>
  <c r="U100" i="1"/>
  <c r="U99" i="1"/>
  <c r="U98" i="1"/>
  <c r="V97" i="1"/>
  <c r="U96" i="1"/>
  <c r="V95" i="1"/>
  <c r="U94" i="1"/>
  <c r="U93" i="1"/>
  <c r="V92" i="1"/>
  <c r="U91" i="1"/>
  <c r="U90" i="1"/>
  <c r="U89" i="1"/>
  <c r="V88" i="1"/>
  <c r="U87" i="1"/>
  <c r="V86" i="1"/>
  <c r="U85" i="1"/>
  <c r="U84" i="1"/>
  <c r="U83" i="1"/>
  <c r="U82" i="1"/>
  <c r="V81" i="1"/>
  <c r="U80" i="1"/>
  <c r="V79" i="1"/>
  <c r="U78" i="1"/>
  <c r="V77" i="1"/>
  <c r="U76" i="1"/>
  <c r="V75" i="1"/>
  <c r="V74" i="1"/>
  <c r="G74" i="1"/>
  <c r="U73" i="1"/>
  <c r="V72" i="1"/>
  <c r="U72" i="1"/>
  <c r="U71" i="1"/>
  <c r="U70" i="1"/>
  <c r="U69" i="1"/>
  <c r="U68" i="1"/>
  <c r="V67" i="1"/>
  <c r="U67" i="1"/>
  <c r="U66" i="1"/>
  <c r="U65" i="1"/>
  <c r="V64" i="1"/>
  <c r="U64" i="1"/>
  <c r="U63" i="1"/>
  <c r="U62" i="1"/>
  <c r="U61" i="1"/>
  <c r="V60" i="1"/>
  <c r="U59" i="1"/>
  <c r="V58" i="1"/>
  <c r="U58" i="1"/>
  <c r="U57" i="1"/>
  <c r="U56" i="1"/>
  <c r="U55" i="1"/>
  <c r="U54" i="1"/>
  <c r="V53" i="1"/>
  <c r="U52" i="1"/>
  <c r="V51" i="1"/>
  <c r="U50" i="1"/>
  <c r="V49" i="1"/>
  <c r="U48" i="1"/>
  <c r="U47" i="1"/>
  <c r="V46" i="1"/>
  <c r="U46" i="1"/>
  <c r="U45" i="1"/>
  <c r="U44" i="1"/>
  <c r="U43" i="1"/>
  <c r="U42" i="1"/>
  <c r="U41" i="1"/>
  <c r="U40" i="1"/>
  <c r="V39" i="1"/>
  <c r="U38" i="1"/>
  <c r="V37" i="1"/>
  <c r="U37" i="1"/>
  <c r="U36" i="1"/>
  <c r="U35" i="1"/>
  <c r="U34" i="1"/>
  <c r="V33" i="1"/>
  <c r="U33" i="1"/>
  <c r="U32" i="1"/>
  <c r="U31" i="1"/>
  <c r="U30" i="1"/>
  <c r="U29" i="1"/>
  <c r="U28" i="1"/>
  <c r="U27" i="1"/>
  <c r="V26" i="1"/>
  <c r="U26" i="1"/>
  <c r="BF25" i="1"/>
  <c r="U25" i="1"/>
  <c r="U24" i="1"/>
  <c r="BF23" i="1"/>
  <c r="V23" i="1"/>
  <c r="U23" i="1"/>
  <c r="BF22" i="1"/>
  <c r="U22" i="1"/>
  <c r="BF21" i="1"/>
  <c r="BC21" i="1"/>
  <c r="U21" i="1"/>
  <c r="BF20" i="1"/>
  <c r="BC20" i="1"/>
  <c r="U20" i="1"/>
  <c r="BF19" i="1"/>
  <c r="U19" i="1"/>
  <c r="BF18" i="1"/>
  <c r="U18" i="1"/>
  <c r="BF17" i="1"/>
  <c r="BC17" i="1"/>
  <c r="U17" i="1"/>
  <c r="BF16" i="1"/>
  <c r="BC16" i="1"/>
  <c r="U16" i="1"/>
  <c r="BF15" i="1"/>
  <c r="V15" i="1"/>
  <c r="BF14" i="1"/>
  <c r="U14" i="1"/>
  <c r="BF13" i="1"/>
  <c r="V13" i="1"/>
  <c r="BF12" i="1"/>
  <c r="BC12" i="1"/>
  <c r="U12" i="1"/>
  <c r="BF11" i="1"/>
  <c r="BC11" i="1"/>
  <c r="V11" i="1"/>
  <c r="U11" i="1"/>
  <c r="BF10" i="1"/>
  <c r="U10" i="1"/>
  <c r="BF9" i="1"/>
  <c r="U9" i="1"/>
  <c r="BF8" i="1"/>
  <c r="BC8" i="1"/>
  <c r="V8" i="1"/>
  <c r="BF7" i="1"/>
  <c r="BC7" i="1"/>
  <c r="V7" i="1"/>
  <c r="G7" i="1"/>
</calcChain>
</file>

<file path=xl/sharedStrings.xml><?xml version="1.0" encoding="utf-8"?>
<sst xmlns="http://schemas.openxmlformats.org/spreadsheetml/2006/main" count="513" uniqueCount="114">
  <si>
    <t xml:space="preserve"> MAI</t>
  </si>
  <si>
    <t>STT</t>
  </si>
  <si>
    <t>m· hiÖu</t>
  </si>
  <si>
    <t>Néi dung c«ng viÖc</t>
  </si>
  <si>
    <t>§¬n vÞ</t>
  </si>
  <si>
    <t>Khèi</t>
  </si>
  <si>
    <t>§¬n gi¸</t>
  </si>
  <si>
    <t>Thµnh tiÒn</t>
  </si>
  <si>
    <t>Sè l­îng</t>
  </si>
  <si>
    <t>KÝch th­íc</t>
  </si>
  <si>
    <t>hÖ sè</t>
  </si>
  <si>
    <t>tõng phÇn</t>
  </si>
  <si>
    <t>tæng céng</t>
  </si>
  <si>
    <t>BẢNG TỔNG HỢP KHỐI LƯỢNG</t>
  </si>
  <si>
    <t>V÷a</t>
  </si>
  <si>
    <t>§Þnh møc</t>
  </si>
  <si>
    <t>l­îng</t>
  </si>
  <si>
    <t>VËt liÖu</t>
  </si>
  <si>
    <t>VËt liÖu p</t>
  </si>
  <si>
    <t>Nh©n c«ng</t>
  </si>
  <si>
    <t>M¸y</t>
  </si>
  <si>
    <t>VËt liÖu P</t>
  </si>
  <si>
    <t>dµi</t>
  </si>
  <si>
    <t>réng</t>
  </si>
  <si>
    <t>cao</t>
  </si>
  <si>
    <t>Hạng mục</t>
  </si>
  <si>
    <t>Khối lượng</t>
  </si>
  <si>
    <t>Đơn vị</t>
  </si>
  <si>
    <t>Đơn giá</t>
  </si>
  <si>
    <t>Thành tiền</t>
  </si>
  <si>
    <t>Ghi chú</t>
  </si>
  <si>
    <t>Khối lượng bê tông dầm T1</t>
  </si>
  <si>
    <t>m3</t>
  </si>
  <si>
    <t>Dầm B1</t>
  </si>
  <si>
    <t>Khối lượng ván khuôn dầm T1</t>
  </si>
  <si>
    <t>100m2</t>
  </si>
  <si>
    <t xml:space="preserve"> + Đoạn: B20</t>
  </si>
  <si>
    <t>Khối lượng thép dầm tầng  T1 đường kính d8:</t>
  </si>
  <si>
    <t>Kg</t>
  </si>
  <si>
    <t xml:space="preserve"> + Giao đầu cột trục: </t>
  </si>
  <si>
    <t>Khối lượng thép dầm tầng  T1 đường kính d16:</t>
  </si>
  <si>
    <t>Dầm B2</t>
  </si>
  <si>
    <t>Khối lượng bê tông dầm T2</t>
  </si>
  <si>
    <t xml:space="preserve"> + Đoạn: B36</t>
  </si>
  <si>
    <t>Khối lượng ván khuôn dầm T2</t>
  </si>
  <si>
    <t>Dầm B3</t>
  </si>
  <si>
    <t>Khối lượng thép dầm tầng  T2 đường kính d8:</t>
  </si>
  <si>
    <t xml:space="preserve"> + Đoạn: B2</t>
  </si>
  <si>
    <t>Khối lượng thép dầm tầng  T2 đường kính d16:</t>
  </si>
  <si>
    <t>Dầm B4</t>
  </si>
  <si>
    <t>Khối lượng thép dầm tầng  T2 đường kính d18:</t>
  </si>
  <si>
    <t xml:space="preserve"> + Đoạn: B35</t>
  </si>
  <si>
    <t>Khối lượng bê tông dầm T3</t>
  </si>
  <si>
    <t xml:space="preserve"> + Đoạn: B23</t>
  </si>
  <si>
    <t>Khối lượng ván khuôn dầm T3</t>
  </si>
  <si>
    <t xml:space="preserve"> + Đoạn: B22</t>
  </si>
  <si>
    <t>Khối lượng thép dầm tầng  T3 đường kính d8:</t>
  </si>
  <si>
    <t xml:space="preserve"> + Đoạn: B12</t>
  </si>
  <si>
    <t>Khối lượng thép dầm tầng  T3 đường kính d16:</t>
  </si>
  <si>
    <t>Khối lượng bê tông dầm MAI</t>
  </si>
  <si>
    <t>Khối lượng ván khuôn dầm MAI</t>
  </si>
  <si>
    <t>Khối lượng thép dầm tầng  MAI đường kính d8:</t>
  </si>
  <si>
    <t>Dầm B5</t>
  </si>
  <si>
    <t>Khối lượng thép dầm tầng  MAI đường kính d16:</t>
  </si>
  <si>
    <t xml:space="preserve"> + Đoạn: B17</t>
  </si>
  <si>
    <t>Tổng =</t>
  </si>
  <si>
    <t>Dầm B6</t>
  </si>
  <si>
    <t xml:space="preserve"> + Đoạn: B27</t>
  </si>
  <si>
    <t xml:space="preserve"> + Đoạn: B26</t>
  </si>
  <si>
    <t xml:space="preserve"> + Đoạn: B25</t>
  </si>
  <si>
    <t>Dầm B7</t>
  </si>
  <si>
    <t xml:space="preserve"> + Đoạn: B3</t>
  </si>
  <si>
    <t xml:space="preserve"> + Đoạn: B10</t>
  </si>
  <si>
    <t>Dầm B8</t>
  </si>
  <si>
    <t xml:space="preserve"> + Đoạn: B34</t>
  </si>
  <si>
    <t>Dầm B9</t>
  </si>
  <si>
    <t xml:space="preserve"> + Đoạn: B31</t>
  </si>
  <si>
    <t xml:space="preserve"> + Đoạn: B30</t>
  </si>
  <si>
    <t xml:space="preserve"> + Đoạn: B29</t>
  </si>
  <si>
    <t>Dầm B10</t>
  </si>
  <si>
    <t xml:space="preserve"> + Đoạn: B33</t>
  </si>
  <si>
    <t xml:space="preserve"> + Đoạn: B32</t>
  </si>
  <si>
    <t>Dầm B11</t>
  </si>
  <si>
    <t xml:space="preserve"> + Đoạn: B19</t>
  </si>
  <si>
    <t>Dầm B12</t>
  </si>
  <si>
    <t xml:space="preserve"> + Đoạn: B38</t>
  </si>
  <si>
    <t>Dầm B13</t>
  </si>
  <si>
    <t xml:space="preserve"> + Đoạn: B24</t>
  </si>
  <si>
    <t xml:space="preserve"> + Đoạn: B18</t>
  </si>
  <si>
    <t xml:space="preserve"> + Đoạn: B16</t>
  </si>
  <si>
    <t>Dầm B14</t>
  </si>
  <si>
    <t xml:space="preserve"> + Đoạn: B4</t>
  </si>
  <si>
    <t>Dầm B15</t>
  </si>
  <si>
    <t xml:space="preserve"> + Đoạn: B9</t>
  </si>
  <si>
    <t xml:space="preserve"> + Đoạn: B15</t>
  </si>
  <si>
    <t>Dầm B16</t>
  </si>
  <si>
    <t xml:space="preserve"> + Đoạn: B21</t>
  </si>
  <si>
    <t>Dầm B17</t>
  </si>
  <si>
    <t xml:space="preserve"> + Đoạn: B13</t>
  </si>
  <si>
    <t xml:space="preserve"> + Đoạn: B14</t>
  </si>
  <si>
    <t xml:space="preserve"> + Đoạn: B28</t>
  </si>
  <si>
    <t>Dầm B18</t>
  </si>
  <si>
    <t xml:space="preserve"> + Đoạn: B11</t>
  </si>
  <si>
    <t xml:space="preserve"> + Đoạn: B39</t>
  </si>
  <si>
    <t xml:space="preserve"> + Đoạn: B41</t>
  </si>
  <si>
    <t xml:space="preserve"> + Đoạn: B43</t>
  </si>
  <si>
    <t>Dầm B19</t>
  </si>
  <si>
    <t>Dầm B20</t>
  </si>
  <si>
    <t>Dầm B21</t>
  </si>
  <si>
    <t xml:space="preserve"> + Đoạn: B40</t>
  </si>
  <si>
    <t>Dầm B22</t>
  </si>
  <si>
    <t>Dầm B23</t>
  </si>
  <si>
    <t xml:space="preserve"> + Đoạn: B42</t>
  </si>
  <si>
    <t xml:space="preserve"> + Đoạn: B5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</si>
</sst>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#,##0.000"/>
  </numFmts>
  <fonts count="7">
    <font>
      <sz val="11"/>
      <color theme="1"/>
      <name val="Calibri"/>
      <charset val="134"/>
      <scheme val="minor"/>
    </font>
    <font>
      <b/>
      <sz val="9"/>
      <name val=".VnArialH"/>
      <charset val="134"/>
    </font>
    <font>
      <sz val="12"/>
      <name val=".VnTime"/>
      <charset val="134"/>
    </font>
    <font>
      <b/>
      <sz val="11"/>
      <color rgb="FF0000FF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i/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Border="1"/>
    <xf numFmtId="3" fontId="0" fillId="2" borderId="0" xfId="0" applyNumberFormat="1" applyFill="1" applyBorder="1"/>
    <xf numFmtId="0" fontId="0" fillId="2" borderId="0" xfId="0" applyFill="1" applyAlignment="1">
      <alignment horizontal="center"/>
    </xf>
    <xf numFmtId="49" fontId="1" fillId="0" borderId="1" xfId="0" applyNumberFormat="1" applyFont="1" applyFill="1" applyBorder="1" applyAlignment="1">
      <alignment horizontal="centerContinuous" wrapText="1"/>
    </xf>
    <xf numFmtId="168" fontId="1" fillId="0" borderId="1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Continuous" vertic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Continuous"/>
    </xf>
    <xf numFmtId="49" fontId="1" fillId="0" borderId="3" xfId="0" applyNumberFormat="1" applyFont="1" applyFill="1" applyBorder="1" applyAlignment="1">
      <alignment horizontal="center" vertical="top" wrapText="1"/>
    </xf>
    <xf numFmtId="168" fontId="1" fillId="0" borderId="3" xfId="0" applyNumberFormat="1" applyFont="1" applyFill="1" applyBorder="1" applyAlignment="1">
      <alignment horizontal="center" vertical="top"/>
    </xf>
    <xf numFmtId="0" fontId="1" fillId="0" borderId="1" xfId="0" applyFont="1" applyFill="1" applyBorder="1" applyAlignment="1">
      <alignment horizontal="center" vertical="top"/>
    </xf>
    <xf numFmtId="0" fontId="1" fillId="0" borderId="3" xfId="0" applyFont="1" applyFill="1" applyBorder="1" applyAlignment="1">
      <alignment horizontal="center" vertical="top"/>
    </xf>
    <xf numFmtId="0" fontId="0" fillId="2" borderId="2" xfId="0" applyFill="1" applyBorder="1"/>
    <xf numFmtId="3" fontId="0" fillId="2" borderId="2" xfId="0" applyNumberFormat="1" applyFill="1" applyBorder="1"/>
    <xf numFmtId="0" fontId="0" fillId="0" borderId="4" xfId="0" applyBorder="1"/>
    <xf numFmtId="0" fontId="3" fillId="3" borderId="4" xfId="0" applyFont="1" applyFill="1" applyBorder="1"/>
    <xf numFmtId="0" fontId="4" fillId="0" borderId="4" xfId="0" applyFont="1" applyBorder="1"/>
    <xf numFmtId="3" fontId="0" fillId="0" borderId="0" xfId="0" applyNumberFormat="1"/>
    <xf numFmtId="0" fontId="0" fillId="0" borderId="5" xfId="0" applyBorder="1"/>
    <xf numFmtId="0" fontId="5" fillId="0" borderId="5" xfId="0" applyFont="1" applyBorder="1"/>
    <xf numFmtId="0" fontId="6" fillId="0" borderId="5" xfId="0" applyFont="1" applyBorder="1"/>
    <xf numFmtId="0" fontId="0" fillId="0" borderId="6" xfId="0" applyBorder="1"/>
    <xf numFmtId="0" fontId="6" fillId="0" borderId="6" xfId="0" applyFont="1" applyBorder="1"/>
    <xf numFmtId="0" fontId="0" fillId="0" borderId="7" xfId="0" applyBorder="1"/>
    <xf numFmtId="0" fontId="0" fillId="2" borderId="2" xfId="0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442"/>
  <sheetViews>
    <sheetView tabSelected="1" topLeftCell="D1" workbookViewId="0">
      <pane ySplit="6" topLeftCell="A400" activePane="bottomLeft" state="frozen"/>
      <selection pane="bottomLeft" activeCell="S408" sqref="S408"/>
    </sheetView>
  </sheetViews>
  <sheetFormatPr defaultColWidth="9.140625" defaultRowHeight="15" outlineLevelCol="1"/>
  <cols>
    <col min="1" max="1" width="9" customWidth="1"/>
    <col min="2" max="3" width="10.28515625" hidden="1" customWidth="1"/>
    <col min="4" max="4" width="10.28515625" customWidth="1"/>
    <col min="5" max="5" width="37.28515625" customWidth="1"/>
    <col min="6" max="6" width="10.28515625" style="1" customWidth="1"/>
    <col min="7" max="15" width="10.28515625" hidden="1" customWidth="1" outlineLevel="1"/>
    <col min="16" max="16" width="9.140625" collapsed="1"/>
    <col min="17" max="20" width="9"/>
    <col min="21" max="21" width="13.42578125" customWidth="1"/>
    <col min="22" max="22" width="12.7109375" customWidth="1"/>
    <col min="23" max="52" width="9.140625" style="2" hidden="1" customWidth="1" outlineLevel="1"/>
    <col min="53" max="53" width="9.140625" style="2" collapsed="1"/>
    <col min="54" max="54" width="44.85546875" style="3" customWidth="1"/>
    <col min="55" max="55" width="12" style="3" customWidth="1"/>
    <col min="56" max="56" width="6.7109375" style="3" customWidth="1"/>
    <col min="57" max="57" width="10.140625" style="4" customWidth="1"/>
    <col min="58" max="58" width="11.140625" style="4" customWidth="1"/>
    <col min="59" max="59" width="7.5703125" style="3" customWidth="1"/>
    <col min="60" max="16384" width="9.140625" style="2"/>
  </cols>
  <sheetData>
    <row r="1" spans="1:59">
      <c r="A1" s="2" t="s">
        <v>0</v>
      </c>
      <c r="B1" s="2"/>
      <c r="C1" s="2"/>
      <c r="D1" s="2"/>
      <c r="E1" s="2"/>
      <c r="F1" s="5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59" ht="1.5" customHeight="1">
      <c r="A2" s="2"/>
      <c r="B2" s="2"/>
      <c r="C2" s="2"/>
      <c r="D2" s="2"/>
      <c r="E2" s="2"/>
      <c r="F2" s="5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59" hidden="1">
      <c r="A3" s="2"/>
      <c r="B3" s="2"/>
      <c r="C3" s="2"/>
      <c r="D3" s="2"/>
      <c r="E3" s="2"/>
      <c r="F3" s="5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59">
      <c r="A4" s="2"/>
      <c r="B4" s="2"/>
      <c r="C4" s="2"/>
      <c r="D4" s="2"/>
      <c r="E4" s="2"/>
      <c r="F4" s="5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59" ht="15.75">
      <c r="A5" s="28" t="s">
        <v>1</v>
      </c>
      <c r="B5" s="6"/>
      <c r="C5" s="6"/>
      <c r="D5" s="6" t="s">
        <v>2</v>
      </c>
      <c r="E5" s="30" t="s">
        <v>3</v>
      </c>
      <c r="F5" s="30" t="s">
        <v>4</v>
      </c>
      <c r="G5" s="7" t="s">
        <v>5</v>
      </c>
      <c r="H5" s="8" t="s">
        <v>6</v>
      </c>
      <c r="I5" s="8"/>
      <c r="J5" s="8"/>
      <c r="K5" s="8"/>
      <c r="L5" s="8" t="s">
        <v>7</v>
      </c>
      <c r="M5" s="8"/>
      <c r="N5" s="8"/>
      <c r="O5" s="8"/>
      <c r="P5" s="9" t="s">
        <v>8</v>
      </c>
      <c r="Q5" s="10" t="s">
        <v>9</v>
      </c>
      <c r="R5" s="10"/>
      <c r="S5" s="10"/>
      <c r="T5" s="9" t="s">
        <v>10</v>
      </c>
      <c r="U5" s="9" t="s">
        <v>11</v>
      </c>
      <c r="V5" s="9" t="s">
        <v>12</v>
      </c>
      <c r="BB5" s="27" t="s">
        <v>13</v>
      </c>
      <c r="BC5" s="27"/>
      <c r="BD5" s="27"/>
      <c r="BE5" s="27"/>
      <c r="BF5" s="27"/>
      <c r="BG5" s="27"/>
    </row>
    <row r="6" spans="1:59">
      <c r="A6" s="29"/>
      <c r="B6" s="11" t="s">
        <v>14</v>
      </c>
      <c r="C6" s="11" t="s">
        <v>15</v>
      </c>
      <c r="D6" s="11" t="s">
        <v>6</v>
      </c>
      <c r="E6" s="31"/>
      <c r="F6" s="31"/>
      <c r="G6" s="12" t="s">
        <v>16</v>
      </c>
      <c r="H6" s="13" t="s">
        <v>17</v>
      </c>
      <c r="I6" s="13" t="s">
        <v>18</v>
      </c>
      <c r="J6" s="13" t="s">
        <v>19</v>
      </c>
      <c r="K6" s="13" t="s">
        <v>20</v>
      </c>
      <c r="L6" s="13" t="s">
        <v>17</v>
      </c>
      <c r="M6" s="13" t="s">
        <v>21</v>
      </c>
      <c r="N6" s="13" t="s">
        <v>19</v>
      </c>
      <c r="O6" s="13" t="s">
        <v>20</v>
      </c>
      <c r="P6" s="14"/>
      <c r="Q6" s="13" t="s">
        <v>22</v>
      </c>
      <c r="R6" s="13" t="s">
        <v>23</v>
      </c>
      <c r="S6" s="13" t="s">
        <v>24</v>
      </c>
      <c r="T6" s="14"/>
      <c r="U6" s="14"/>
      <c r="V6" s="14"/>
      <c r="BB6" s="15" t="s">
        <v>25</v>
      </c>
      <c r="BC6" s="15" t="s">
        <v>26</v>
      </c>
      <c r="BD6" s="15" t="s">
        <v>27</v>
      </c>
      <c r="BE6" s="16" t="s">
        <v>28</v>
      </c>
      <c r="BF6" s="16" t="s">
        <v>29</v>
      </c>
      <c r="BG6" s="15" t="s">
        <v>30</v>
      </c>
    </row>
    <row r="7" spans="1:59">
      <c r="A7" s="17"/>
      <c r="B7" s="17"/>
      <c r="C7" s="17"/>
      <c r="D7" s="17"/>
      <c r="E7" s="18" t="s">
        <v>31</v>
      </c>
      <c r="F7" s="17" t="s">
        <v>32</v>
      </c>
      <c r="G7" s="19">
        <f>SUM(U9:U73)</f>
        <v>9.1499261903131295</v>
      </c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8">
        <f>SUM(U9:U73)</f>
        <v>9.1499261903131295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 t="s">
        <v>31</v>
      </c>
      <c r="BC7">
        <f>SUM(U9:U73)</f>
        <v>9.1499261903131295</v>
      </c>
      <c r="BD7" t="s">
        <v>32</v>
      </c>
      <c r="BE7" s="20">
        <v>1000000</v>
      </c>
      <c r="BF7" s="20">
        <f t="shared" ref="BF7:BF23" si="0">PRODUCT(BC7,BE7)</f>
        <v>9149926.1903131306</v>
      </c>
      <c r="BG7"/>
    </row>
    <row r="8" spans="1:59">
      <c r="A8" s="21"/>
      <c r="B8" s="21"/>
      <c r="C8" s="21"/>
      <c r="D8" s="21"/>
      <c r="E8" s="22" t="s">
        <v>33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2">
        <f>SUM(U9:U10)</f>
        <v>0.36080000000000001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 t="s">
        <v>34</v>
      </c>
      <c r="BC8">
        <f>SUM(U76:U124)</f>
        <v>1.00217787660448</v>
      </c>
      <c r="BD8" t="s">
        <v>35</v>
      </c>
      <c r="BE8" s="20">
        <v>18000000</v>
      </c>
      <c r="BF8" s="20">
        <f t="shared" si="0"/>
        <v>18039201.7788806</v>
      </c>
      <c r="BG8"/>
    </row>
    <row r="9" spans="1:59">
      <c r="A9" s="21"/>
      <c r="B9" s="21"/>
      <c r="C9" s="21"/>
      <c r="D9" s="21"/>
      <c r="E9" s="23" t="s">
        <v>36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>
        <v>1</v>
      </c>
      <c r="Q9" s="21">
        <v>3.88</v>
      </c>
      <c r="R9" s="21">
        <v>0.22</v>
      </c>
      <c r="S9" s="21">
        <v>0.4</v>
      </c>
      <c r="T9" s="21">
        <v>1</v>
      </c>
      <c r="U9" s="23">
        <f>PRODUCT(P9:T9)</f>
        <v>0.34144000000000002</v>
      </c>
      <c r="V9" s="21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 t="s">
        <v>37</v>
      </c>
      <c r="BC9">
        <v>379.84553432998899</v>
      </c>
      <c r="BD9" t="s">
        <v>38</v>
      </c>
      <c r="BE9" s="20">
        <v>20000</v>
      </c>
      <c r="BF9" s="20">
        <f t="shared" si="0"/>
        <v>7596910.6865997799</v>
      </c>
      <c r="BG9"/>
    </row>
    <row r="10" spans="1:59">
      <c r="A10" s="21"/>
      <c r="B10" s="21"/>
      <c r="C10" s="21"/>
      <c r="D10" s="21"/>
      <c r="E10" s="23" t="s">
        <v>39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>
        <v>1</v>
      </c>
      <c r="Q10" s="21">
        <v>0.22</v>
      </c>
      <c r="R10" s="21">
        <v>0.22</v>
      </c>
      <c r="S10" s="21">
        <v>0.4</v>
      </c>
      <c r="T10" s="21">
        <v>1</v>
      </c>
      <c r="U10" s="21">
        <f>PRODUCT(P10:T10)</f>
        <v>1.9359999999999999E-2</v>
      </c>
      <c r="V10" s="21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 t="s">
        <v>40</v>
      </c>
      <c r="BC10">
        <v>796.17704861842697</v>
      </c>
      <c r="BD10" t="s">
        <v>38</v>
      </c>
      <c r="BE10" s="20">
        <v>20000</v>
      </c>
      <c r="BF10" s="20">
        <f t="shared" si="0"/>
        <v>15923540.972368499</v>
      </c>
      <c r="BG10"/>
    </row>
    <row r="11" spans="1:59">
      <c r="A11" s="21"/>
      <c r="B11" s="21"/>
      <c r="C11" s="21"/>
      <c r="D11" s="21"/>
      <c r="E11" s="22" t="s">
        <v>41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>
        <v>1</v>
      </c>
      <c r="Q11" s="21">
        <v>0.22</v>
      </c>
      <c r="R11" s="21">
        <v>0.22</v>
      </c>
      <c r="S11" s="21">
        <v>0.4</v>
      </c>
      <c r="T11" s="21">
        <v>1</v>
      </c>
      <c r="U11" s="21">
        <f>PRODUCT(P11:T11)</f>
        <v>1.9359999999999999E-2</v>
      </c>
      <c r="V11" s="22">
        <f>SUM(U12:U12)</f>
        <v>5.7750000000000003E-2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 t="s">
        <v>42</v>
      </c>
      <c r="BC11">
        <f>SUM(U127:U202)</f>
        <v>9.3275061903131302</v>
      </c>
      <c r="BD11" t="s">
        <v>32</v>
      </c>
      <c r="BE11" s="20">
        <v>1000000</v>
      </c>
      <c r="BF11" s="20">
        <f t="shared" si="0"/>
        <v>9327506.1903131306</v>
      </c>
      <c r="BG11"/>
    </row>
    <row r="12" spans="1:59">
      <c r="A12" s="21"/>
      <c r="B12" s="21"/>
      <c r="C12" s="21"/>
      <c r="D12" s="21"/>
      <c r="E12" s="23" t="s">
        <v>43</v>
      </c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>
        <v>1</v>
      </c>
      <c r="Q12" s="21">
        <v>0.75</v>
      </c>
      <c r="R12" s="21">
        <v>0.22</v>
      </c>
      <c r="S12" s="21">
        <v>0.35</v>
      </c>
      <c r="T12" s="21">
        <v>1</v>
      </c>
      <c r="U12" s="23">
        <f>PRODUCT(P12:T12)</f>
        <v>5.7750000000000003E-2</v>
      </c>
      <c r="V12" s="21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 t="s">
        <v>44</v>
      </c>
      <c r="BC12">
        <f>SUM(U205:U263)</f>
        <v>0.83689565582747905</v>
      </c>
      <c r="BD12" t="s">
        <v>35</v>
      </c>
      <c r="BE12" s="20">
        <v>18000000</v>
      </c>
      <c r="BF12" s="20">
        <f t="shared" si="0"/>
        <v>15064121.8048946</v>
      </c>
      <c r="BG12"/>
    </row>
    <row r="13" spans="1:59">
      <c r="A13" s="21"/>
      <c r="B13" s="21"/>
      <c r="C13" s="21"/>
      <c r="D13" s="21"/>
      <c r="E13" s="22" t="s">
        <v>45</v>
      </c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2">
        <f>SUM(U14:U14)</f>
        <v>0.34232000000000001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 t="s">
        <v>46</v>
      </c>
      <c r="BC13">
        <v>378.40427702118899</v>
      </c>
      <c r="BD13" t="s">
        <v>38</v>
      </c>
      <c r="BE13" s="20">
        <v>20000</v>
      </c>
      <c r="BF13" s="20">
        <f t="shared" si="0"/>
        <v>7568085.54042379</v>
      </c>
      <c r="BG13"/>
    </row>
    <row r="14" spans="1:59">
      <c r="A14" s="21"/>
      <c r="B14" s="21"/>
      <c r="C14" s="21"/>
      <c r="D14" s="21"/>
      <c r="E14" s="23" t="s">
        <v>47</v>
      </c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>
        <v>1</v>
      </c>
      <c r="Q14" s="21">
        <v>3.89</v>
      </c>
      <c r="R14" s="21">
        <v>0.22</v>
      </c>
      <c r="S14" s="21">
        <v>0.4</v>
      </c>
      <c r="T14" s="21">
        <v>1</v>
      </c>
      <c r="U14" s="23">
        <f>PRODUCT(P14:T14)</f>
        <v>0.34232000000000001</v>
      </c>
      <c r="V14" s="21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 t="s">
        <v>48</v>
      </c>
      <c r="BC14">
        <v>920.38500104492402</v>
      </c>
      <c r="BD14" t="s">
        <v>38</v>
      </c>
      <c r="BE14" s="20">
        <v>20000</v>
      </c>
      <c r="BF14" s="20">
        <f t="shared" si="0"/>
        <v>18407700.020898499</v>
      </c>
      <c r="BG14"/>
    </row>
    <row r="15" spans="1:59">
      <c r="A15" s="21"/>
      <c r="B15" s="21"/>
      <c r="C15" s="21"/>
      <c r="D15" s="21"/>
      <c r="E15" s="22" t="s">
        <v>49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2">
        <f>SUM(U16:U22)</f>
        <v>1.2161599999999999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 t="s">
        <v>50</v>
      </c>
      <c r="BC15">
        <v>9.0290692333085101</v>
      </c>
      <c r="BD15" t="s">
        <v>38</v>
      </c>
      <c r="BE15" s="20">
        <v>20000</v>
      </c>
      <c r="BF15" s="20">
        <f t="shared" si="0"/>
        <v>180581.38466616999</v>
      </c>
      <c r="BG15"/>
    </row>
    <row r="16" spans="1:59">
      <c r="A16" s="21"/>
      <c r="B16" s="21"/>
      <c r="C16" s="21"/>
      <c r="D16" s="21"/>
      <c r="E16" s="23" t="s">
        <v>51</v>
      </c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>
        <v>1</v>
      </c>
      <c r="Q16" s="21">
        <v>4.2699999999999996</v>
      </c>
      <c r="R16" s="21">
        <v>0.22</v>
      </c>
      <c r="S16" s="21">
        <v>0.4</v>
      </c>
      <c r="T16" s="21">
        <v>1</v>
      </c>
      <c r="U16" s="23">
        <f t="shared" ref="U16:U38" si="1">PRODUCT(P16:T16)</f>
        <v>0.37575999999999998</v>
      </c>
      <c r="V16" s="21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 t="s">
        <v>52</v>
      </c>
      <c r="BC16">
        <f>SUM(U266:U317)</f>
        <v>7.8298161903131298</v>
      </c>
      <c r="BD16" t="s">
        <v>32</v>
      </c>
      <c r="BE16" s="20">
        <v>1000000</v>
      </c>
      <c r="BF16" s="20">
        <f t="shared" si="0"/>
        <v>7829816.1903131297</v>
      </c>
      <c r="BG16"/>
    </row>
    <row r="17" spans="1:59">
      <c r="A17" s="21"/>
      <c r="B17" s="21"/>
      <c r="C17" s="21"/>
      <c r="D17" s="21"/>
      <c r="E17" s="23" t="s">
        <v>53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>
        <v>1</v>
      </c>
      <c r="Q17" s="21">
        <v>3.8149999999999999</v>
      </c>
      <c r="R17" s="21">
        <v>0.22</v>
      </c>
      <c r="S17" s="21">
        <v>0.4</v>
      </c>
      <c r="T17" s="21">
        <v>1</v>
      </c>
      <c r="U17" s="23">
        <f t="shared" si="1"/>
        <v>0.33572000000000002</v>
      </c>
      <c r="V17" s="21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t="s">
        <v>54</v>
      </c>
      <c r="BC17">
        <f>SUM(U320:U358)</f>
        <v>0.72255565582747905</v>
      </c>
      <c r="BD17" t="s">
        <v>35</v>
      </c>
      <c r="BE17" s="20">
        <v>180000</v>
      </c>
      <c r="BF17" s="20">
        <f t="shared" si="0"/>
        <v>130060.018048946</v>
      </c>
      <c r="BG17"/>
    </row>
    <row r="18" spans="1:59">
      <c r="A18" s="21"/>
      <c r="B18" s="21"/>
      <c r="C18" s="21"/>
      <c r="D18" s="21"/>
      <c r="E18" s="23" t="s">
        <v>55</v>
      </c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>
        <v>1</v>
      </c>
      <c r="Q18" s="21">
        <v>3.8250000000000002</v>
      </c>
      <c r="R18" s="21">
        <v>0.22</v>
      </c>
      <c r="S18" s="21">
        <v>0.4</v>
      </c>
      <c r="T18" s="21">
        <v>1</v>
      </c>
      <c r="U18" s="23">
        <f t="shared" si="1"/>
        <v>0.33660000000000001</v>
      </c>
      <c r="V18" s="21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t="s">
        <v>56</v>
      </c>
      <c r="BC18">
        <v>323.24797835713503</v>
      </c>
      <c r="BD18" t="s">
        <v>38</v>
      </c>
      <c r="BE18" s="20">
        <v>20000</v>
      </c>
      <c r="BF18" s="20">
        <f t="shared" si="0"/>
        <v>6464959.5671426896</v>
      </c>
      <c r="BG18"/>
    </row>
    <row r="19" spans="1:59">
      <c r="A19" s="21"/>
      <c r="B19" s="21"/>
      <c r="C19" s="21"/>
      <c r="D19" s="21"/>
      <c r="E19" s="23" t="s">
        <v>57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>
        <v>1</v>
      </c>
      <c r="Q19" s="21">
        <v>1.28</v>
      </c>
      <c r="R19" s="21">
        <v>0.22</v>
      </c>
      <c r="S19" s="21">
        <v>0.35</v>
      </c>
      <c r="T19" s="21">
        <v>1</v>
      </c>
      <c r="U19" s="23">
        <f t="shared" si="1"/>
        <v>9.8559999999999995E-2</v>
      </c>
      <c r="V19" s="21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 t="s">
        <v>58</v>
      </c>
      <c r="BC19">
        <v>720.94723440469704</v>
      </c>
      <c r="BD19" t="s">
        <v>38</v>
      </c>
      <c r="BE19" s="20">
        <v>20000</v>
      </c>
      <c r="BF19" s="20">
        <f t="shared" si="0"/>
        <v>14418944.688093901</v>
      </c>
      <c r="BG19"/>
    </row>
    <row r="20" spans="1:59">
      <c r="A20" s="21"/>
      <c r="B20" s="21"/>
      <c r="C20" s="21"/>
      <c r="D20" s="21"/>
      <c r="E20" s="23" t="s">
        <v>39</v>
      </c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>
        <v>1</v>
      </c>
      <c r="Q20" s="21">
        <v>0.22</v>
      </c>
      <c r="R20" s="21">
        <v>0.22</v>
      </c>
      <c r="S20" s="21">
        <v>0.4</v>
      </c>
      <c r="T20" s="21">
        <v>1</v>
      </c>
      <c r="U20" s="21">
        <f t="shared" si="1"/>
        <v>1.9359999999999999E-2</v>
      </c>
      <c r="V20" s="21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 t="s">
        <v>59</v>
      </c>
      <c r="BC20">
        <f>SUM(U361:U405)</f>
        <v>6.5969361903131301</v>
      </c>
      <c r="BD20" t="s">
        <v>32</v>
      </c>
      <c r="BE20" s="20">
        <v>1000000</v>
      </c>
      <c r="BF20" s="20">
        <f t="shared" si="0"/>
        <v>6596936.1903131297</v>
      </c>
      <c r="BG20"/>
    </row>
    <row r="21" spans="1:59">
      <c r="A21" s="21"/>
      <c r="B21" s="21"/>
      <c r="C21" s="21"/>
      <c r="D21" s="21"/>
      <c r="E21" s="23" t="s">
        <v>39</v>
      </c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>
        <v>1</v>
      </c>
      <c r="Q21" s="21">
        <v>0.35</v>
      </c>
      <c r="R21" s="21">
        <v>0.22</v>
      </c>
      <c r="S21" s="21">
        <v>0.4</v>
      </c>
      <c r="T21" s="21">
        <v>1</v>
      </c>
      <c r="U21" s="21">
        <f t="shared" si="1"/>
        <v>3.0800000000000001E-2</v>
      </c>
      <c r="V21" s="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 t="s">
        <v>60</v>
      </c>
      <c r="BC21">
        <f>SUM(U408:U441)</f>
        <v>0.60904165582748004</v>
      </c>
      <c r="BD21" t="s">
        <v>35</v>
      </c>
      <c r="BE21" s="20">
        <v>18000000</v>
      </c>
      <c r="BF21" s="20">
        <f t="shared" si="0"/>
        <v>10962749.8048946</v>
      </c>
      <c r="BG21"/>
    </row>
    <row r="22" spans="1:59">
      <c r="A22" s="21"/>
      <c r="B22" s="21"/>
      <c r="C22" s="21"/>
      <c r="D22" s="21"/>
      <c r="E22" s="23" t="s">
        <v>39</v>
      </c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>
        <v>1</v>
      </c>
      <c r="Q22" s="21">
        <v>0.22</v>
      </c>
      <c r="R22" s="21">
        <v>0.22</v>
      </c>
      <c r="S22" s="21">
        <v>0.4</v>
      </c>
      <c r="T22" s="21">
        <v>1</v>
      </c>
      <c r="U22" s="21">
        <f t="shared" si="1"/>
        <v>1.9359999999999999E-2</v>
      </c>
      <c r="V22" s="21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 t="s">
        <v>61</v>
      </c>
      <c r="BC22">
        <v>274.28799101008201</v>
      </c>
      <c r="BD22" t="s">
        <v>38</v>
      </c>
      <c r="BE22" s="20">
        <v>20000</v>
      </c>
      <c r="BF22" s="20">
        <f t="shared" si="0"/>
        <v>5485759.8202016503</v>
      </c>
      <c r="BG22"/>
    </row>
    <row r="23" spans="1:59">
      <c r="A23" s="21"/>
      <c r="B23" s="21"/>
      <c r="C23" s="21"/>
      <c r="D23" s="21"/>
      <c r="E23" s="22" t="s">
        <v>62</v>
      </c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>
        <v>1</v>
      </c>
      <c r="Q23" s="21">
        <v>0.22</v>
      </c>
      <c r="R23" s="21">
        <v>0.22</v>
      </c>
      <c r="S23" s="21">
        <v>0.35</v>
      </c>
      <c r="T23" s="21">
        <v>1</v>
      </c>
      <c r="U23" s="21">
        <f t="shared" si="1"/>
        <v>1.694E-2</v>
      </c>
      <c r="V23" s="22">
        <f>SUM(U24:U25)</f>
        <v>0.15135999999999999</v>
      </c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 t="s">
        <v>63</v>
      </c>
      <c r="BC23">
        <v>568.83350969291496</v>
      </c>
      <c r="BD23" t="s">
        <v>38</v>
      </c>
      <c r="BE23" s="20">
        <v>20000</v>
      </c>
      <c r="BF23" s="20">
        <f t="shared" si="0"/>
        <v>11376670.193858299</v>
      </c>
      <c r="BG23"/>
    </row>
    <row r="24" spans="1:59">
      <c r="A24" s="21"/>
      <c r="B24" s="21"/>
      <c r="C24" s="21"/>
      <c r="D24" s="21"/>
      <c r="E24" s="23" t="s">
        <v>64</v>
      </c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>
        <v>1</v>
      </c>
      <c r="Q24" s="21">
        <v>1.5</v>
      </c>
      <c r="R24" s="21">
        <v>0.22</v>
      </c>
      <c r="S24" s="21">
        <v>0.4</v>
      </c>
      <c r="T24" s="21">
        <v>1</v>
      </c>
      <c r="U24" s="23">
        <f t="shared" si="1"/>
        <v>0.13200000000000001</v>
      </c>
      <c r="V24" s="21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 s="20"/>
      <c r="BF24" s="20"/>
      <c r="BG24"/>
    </row>
    <row r="25" spans="1:59">
      <c r="A25" s="21"/>
      <c r="B25" s="21"/>
      <c r="C25" s="21"/>
      <c r="D25" s="21"/>
      <c r="E25" s="23" t="s">
        <v>39</v>
      </c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>
        <v>1</v>
      </c>
      <c r="Q25" s="21">
        <v>0.22</v>
      </c>
      <c r="R25" s="21">
        <v>0.22</v>
      </c>
      <c r="S25" s="21">
        <v>0.4</v>
      </c>
      <c r="T25" s="21">
        <v>1</v>
      </c>
      <c r="U25" s="21">
        <f t="shared" si="1"/>
        <v>1.9359999999999999E-2</v>
      </c>
      <c r="V25" s="21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 s="20" t="s">
        <v>65</v>
      </c>
      <c r="BF25" s="20">
        <f>SUM(BF7:BF23)</f>
        <v>164523471.042225</v>
      </c>
      <c r="BG25"/>
    </row>
    <row r="26" spans="1:59">
      <c r="A26" s="21"/>
      <c r="B26" s="21"/>
      <c r="C26" s="21"/>
      <c r="D26" s="21"/>
      <c r="E26" s="22" t="s">
        <v>66</v>
      </c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>
        <v>1</v>
      </c>
      <c r="Q26" s="21">
        <v>0.22</v>
      </c>
      <c r="R26" s="21">
        <v>0.22</v>
      </c>
      <c r="S26" s="21">
        <v>0.4</v>
      </c>
      <c r="T26" s="21">
        <v>1</v>
      </c>
      <c r="U26" s="21">
        <f t="shared" si="1"/>
        <v>1.9359999999999999E-2</v>
      </c>
      <c r="V26" s="22">
        <f>SUM(U27:U32)</f>
        <v>0.67584</v>
      </c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 s="20"/>
      <c r="BF26" s="20"/>
      <c r="BG26"/>
    </row>
    <row r="27" spans="1:59">
      <c r="A27" s="21"/>
      <c r="B27" s="21"/>
      <c r="C27" s="21"/>
      <c r="D27" s="21"/>
      <c r="E27" s="23" t="s">
        <v>67</v>
      </c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>
        <v>1</v>
      </c>
      <c r="Q27" s="21">
        <v>2.2799999999999998</v>
      </c>
      <c r="R27" s="21">
        <v>0.22</v>
      </c>
      <c r="S27" s="21">
        <v>0.4</v>
      </c>
      <c r="T27" s="21">
        <v>1</v>
      </c>
      <c r="U27" s="23">
        <f t="shared" si="1"/>
        <v>0.20064000000000001</v>
      </c>
      <c r="V27" s="21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 s="20"/>
      <c r="BF27" s="20"/>
      <c r="BG27"/>
    </row>
    <row r="28" spans="1:59">
      <c r="A28" s="21"/>
      <c r="B28" s="21"/>
      <c r="C28" s="21"/>
      <c r="D28" s="21"/>
      <c r="E28" s="23" t="s">
        <v>68</v>
      </c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>
        <v>1</v>
      </c>
      <c r="Q28" s="21">
        <v>1.5</v>
      </c>
      <c r="R28" s="21">
        <v>0.22</v>
      </c>
      <c r="S28" s="21">
        <v>0.4</v>
      </c>
      <c r="T28" s="21">
        <v>1</v>
      </c>
      <c r="U28" s="23">
        <f t="shared" si="1"/>
        <v>0.13200000000000001</v>
      </c>
      <c r="V28" s="21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 s="20"/>
      <c r="BF28" s="20"/>
      <c r="BG28"/>
    </row>
    <row r="29" spans="1:59">
      <c r="A29" s="21"/>
      <c r="B29" s="21"/>
      <c r="C29" s="21"/>
      <c r="D29" s="21"/>
      <c r="E29" s="23" t="s">
        <v>69</v>
      </c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>
        <v>1</v>
      </c>
      <c r="Q29" s="21">
        <v>3.24</v>
      </c>
      <c r="R29" s="21">
        <v>0.22</v>
      </c>
      <c r="S29" s="21">
        <v>0.4</v>
      </c>
      <c r="T29" s="21">
        <v>1</v>
      </c>
      <c r="U29" s="23">
        <f t="shared" si="1"/>
        <v>0.28511999999999998</v>
      </c>
      <c r="V29" s="21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 s="20"/>
      <c r="BF29" s="20"/>
      <c r="BG29"/>
    </row>
    <row r="30" spans="1:59">
      <c r="A30" s="21"/>
      <c r="B30" s="21"/>
      <c r="C30" s="21"/>
      <c r="D30" s="21"/>
      <c r="E30" s="23" t="s">
        <v>39</v>
      </c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>
        <v>1</v>
      </c>
      <c r="Q30" s="21">
        <v>0.22</v>
      </c>
      <c r="R30" s="21">
        <v>0.22</v>
      </c>
      <c r="S30" s="21">
        <v>0.4</v>
      </c>
      <c r="T30" s="21">
        <v>1</v>
      </c>
      <c r="U30" s="21">
        <f t="shared" si="1"/>
        <v>1.9359999999999999E-2</v>
      </c>
      <c r="V30" s="21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 s="20"/>
      <c r="BF30" s="20"/>
      <c r="BG30"/>
    </row>
    <row r="31" spans="1:59">
      <c r="A31" s="21"/>
      <c r="B31" s="21"/>
      <c r="C31" s="21"/>
      <c r="D31" s="21"/>
      <c r="E31" s="23" t="s">
        <v>39</v>
      </c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>
        <v>1</v>
      </c>
      <c r="Q31" s="21">
        <v>0.22</v>
      </c>
      <c r="R31" s="21">
        <v>0.22</v>
      </c>
      <c r="S31" s="21">
        <v>0.4</v>
      </c>
      <c r="T31" s="21">
        <v>1</v>
      </c>
      <c r="U31" s="21">
        <f t="shared" si="1"/>
        <v>1.9359999999999999E-2</v>
      </c>
      <c r="V31" s="2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 s="20"/>
      <c r="BF31" s="20"/>
      <c r="BG31"/>
    </row>
    <row r="32" spans="1:59">
      <c r="A32" s="21"/>
      <c r="B32" s="21"/>
      <c r="C32" s="21"/>
      <c r="D32" s="21"/>
      <c r="E32" s="23" t="s">
        <v>39</v>
      </c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>
        <v>1</v>
      </c>
      <c r="Q32" s="21">
        <v>0.22</v>
      </c>
      <c r="R32" s="21">
        <v>0.22</v>
      </c>
      <c r="S32" s="21">
        <v>0.4</v>
      </c>
      <c r="T32" s="21">
        <v>1</v>
      </c>
      <c r="U32" s="21">
        <f t="shared" si="1"/>
        <v>1.9359999999999999E-2</v>
      </c>
      <c r="V32" s="21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 s="20"/>
      <c r="BF32" s="20"/>
      <c r="BG32"/>
    </row>
    <row r="33" spans="1:59">
      <c r="A33" s="21"/>
      <c r="B33" s="21"/>
      <c r="C33" s="21"/>
      <c r="D33" s="21"/>
      <c r="E33" s="22" t="s">
        <v>70</v>
      </c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>
        <v>1</v>
      </c>
      <c r="Q33" s="21">
        <v>0.35</v>
      </c>
      <c r="R33" s="21">
        <v>0.22</v>
      </c>
      <c r="S33" s="21">
        <v>0.4</v>
      </c>
      <c r="T33" s="21">
        <v>1</v>
      </c>
      <c r="U33" s="21">
        <f t="shared" si="1"/>
        <v>3.0800000000000001E-2</v>
      </c>
      <c r="V33" s="22">
        <f>SUM(U34:U36)</f>
        <v>0.51656000000000002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 s="20"/>
      <c r="BF33" s="20"/>
      <c r="BG33"/>
    </row>
    <row r="34" spans="1:59">
      <c r="A34" s="21"/>
      <c r="B34" s="21"/>
      <c r="C34" s="21"/>
      <c r="D34" s="21"/>
      <c r="E34" s="23" t="s">
        <v>71</v>
      </c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>
        <v>1</v>
      </c>
      <c r="Q34" s="21">
        <v>4.53</v>
      </c>
      <c r="R34" s="21">
        <v>0.22</v>
      </c>
      <c r="S34" s="21">
        <v>0.4</v>
      </c>
      <c r="T34" s="21">
        <v>1</v>
      </c>
      <c r="U34" s="23">
        <f t="shared" si="1"/>
        <v>0.39863999999999999</v>
      </c>
      <c r="V34" s="21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 s="20"/>
      <c r="BF34" s="20"/>
      <c r="BG34"/>
    </row>
    <row r="35" spans="1:59">
      <c r="A35" s="21"/>
      <c r="B35" s="21"/>
      <c r="C35" s="21"/>
      <c r="D35" s="21"/>
      <c r="E35" s="23" t="s">
        <v>72</v>
      </c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>
        <v>1</v>
      </c>
      <c r="Q35" s="21">
        <v>1.28</v>
      </c>
      <c r="R35" s="21">
        <v>0.22</v>
      </c>
      <c r="S35" s="21">
        <v>0.35</v>
      </c>
      <c r="T35" s="21">
        <v>1</v>
      </c>
      <c r="U35" s="23">
        <f t="shared" si="1"/>
        <v>9.8559999999999995E-2</v>
      </c>
      <c r="V35" s="21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 s="20"/>
      <c r="BF35" s="20"/>
      <c r="BG35"/>
    </row>
    <row r="36" spans="1:59">
      <c r="A36" s="21"/>
      <c r="B36" s="21"/>
      <c r="C36" s="21"/>
      <c r="D36" s="21"/>
      <c r="E36" s="23" t="s">
        <v>39</v>
      </c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>
        <v>1</v>
      </c>
      <c r="Q36" s="21">
        <v>0.22</v>
      </c>
      <c r="R36" s="21">
        <v>0.22</v>
      </c>
      <c r="S36" s="21">
        <v>0.4</v>
      </c>
      <c r="T36" s="21">
        <v>1</v>
      </c>
      <c r="U36" s="21">
        <f t="shared" si="1"/>
        <v>1.9359999999999999E-2</v>
      </c>
      <c r="V36" s="21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 s="20"/>
      <c r="BF36" s="20"/>
      <c r="BG36"/>
    </row>
    <row r="37" spans="1:59">
      <c r="A37" s="21"/>
      <c r="B37" s="21"/>
      <c r="C37" s="21"/>
      <c r="D37" s="21"/>
      <c r="E37" s="22" t="s">
        <v>73</v>
      </c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>
        <v>1</v>
      </c>
      <c r="Q37" s="21">
        <v>0.22</v>
      </c>
      <c r="R37" s="21">
        <v>0.22</v>
      </c>
      <c r="S37" s="21">
        <v>0.35</v>
      </c>
      <c r="T37" s="21">
        <v>1</v>
      </c>
      <c r="U37" s="21">
        <f t="shared" si="1"/>
        <v>1.694E-2</v>
      </c>
      <c r="V37" s="22">
        <f>SUM(U38:U38)</f>
        <v>0.28511999999999998</v>
      </c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 s="20"/>
      <c r="BF37" s="20"/>
      <c r="BG37"/>
    </row>
    <row r="38" spans="1:59">
      <c r="A38" s="21"/>
      <c r="B38" s="21"/>
      <c r="C38" s="21"/>
      <c r="D38" s="21"/>
      <c r="E38" s="23" t="s">
        <v>74</v>
      </c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>
        <v>1</v>
      </c>
      <c r="Q38" s="21">
        <v>3.24</v>
      </c>
      <c r="R38" s="21">
        <v>0.22</v>
      </c>
      <c r="S38" s="21">
        <v>0.4</v>
      </c>
      <c r="T38" s="21">
        <v>1</v>
      </c>
      <c r="U38" s="23">
        <f t="shared" si="1"/>
        <v>0.28511999999999998</v>
      </c>
      <c r="V38" s="21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 s="20"/>
      <c r="BF38" s="20"/>
      <c r="BG38"/>
    </row>
    <row r="39" spans="1:59">
      <c r="A39" s="21"/>
      <c r="B39" s="21"/>
      <c r="C39" s="21"/>
      <c r="D39" s="21"/>
      <c r="E39" s="22" t="s">
        <v>75</v>
      </c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2">
        <f>SUM(U40:U45)</f>
        <v>1.0674399999999999</v>
      </c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 s="20"/>
      <c r="BF39" s="20"/>
      <c r="BG39"/>
    </row>
    <row r="40" spans="1:59">
      <c r="A40" s="21"/>
      <c r="B40" s="21"/>
      <c r="C40" s="21"/>
      <c r="D40" s="21"/>
      <c r="E40" s="23" t="s">
        <v>76</v>
      </c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>
        <v>1</v>
      </c>
      <c r="Q40" s="21">
        <v>3.7</v>
      </c>
      <c r="R40" s="21">
        <v>0.22</v>
      </c>
      <c r="S40" s="21">
        <v>0.4</v>
      </c>
      <c r="T40" s="21">
        <v>1</v>
      </c>
      <c r="U40" s="23">
        <f t="shared" ref="U40:U48" si="2">PRODUCT(P40:T40)</f>
        <v>0.3256</v>
      </c>
      <c r="V40" s="21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 s="20"/>
      <c r="BF40" s="20"/>
      <c r="BG40"/>
    </row>
    <row r="41" spans="1:59">
      <c r="A41" s="21"/>
      <c r="B41" s="21"/>
      <c r="C41" s="21"/>
      <c r="D41" s="21"/>
      <c r="E41" s="23" t="s">
        <v>77</v>
      </c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>
        <v>1</v>
      </c>
      <c r="Q41" s="21">
        <v>3.24</v>
      </c>
      <c r="R41" s="21">
        <v>0.22</v>
      </c>
      <c r="S41" s="21">
        <v>0.4</v>
      </c>
      <c r="T41" s="21">
        <v>1</v>
      </c>
      <c r="U41" s="23">
        <f t="shared" si="2"/>
        <v>0.28511999999999998</v>
      </c>
      <c r="V41" s="2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 s="20"/>
      <c r="BF41" s="20"/>
      <c r="BG41"/>
    </row>
    <row r="42" spans="1:59">
      <c r="A42" s="21"/>
      <c r="B42" s="21"/>
      <c r="C42" s="21"/>
      <c r="D42" s="21"/>
      <c r="E42" s="23" t="s">
        <v>78</v>
      </c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>
        <v>1</v>
      </c>
      <c r="Q42" s="21">
        <v>4.53</v>
      </c>
      <c r="R42" s="21">
        <v>0.22</v>
      </c>
      <c r="S42" s="21">
        <v>0.4</v>
      </c>
      <c r="T42" s="21">
        <v>1</v>
      </c>
      <c r="U42" s="23">
        <f t="shared" si="2"/>
        <v>0.39863999999999999</v>
      </c>
      <c r="V42" s="21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 s="20"/>
      <c r="BF42" s="20"/>
      <c r="BG42"/>
    </row>
    <row r="43" spans="1:59">
      <c r="A43" s="21"/>
      <c r="B43" s="21"/>
      <c r="C43" s="21"/>
      <c r="D43" s="21"/>
      <c r="E43" s="23" t="s">
        <v>39</v>
      </c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>
        <v>1</v>
      </c>
      <c r="Q43" s="21">
        <v>0.22</v>
      </c>
      <c r="R43" s="21">
        <v>0.22</v>
      </c>
      <c r="S43" s="21">
        <v>0.4</v>
      </c>
      <c r="T43" s="21">
        <v>1</v>
      </c>
      <c r="U43" s="21">
        <f t="shared" si="2"/>
        <v>1.9359999999999999E-2</v>
      </c>
      <c r="V43" s="21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 s="20"/>
      <c r="BF43" s="20"/>
      <c r="BG43"/>
    </row>
    <row r="44" spans="1:59">
      <c r="A44" s="21"/>
      <c r="B44" s="21"/>
      <c r="C44" s="21"/>
      <c r="D44" s="21"/>
      <c r="E44" s="23" t="s">
        <v>39</v>
      </c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>
        <v>1</v>
      </c>
      <c r="Q44" s="21">
        <v>0.22</v>
      </c>
      <c r="R44" s="21">
        <v>0.22</v>
      </c>
      <c r="S44" s="21">
        <v>0.4</v>
      </c>
      <c r="T44" s="21">
        <v>1</v>
      </c>
      <c r="U44" s="21">
        <f t="shared" si="2"/>
        <v>1.9359999999999999E-2</v>
      </c>
      <c r="V44" s="21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 s="20"/>
      <c r="BF44" s="20"/>
      <c r="BG44"/>
    </row>
    <row r="45" spans="1:59">
      <c r="A45" s="21"/>
      <c r="B45" s="21"/>
      <c r="C45" s="21"/>
      <c r="D45" s="21"/>
      <c r="E45" s="23" t="s">
        <v>39</v>
      </c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>
        <v>1</v>
      </c>
      <c r="Q45" s="21">
        <v>0.22</v>
      </c>
      <c r="R45" s="21">
        <v>0.22</v>
      </c>
      <c r="S45" s="21">
        <v>0.4</v>
      </c>
      <c r="T45" s="21">
        <v>1</v>
      </c>
      <c r="U45" s="21">
        <f t="shared" si="2"/>
        <v>1.9359999999999999E-2</v>
      </c>
      <c r="V45" s="21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 s="20"/>
      <c r="BF45" s="20"/>
      <c r="BG45"/>
    </row>
    <row r="46" spans="1:59">
      <c r="A46" s="21"/>
      <c r="B46" s="21"/>
      <c r="C46" s="21"/>
      <c r="D46" s="21"/>
      <c r="E46" s="22" t="s">
        <v>79</v>
      </c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>
        <v>1</v>
      </c>
      <c r="Q46" s="21">
        <v>0.22</v>
      </c>
      <c r="R46" s="21">
        <v>0.22</v>
      </c>
      <c r="S46" s="21">
        <v>0.4</v>
      </c>
      <c r="T46" s="21">
        <v>1</v>
      </c>
      <c r="U46" s="21">
        <f t="shared" si="2"/>
        <v>1.9359999999999999E-2</v>
      </c>
      <c r="V46" s="22">
        <f>SUM(U47:U48)</f>
        <v>0.62921619031313203</v>
      </c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 s="20"/>
      <c r="BF46" s="20"/>
      <c r="BG46"/>
    </row>
    <row r="47" spans="1:59">
      <c r="A47" s="21"/>
      <c r="B47" s="21"/>
      <c r="C47" s="21"/>
      <c r="D47" s="21"/>
      <c r="E47" s="23" t="s">
        <v>80</v>
      </c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>
        <v>1</v>
      </c>
      <c r="Q47" s="21">
        <v>3.3795175617067001</v>
      </c>
      <c r="R47" s="21">
        <v>0.22</v>
      </c>
      <c r="S47" s="21">
        <v>0.4</v>
      </c>
      <c r="T47" s="21">
        <v>1</v>
      </c>
      <c r="U47" s="23">
        <f t="shared" si="2"/>
        <v>0.29739754543018998</v>
      </c>
      <c r="V47" s="21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 s="20"/>
      <c r="BF47" s="20"/>
      <c r="BG47"/>
    </row>
    <row r="48" spans="1:59">
      <c r="A48" s="21"/>
      <c r="B48" s="21"/>
      <c r="C48" s="21"/>
      <c r="D48" s="21"/>
      <c r="E48" s="23" t="s">
        <v>81</v>
      </c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>
        <v>1</v>
      </c>
      <c r="Q48" s="21">
        <v>3.7706664191243502</v>
      </c>
      <c r="R48" s="21">
        <v>0.22</v>
      </c>
      <c r="S48" s="21">
        <v>0.4</v>
      </c>
      <c r="T48" s="21">
        <v>1</v>
      </c>
      <c r="U48" s="23">
        <f t="shared" si="2"/>
        <v>0.33181864488294199</v>
      </c>
      <c r="V48" s="21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 s="20"/>
      <c r="BF48" s="20"/>
      <c r="BG48"/>
    </row>
    <row r="49" spans="1:59">
      <c r="A49" s="21"/>
      <c r="B49" s="21"/>
      <c r="C49" s="21"/>
      <c r="D49" s="21"/>
      <c r="E49" s="22" t="s">
        <v>82</v>
      </c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2">
        <f>SUM(U50:U50)</f>
        <v>0.16016</v>
      </c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 s="20"/>
      <c r="BF49" s="20"/>
      <c r="BG49"/>
    </row>
    <row r="50" spans="1:59">
      <c r="A50" s="21"/>
      <c r="B50" s="21"/>
      <c r="C50" s="21"/>
      <c r="D50" s="21"/>
      <c r="E50" s="23" t="s">
        <v>83</v>
      </c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>
        <v>1</v>
      </c>
      <c r="Q50" s="21">
        <v>1.82</v>
      </c>
      <c r="R50" s="21">
        <v>0.22</v>
      </c>
      <c r="S50" s="21">
        <v>0.4</v>
      </c>
      <c r="T50" s="21">
        <v>1</v>
      </c>
      <c r="U50" s="23">
        <f>PRODUCT(P50:T50)</f>
        <v>0.16016</v>
      </c>
      <c r="V50" s="21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 s="20"/>
      <c r="BF50" s="20"/>
      <c r="BG50"/>
    </row>
    <row r="51" spans="1:59">
      <c r="A51" s="21"/>
      <c r="B51" s="21"/>
      <c r="C51" s="21"/>
      <c r="D51" s="21"/>
      <c r="E51" s="22" t="s">
        <v>84</v>
      </c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2">
        <f>SUM(U52:U52)</f>
        <v>0.20635999999999999</v>
      </c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 s="20"/>
      <c r="BF51" s="20"/>
      <c r="BG51"/>
    </row>
    <row r="52" spans="1:59">
      <c r="A52" s="21"/>
      <c r="B52" s="21"/>
      <c r="C52" s="21"/>
      <c r="D52" s="21"/>
      <c r="E52" s="23" t="s">
        <v>85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>
        <v>1</v>
      </c>
      <c r="Q52" s="21">
        <v>2.68</v>
      </c>
      <c r="R52" s="21">
        <v>0.22</v>
      </c>
      <c r="S52" s="21">
        <v>0.35</v>
      </c>
      <c r="T52" s="21">
        <v>1</v>
      </c>
      <c r="U52" s="23">
        <f>PRODUCT(P52:T52)</f>
        <v>0.20635999999999999</v>
      </c>
      <c r="V52" s="21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 s="20"/>
      <c r="BF52" s="20"/>
      <c r="BG52"/>
    </row>
    <row r="53" spans="1:59">
      <c r="A53" s="21"/>
      <c r="B53" s="21"/>
      <c r="C53" s="21"/>
      <c r="D53" s="21"/>
      <c r="E53" s="22" t="s">
        <v>86</v>
      </c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2">
        <f>SUM(U54:U57)</f>
        <v>0.99528000000000005</v>
      </c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 s="20"/>
      <c r="BF53" s="20"/>
      <c r="BG53"/>
    </row>
    <row r="54" spans="1:59">
      <c r="A54" s="21"/>
      <c r="B54" s="21"/>
      <c r="C54" s="21"/>
      <c r="D54" s="21"/>
      <c r="E54" s="23" t="s">
        <v>87</v>
      </c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>
        <v>1</v>
      </c>
      <c r="Q54" s="21">
        <v>5.51</v>
      </c>
      <c r="R54" s="21">
        <v>0.22</v>
      </c>
      <c r="S54" s="21">
        <v>0.4</v>
      </c>
      <c r="T54" s="21">
        <v>1</v>
      </c>
      <c r="U54" s="23">
        <f t="shared" ref="U54:U59" si="3">PRODUCT(P54:T54)</f>
        <v>0.48487999999999998</v>
      </c>
      <c r="V54" s="21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 s="20"/>
      <c r="BF54" s="20"/>
      <c r="BG54"/>
    </row>
    <row r="55" spans="1:59">
      <c r="A55" s="21"/>
      <c r="B55" s="21"/>
      <c r="C55" s="21"/>
      <c r="D55" s="21"/>
      <c r="E55" s="23" t="s">
        <v>88</v>
      </c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>
        <v>1</v>
      </c>
      <c r="Q55" s="21">
        <v>1.82</v>
      </c>
      <c r="R55" s="21">
        <v>0.22</v>
      </c>
      <c r="S55" s="21">
        <v>0.4</v>
      </c>
      <c r="T55" s="21">
        <v>1</v>
      </c>
      <c r="U55" s="23">
        <f t="shared" si="3"/>
        <v>0.16016</v>
      </c>
      <c r="V55" s="21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 s="20"/>
      <c r="BF55" s="20"/>
      <c r="BG55"/>
    </row>
    <row r="56" spans="1:59">
      <c r="A56" s="21"/>
      <c r="B56" s="21"/>
      <c r="C56" s="21"/>
      <c r="D56" s="21"/>
      <c r="E56" s="23" t="s">
        <v>89</v>
      </c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>
        <v>1</v>
      </c>
      <c r="Q56" s="21">
        <v>3.76</v>
      </c>
      <c r="R56" s="21">
        <v>0.22</v>
      </c>
      <c r="S56" s="21">
        <v>0.4</v>
      </c>
      <c r="T56" s="21">
        <v>1</v>
      </c>
      <c r="U56" s="23">
        <f t="shared" si="3"/>
        <v>0.33088000000000001</v>
      </c>
      <c r="V56" s="21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 s="20"/>
      <c r="BF56" s="20"/>
      <c r="BG56"/>
    </row>
    <row r="57" spans="1:59">
      <c r="A57" s="21"/>
      <c r="B57" s="21"/>
      <c r="C57" s="21"/>
      <c r="D57" s="21"/>
      <c r="E57" s="23" t="s">
        <v>39</v>
      </c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>
        <v>1</v>
      </c>
      <c r="Q57" s="21">
        <v>0.22</v>
      </c>
      <c r="R57" s="21">
        <v>0.22</v>
      </c>
      <c r="S57" s="21">
        <v>0.4</v>
      </c>
      <c r="T57" s="21">
        <v>1</v>
      </c>
      <c r="U57" s="21">
        <f t="shared" si="3"/>
        <v>1.9359999999999999E-2</v>
      </c>
      <c r="V57" s="21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 s="20"/>
      <c r="BF57" s="20"/>
      <c r="BG57"/>
    </row>
    <row r="58" spans="1:59">
      <c r="A58" s="21"/>
      <c r="B58" s="21"/>
      <c r="C58" s="21"/>
      <c r="D58" s="21"/>
      <c r="E58" s="22" t="s">
        <v>90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>
        <v>1</v>
      </c>
      <c r="Q58" s="21">
        <v>0.22</v>
      </c>
      <c r="R58" s="21">
        <v>0.22</v>
      </c>
      <c r="S58" s="21">
        <v>0.4</v>
      </c>
      <c r="T58" s="21">
        <v>1</v>
      </c>
      <c r="U58" s="21">
        <f t="shared" si="3"/>
        <v>1.9359999999999999E-2</v>
      </c>
      <c r="V58" s="22">
        <f>SUM(U59:U59)</f>
        <v>0.25256000000000001</v>
      </c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 s="20"/>
      <c r="BF58" s="20"/>
      <c r="BG58"/>
    </row>
    <row r="59" spans="1:59">
      <c r="A59" s="21"/>
      <c r="B59" s="21"/>
      <c r="C59" s="21"/>
      <c r="D59" s="21"/>
      <c r="E59" s="23" t="s">
        <v>91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>
        <v>1</v>
      </c>
      <c r="Q59" s="21">
        <v>2.87</v>
      </c>
      <c r="R59" s="21">
        <v>0.22</v>
      </c>
      <c r="S59" s="21">
        <v>0.4</v>
      </c>
      <c r="T59" s="21">
        <v>1</v>
      </c>
      <c r="U59" s="23">
        <f t="shared" si="3"/>
        <v>0.25256000000000001</v>
      </c>
      <c r="V59" s="21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 s="20"/>
      <c r="BF59" s="20"/>
      <c r="BG59"/>
    </row>
    <row r="60" spans="1:59">
      <c r="A60" s="21"/>
      <c r="B60" s="21"/>
      <c r="C60" s="21"/>
      <c r="D60" s="21"/>
      <c r="E60" s="22" t="s">
        <v>92</v>
      </c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2">
        <f>SUM(U61:U63)</f>
        <v>0.64680000000000004</v>
      </c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 s="20"/>
      <c r="BF60" s="20"/>
      <c r="BG60"/>
    </row>
    <row r="61" spans="1:59">
      <c r="A61" s="21"/>
      <c r="B61" s="21"/>
      <c r="C61" s="21"/>
      <c r="D61" s="21"/>
      <c r="E61" s="23" t="s">
        <v>93</v>
      </c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>
        <v>1</v>
      </c>
      <c r="Q61" s="21">
        <v>3.3050000000000002</v>
      </c>
      <c r="R61" s="21">
        <v>0.22</v>
      </c>
      <c r="S61" s="21">
        <v>0.4</v>
      </c>
      <c r="T61" s="21">
        <v>1</v>
      </c>
      <c r="U61" s="23">
        <f t="shared" ref="U61:U73" si="4">PRODUCT(P61:T61)</f>
        <v>0.29083999999999999</v>
      </c>
      <c r="V61" s="2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 s="20"/>
      <c r="BF61" s="20"/>
      <c r="BG61"/>
    </row>
    <row r="62" spans="1:59">
      <c r="A62" s="21"/>
      <c r="B62" s="21"/>
      <c r="C62" s="21"/>
      <c r="D62" s="21"/>
      <c r="E62" s="23" t="s">
        <v>94</v>
      </c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>
        <v>1</v>
      </c>
      <c r="Q62" s="21">
        <v>3.6949999999999998</v>
      </c>
      <c r="R62" s="21">
        <v>0.22</v>
      </c>
      <c r="S62" s="21">
        <v>0.4</v>
      </c>
      <c r="T62" s="21">
        <v>1</v>
      </c>
      <c r="U62" s="23">
        <f t="shared" si="4"/>
        <v>0.32516</v>
      </c>
      <c r="V62" s="21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 s="20"/>
      <c r="BF62" s="20"/>
      <c r="BG62"/>
    </row>
    <row r="63" spans="1:59">
      <c r="A63" s="21"/>
      <c r="B63" s="21"/>
      <c r="C63" s="21"/>
      <c r="D63" s="21"/>
      <c r="E63" s="23" t="s">
        <v>39</v>
      </c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>
        <v>1</v>
      </c>
      <c r="Q63" s="21">
        <v>0.35</v>
      </c>
      <c r="R63" s="21">
        <v>0.22</v>
      </c>
      <c r="S63" s="21">
        <v>0.4</v>
      </c>
      <c r="T63" s="21">
        <v>1</v>
      </c>
      <c r="U63" s="21">
        <f t="shared" si="4"/>
        <v>3.0800000000000001E-2</v>
      </c>
      <c r="V63" s="21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 s="20"/>
      <c r="BF63" s="20"/>
      <c r="BG63"/>
    </row>
    <row r="64" spans="1:59">
      <c r="A64" s="21"/>
      <c r="B64" s="21"/>
      <c r="C64" s="21"/>
      <c r="D64" s="21"/>
      <c r="E64" s="22" t="s">
        <v>95</v>
      </c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>
        <v>1</v>
      </c>
      <c r="Q64" s="21">
        <v>0.22</v>
      </c>
      <c r="R64" s="21">
        <v>0.22</v>
      </c>
      <c r="S64" s="21">
        <v>0.4</v>
      </c>
      <c r="T64" s="21">
        <v>1</v>
      </c>
      <c r="U64" s="21">
        <f t="shared" si="4"/>
        <v>1.9359999999999999E-2</v>
      </c>
      <c r="V64" s="22">
        <f>SUM(U65:U66)</f>
        <v>0.36784</v>
      </c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 s="20"/>
      <c r="BF64" s="20"/>
      <c r="BG64"/>
    </row>
    <row r="65" spans="1:59">
      <c r="A65" s="21"/>
      <c r="B65" s="21"/>
      <c r="C65" s="21"/>
      <c r="D65" s="21"/>
      <c r="E65" s="23" t="s">
        <v>96</v>
      </c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>
        <v>1</v>
      </c>
      <c r="Q65" s="21">
        <v>3.96</v>
      </c>
      <c r="R65" s="21">
        <v>0.22</v>
      </c>
      <c r="S65" s="21">
        <v>0.4</v>
      </c>
      <c r="T65" s="21">
        <v>1</v>
      </c>
      <c r="U65" s="23">
        <f t="shared" si="4"/>
        <v>0.34848000000000001</v>
      </c>
      <c r="V65" s="21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 s="20"/>
      <c r="BF65" s="20"/>
      <c r="BG65"/>
    </row>
    <row r="66" spans="1:59">
      <c r="A66" s="21"/>
      <c r="B66" s="21"/>
      <c r="C66" s="21"/>
      <c r="D66" s="21"/>
      <c r="E66" s="23" t="s">
        <v>39</v>
      </c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>
        <v>1</v>
      </c>
      <c r="Q66" s="21">
        <v>0.22</v>
      </c>
      <c r="R66" s="21">
        <v>0.22</v>
      </c>
      <c r="S66" s="21">
        <v>0.4</v>
      </c>
      <c r="T66" s="21">
        <v>1</v>
      </c>
      <c r="U66" s="21">
        <f t="shared" si="4"/>
        <v>1.9359999999999999E-2</v>
      </c>
      <c r="V66" s="21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 s="20"/>
      <c r="BF66" s="20"/>
      <c r="BG66"/>
    </row>
    <row r="67" spans="1:59">
      <c r="A67" s="21"/>
      <c r="B67" s="21"/>
      <c r="C67" s="21"/>
      <c r="D67" s="21"/>
      <c r="E67" s="22" t="s">
        <v>97</v>
      </c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>
        <v>1</v>
      </c>
      <c r="Q67" s="21">
        <v>0.35</v>
      </c>
      <c r="R67" s="21">
        <v>0.22</v>
      </c>
      <c r="S67" s="21">
        <v>0.4</v>
      </c>
      <c r="T67" s="21">
        <v>1</v>
      </c>
      <c r="U67" s="21">
        <f t="shared" si="4"/>
        <v>3.0800000000000001E-2</v>
      </c>
      <c r="V67" s="22">
        <f>SUM(U68:U71)</f>
        <v>0.71653999999999995</v>
      </c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 s="20"/>
      <c r="BF67" s="20"/>
      <c r="BG67"/>
    </row>
    <row r="68" spans="1:59">
      <c r="A68" s="21"/>
      <c r="B68" s="21"/>
      <c r="C68" s="21"/>
      <c r="D68" s="21"/>
      <c r="E68" s="23" t="s">
        <v>98</v>
      </c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>
        <v>1</v>
      </c>
      <c r="Q68" s="21">
        <v>1.48</v>
      </c>
      <c r="R68" s="21">
        <v>0.22</v>
      </c>
      <c r="S68" s="21">
        <v>0.35</v>
      </c>
      <c r="T68" s="21">
        <v>1</v>
      </c>
      <c r="U68" s="23">
        <f t="shared" si="4"/>
        <v>0.11396000000000001</v>
      </c>
      <c r="V68" s="21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 s="20"/>
      <c r="BF68" s="20"/>
      <c r="BG68"/>
    </row>
    <row r="69" spans="1:59">
      <c r="A69" s="21"/>
      <c r="B69" s="21"/>
      <c r="C69" s="21"/>
      <c r="D69" s="21"/>
      <c r="E69" s="23" t="s">
        <v>99</v>
      </c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>
        <v>1</v>
      </c>
      <c r="Q69" s="21">
        <v>3.8</v>
      </c>
      <c r="R69" s="21">
        <v>0.22</v>
      </c>
      <c r="S69" s="21">
        <v>0.35</v>
      </c>
      <c r="T69" s="21">
        <v>1</v>
      </c>
      <c r="U69" s="23">
        <f t="shared" si="4"/>
        <v>0.29260000000000003</v>
      </c>
      <c r="V69" s="21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 s="20"/>
      <c r="BF69" s="20"/>
      <c r="BG69"/>
    </row>
    <row r="70" spans="1:59">
      <c r="A70" s="21"/>
      <c r="B70" s="21"/>
      <c r="C70" s="21"/>
      <c r="D70" s="21"/>
      <c r="E70" s="23" t="s">
        <v>100</v>
      </c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>
        <v>1</v>
      </c>
      <c r="Q70" s="21">
        <v>3.33</v>
      </c>
      <c r="R70" s="21">
        <v>0.22</v>
      </c>
      <c r="S70" s="21">
        <v>0.4</v>
      </c>
      <c r="T70" s="21">
        <v>1</v>
      </c>
      <c r="U70" s="23">
        <f t="shared" si="4"/>
        <v>0.29304000000000002</v>
      </c>
      <c r="V70" s="21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 s="20"/>
      <c r="BF70" s="20"/>
      <c r="BG70"/>
    </row>
    <row r="71" spans="1:59">
      <c r="A71" s="21"/>
      <c r="B71" s="21"/>
      <c r="C71" s="21"/>
      <c r="D71" s="21"/>
      <c r="E71" s="23" t="s">
        <v>39</v>
      </c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>
        <v>0.22</v>
      </c>
      <c r="R71" s="21">
        <v>0.22</v>
      </c>
      <c r="S71" s="21">
        <v>0.35</v>
      </c>
      <c r="T71" s="21">
        <v>1</v>
      </c>
      <c r="U71" s="21">
        <f t="shared" si="4"/>
        <v>1.694E-2</v>
      </c>
      <c r="V71" s="2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 s="20"/>
      <c r="BF71" s="20"/>
      <c r="BG71"/>
    </row>
    <row r="72" spans="1:59">
      <c r="A72" s="21"/>
      <c r="B72" s="21"/>
      <c r="C72" s="21"/>
      <c r="D72" s="21"/>
      <c r="E72" s="22" t="s">
        <v>101</v>
      </c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>
        <v>1</v>
      </c>
      <c r="Q72" s="21">
        <v>0.22</v>
      </c>
      <c r="R72" s="21">
        <v>0.22</v>
      </c>
      <c r="S72" s="21">
        <v>0.35</v>
      </c>
      <c r="T72" s="21">
        <v>1</v>
      </c>
      <c r="U72" s="21">
        <f t="shared" si="4"/>
        <v>1.694E-2</v>
      </c>
      <c r="V72" s="22">
        <f>SUM(U73:U73)</f>
        <v>0.29260000000000003</v>
      </c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 s="20"/>
      <c r="BF72" s="20"/>
      <c r="BG72"/>
    </row>
    <row r="73" spans="1:59">
      <c r="A73" s="24"/>
      <c r="B73" s="24"/>
      <c r="C73" s="24"/>
      <c r="D73" s="24"/>
      <c r="E73" s="25" t="s">
        <v>102</v>
      </c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>
        <v>1</v>
      </c>
      <c r="Q73" s="24">
        <v>3.8</v>
      </c>
      <c r="R73" s="24">
        <v>0.22</v>
      </c>
      <c r="S73" s="24">
        <v>0.35</v>
      </c>
      <c r="T73" s="24">
        <v>1</v>
      </c>
      <c r="U73" s="25">
        <f t="shared" si="4"/>
        <v>0.29260000000000003</v>
      </c>
      <c r="V73" s="24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20"/>
      <c r="BF73" s="20"/>
      <c r="BG73"/>
    </row>
    <row r="74" spans="1:59">
      <c r="A74" s="17"/>
      <c r="B74" s="17"/>
      <c r="C74" s="17"/>
      <c r="D74" s="17"/>
      <c r="E74" s="18" t="s">
        <v>34</v>
      </c>
      <c r="F74" s="17" t="s">
        <v>35</v>
      </c>
      <c r="G74" s="19">
        <f>SUM(U76:U124)</f>
        <v>1.00217787660448</v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8">
        <f>SUM(U76:U124)</f>
        <v>1.00217787660448</v>
      </c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 s="20"/>
      <c r="BF74" s="20"/>
      <c r="BG74"/>
    </row>
    <row r="75" spans="1:59">
      <c r="A75" s="21"/>
      <c r="B75" s="21"/>
      <c r="C75" s="21"/>
      <c r="D75" s="21"/>
      <c r="E75" s="22" t="s">
        <v>33</v>
      </c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2">
        <f>SUM(U76:U76)</f>
        <v>3.9576E-2</v>
      </c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 s="20"/>
      <c r="BF75" s="20"/>
      <c r="BG75"/>
    </row>
    <row r="76" spans="1:59">
      <c r="A76" s="21"/>
      <c r="B76" s="21"/>
      <c r="C76" s="21"/>
      <c r="D76" s="21"/>
      <c r="E76" s="23" t="s">
        <v>36</v>
      </c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>
        <v>1</v>
      </c>
      <c r="Q76" s="21">
        <v>3.88</v>
      </c>
      <c r="R76" s="21">
        <v>0.22</v>
      </c>
      <c r="S76" s="21">
        <v>0.4</v>
      </c>
      <c r="T76" s="21">
        <v>0.01</v>
      </c>
      <c r="U76" s="23">
        <f>P76*Q76*(R76+S76*2-0-0)*T76</f>
        <v>3.9576E-2</v>
      </c>
      <c r="V76" s="21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20"/>
      <c r="BF76" s="20"/>
      <c r="BG76"/>
    </row>
    <row r="77" spans="1:59">
      <c r="A77" s="21"/>
      <c r="B77" s="21"/>
      <c r="C77" s="21"/>
      <c r="D77" s="21"/>
      <c r="E77" s="22" t="s">
        <v>41</v>
      </c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2">
        <f>SUM(U78:U78)</f>
        <v>6.8999999999999999E-3</v>
      </c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20"/>
      <c r="BF77" s="20"/>
      <c r="BG77"/>
    </row>
    <row r="78" spans="1:59">
      <c r="A78" s="21"/>
      <c r="B78" s="21"/>
      <c r="C78" s="21"/>
      <c r="D78" s="21"/>
      <c r="E78" s="23" t="s">
        <v>43</v>
      </c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>
        <v>1</v>
      </c>
      <c r="Q78" s="21">
        <v>0.75</v>
      </c>
      <c r="R78" s="21">
        <v>0.22</v>
      </c>
      <c r="S78" s="21">
        <v>0.35</v>
      </c>
      <c r="T78" s="21">
        <v>0.01</v>
      </c>
      <c r="U78" s="23">
        <f>P78*Q78*(R78+S78*2-0-0)*T78</f>
        <v>6.8999999999999999E-3</v>
      </c>
      <c r="V78" s="21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20"/>
      <c r="BF78" s="20"/>
      <c r="BG78"/>
    </row>
    <row r="79" spans="1:59">
      <c r="A79" s="21"/>
      <c r="B79" s="21"/>
      <c r="C79" s="21"/>
      <c r="D79" s="21"/>
      <c r="E79" s="22" t="s">
        <v>45</v>
      </c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2">
        <f>SUM(U80:U80)</f>
        <v>3.9677999999999998E-2</v>
      </c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 s="20"/>
      <c r="BF79" s="20"/>
      <c r="BG79"/>
    </row>
    <row r="80" spans="1:59">
      <c r="A80" s="21"/>
      <c r="B80" s="21"/>
      <c r="C80" s="21"/>
      <c r="D80" s="21"/>
      <c r="E80" s="23" t="s">
        <v>47</v>
      </c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1</v>
      </c>
      <c r="Q80" s="21">
        <v>3.89</v>
      </c>
      <c r="R80" s="21">
        <v>0.22</v>
      </c>
      <c r="S80" s="21">
        <v>0.4</v>
      </c>
      <c r="T80" s="21">
        <v>0.01</v>
      </c>
      <c r="U80" s="23">
        <f>P80*Q80*(R80+S80*2-0-0)*T80</f>
        <v>3.9677999999999998E-2</v>
      </c>
      <c r="V80" s="21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 s="20"/>
      <c r="BF80" s="20"/>
      <c r="BG80"/>
    </row>
    <row r="81" spans="1:59">
      <c r="A81" s="21"/>
      <c r="B81" s="21"/>
      <c r="C81" s="21"/>
      <c r="D81" s="21"/>
      <c r="E81" s="22" t="s">
        <v>49</v>
      </c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2">
        <f>SUM(U82:U85)</f>
        <v>0.13325799999999999</v>
      </c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 s="20"/>
      <c r="BF81" s="20"/>
      <c r="BG81"/>
    </row>
    <row r="82" spans="1:59">
      <c r="A82" s="21"/>
      <c r="B82" s="21"/>
      <c r="C82" s="21"/>
      <c r="D82" s="21"/>
      <c r="E82" s="23" t="s">
        <v>51</v>
      </c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1</v>
      </c>
      <c r="Q82" s="21">
        <v>4.2699999999999996</v>
      </c>
      <c r="R82" s="21">
        <v>0.22</v>
      </c>
      <c r="S82" s="21">
        <v>0.4</v>
      </c>
      <c r="T82" s="21">
        <v>0.01</v>
      </c>
      <c r="U82" s="23">
        <f>P82*Q82*(R82+S82*2-0-0)*T82</f>
        <v>4.3554000000000002E-2</v>
      </c>
      <c r="V82" s="21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 s="20"/>
      <c r="BF82" s="20"/>
      <c r="BG82"/>
    </row>
    <row r="83" spans="1:59">
      <c r="A83" s="21"/>
      <c r="B83" s="21"/>
      <c r="C83" s="21"/>
      <c r="D83" s="21"/>
      <c r="E83" s="23" t="s">
        <v>53</v>
      </c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>
        <v>1</v>
      </c>
      <c r="Q83" s="21">
        <v>3.8149999999999999</v>
      </c>
      <c r="R83" s="21">
        <v>0.22</v>
      </c>
      <c r="S83" s="21">
        <v>0.4</v>
      </c>
      <c r="T83" s="21">
        <v>0.01</v>
      </c>
      <c r="U83" s="23">
        <f>P83*Q83*(R83+S83*2-0-0)*T83</f>
        <v>3.8913000000000003E-2</v>
      </c>
      <c r="V83" s="21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 s="20"/>
      <c r="BF83" s="20"/>
      <c r="BG83"/>
    </row>
    <row r="84" spans="1:59">
      <c r="A84" s="21"/>
      <c r="B84" s="21"/>
      <c r="C84" s="21"/>
      <c r="D84" s="21"/>
      <c r="E84" s="23" t="s">
        <v>55</v>
      </c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>
        <v>1</v>
      </c>
      <c r="Q84" s="21">
        <v>3.8250000000000002</v>
      </c>
      <c r="R84" s="21">
        <v>0.22</v>
      </c>
      <c r="S84" s="21">
        <v>0.4</v>
      </c>
      <c r="T84" s="21">
        <v>0.01</v>
      </c>
      <c r="U84" s="23">
        <f>P84*Q84*(R84+S84*2-0-0)*T84</f>
        <v>3.9015000000000001E-2</v>
      </c>
      <c r="V84" s="21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 s="20"/>
      <c r="BF84" s="20"/>
      <c r="BG84"/>
    </row>
    <row r="85" spans="1:59">
      <c r="A85" s="21"/>
      <c r="B85" s="21"/>
      <c r="C85" s="21"/>
      <c r="D85" s="21"/>
      <c r="E85" s="23" t="s">
        <v>57</v>
      </c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>
        <v>1</v>
      </c>
      <c r="Q85" s="21">
        <v>1.28</v>
      </c>
      <c r="R85" s="21">
        <v>0.22</v>
      </c>
      <c r="S85" s="21">
        <v>0.35</v>
      </c>
      <c r="T85" s="21">
        <v>0.01</v>
      </c>
      <c r="U85" s="23">
        <f>P85*Q85*(R85+S85*2-0-0)*T85</f>
        <v>1.1776E-2</v>
      </c>
      <c r="V85" s="21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 s="20"/>
      <c r="BF85" s="20"/>
      <c r="BG85"/>
    </row>
    <row r="86" spans="1:59">
      <c r="A86" s="21"/>
      <c r="B86" s="21"/>
      <c r="C86" s="21"/>
      <c r="D86" s="21"/>
      <c r="E86" s="22" t="s">
        <v>62</v>
      </c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2">
        <f>SUM(U87:U87)</f>
        <v>1.5299999999999999E-2</v>
      </c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 s="20"/>
      <c r="BF86" s="20"/>
      <c r="BG86"/>
    </row>
    <row r="87" spans="1:59">
      <c r="A87" s="21"/>
      <c r="B87" s="21"/>
      <c r="C87" s="21"/>
      <c r="D87" s="21"/>
      <c r="E87" s="23" t="s">
        <v>64</v>
      </c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>
        <v>1</v>
      </c>
      <c r="Q87" s="21">
        <v>1.5</v>
      </c>
      <c r="R87" s="21">
        <v>0.22</v>
      </c>
      <c r="S87" s="21">
        <v>0.4</v>
      </c>
      <c r="T87" s="21">
        <v>0.01</v>
      </c>
      <c r="U87" s="23">
        <f>P87*Q87*(R87+S87*2-0-0)*T87</f>
        <v>1.5299999999999999E-2</v>
      </c>
      <c r="V87" s="21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 s="20"/>
      <c r="BF87" s="20"/>
      <c r="BG87"/>
    </row>
    <row r="88" spans="1:59">
      <c r="A88" s="21"/>
      <c r="B88" s="21"/>
      <c r="C88" s="21"/>
      <c r="D88" s="21"/>
      <c r="E88" s="22" t="s">
        <v>66</v>
      </c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2">
        <f>SUM(U89:U91)</f>
        <v>7.1604000000000001E-2</v>
      </c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 s="20"/>
      <c r="BF88" s="20"/>
      <c r="BG88"/>
    </row>
    <row r="89" spans="1:59">
      <c r="A89" s="21"/>
      <c r="B89" s="21"/>
      <c r="C89" s="21"/>
      <c r="D89" s="21"/>
      <c r="E89" s="23" t="s">
        <v>67</v>
      </c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>
        <v>1</v>
      </c>
      <c r="Q89" s="21">
        <v>2.2799999999999998</v>
      </c>
      <c r="R89" s="21">
        <v>0.22</v>
      </c>
      <c r="S89" s="21">
        <v>0.4</v>
      </c>
      <c r="T89" s="21">
        <v>0.01</v>
      </c>
      <c r="U89" s="23">
        <f>P89*Q89*(R89+S89*2-0-0)*T89</f>
        <v>2.3255999999999999E-2</v>
      </c>
      <c r="V89" s="21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 s="20"/>
      <c r="BF89" s="20"/>
      <c r="BG89"/>
    </row>
    <row r="90" spans="1:59">
      <c r="A90" s="21"/>
      <c r="B90" s="21"/>
      <c r="C90" s="21"/>
      <c r="D90" s="21"/>
      <c r="E90" s="23" t="s">
        <v>68</v>
      </c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>
        <v>1</v>
      </c>
      <c r="Q90" s="21">
        <v>1.5</v>
      </c>
      <c r="R90" s="21">
        <v>0.22</v>
      </c>
      <c r="S90" s="21">
        <v>0.4</v>
      </c>
      <c r="T90" s="21">
        <v>0.01</v>
      </c>
      <c r="U90" s="23">
        <f>P90*Q90*(R90+S90*2-0-0)*T90</f>
        <v>1.5299999999999999E-2</v>
      </c>
      <c r="V90" s="21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 s="20"/>
      <c r="BF90" s="20"/>
      <c r="BG90"/>
    </row>
    <row r="91" spans="1:59">
      <c r="A91" s="21"/>
      <c r="B91" s="21"/>
      <c r="C91" s="21"/>
      <c r="D91" s="21"/>
      <c r="E91" s="23" t="s">
        <v>69</v>
      </c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>
        <v>1</v>
      </c>
      <c r="Q91" s="21">
        <v>3.24</v>
      </c>
      <c r="R91" s="21">
        <v>0.22</v>
      </c>
      <c r="S91" s="21">
        <v>0.4</v>
      </c>
      <c r="T91" s="21">
        <v>0.01</v>
      </c>
      <c r="U91" s="23">
        <f>P91*Q91*(R91+S91*2-0-0)*T91</f>
        <v>3.3048000000000001E-2</v>
      </c>
      <c r="V91" s="2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 s="20"/>
      <c r="BF91" s="20"/>
      <c r="BG91"/>
    </row>
    <row r="92" spans="1:59">
      <c r="A92" s="21"/>
      <c r="B92" s="21"/>
      <c r="C92" s="21"/>
      <c r="D92" s="21"/>
      <c r="E92" s="22" t="s">
        <v>70</v>
      </c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2">
        <f>SUM(U93:U94)</f>
        <v>5.7981999999999999E-2</v>
      </c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 s="20"/>
      <c r="BF92" s="20"/>
      <c r="BG92"/>
    </row>
    <row r="93" spans="1:59">
      <c r="A93" s="21"/>
      <c r="B93" s="21"/>
      <c r="C93" s="21"/>
      <c r="D93" s="21"/>
      <c r="E93" s="23" t="s">
        <v>71</v>
      </c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>
        <v>1</v>
      </c>
      <c r="Q93" s="21">
        <v>4.53</v>
      </c>
      <c r="R93" s="21">
        <v>0.22</v>
      </c>
      <c r="S93" s="21">
        <v>0.4</v>
      </c>
      <c r="T93" s="21">
        <v>0.01</v>
      </c>
      <c r="U93" s="23">
        <f>P93*Q93*(R93+S93*2-0-0)*T93</f>
        <v>4.6205999999999997E-2</v>
      </c>
      <c r="V93" s="21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 s="20"/>
      <c r="BF93" s="20"/>
      <c r="BG93"/>
    </row>
    <row r="94" spans="1:59">
      <c r="A94" s="21"/>
      <c r="B94" s="21"/>
      <c r="C94" s="21"/>
      <c r="D94" s="21"/>
      <c r="E94" s="23" t="s">
        <v>72</v>
      </c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>
        <v>1</v>
      </c>
      <c r="Q94" s="21">
        <v>1.28</v>
      </c>
      <c r="R94" s="21">
        <v>0.22</v>
      </c>
      <c r="S94" s="21">
        <v>0.35</v>
      </c>
      <c r="T94" s="21">
        <v>0.01</v>
      </c>
      <c r="U94" s="23">
        <f>P94*Q94*(R94+S94*2-0-0)*T94</f>
        <v>1.1776E-2</v>
      </c>
      <c r="V94" s="21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 s="20"/>
      <c r="BF94" s="20"/>
      <c r="BG94"/>
    </row>
    <row r="95" spans="1:59">
      <c r="A95" s="21"/>
      <c r="B95" s="21"/>
      <c r="C95" s="21"/>
      <c r="D95" s="21"/>
      <c r="E95" s="22" t="s">
        <v>73</v>
      </c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2">
        <f>SUM(U96:U96)</f>
        <v>3.3048000000000001E-2</v>
      </c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 s="20"/>
      <c r="BF95" s="20"/>
      <c r="BG95"/>
    </row>
    <row r="96" spans="1:59">
      <c r="A96" s="21"/>
      <c r="B96" s="21"/>
      <c r="C96" s="21"/>
      <c r="D96" s="21"/>
      <c r="E96" s="23" t="s">
        <v>74</v>
      </c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>
        <v>1</v>
      </c>
      <c r="Q96" s="21">
        <v>3.24</v>
      </c>
      <c r="R96" s="21">
        <v>0.22</v>
      </c>
      <c r="S96" s="21">
        <v>0.4</v>
      </c>
      <c r="T96" s="21">
        <v>0.01</v>
      </c>
      <c r="U96" s="23">
        <f>P96*Q96*(R96+S96*2-0-0)*T96</f>
        <v>3.3048000000000001E-2</v>
      </c>
      <c r="V96" s="21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 s="20"/>
      <c r="BF96" s="20"/>
      <c r="BG96"/>
    </row>
    <row r="97" spans="1:59">
      <c r="A97" s="21"/>
      <c r="B97" s="21"/>
      <c r="C97" s="21"/>
      <c r="D97" s="21"/>
      <c r="E97" s="22" t="s">
        <v>75</v>
      </c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2">
        <f>SUM(U98:U100)</f>
        <v>0.116994</v>
      </c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 s="20"/>
      <c r="BF97" s="20"/>
      <c r="BG97"/>
    </row>
    <row r="98" spans="1:59">
      <c r="A98" s="21"/>
      <c r="B98" s="21"/>
      <c r="C98" s="21"/>
      <c r="D98" s="21"/>
      <c r="E98" s="23" t="s">
        <v>76</v>
      </c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>
        <v>1</v>
      </c>
      <c r="Q98" s="21">
        <v>3.7</v>
      </c>
      <c r="R98" s="21">
        <v>0.22</v>
      </c>
      <c r="S98" s="21">
        <v>0.4</v>
      </c>
      <c r="T98" s="21">
        <v>0.01</v>
      </c>
      <c r="U98" s="23">
        <f>P98*Q98*(R98+S98*2-0-0)*T98</f>
        <v>3.7740000000000003E-2</v>
      </c>
      <c r="V98" s="21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 s="20"/>
      <c r="BF98" s="20"/>
      <c r="BG98"/>
    </row>
    <row r="99" spans="1:59">
      <c r="A99" s="21"/>
      <c r="B99" s="21"/>
      <c r="C99" s="21"/>
      <c r="D99" s="21"/>
      <c r="E99" s="23" t="s">
        <v>77</v>
      </c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>
        <v>1</v>
      </c>
      <c r="Q99" s="21">
        <v>3.24</v>
      </c>
      <c r="R99" s="21">
        <v>0.22</v>
      </c>
      <c r="S99" s="21">
        <v>0.4</v>
      </c>
      <c r="T99" s="21">
        <v>0.01</v>
      </c>
      <c r="U99" s="23">
        <f>P99*Q99*(R99+S99*2-0-0)*T99</f>
        <v>3.3048000000000001E-2</v>
      </c>
      <c r="V99" s="21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 s="20"/>
      <c r="BF99" s="20"/>
      <c r="BG99"/>
    </row>
    <row r="100" spans="1:59">
      <c r="A100" s="21"/>
      <c r="B100" s="21"/>
      <c r="C100" s="21"/>
      <c r="D100" s="21"/>
      <c r="E100" s="23" t="s">
        <v>78</v>
      </c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>
        <v>1</v>
      </c>
      <c r="Q100" s="21">
        <v>4.53</v>
      </c>
      <c r="R100" s="21">
        <v>0.22</v>
      </c>
      <c r="S100" s="21">
        <v>0.4</v>
      </c>
      <c r="T100" s="21">
        <v>0.01</v>
      </c>
      <c r="U100" s="23">
        <f>P100*Q100*(R100+S100*2-0-0)*T100</f>
        <v>4.6205999999999997E-2</v>
      </c>
      <c r="V100" s="21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 s="20"/>
      <c r="BF100" s="20"/>
      <c r="BG100"/>
    </row>
    <row r="101" spans="1:59">
      <c r="A101" s="21"/>
      <c r="B101" s="21"/>
      <c r="C101" s="21"/>
      <c r="D101" s="21"/>
      <c r="E101" s="22" t="s">
        <v>79</v>
      </c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2">
        <f>SUM(U102:U103)</f>
        <v>7.2931876604476698E-2</v>
      </c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 s="20"/>
      <c r="BF101" s="20"/>
      <c r="BG101"/>
    </row>
    <row r="102" spans="1:59">
      <c r="A102" s="21"/>
      <c r="B102" s="21"/>
      <c r="C102" s="21"/>
      <c r="D102" s="21"/>
      <c r="E102" s="23" t="s">
        <v>80</v>
      </c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>
        <v>1</v>
      </c>
      <c r="Q102" s="21">
        <v>3.3795175617067001</v>
      </c>
      <c r="R102" s="21">
        <v>0.22</v>
      </c>
      <c r="S102" s="21">
        <v>0.4</v>
      </c>
      <c r="T102" s="21">
        <v>0.01</v>
      </c>
      <c r="U102" s="23">
        <f>P102*Q102*(R102+S102*2-0-0)*T102</f>
        <v>3.4471079129408298E-2</v>
      </c>
      <c r="V102" s="21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 s="20"/>
      <c r="BF102" s="20"/>
      <c r="BG102"/>
    </row>
    <row r="103" spans="1:59">
      <c r="A103" s="21"/>
      <c r="B103" s="21"/>
      <c r="C103" s="21"/>
      <c r="D103" s="21"/>
      <c r="E103" s="23" t="s">
        <v>81</v>
      </c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>
        <v>1</v>
      </c>
      <c r="Q103" s="21">
        <v>3.7706664191243502</v>
      </c>
      <c r="R103" s="21">
        <v>0.22</v>
      </c>
      <c r="S103" s="21">
        <v>0.4</v>
      </c>
      <c r="T103" s="21">
        <v>0.01</v>
      </c>
      <c r="U103" s="23">
        <f>P103*Q103*(R103+S103*2-0-0)*T103</f>
        <v>3.8460797475068302E-2</v>
      </c>
      <c r="V103" s="21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 s="20"/>
      <c r="BF103" s="20"/>
      <c r="BG103"/>
    </row>
    <row r="104" spans="1:59">
      <c r="A104" s="21"/>
      <c r="B104" s="21"/>
      <c r="C104" s="21"/>
      <c r="D104" s="21"/>
      <c r="E104" s="22" t="s">
        <v>82</v>
      </c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2">
        <f>SUM(U105:U105)</f>
        <v>1.8564000000000001E-2</v>
      </c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 s="20"/>
      <c r="BF104" s="20"/>
      <c r="BG104"/>
    </row>
    <row r="105" spans="1:59">
      <c r="A105" s="21"/>
      <c r="B105" s="21"/>
      <c r="C105" s="21"/>
      <c r="D105" s="21"/>
      <c r="E105" s="23" t="s">
        <v>83</v>
      </c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>
        <v>1</v>
      </c>
      <c r="Q105" s="21">
        <v>1.82</v>
      </c>
      <c r="R105" s="21">
        <v>0.22</v>
      </c>
      <c r="S105" s="21">
        <v>0.4</v>
      </c>
      <c r="T105" s="21">
        <v>0.01</v>
      </c>
      <c r="U105" s="23">
        <f>P105*Q105*(R105+S105*2-0-0)*T105</f>
        <v>1.8564000000000001E-2</v>
      </c>
      <c r="V105" s="21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 s="20"/>
      <c r="BF105" s="20"/>
      <c r="BG105"/>
    </row>
    <row r="106" spans="1:59">
      <c r="A106" s="21"/>
      <c r="B106" s="21"/>
      <c r="C106" s="21"/>
      <c r="D106" s="21"/>
      <c r="E106" s="22" t="s">
        <v>84</v>
      </c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2">
        <f>SUM(U107:U107)</f>
        <v>2.4656000000000001E-2</v>
      </c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 s="20"/>
      <c r="BF106" s="20"/>
      <c r="BG106"/>
    </row>
    <row r="107" spans="1:59">
      <c r="A107" s="21"/>
      <c r="B107" s="21"/>
      <c r="C107" s="21"/>
      <c r="D107" s="21"/>
      <c r="E107" s="23" t="s">
        <v>85</v>
      </c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>
        <v>1</v>
      </c>
      <c r="Q107" s="21">
        <v>2.68</v>
      </c>
      <c r="R107" s="21">
        <v>0.22</v>
      </c>
      <c r="S107" s="21">
        <v>0.35</v>
      </c>
      <c r="T107" s="21">
        <v>0.01</v>
      </c>
      <c r="U107" s="23">
        <f>P107*Q107*(R107+S107*2-0-0)*T107</f>
        <v>2.4656000000000001E-2</v>
      </c>
      <c r="V107" s="21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 s="20"/>
      <c r="BF107" s="20"/>
      <c r="BG107"/>
    </row>
    <row r="108" spans="1:59">
      <c r="A108" s="21"/>
      <c r="B108" s="21"/>
      <c r="C108" s="21"/>
      <c r="D108" s="21"/>
      <c r="E108" s="22" t="s">
        <v>86</v>
      </c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2">
        <f>SUM(U109:U111)</f>
        <v>0.113118</v>
      </c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 s="20"/>
      <c r="BF108" s="20"/>
      <c r="BG108"/>
    </row>
    <row r="109" spans="1:59">
      <c r="A109" s="21"/>
      <c r="B109" s="21"/>
      <c r="C109" s="21"/>
      <c r="D109" s="21"/>
      <c r="E109" s="23" t="s">
        <v>87</v>
      </c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>
        <v>1</v>
      </c>
      <c r="Q109" s="21">
        <v>5.51</v>
      </c>
      <c r="R109" s="21">
        <v>0.22</v>
      </c>
      <c r="S109" s="21">
        <v>0.4</v>
      </c>
      <c r="T109" s="21">
        <v>0.01</v>
      </c>
      <c r="U109" s="23">
        <f>P109*Q109*(R109+S109*2-0-0)*T109</f>
        <v>5.6202000000000002E-2</v>
      </c>
      <c r="V109" s="21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 s="20"/>
      <c r="BF109" s="20"/>
      <c r="BG109"/>
    </row>
    <row r="110" spans="1:59">
      <c r="A110" s="21"/>
      <c r="B110" s="21"/>
      <c r="C110" s="21"/>
      <c r="D110" s="21"/>
      <c r="E110" s="23" t="s">
        <v>88</v>
      </c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>
        <v>1</v>
      </c>
      <c r="Q110" s="21">
        <v>1.82</v>
      </c>
      <c r="R110" s="21">
        <v>0.22</v>
      </c>
      <c r="S110" s="21">
        <v>0.4</v>
      </c>
      <c r="T110" s="21">
        <v>0.01</v>
      </c>
      <c r="U110" s="23">
        <f>P110*Q110*(R110+S110*2-0-0)*T110</f>
        <v>1.8564000000000001E-2</v>
      </c>
      <c r="V110" s="21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 s="20"/>
      <c r="BF110" s="20"/>
      <c r="BG110"/>
    </row>
    <row r="111" spans="1:59">
      <c r="A111" s="21"/>
      <c r="B111" s="21"/>
      <c r="C111" s="21"/>
      <c r="D111" s="21"/>
      <c r="E111" s="23" t="s">
        <v>89</v>
      </c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>
        <v>1</v>
      </c>
      <c r="Q111" s="21">
        <v>3.76</v>
      </c>
      <c r="R111" s="21">
        <v>0.22</v>
      </c>
      <c r="S111" s="21">
        <v>0.4</v>
      </c>
      <c r="T111" s="21">
        <v>0.01</v>
      </c>
      <c r="U111" s="23">
        <f>P111*Q111*(R111+S111*2-0-0)*T111</f>
        <v>3.8351999999999997E-2</v>
      </c>
      <c r="V111" s="2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 s="20"/>
      <c r="BF111" s="20"/>
      <c r="BG111"/>
    </row>
    <row r="112" spans="1:59">
      <c r="A112" s="21"/>
      <c r="B112" s="21"/>
      <c r="C112" s="21"/>
      <c r="D112" s="21"/>
      <c r="E112" s="22" t="s">
        <v>90</v>
      </c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2">
        <f>SUM(U113:U113)</f>
        <v>2.9274000000000001E-2</v>
      </c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 s="20"/>
      <c r="BF112" s="20"/>
      <c r="BG112"/>
    </row>
    <row r="113" spans="1:59">
      <c r="A113" s="21"/>
      <c r="B113" s="21"/>
      <c r="C113" s="21"/>
      <c r="D113" s="21"/>
      <c r="E113" s="23" t="s">
        <v>91</v>
      </c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>
        <v>1</v>
      </c>
      <c r="Q113" s="21">
        <v>2.87</v>
      </c>
      <c r="R113" s="21">
        <v>0.22</v>
      </c>
      <c r="S113" s="21">
        <v>0.4</v>
      </c>
      <c r="T113" s="21">
        <v>0.01</v>
      </c>
      <c r="U113" s="23">
        <f>P113*Q113*(R113+S113*2-0-0)*T113</f>
        <v>2.9274000000000001E-2</v>
      </c>
      <c r="V113" s="21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 s="20"/>
      <c r="BF113" s="20"/>
      <c r="BG113"/>
    </row>
    <row r="114" spans="1:59">
      <c r="A114" s="21"/>
      <c r="B114" s="21"/>
      <c r="C114" s="21"/>
      <c r="D114" s="21"/>
      <c r="E114" s="22" t="s">
        <v>92</v>
      </c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2">
        <f>SUM(U115:U116)</f>
        <v>7.1400000000000005E-2</v>
      </c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 s="20"/>
      <c r="BF114" s="20"/>
      <c r="BG114"/>
    </row>
    <row r="115" spans="1:59">
      <c r="A115" s="21"/>
      <c r="B115" s="21"/>
      <c r="C115" s="21"/>
      <c r="D115" s="21"/>
      <c r="E115" s="23" t="s">
        <v>93</v>
      </c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>
        <v>1</v>
      </c>
      <c r="Q115" s="21">
        <v>3.3050000000000002</v>
      </c>
      <c r="R115" s="21">
        <v>0.22</v>
      </c>
      <c r="S115" s="21">
        <v>0.4</v>
      </c>
      <c r="T115" s="21">
        <v>0.01</v>
      </c>
      <c r="U115" s="23">
        <f>P115*Q115*(R115+S115*2-0-0)*T115</f>
        <v>3.3710999999999998E-2</v>
      </c>
      <c r="V115" s="21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 s="20"/>
      <c r="BF115" s="20"/>
      <c r="BG115"/>
    </row>
    <row r="116" spans="1:59">
      <c r="A116" s="21"/>
      <c r="B116" s="21"/>
      <c r="C116" s="21"/>
      <c r="D116" s="21"/>
      <c r="E116" s="23" t="s">
        <v>94</v>
      </c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>
        <v>1</v>
      </c>
      <c r="Q116" s="21">
        <v>3.6949999999999998</v>
      </c>
      <c r="R116" s="21">
        <v>0.22</v>
      </c>
      <c r="S116" s="21">
        <v>0.4</v>
      </c>
      <c r="T116" s="21">
        <v>0.01</v>
      </c>
      <c r="U116" s="23">
        <f>P116*Q116*(R116+S116*2-0-0)*T116</f>
        <v>3.7689E-2</v>
      </c>
      <c r="V116" s="21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 s="20"/>
      <c r="BF116" s="20"/>
      <c r="BG116"/>
    </row>
    <row r="117" spans="1:59">
      <c r="A117" s="21"/>
      <c r="B117" s="21"/>
      <c r="C117" s="21"/>
      <c r="D117" s="21"/>
      <c r="E117" s="22" t="s">
        <v>95</v>
      </c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2">
        <f>SUM(U118:U118)</f>
        <v>4.0391999999999997E-2</v>
      </c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 s="20"/>
      <c r="BF117" s="20"/>
      <c r="BG117"/>
    </row>
    <row r="118" spans="1:59">
      <c r="A118" s="21"/>
      <c r="B118" s="21"/>
      <c r="C118" s="21"/>
      <c r="D118" s="21"/>
      <c r="E118" s="23" t="s">
        <v>96</v>
      </c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>
        <v>1</v>
      </c>
      <c r="Q118" s="21">
        <v>3.96</v>
      </c>
      <c r="R118" s="21">
        <v>0.22</v>
      </c>
      <c r="S118" s="21">
        <v>0.4</v>
      </c>
      <c r="T118" s="21">
        <v>0.01</v>
      </c>
      <c r="U118" s="23">
        <f>P118*Q118*(R118+S118*2-0-0)*T118</f>
        <v>4.0391999999999997E-2</v>
      </c>
      <c r="V118" s="21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 s="20"/>
      <c r="BF118" s="20"/>
      <c r="BG118"/>
    </row>
    <row r="119" spans="1:59">
      <c r="A119" s="21"/>
      <c r="B119" s="21"/>
      <c r="C119" s="21"/>
      <c r="D119" s="21"/>
      <c r="E119" s="22" t="s">
        <v>97</v>
      </c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2">
        <f>SUM(U120:U122)</f>
        <v>8.2542000000000004E-2</v>
      </c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 s="20"/>
      <c r="BF119" s="20"/>
      <c r="BG119"/>
    </row>
    <row r="120" spans="1:59">
      <c r="A120" s="21"/>
      <c r="B120" s="21"/>
      <c r="C120" s="21"/>
      <c r="D120" s="21"/>
      <c r="E120" s="23" t="s">
        <v>98</v>
      </c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>
        <v>1</v>
      </c>
      <c r="Q120" s="21">
        <v>1.48</v>
      </c>
      <c r="R120" s="21">
        <v>0.22</v>
      </c>
      <c r="S120" s="21">
        <v>0.35</v>
      </c>
      <c r="T120" s="21">
        <v>0.01</v>
      </c>
      <c r="U120" s="23">
        <f>P120*Q120*(R120+S120*2-0-0)*T120</f>
        <v>1.3616E-2</v>
      </c>
      <c r="V120" s="21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 s="20"/>
      <c r="BF120" s="20"/>
      <c r="BG120"/>
    </row>
    <row r="121" spans="1:59">
      <c r="A121" s="21"/>
      <c r="B121" s="21"/>
      <c r="C121" s="21"/>
      <c r="D121" s="21"/>
      <c r="E121" s="23" t="s">
        <v>99</v>
      </c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>
        <v>1</v>
      </c>
      <c r="Q121" s="21">
        <v>3.8</v>
      </c>
      <c r="R121" s="21">
        <v>0.22</v>
      </c>
      <c r="S121" s="21">
        <v>0.35</v>
      </c>
      <c r="T121" s="21">
        <v>0.01</v>
      </c>
      <c r="U121" s="23">
        <f>P121*Q121*(R121+S121*2-0-0)*T121</f>
        <v>3.4959999999999998E-2</v>
      </c>
      <c r="V121" s="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 s="20"/>
      <c r="BF121" s="20"/>
      <c r="BG121"/>
    </row>
    <row r="122" spans="1:59">
      <c r="A122" s="21"/>
      <c r="B122" s="21"/>
      <c r="C122" s="21"/>
      <c r="D122" s="21"/>
      <c r="E122" s="23" t="s">
        <v>100</v>
      </c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>
        <v>1</v>
      </c>
      <c r="Q122" s="21">
        <v>3.33</v>
      </c>
      <c r="R122" s="21">
        <v>0.22</v>
      </c>
      <c r="S122" s="21">
        <v>0.4</v>
      </c>
      <c r="T122" s="21">
        <v>0.01</v>
      </c>
      <c r="U122" s="23">
        <f>P122*Q122*(R122+S122*2-0-0)*T122</f>
        <v>3.3966000000000003E-2</v>
      </c>
      <c r="V122" s="21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 s="20"/>
      <c r="BF122" s="20"/>
      <c r="BG122"/>
    </row>
    <row r="123" spans="1:59">
      <c r="A123" s="21"/>
      <c r="B123" s="21"/>
      <c r="C123" s="21"/>
      <c r="D123" s="21"/>
      <c r="E123" s="22" t="s">
        <v>101</v>
      </c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2">
        <f>SUM(U124:U124)</f>
        <v>3.4959999999999998E-2</v>
      </c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 s="20"/>
      <c r="BF123" s="20"/>
      <c r="BG123"/>
    </row>
    <row r="124" spans="1:59">
      <c r="A124" s="24"/>
      <c r="B124" s="24"/>
      <c r="C124" s="24"/>
      <c r="D124" s="24"/>
      <c r="E124" s="25" t="s">
        <v>102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>
        <v>1</v>
      </c>
      <c r="Q124" s="24">
        <v>3.8</v>
      </c>
      <c r="R124" s="24">
        <v>0.22</v>
      </c>
      <c r="S124" s="24">
        <v>0.35</v>
      </c>
      <c r="T124" s="24">
        <v>0.01</v>
      </c>
      <c r="U124" s="25">
        <f>P124*Q124*(R124+S124*2-0-0)*T124</f>
        <v>3.4959999999999998E-2</v>
      </c>
      <c r="V124" s="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 s="20"/>
      <c r="BF124" s="20"/>
      <c r="BG124"/>
    </row>
    <row r="125" spans="1:59">
      <c r="A125" s="17"/>
      <c r="B125" s="17"/>
      <c r="C125" s="17"/>
      <c r="D125" s="17"/>
      <c r="E125" s="18" t="s">
        <v>42</v>
      </c>
      <c r="F125" s="17" t="s">
        <v>32</v>
      </c>
      <c r="G125" s="19">
        <f>SUM(U127:U202)</f>
        <v>9.3275061903131302</v>
      </c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8">
        <f>SUM(U127:U202)</f>
        <v>9.3275061903131302</v>
      </c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 s="20"/>
      <c r="BF125" s="20"/>
      <c r="BG125"/>
    </row>
    <row r="126" spans="1:59">
      <c r="A126" s="21"/>
      <c r="B126" s="21"/>
      <c r="C126" s="21"/>
      <c r="D126" s="21"/>
      <c r="E126" s="22" t="s">
        <v>33</v>
      </c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2">
        <f>SUM(U127:U128)</f>
        <v>0.36080000000000001</v>
      </c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 s="20"/>
      <c r="BF126" s="20"/>
      <c r="BG126"/>
    </row>
    <row r="127" spans="1:59">
      <c r="A127" s="21"/>
      <c r="B127" s="21"/>
      <c r="C127" s="21"/>
      <c r="D127" s="21"/>
      <c r="E127" s="23" t="s">
        <v>36</v>
      </c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>
        <v>1</v>
      </c>
      <c r="Q127" s="21">
        <v>3.88</v>
      </c>
      <c r="R127" s="21">
        <v>0.22</v>
      </c>
      <c r="S127" s="21">
        <v>0.4</v>
      </c>
      <c r="T127" s="21">
        <v>1</v>
      </c>
      <c r="U127" s="23">
        <f>PRODUCT(P127:T127)</f>
        <v>0.34144000000000002</v>
      </c>
      <c r="V127" s="21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 s="20"/>
      <c r="BF127" s="20"/>
      <c r="BG127"/>
    </row>
    <row r="128" spans="1:59">
      <c r="A128" s="21"/>
      <c r="B128" s="21"/>
      <c r="C128" s="21"/>
      <c r="D128" s="21"/>
      <c r="E128" s="23" t="s">
        <v>39</v>
      </c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>
        <v>1</v>
      </c>
      <c r="Q128" s="21">
        <v>0.22</v>
      </c>
      <c r="R128" s="21">
        <v>0.22</v>
      </c>
      <c r="S128" s="21">
        <v>0.4</v>
      </c>
      <c r="T128" s="21">
        <v>1</v>
      </c>
      <c r="U128" s="21">
        <f>PRODUCT(P128:T128)</f>
        <v>1.9359999999999999E-2</v>
      </c>
      <c r="V128" s="21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 s="20"/>
      <c r="BF128" s="20"/>
      <c r="BG128"/>
    </row>
    <row r="129" spans="1:59">
      <c r="A129" s="21"/>
      <c r="B129" s="21"/>
      <c r="C129" s="21"/>
      <c r="D129" s="21"/>
      <c r="E129" s="22" t="s">
        <v>41</v>
      </c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>
        <v>1</v>
      </c>
      <c r="Q129" s="21">
        <v>0.22</v>
      </c>
      <c r="R129" s="21">
        <v>0.22</v>
      </c>
      <c r="S129" s="21">
        <v>0.4</v>
      </c>
      <c r="T129" s="21">
        <v>1</v>
      </c>
      <c r="U129" s="21">
        <f>PRODUCT(P129:T129)</f>
        <v>1.9359999999999999E-2</v>
      </c>
      <c r="V129" s="22">
        <f>SUM(U130:U130)</f>
        <v>5.7750000000000003E-2</v>
      </c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 s="20"/>
      <c r="BF129" s="20"/>
      <c r="BG129"/>
    </row>
    <row r="130" spans="1:59">
      <c r="A130" s="21"/>
      <c r="B130" s="21"/>
      <c r="C130" s="21"/>
      <c r="D130" s="21"/>
      <c r="E130" s="23" t="s">
        <v>43</v>
      </c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>
        <v>1</v>
      </c>
      <c r="Q130" s="21">
        <v>0.75</v>
      </c>
      <c r="R130" s="21">
        <v>0.22</v>
      </c>
      <c r="S130" s="21">
        <v>0.35</v>
      </c>
      <c r="T130" s="21">
        <v>1</v>
      </c>
      <c r="U130" s="23">
        <f>PRODUCT(P130:T130)</f>
        <v>5.7750000000000003E-2</v>
      </c>
      <c r="V130" s="21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 s="20"/>
      <c r="BF130" s="20"/>
      <c r="BG130"/>
    </row>
    <row r="131" spans="1:59">
      <c r="A131" s="21"/>
      <c r="B131" s="21"/>
      <c r="C131" s="21"/>
      <c r="D131" s="21"/>
      <c r="E131" s="22" t="s">
        <v>45</v>
      </c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2">
        <f>SUM(U132:U132)</f>
        <v>4.48E-2</v>
      </c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 s="20"/>
      <c r="BF131" s="20"/>
      <c r="BG131"/>
    </row>
    <row r="132" spans="1:59">
      <c r="A132" s="21"/>
      <c r="B132" s="21"/>
      <c r="C132" s="21"/>
      <c r="D132" s="21"/>
      <c r="E132" s="23" t="s">
        <v>103</v>
      </c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>
        <v>1</v>
      </c>
      <c r="Q132" s="21">
        <v>4.4800000000000004</v>
      </c>
      <c r="R132" s="21">
        <v>0.1</v>
      </c>
      <c r="S132" s="21">
        <v>0.1</v>
      </c>
      <c r="T132" s="21">
        <v>1</v>
      </c>
      <c r="U132" s="23">
        <f>PRODUCT(P132:T132)</f>
        <v>4.48E-2</v>
      </c>
      <c r="V132" s="21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 s="20"/>
      <c r="BF132" s="20"/>
      <c r="BG132"/>
    </row>
    <row r="133" spans="1:59">
      <c r="A133" s="21"/>
      <c r="B133" s="21"/>
      <c r="C133" s="21"/>
      <c r="D133" s="21"/>
      <c r="E133" s="22" t="s">
        <v>49</v>
      </c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2">
        <f>SUM(U134:U134)</f>
        <v>0.34232000000000001</v>
      </c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 s="20"/>
      <c r="BF133" s="20"/>
      <c r="BG133"/>
    </row>
    <row r="134" spans="1:59">
      <c r="A134" s="21"/>
      <c r="B134" s="21"/>
      <c r="C134" s="21"/>
      <c r="D134" s="21"/>
      <c r="E134" s="23" t="s">
        <v>47</v>
      </c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>
        <v>1</v>
      </c>
      <c r="Q134" s="21">
        <v>3.89</v>
      </c>
      <c r="R134" s="21">
        <v>0.22</v>
      </c>
      <c r="S134" s="21">
        <v>0.4</v>
      </c>
      <c r="T134" s="21">
        <v>1</v>
      </c>
      <c r="U134" s="23">
        <f>PRODUCT(P134:T134)</f>
        <v>0.34232000000000001</v>
      </c>
      <c r="V134" s="21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 s="20"/>
      <c r="BF134" s="20"/>
      <c r="BG134"/>
    </row>
    <row r="135" spans="1:59">
      <c r="A135" s="21"/>
      <c r="B135" s="21"/>
      <c r="C135" s="21"/>
      <c r="D135" s="21"/>
      <c r="E135" s="22" t="s">
        <v>62</v>
      </c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2">
        <f>SUM(U136:U136)</f>
        <v>1.4500000000000001E-2</v>
      </c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 s="20"/>
      <c r="BF135" s="20"/>
      <c r="BG135"/>
    </row>
    <row r="136" spans="1:59">
      <c r="A136" s="21"/>
      <c r="B136" s="21"/>
      <c r="C136" s="21"/>
      <c r="D136" s="21"/>
      <c r="E136" s="23" t="s">
        <v>104</v>
      </c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>
        <v>1</v>
      </c>
      <c r="Q136" s="21">
        <v>1.45</v>
      </c>
      <c r="R136" s="21">
        <v>0.1</v>
      </c>
      <c r="S136" s="21">
        <v>0.1</v>
      </c>
      <c r="T136" s="21">
        <v>1</v>
      </c>
      <c r="U136" s="23">
        <f>PRODUCT(P136:T136)</f>
        <v>1.4500000000000001E-2</v>
      </c>
      <c r="V136" s="21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 s="20"/>
      <c r="BF136" s="20"/>
      <c r="BG136"/>
    </row>
    <row r="137" spans="1:59">
      <c r="A137" s="21"/>
      <c r="B137" s="21"/>
      <c r="C137" s="21"/>
      <c r="D137" s="21"/>
      <c r="E137" s="22" t="s">
        <v>66</v>
      </c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2">
        <f>SUM(U138:U144)</f>
        <v>1.2161599999999999</v>
      </c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 s="20"/>
      <c r="BF137" s="20"/>
      <c r="BG137"/>
    </row>
    <row r="138" spans="1:59">
      <c r="A138" s="21"/>
      <c r="B138" s="21"/>
      <c r="C138" s="21"/>
      <c r="D138" s="21"/>
      <c r="E138" s="23" t="s">
        <v>51</v>
      </c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>
        <v>1</v>
      </c>
      <c r="Q138" s="21">
        <v>4.2699999999999996</v>
      </c>
      <c r="R138" s="21">
        <v>0.22</v>
      </c>
      <c r="S138" s="21">
        <v>0.4</v>
      </c>
      <c r="T138" s="21">
        <v>1</v>
      </c>
      <c r="U138" s="23">
        <f t="shared" ref="U138:U160" si="5">PRODUCT(P138:T138)</f>
        <v>0.37575999999999998</v>
      </c>
      <c r="V138" s="21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 s="20"/>
      <c r="BF138" s="20"/>
      <c r="BG138"/>
    </row>
    <row r="139" spans="1:59">
      <c r="A139" s="21"/>
      <c r="B139" s="21"/>
      <c r="C139" s="21"/>
      <c r="D139" s="21"/>
      <c r="E139" s="23" t="s">
        <v>53</v>
      </c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>
        <v>1</v>
      </c>
      <c r="Q139" s="21">
        <v>3.8149999999999999</v>
      </c>
      <c r="R139" s="21">
        <v>0.22</v>
      </c>
      <c r="S139" s="21">
        <v>0.4</v>
      </c>
      <c r="T139" s="21">
        <v>1</v>
      </c>
      <c r="U139" s="23">
        <f t="shared" si="5"/>
        <v>0.33572000000000002</v>
      </c>
      <c r="V139" s="21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 s="20"/>
      <c r="BF139" s="20"/>
      <c r="BG139"/>
    </row>
    <row r="140" spans="1:59">
      <c r="A140" s="21"/>
      <c r="B140" s="21"/>
      <c r="C140" s="21"/>
      <c r="D140" s="21"/>
      <c r="E140" s="23" t="s">
        <v>55</v>
      </c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>
        <v>1</v>
      </c>
      <c r="Q140" s="21">
        <v>3.8250000000000002</v>
      </c>
      <c r="R140" s="21">
        <v>0.22</v>
      </c>
      <c r="S140" s="21">
        <v>0.4</v>
      </c>
      <c r="T140" s="21">
        <v>1</v>
      </c>
      <c r="U140" s="23">
        <f t="shared" si="5"/>
        <v>0.33660000000000001</v>
      </c>
      <c r="V140" s="21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 s="20"/>
      <c r="BF140" s="20"/>
      <c r="BG140"/>
    </row>
    <row r="141" spans="1:59">
      <c r="A141" s="21"/>
      <c r="B141" s="21"/>
      <c r="C141" s="21"/>
      <c r="D141" s="21"/>
      <c r="E141" s="23" t="s">
        <v>57</v>
      </c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>
        <v>1</v>
      </c>
      <c r="Q141" s="21">
        <v>1.28</v>
      </c>
      <c r="R141" s="21">
        <v>0.22</v>
      </c>
      <c r="S141" s="21">
        <v>0.35</v>
      </c>
      <c r="T141" s="21">
        <v>1</v>
      </c>
      <c r="U141" s="23">
        <f t="shared" si="5"/>
        <v>9.8559999999999995E-2</v>
      </c>
      <c r="V141" s="2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 s="20"/>
      <c r="BF141" s="20"/>
      <c r="BG141"/>
    </row>
    <row r="142" spans="1:59">
      <c r="A142" s="21"/>
      <c r="B142" s="21"/>
      <c r="C142" s="21"/>
      <c r="D142" s="21"/>
      <c r="E142" s="23" t="s">
        <v>39</v>
      </c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>
        <v>1</v>
      </c>
      <c r="Q142" s="21">
        <v>0.22</v>
      </c>
      <c r="R142" s="21">
        <v>0.22</v>
      </c>
      <c r="S142" s="21">
        <v>0.4</v>
      </c>
      <c r="T142" s="21">
        <v>1</v>
      </c>
      <c r="U142" s="21">
        <f t="shared" si="5"/>
        <v>1.9359999999999999E-2</v>
      </c>
      <c r="V142" s="21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 s="20"/>
      <c r="BF142" s="20"/>
      <c r="BG142"/>
    </row>
    <row r="143" spans="1:59">
      <c r="A143" s="21"/>
      <c r="B143" s="21"/>
      <c r="C143" s="21"/>
      <c r="D143" s="21"/>
      <c r="E143" s="23" t="s">
        <v>39</v>
      </c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>
        <v>1</v>
      </c>
      <c r="Q143" s="21">
        <v>0.35</v>
      </c>
      <c r="R143" s="21">
        <v>0.22</v>
      </c>
      <c r="S143" s="21">
        <v>0.4</v>
      </c>
      <c r="T143" s="21">
        <v>1</v>
      </c>
      <c r="U143" s="21">
        <f t="shared" si="5"/>
        <v>3.0800000000000001E-2</v>
      </c>
      <c r="V143" s="21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 s="20"/>
      <c r="BF143" s="20"/>
      <c r="BG143"/>
    </row>
    <row r="144" spans="1:59">
      <c r="A144" s="21"/>
      <c r="B144" s="21"/>
      <c r="C144" s="21"/>
      <c r="D144" s="21"/>
      <c r="E144" s="23" t="s">
        <v>39</v>
      </c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>
        <v>1</v>
      </c>
      <c r="Q144" s="21">
        <v>0.22</v>
      </c>
      <c r="R144" s="21">
        <v>0.22</v>
      </c>
      <c r="S144" s="21">
        <v>0.4</v>
      </c>
      <c r="T144" s="21">
        <v>1</v>
      </c>
      <c r="U144" s="21">
        <f t="shared" si="5"/>
        <v>1.9359999999999999E-2</v>
      </c>
      <c r="V144" s="21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 s="20"/>
      <c r="BF144" s="20"/>
      <c r="BG144"/>
    </row>
    <row r="145" spans="1:59">
      <c r="A145" s="21"/>
      <c r="B145" s="21"/>
      <c r="C145" s="21"/>
      <c r="D145" s="21"/>
      <c r="E145" s="22" t="s">
        <v>70</v>
      </c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>
        <v>1</v>
      </c>
      <c r="Q145" s="21">
        <v>0.22</v>
      </c>
      <c r="R145" s="21">
        <v>0.22</v>
      </c>
      <c r="S145" s="21">
        <v>0.35</v>
      </c>
      <c r="T145" s="21">
        <v>1</v>
      </c>
      <c r="U145" s="21">
        <f t="shared" si="5"/>
        <v>1.694E-2</v>
      </c>
      <c r="V145" s="22">
        <f>SUM(U146:U147)</f>
        <v>0.15135999999999999</v>
      </c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 s="20"/>
      <c r="BF145" s="20"/>
      <c r="BG145"/>
    </row>
    <row r="146" spans="1:59">
      <c r="A146" s="21"/>
      <c r="B146" s="21"/>
      <c r="C146" s="21"/>
      <c r="D146" s="21"/>
      <c r="E146" s="23" t="s">
        <v>64</v>
      </c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>
        <v>1</v>
      </c>
      <c r="Q146" s="21">
        <v>1.5</v>
      </c>
      <c r="R146" s="21">
        <v>0.22</v>
      </c>
      <c r="S146" s="21">
        <v>0.4</v>
      </c>
      <c r="T146" s="21">
        <v>1</v>
      </c>
      <c r="U146" s="23">
        <f t="shared" si="5"/>
        <v>0.13200000000000001</v>
      </c>
      <c r="V146" s="21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 s="20"/>
      <c r="BF146" s="20"/>
      <c r="BG146"/>
    </row>
    <row r="147" spans="1:59">
      <c r="A147" s="21"/>
      <c r="B147" s="21"/>
      <c r="C147" s="21"/>
      <c r="D147" s="21"/>
      <c r="E147" s="23" t="s">
        <v>39</v>
      </c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>
        <v>1</v>
      </c>
      <c r="Q147" s="21">
        <v>0.22</v>
      </c>
      <c r="R147" s="21">
        <v>0.22</v>
      </c>
      <c r="S147" s="21">
        <v>0.4</v>
      </c>
      <c r="T147" s="21">
        <v>1</v>
      </c>
      <c r="U147" s="21">
        <f t="shared" si="5"/>
        <v>1.9359999999999999E-2</v>
      </c>
      <c r="V147" s="21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 s="20"/>
      <c r="BF147" s="20"/>
      <c r="BG147"/>
    </row>
    <row r="148" spans="1:59">
      <c r="A148" s="21"/>
      <c r="B148" s="21"/>
      <c r="C148" s="21"/>
      <c r="D148" s="21"/>
      <c r="E148" s="22" t="s">
        <v>73</v>
      </c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>
        <v>1</v>
      </c>
      <c r="Q148" s="21">
        <v>0.22</v>
      </c>
      <c r="R148" s="21">
        <v>0.22</v>
      </c>
      <c r="S148" s="21">
        <v>0.4</v>
      </c>
      <c r="T148" s="21">
        <v>1</v>
      </c>
      <c r="U148" s="21">
        <f t="shared" si="5"/>
        <v>1.9359999999999999E-2</v>
      </c>
      <c r="V148" s="22">
        <f>SUM(U149:U154)</f>
        <v>0.67584</v>
      </c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 s="20"/>
      <c r="BF148" s="20"/>
      <c r="BG148"/>
    </row>
    <row r="149" spans="1:59">
      <c r="A149" s="21"/>
      <c r="B149" s="21"/>
      <c r="C149" s="21"/>
      <c r="D149" s="21"/>
      <c r="E149" s="23" t="s">
        <v>67</v>
      </c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>
        <v>1</v>
      </c>
      <c r="Q149" s="21">
        <v>2.2799999999999998</v>
      </c>
      <c r="R149" s="21">
        <v>0.22</v>
      </c>
      <c r="S149" s="21">
        <v>0.4</v>
      </c>
      <c r="T149" s="21">
        <v>1</v>
      </c>
      <c r="U149" s="23">
        <f t="shared" si="5"/>
        <v>0.20064000000000001</v>
      </c>
      <c r="V149" s="21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 s="20"/>
      <c r="BF149" s="20"/>
      <c r="BG149"/>
    </row>
    <row r="150" spans="1:59">
      <c r="A150" s="21"/>
      <c r="B150" s="21"/>
      <c r="C150" s="21"/>
      <c r="D150" s="21"/>
      <c r="E150" s="23" t="s">
        <v>68</v>
      </c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>
        <v>1</v>
      </c>
      <c r="Q150" s="21">
        <v>1.5</v>
      </c>
      <c r="R150" s="21">
        <v>0.22</v>
      </c>
      <c r="S150" s="21">
        <v>0.4</v>
      </c>
      <c r="T150" s="21">
        <v>1</v>
      </c>
      <c r="U150" s="23">
        <f t="shared" si="5"/>
        <v>0.13200000000000001</v>
      </c>
      <c r="V150" s="21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 s="20"/>
      <c r="BF150" s="20"/>
      <c r="BG150"/>
    </row>
    <row r="151" spans="1:59">
      <c r="A151" s="21"/>
      <c r="B151" s="21"/>
      <c r="C151" s="21"/>
      <c r="D151" s="21"/>
      <c r="E151" s="23" t="s">
        <v>69</v>
      </c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>
        <v>1</v>
      </c>
      <c r="Q151" s="21">
        <v>3.24</v>
      </c>
      <c r="R151" s="21">
        <v>0.22</v>
      </c>
      <c r="S151" s="21">
        <v>0.4</v>
      </c>
      <c r="T151" s="21">
        <v>1</v>
      </c>
      <c r="U151" s="23">
        <f t="shared" si="5"/>
        <v>0.28511999999999998</v>
      </c>
      <c r="V151" s="2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 s="20"/>
      <c r="BF151" s="20"/>
      <c r="BG151"/>
    </row>
    <row r="152" spans="1:59">
      <c r="A152" s="21"/>
      <c r="B152" s="21"/>
      <c r="C152" s="21"/>
      <c r="D152" s="21"/>
      <c r="E152" s="23" t="s">
        <v>39</v>
      </c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>
        <v>1</v>
      </c>
      <c r="Q152" s="21">
        <v>0.22</v>
      </c>
      <c r="R152" s="21">
        <v>0.22</v>
      </c>
      <c r="S152" s="21">
        <v>0.4</v>
      </c>
      <c r="T152" s="21">
        <v>1</v>
      </c>
      <c r="U152" s="21">
        <f t="shared" si="5"/>
        <v>1.9359999999999999E-2</v>
      </c>
      <c r="V152" s="21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 s="20"/>
      <c r="BF152" s="20"/>
      <c r="BG152"/>
    </row>
    <row r="153" spans="1:59">
      <c r="A153" s="21"/>
      <c r="B153" s="21"/>
      <c r="C153" s="21"/>
      <c r="D153" s="21"/>
      <c r="E153" s="23" t="s">
        <v>39</v>
      </c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>
        <v>1</v>
      </c>
      <c r="Q153" s="21">
        <v>0.22</v>
      </c>
      <c r="R153" s="21">
        <v>0.22</v>
      </c>
      <c r="S153" s="21">
        <v>0.4</v>
      </c>
      <c r="T153" s="21">
        <v>1</v>
      </c>
      <c r="U153" s="21">
        <f t="shared" si="5"/>
        <v>1.9359999999999999E-2</v>
      </c>
      <c r="V153" s="21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 s="20"/>
      <c r="BF153" s="20"/>
      <c r="BG153"/>
    </row>
    <row r="154" spans="1:59">
      <c r="A154" s="21"/>
      <c r="B154" s="21"/>
      <c r="C154" s="21"/>
      <c r="D154" s="21"/>
      <c r="E154" s="23" t="s">
        <v>39</v>
      </c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>
        <v>1</v>
      </c>
      <c r="Q154" s="21">
        <v>0.22</v>
      </c>
      <c r="R154" s="21">
        <v>0.22</v>
      </c>
      <c r="S154" s="21">
        <v>0.4</v>
      </c>
      <c r="T154" s="21">
        <v>1</v>
      </c>
      <c r="U154" s="21">
        <f t="shared" si="5"/>
        <v>1.9359999999999999E-2</v>
      </c>
      <c r="V154" s="21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 s="20"/>
      <c r="BF154" s="20"/>
      <c r="BG154"/>
    </row>
    <row r="155" spans="1:59">
      <c r="A155" s="21"/>
      <c r="B155" s="21"/>
      <c r="C155" s="21"/>
      <c r="D155" s="21"/>
      <c r="E155" s="22" t="s">
        <v>75</v>
      </c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>
        <v>1</v>
      </c>
      <c r="Q155" s="21">
        <v>0.35</v>
      </c>
      <c r="R155" s="21">
        <v>0.22</v>
      </c>
      <c r="S155" s="21">
        <v>0.4</v>
      </c>
      <c r="T155" s="21">
        <v>1</v>
      </c>
      <c r="U155" s="21">
        <f t="shared" si="5"/>
        <v>3.0800000000000001E-2</v>
      </c>
      <c r="V155" s="22">
        <f>SUM(U156:U158)</f>
        <v>0.51656000000000002</v>
      </c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 s="20"/>
      <c r="BF155" s="20"/>
      <c r="BG155"/>
    </row>
    <row r="156" spans="1:59">
      <c r="A156" s="21"/>
      <c r="B156" s="21"/>
      <c r="C156" s="21"/>
      <c r="D156" s="21"/>
      <c r="E156" s="23" t="s">
        <v>71</v>
      </c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>
        <v>1</v>
      </c>
      <c r="Q156" s="21">
        <v>4.53</v>
      </c>
      <c r="R156" s="21">
        <v>0.22</v>
      </c>
      <c r="S156" s="21">
        <v>0.4</v>
      </c>
      <c r="T156" s="21">
        <v>1</v>
      </c>
      <c r="U156" s="23">
        <f t="shared" si="5"/>
        <v>0.39863999999999999</v>
      </c>
      <c r="V156" s="21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 s="20"/>
      <c r="BF156" s="20"/>
      <c r="BG156"/>
    </row>
    <row r="157" spans="1:59">
      <c r="A157" s="21"/>
      <c r="B157" s="21"/>
      <c r="C157" s="21"/>
      <c r="D157" s="21"/>
      <c r="E157" s="23" t="s">
        <v>72</v>
      </c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>
        <v>1</v>
      </c>
      <c r="Q157" s="21">
        <v>1.28</v>
      </c>
      <c r="R157" s="21">
        <v>0.22</v>
      </c>
      <c r="S157" s="21">
        <v>0.35</v>
      </c>
      <c r="T157" s="21">
        <v>1</v>
      </c>
      <c r="U157" s="23">
        <f t="shared" si="5"/>
        <v>9.8559999999999995E-2</v>
      </c>
      <c r="V157" s="21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 s="20"/>
      <c r="BF157" s="20"/>
      <c r="BG157"/>
    </row>
    <row r="158" spans="1:59">
      <c r="A158" s="21"/>
      <c r="B158" s="21"/>
      <c r="C158" s="21"/>
      <c r="D158" s="21"/>
      <c r="E158" s="23" t="s">
        <v>39</v>
      </c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>
        <v>1</v>
      </c>
      <c r="Q158" s="21">
        <v>0.22</v>
      </c>
      <c r="R158" s="21">
        <v>0.22</v>
      </c>
      <c r="S158" s="21">
        <v>0.4</v>
      </c>
      <c r="T158" s="21">
        <v>1</v>
      </c>
      <c r="U158" s="21">
        <f t="shared" si="5"/>
        <v>1.9359999999999999E-2</v>
      </c>
      <c r="V158" s="21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 s="20"/>
      <c r="BF158" s="20"/>
      <c r="BG158"/>
    </row>
    <row r="159" spans="1:59">
      <c r="A159" s="21"/>
      <c r="B159" s="21"/>
      <c r="C159" s="21"/>
      <c r="D159" s="21"/>
      <c r="E159" s="22" t="s">
        <v>79</v>
      </c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>
        <v>1</v>
      </c>
      <c r="Q159" s="21">
        <v>0.22</v>
      </c>
      <c r="R159" s="21">
        <v>0.22</v>
      </c>
      <c r="S159" s="21">
        <v>0.35</v>
      </c>
      <c r="T159" s="21">
        <v>1</v>
      </c>
      <c r="U159" s="21">
        <f t="shared" si="5"/>
        <v>1.694E-2</v>
      </c>
      <c r="V159" s="22">
        <f>SUM(U160:U160)</f>
        <v>0.28511999999999998</v>
      </c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 s="20"/>
      <c r="BF159" s="20"/>
      <c r="BG159"/>
    </row>
    <row r="160" spans="1:59">
      <c r="A160" s="21"/>
      <c r="B160" s="21"/>
      <c r="C160" s="21"/>
      <c r="D160" s="21"/>
      <c r="E160" s="23" t="s">
        <v>74</v>
      </c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>
        <v>1</v>
      </c>
      <c r="Q160" s="21">
        <v>3.24</v>
      </c>
      <c r="R160" s="21">
        <v>0.22</v>
      </c>
      <c r="S160" s="21">
        <v>0.4</v>
      </c>
      <c r="T160" s="21">
        <v>1</v>
      </c>
      <c r="U160" s="23">
        <f t="shared" si="5"/>
        <v>0.28511999999999998</v>
      </c>
      <c r="V160" s="21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 s="20"/>
      <c r="BF160" s="20"/>
      <c r="BG160"/>
    </row>
    <row r="161" spans="1:59">
      <c r="A161" s="21"/>
      <c r="B161" s="21"/>
      <c r="C161" s="21"/>
      <c r="D161" s="21"/>
      <c r="E161" s="22" t="s">
        <v>82</v>
      </c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2">
        <f>SUM(U162:U162)</f>
        <v>1.9199999999999998E-2</v>
      </c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 s="20"/>
      <c r="BF161" s="20"/>
      <c r="BG161"/>
    </row>
    <row r="162" spans="1:59">
      <c r="A162" s="21"/>
      <c r="B162" s="21"/>
      <c r="C162" s="21"/>
      <c r="D162" s="21"/>
      <c r="E162" s="23" t="s">
        <v>105</v>
      </c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>
        <v>1</v>
      </c>
      <c r="Q162" s="21">
        <v>1.92</v>
      </c>
      <c r="R162" s="21">
        <v>0.1</v>
      </c>
      <c r="S162" s="21">
        <v>0.1</v>
      </c>
      <c r="T162" s="21">
        <v>1</v>
      </c>
      <c r="U162" s="23">
        <f>PRODUCT(P162:T162)</f>
        <v>1.9199999999999998E-2</v>
      </c>
      <c r="V162" s="21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 s="20"/>
      <c r="BF162" s="20"/>
      <c r="BG162"/>
    </row>
    <row r="163" spans="1:59">
      <c r="A163" s="21"/>
      <c r="B163" s="21"/>
      <c r="C163" s="21"/>
      <c r="D163" s="21"/>
      <c r="E163" s="22" t="s">
        <v>84</v>
      </c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2">
        <f>SUM(U164:U169)</f>
        <v>1.0674399999999999</v>
      </c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 s="20"/>
      <c r="BF163" s="20"/>
      <c r="BG163"/>
    </row>
    <row r="164" spans="1:59">
      <c r="A164" s="21"/>
      <c r="B164" s="21"/>
      <c r="C164" s="21"/>
      <c r="D164" s="21"/>
      <c r="E164" s="23" t="s">
        <v>76</v>
      </c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>
        <v>1</v>
      </c>
      <c r="Q164" s="21">
        <v>3.7</v>
      </c>
      <c r="R164" s="21">
        <v>0.22</v>
      </c>
      <c r="S164" s="21">
        <v>0.4</v>
      </c>
      <c r="T164" s="21">
        <v>1</v>
      </c>
      <c r="U164" s="23">
        <f t="shared" ref="U164:U172" si="6">PRODUCT(P164:T164)</f>
        <v>0.3256</v>
      </c>
      <c r="V164" s="21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 s="20"/>
      <c r="BF164" s="20"/>
      <c r="BG164"/>
    </row>
    <row r="165" spans="1:59">
      <c r="A165" s="21"/>
      <c r="B165" s="21"/>
      <c r="C165" s="21"/>
      <c r="D165" s="21"/>
      <c r="E165" s="23" t="s">
        <v>77</v>
      </c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>
        <v>1</v>
      </c>
      <c r="Q165" s="21">
        <v>3.24</v>
      </c>
      <c r="R165" s="21">
        <v>0.22</v>
      </c>
      <c r="S165" s="21">
        <v>0.4</v>
      </c>
      <c r="T165" s="21">
        <v>1</v>
      </c>
      <c r="U165" s="23">
        <f t="shared" si="6"/>
        <v>0.28511999999999998</v>
      </c>
      <c r="V165" s="21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 s="20"/>
      <c r="BF165" s="20"/>
      <c r="BG165"/>
    </row>
    <row r="166" spans="1:59">
      <c r="A166" s="21"/>
      <c r="B166" s="21"/>
      <c r="C166" s="21"/>
      <c r="D166" s="21"/>
      <c r="E166" s="23" t="s">
        <v>78</v>
      </c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>
        <v>1</v>
      </c>
      <c r="Q166" s="21">
        <v>4.53</v>
      </c>
      <c r="R166" s="21">
        <v>0.22</v>
      </c>
      <c r="S166" s="21">
        <v>0.4</v>
      </c>
      <c r="T166" s="21">
        <v>1</v>
      </c>
      <c r="U166" s="23">
        <f t="shared" si="6"/>
        <v>0.39863999999999999</v>
      </c>
      <c r="V166" s="21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 s="20"/>
      <c r="BF166" s="20"/>
      <c r="BG166"/>
    </row>
    <row r="167" spans="1:59">
      <c r="A167" s="21"/>
      <c r="B167" s="21"/>
      <c r="C167" s="21"/>
      <c r="D167" s="21"/>
      <c r="E167" s="23" t="s">
        <v>39</v>
      </c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>
        <v>1</v>
      </c>
      <c r="Q167" s="21">
        <v>0.22</v>
      </c>
      <c r="R167" s="21">
        <v>0.22</v>
      </c>
      <c r="S167" s="21">
        <v>0.4</v>
      </c>
      <c r="T167" s="21">
        <v>1</v>
      </c>
      <c r="U167" s="21">
        <f t="shared" si="6"/>
        <v>1.9359999999999999E-2</v>
      </c>
      <c r="V167" s="21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 s="20"/>
      <c r="BF167" s="20"/>
      <c r="BG167"/>
    </row>
    <row r="168" spans="1:59">
      <c r="A168" s="21"/>
      <c r="B168" s="21"/>
      <c r="C168" s="21"/>
      <c r="D168" s="21"/>
      <c r="E168" s="23" t="s">
        <v>39</v>
      </c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>
        <v>1</v>
      </c>
      <c r="Q168" s="21">
        <v>0.22</v>
      </c>
      <c r="R168" s="21">
        <v>0.22</v>
      </c>
      <c r="S168" s="21">
        <v>0.4</v>
      </c>
      <c r="T168" s="21">
        <v>1</v>
      </c>
      <c r="U168" s="21">
        <f t="shared" si="6"/>
        <v>1.9359999999999999E-2</v>
      </c>
      <c r="V168" s="21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 s="20"/>
      <c r="BF168" s="20"/>
      <c r="BG168"/>
    </row>
    <row r="169" spans="1:59">
      <c r="A169" s="21"/>
      <c r="B169" s="21"/>
      <c r="C169" s="21"/>
      <c r="D169" s="21"/>
      <c r="E169" s="23" t="s">
        <v>39</v>
      </c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>
        <v>1</v>
      </c>
      <c r="Q169" s="21">
        <v>0.22</v>
      </c>
      <c r="R169" s="21">
        <v>0.22</v>
      </c>
      <c r="S169" s="21">
        <v>0.4</v>
      </c>
      <c r="T169" s="21">
        <v>1</v>
      </c>
      <c r="U169" s="21">
        <f t="shared" si="6"/>
        <v>1.9359999999999999E-2</v>
      </c>
      <c r="V169" s="21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 s="20"/>
      <c r="BF169" s="20"/>
      <c r="BG169"/>
    </row>
    <row r="170" spans="1:59">
      <c r="A170" s="21"/>
      <c r="B170" s="21"/>
      <c r="C170" s="21"/>
      <c r="D170" s="21"/>
      <c r="E170" s="22" t="s">
        <v>86</v>
      </c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>
        <v>1</v>
      </c>
      <c r="Q170" s="21">
        <v>0.22</v>
      </c>
      <c r="R170" s="21">
        <v>0.22</v>
      </c>
      <c r="S170" s="21">
        <v>0.4</v>
      </c>
      <c r="T170" s="21">
        <v>1</v>
      </c>
      <c r="U170" s="21">
        <f t="shared" si="6"/>
        <v>1.9359999999999999E-2</v>
      </c>
      <c r="V170" s="22">
        <f>SUM(U171:U172)</f>
        <v>0.62921619031313203</v>
      </c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 s="20"/>
      <c r="BF170" s="20"/>
      <c r="BG170"/>
    </row>
    <row r="171" spans="1:59">
      <c r="A171" s="21"/>
      <c r="B171" s="21"/>
      <c r="C171" s="21"/>
      <c r="D171" s="21"/>
      <c r="E171" s="23" t="s">
        <v>80</v>
      </c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>
        <v>1</v>
      </c>
      <c r="Q171" s="21">
        <v>3.3795175617067001</v>
      </c>
      <c r="R171" s="21">
        <v>0.22</v>
      </c>
      <c r="S171" s="21">
        <v>0.4</v>
      </c>
      <c r="T171" s="21">
        <v>1</v>
      </c>
      <c r="U171" s="23">
        <f t="shared" si="6"/>
        <v>0.29739754543018998</v>
      </c>
      <c r="V171" s="2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 s="20"/>
      <c r="BF171" s="20"/>
      <c r="BG171"/>
    </row>
    <row r="172" spans="1:59">
      <c r="A172" s="21"/>
      <c r="B172" s="21"/>
      <c r="C172" s="21"/>
      <c r="D172" s="21"/>
      <c r="E172" s="23" t="s">
        <v>81</v>
      </c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>
        <v>1</v>
      </c>
      <c r="Q172" s="21">
        <v>3.7706664191243502</v>
      </c>
      <c r="R172" s="21">
        <v>0.22</v>
      </c>
      <c r="S172" s="21">
        <v>0.4</v>
      </c>
      <c r="T172" s="21">
        <v>1</v>
      </c>
      <c r="U172" s="23">
        <f t="shared" si="6"/>
        <v>0.33181864488294199</v>
      </c>
      <c r="V172" s="21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 s="20"/>
      <c r="BF172" s="20"/>
      <c r="BG172"/>
    </row>
    <row r="173" spans="1:59">
      <c r="A173" s="21"/>
      <c r="B173" s="21"/>
      <c r="C173" s="21"/>
      <c r="D173" s="21"/>
      <c r="E173" s="22" t="s">
        <v>90</v>
      </c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2">
        <f>SUM(U174:U174)</f>
        <v>0.16016</v>
      </c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 s="20"/>
      <c r="BF173" s="20"/>
      <c r="BG173"/>
    </row>
    <row r="174" spans="1:59">
      <c r="A174" s="21"/>
      <c r="B174" s="21"/>
      <c r="C174" s="21"/>
      <c r="D174" s="21"/>
      <c r="E174" s="23" t="s">
        <v>83</v>
      </c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>
        <v>1</v>
      </c>
      <c r="Q174" s="21">
        <v>1.82</v>
      </c>
      <c r="R174" s="21">
        <v>0.22</v>
      </c>
      <c r="S174" s="21">
        <v>0.4</v>
      </c>
      <c r="T174" s="21">
        <v>1</v>
      </c>
      <c r="U174" s="23">
        <f>PRODUCT(P174:T174)</f>
        <v>0.16016</v>
      </c>
      <c r="V174" s="21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 s="20"/>
      <c r="BF174" s="20"/>
      <c r="BG174"/>
    </row>
    <row r="175" spans="1:59">
      <c r="A175" s="21"/>
      <c r="B175" s="21"/>
      <c r="C175" s="21"/>
      <c r="D175" s="21"/>
      <c r="E175" s="22" t="s">
        <v>92</v>
      </c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2">
        <f>SUM(U176:U176)</f>
        <v>0.20635999999999999</v>
      </c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 s="20"/>
      <c r="BF175" s="20"/>
      <c r="BG175"/>
    </row>
    <row r="176" spans="1:59">
      <c r="A176" s="21"/>
      <c r="B176" s="21"/>
      <c r="C176" s="21"/>
      <c r="D176" s="21"/>
      <c r="E176" s="23" t="s">
        <v>85</v>
      </c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>
        <v>1</v>
      </c>
      <c r="Q176" s="21">
        <v>2.68</v>
      </c>
      <c r="R176" s="21">
        <v>0.22</v>
      </c>
      <c r="S176" s="21">
        <v>0.35</v>
      </c>
      <c r="T176" s="21">
        <v>1</v>
      </c>
      <c r="U176" s="23">
        <f>PRODUCT(P176:T176)</f>
        <v>0.20635999999999999</v>
      </c>
      <c r="V176" s="21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 s="20"/>
      <c r="BF176" s="20"/>
      <c r="BG176"/>
    </row>
    <row r="177" spans="1:59">
      <c r="A177" s="21"/>
      <c r="B177" s="21"/>
      <c r="C177" s="21"/>
      <c r="D177" s="21"/>
      <c r="E177" s="22" t="s">
        <v>95</v>
      </c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2">
        <f>SUM(U178:U181)</f>
        <v>0.99528000000000005</v>
      </c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 s="20"/>
      <c r="BF177" s="20"/>
      <c r="BG177"/>
    </row>
    <row r="178" spans="1:59">
      <c r="A178" s="21"/>
      <c r="B178" s="21"/>
      <c r="C178" s="21"/>
      <c r="D178" s="21"/>
      <c r="E178" s="23" t="s">
        <v>87</v>
      </c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>
        <v>1</v>
      </c>
      <c r="Q178" s="21">
        <v>5.51</v>
      </c>
      <c r="R178" s="21">
        <v>0.22</v>
      </c>
      <c r="S178" s="21">
        <v>0.4</v>
      </c>
      <c r="T178" s="21">
        <v>1</v>
      </c>
      <c r="U178" s="23">
        <f t="shared" ref="U178:U183" si="7">PRODUCT(P178:T178)</f>
        <v>0.48487999999999998</v>
      </c>
      <c r="V178" s="21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 s="20"/>
      <c r="BF178" s="20"/>
      <c r="BG178"/>
    </row>
    <row r="179" spans="1:59">
      <c r="A179" s="21"/>
      <c r="B179" s="21"/>
      <c r="C179" s="21"/>
      <c r="D179" s="21"/>
      <c r="E179" s="23" t="s">
        <v>88</v>
      </c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>
        <v>1</v>
      </c>
      <c r="Q179" s="21">
        <v>1.82</v>
      </c>
      <c r="R179" s="21">
        <v>0.22</v>
      </c>
      <c r="S179" s="21">
        <v>0.4</v>
      </c>
      <c r="T179" s="21">
        <v>1</v>
      </c>
      <c r="U179" s="23">
        <f t="shared" si="7"/>
        <v>0.16016</v>
      </c>
      <c r="V179" s="21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 s="20"/>
      <c r="BF179" s="20"/>
      <c r="BG179"/>
    </row>
    <row r="180" spans="1:59">
      <c r="A180" s="21"/>
      <c r="B180" s="21"/>
      <c r="C180" s="21"/>
      <c r="D180" s="21"/>
      <c r="E180" s="23" t="s">
        <v>89</v>
      </c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>
        <v>1</v>
      </c>
      <c r="Q180" s="21">
        <v>3.76</v>
      </c>
      <c r="R180" s="21">
        <v>0.22</v>
      </c>
      <c r="S180" s="21">
        <v>0.4</v>
      </c>
      <c r="T180" s="21">
        <v>1</v>
      </c>
      <c r="U180" s="23">
        <f t="shared" si="7"/>
        <v>0.33088000000000001</v>
      </c>
      <c r="V180" s="21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 s="20"/>
      <c r="BF180" s="20"/>
      <c r="BG180"/>
    </row>
    <row r="181" spans="1:59">
      <c r="A181" s="21"/>
      <c r="B181" s="21"/>
      <c r="C181" s="21"/>
      <c r="D181" s="21"/>
      <c r="E181" s="23" t="s">
        <v>39</v>
      </c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>
        <v>1</v>
      </c>
      <c r="Q181" s="21">
        <v>0.22</v>
      </c>
      <c r="R181" s="21">
        <v>0.22</v>
      </c>
      <c r="S181" s="21">
        <v>0.4</v>
      </c>
      <c r="T181" s="21">
        <v>1</v>
      </c>
      <c r="U181" s="21">
        <f t="shared" si="7"/>
        <v>1.9359999999999999E-2</v>
      </c>
      <c r="V181" s="2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 s="20"/>
      <c r="BF181" s="20"/>
      <c r="BG181"/>
    </row>
    <row r="182" spans="1:59">
      <c r="A182" s="21"/>
      <c r="B182" s="21"/>
      <c r="C182" s="21"/>
      <c r="D182" s="21"/>
      <c r="E182" s="22" t="s">
        <v>97</v>
      </c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>
        <v>1</v>
      </c>
      <c r="Q182" s="21">
        <v>0.22</v>
      </c>
      <c r="R182" s="21">
        <v>0.22</v>
      </c>
      <c r="S182" s="21">
        <v>0.4</v>
      </c>
      <c r="T182" s="21">
        <v>1</v>
      </c>
      <c r="U182" s="21">
        <f t="shared" si="7"/>
        <v>1.9359999999999999E-2</v>
      </c>
      <c r="V182" s="22">
        <f>SUM(U183:U183)</f>
        <v>0.25256000000000001</v>
      </c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 s="20"/>
      <c r="BF182" s="20"/>
      <c r="BG182"/>
    </row>
    <row r="183" spans="1:59">
      <c r="A183" s="21"/>
      <c r="B183" s="21"/>
      <c r="C183" s="21"/>
      <c r="D183" s="21"/>
      <c r="E183" s="23" t="s">
        <v>91</v>
      </c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>
        <v>1</v>
      </c>
      <c r="Q183" s="21">
        <v>2.87</v>
      </c>
      <c r="R183" s="21">
        <v>0.22</v>
      </c>
      <c r="S183" s="21">
        <v>0.4</v>
      </c>
      <c r="T183" s="21">
        <v>1</v>
      </c>
      <c r="U183" s="23">
        <f t="shared" si="7"/>
        <v>0.25256000000000001</v>
      </c>
      <c r="V183" s="21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 s="20"/>
      <c r="BF183" s="20"/>
      <c r="BG183"/>
    </row>
    <row r="184" spans="1:59">
      <c r="A184" s="21"/>
      <c r="B184" s="21"/>
      <c r="C184" s="21"/>
      <c r="D184" s="21"/>
      <c r="E184" s="22" t="s">
        <v>101</v>
      </c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2">
        <f>SUM(U185:U187)</f>
        <v>0.64680000000000004</v>
      </c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 s="20"/>
      <c r="BF184" s="20"/>
      <c r="BG184"/>
    </row>
    <row r="185" spans="1:59">
      <c r="A185" s="21"/>
      <c r="B185" s="21"/>
      <c r="C185" s="21"/>
      <c r="D185" s="21"/>
      <c r="E185" s="23" t="s">
        <v>93</v>
      </c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>
        <v>1</v>
      </c>
      <c r="Q185" s="21">
        <v>3.3050000000000002</v>
      </c>
      <c r="R185" s="21">
        <v>0.22</v>
      </c>
      <c r="S185" s="21">
        <v>0.4</v>
      </c>
      <c r="T185" s="21">
        <v>1</v>
      </c>
      <c r="U185" s="23">
        <f t="shared" ref="U185:U197" si="8">PRODUCT(P185:T185)</f>
        <v>0.29083999999999999</v>
      </c>
      <c r="V185" s="21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 s="20"/>
      <c r="BF185" s="20"/>
      <c r="BG185"/>
    </row>
    <row r="186" spans="1:59">
      <c r="A186" s="21"/>
      <c r="B186" s="21"/>
      <c r="C186" s="21"/>
      <c r="D186" s="21"/>
      <c r="E186" s="23" t="s">
        <v>94</v>
      </c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>
        <v>1</v>
      </c>
      <c r="Q186" s="21">
        <v>3.6949999999999998</v>
      </c>
      <c r="R186" s="21">
        <v>0.22</v>
      </c>
      <c r="S186" s="21">
        <v>0.4</v>
      </c>
      <c r="T186" s="21">
        <v>1</v>
      </c>
      <c r="U186" s="23">
        <f t="shared" si="8"/>
        <v>0.32516</v>
      </c>
      <c r="V186" s="21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 s="20"/>
      <c r="BF186" s="20"/>
      <c r="BG186"/>
    </row>
    <row r="187" spans="1:59">
      <c r="A187" s="21"/>
      <c r="B187" s="21"/>
      <c r="C187" s="21"/>
      <c r="D187" s="21"/>
      <c r="E187" s="23" t="s">
        <v>39</v>
      </c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>
        <v>1</v>
      </c>
      <c r="Q187" s="21">
        <v>0.35</v>
      </c>
      <c r="R187" s="21">
        <v>0.22</v>
      </c>
      <c r="S187" s="21">
        <v>0.4</v>
      </c>
      <c r="T187" s="21">
        <v>1</v>
      </c>
      <c r="U187" s="21">
        <f t="shared" si="8"/>
        <v>3.0800000000000001E-2</v>
      </c>
      <c r="V187" s="21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 s="20"/>
      <c r="BF187" s="20"/>
      <c r="BG187"/>
    </row>
    <row r="188" spans="1:59">
      <c r="A188" s="21"/>
      <c r="B188" s="21"/>
      <c r="C188" s="21"/>
      <c r="D188" s="21"/>
      <c r="E188" s="22" t="s">
        <v>106</v>
      </c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>
        <v>1</v>
      </c>
      <c r="Q188" s="21">
        <v>0.22</v>
      </c>
      <c r="R188" s="21">
        <v>0.22</v>
      </c>
      <c r="S188" s="21">
        <v>0.4</v>
      </c>
      <c r="T188" s="21">
        <v>1</v>
      </c>
      <c r="U188" s="21">
        <f t="shared" si="8"/>
        <v>1.9359999999999999E-2</v>
      </c>
      <c r="V188" s="22">
        <f>SUM(U189:U190)</f>
        <v>0.36784</v>
      </c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 s="20"/>
      <c r="BF188" s="20"/>
      <c r="BG188"/>
    </row>
    <row r="189" spans="1:59">
      <c r="A189" s="21"/>
      <c r="B189" s="21"/>
      <c r="C189" s="21"/>
      <c r="D189" s="21"/>
      <c r="E189" s="23" t="s">
        <v>96</v>
      </c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>
        <v>1</v>
      </c>
      <c r="Q189" s="21">
        <v>3.96</v>
      </c>
      <c r="R189" s="21">
        <v>0.22</v>
      </c>
      <c r="S189" s="21">
        <v>0.4</v>
      </c>
      <c r="T189" s="21">
        <v>1</v>
      </c>
      <c r="U189" s="23">
        <f t="shared" si="8"/>
        <v>0.34848000000000001</v>
      </c>
      <c r="V189" s="21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 s="20"/>
      <c r="BF189" s="20"/>
      <c r="BG189"/>
    </row>
    <row r="190" spans="1:59">
      <c r="A190" s="21"/>
      <c r="B190" s="21"/>
      <c r="C190" s="21"/>
      <c r="D190" s="21"/>
      <c r="E190" s="23" t="s">
        <v>39</v>
      </c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>
        <v>1</v>
      </c>
      <c r="Q190" s="21">
        <v>0.22</v>
      </c>
      <c r="R190" s="21">
        <v>0.22</v>
      </c>
      <c r="S190" s="21">
        <v>0.4</v>
      </c>
      <c r="T190" s="21">
        <v>1</v>
      </c>
      <c r="U190" s="21">
        <f t="shared" si="8"/>
        <v>1.9359999999999999E-2</v>
      </c>
      <c r="V190" s="21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 s="20"/>
      <c r="BF190" s="20"/>
      <c r="BG190"/>
    </row>
    <row r="191" spans="1:59">
      <c r="A191" s="21"/>
      <c r="B191" s="21"/>
      <c r="C191" s="21"/>
      <c r="D191" s="21"/>
      <c r="E191" s="22" t="s">
        <v>107</v>
      </c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>
        <v>1</v>
      </c>
      <c r="Q191" s="21">
        <v>0.35</v>
      </c>
      <c r="R191" s="21">
        <v>0.22</v>
      </c>
      <c r="S191" s="21">
        <v>0.4</v>
      </c>
      <c r="T191" s="21">
        <v>1</v>
      </c>
      <c r="U191" s="21">
        <f t="shared" si="8"/>
        <v>3.0800000000000001E-2</v>
      </c>
      <c r="V191" s="22">
        <f>SUM(U192:U195)</f>
        <v>0.71653999999999995</v>
      </c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 s="20"/>
      <c r="BF191" s="20"/>
      <c r="BG191"/>
    </row>
    <row r="192" spans="1:59">
      <c r="A192" s="21"/>
      <c r="B192" s="21"/>
      <c r="C192" s="21"/>
      <c r="D192" s="21"/>
      <c r="E192" s="23" t="s">
        <v>98</v>
      </c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>
        <v>1</v>
      </c>
      <c r="Q192" s="21">
        <v>1.48</v>
      </c>
      <c r="R192" s="21">
        <v>0.22</v>
      </c>
      <c r="S192" s="21">
        <v>0.35</v>
      </c>
      <c r="T192" s="21">
        <v>1</v>
      </c>
      <c r="U192" s="23">
        <f t="shared" si="8"/>
        <v>0.11396000000000001</v>
      </c>
      <c r="V192" s="21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 s="20"/>
      <c r="BF192" s="20"/>
      <c r="BG192"/>
    </row>
    <row r="193" spans="1:59">
      <c r="A193" s="21"/>
      <c r="B193" s="21"/>
      <c r="C193" s="21"/>
      <c r="D193" s="21"/>
      <c r="E193" s="23" t="s">
        <v>99</v>
      </c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>
        <v>1</v>
      </c>
      <c r="Q193" s="21">
        <v>3.8</v>
      </c>
      <c r="R193" s="21">
        <v>0.22</v>
      </c>
      <c r="S193" s="21">
        <v>0.35</v>
      </c>
      <c r="T193" s="21">
        <v>1</v>
      </c>
      <c r="U193" s="23">
        <f t="shared" si="8"/>
        <v>0.29260000000000003</v>
      </c>
      <c r="V193" s="21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 s="20"/>
      <c r="BF193" s="20"/>
      <c r="BG193"/>
    </row>
    <row r="194" spans="1:59">
      <c r="A194" s="21"/>
      <c r="B194" s="21"/>
      <c r="C194" s="21"/>
      <c r="D194" s="21"/>
      <c r="E194" s="23" t="s">
        <v>100</v>
      </c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>
        <v>1</v>
      </c>
      <c r="Q194" s="21">
        <v>3.33</v>
      </c>
      <c r="R194" s="21">
        <v>0.22</v>
      </c>
      <c r="S194" s="21">
        <v>0.4</v>
      </c>
      <c r="T194" s="21">
        <v>1</v>
      </c>
      <c r="U194" s="23">
        <f t="shared" si="8"/>
        <v>0.29304000000000002</v>
      </c>
      <c r="V194" s="21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 s="20"/>
      <c r="BF194" s="20"/>
      <c r="BG194"/>
    </row>
    <row r="195" spans="1:59">
      <c r="A195" s="21"/>
      <c r="B195" s="21"/>
      <c r="C195" s="21"/>
      <c r="D195" s="21"/>
      <c r="E195" s="23" t="s">
        <v>39</v>
      </c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>
        <v>1</v>
      </c>
      <c r="Q195" s="21">
        <v>0.22</v>
      </c>
      <c r="R195" s="21">
        <v>0.22</v>
      </c>
      <c r="S195" s="21">
        <v>0.35</v>
      </c>
      <c r="T195" s="21">
        <v>1</v>
      </c>
      <c r="U195" s="21">
        <f t="shared" si="8"/>
        <v>1.694E-2</v>
      </c>
      <c r="V195" s="21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 s="20"/>
      <c r="BF195" s="20"/>
      <c r="BG195"/>
    </row>
    <row r="196" spans="1:59">
      <c r="A196" s="21"/>
      <c r="B196" s="21"/>
      <c r="C196" s="21"/>
      <c r="D196" s="21"/>
      <c r="E196" s="22" t="s">
        <v>108</v>
      </c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>
        <v>1</v>
      </c>
      <c r="Q196" s="21">
        <v>0.22</v>
      </c>
      <c r="R196" s="21">
        <v>0.22</v>
      </c>
      <c r="S196" s="21">
        <v>0.35</v>
      </c>
      <c r="T196" s="21">
        <v>1</v>
      </c>
      <c r="U196" s="21">
        <f t="shared" si="8"/>
        <v>1.694E-2</v>
      </c>
      <c r="V196" s="22">
        <f>SUM(U197:U197)</f>
        <v>1.5599999999999999E-2</v>
      </c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 s="20"/>
      <c r="BF196" s="20"/>
      <c r="BG196"/>
    </row>
    <row r="197" spans="1:59">
      <c r="A197" s="21"/>
      <c r="B197" s="21"/>
      <c r="C197" s="21"/>
      <c r="D197" s="21"/>
      <c r="E197" s="23" t="s">
        <v>109</v>
      </c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>
        <v>1</v>
      </c>
      <c r="Q197" s="21">
        <v>1.56</v>
      </c>
      <c r="R197" s="21">
        <v>0.1</v>
      </c>
      <c r="S197" s="21">
        <v>0.1</v>
      </c>
      <c r="T197" s="21">
        <v>1</v>
      </c>
      <c r="U197" s="23">
        <f t="shared" si="8"/>
        <v>1.5599999999999999E-2</v>
      </c>
      <c r="V197" s="21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 s="20"/>
      <c r="BF197" s="20"/>
      <c r="BG197"/>
    </row>
    <row r="198" spans="1:59">
      <c r="A198" s="21"/>
      <c r="B198" s="21"/>
      <c r="C198" s="21"/>
      <c r="D198" s="21"/>
      <c r="E198" s="22" t="s">
        <v>110</v>
      </c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2">
        <f>SUM(U199:U200)</f>
        <v>0.30953999999999998</v>
      </c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 s="20"/>
      <c r="BF198" s="20"/>
      <c r="BG198"/>
    </row>
    <row r="199" spans="1:59">
      <c r="A199" s="21"/>
      <c r="B199" s="21"/>
      <c r="C199" s="21"/>
      <c r="D199" s="21"/>
      <c r="E199" s="23" t="s">
        <v>102</v>
      </c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>
        <v>1</v>
      </c>
      <c r="Q199" s="21">
        <v>3.8</v>
      </c>
      <c r="R199" s="21">
        <v>0.22</v>
      </c>
      <c r="S199" s="21">
        <v>0.35</v>
      </c>
      <c r="T199" s="21">
        <v>1</v>
      </c>
      <c r="U199" s="23">
        <f>PRODUCT(P199:T199)</f>
        <v>0.29260000000000003</v>
      </c>
      <c r="V199" s="21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 s="20"/>
      <c r="BF199" s="20"/>
      <c r="BG199"/>
    </row>
    <row r="200" spans="1:59">
      <c r="A200" s="21"/>
      <c r="B200" s="21"/>
      <c r="C200" s="21"/>
      <c r="D200" s="21"/>
      <c r="E200" s="23" t="s">
        <v>39</v>
      </c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>
        <v>1</v>
      </c>
      <c r="Q200" s="21">
        <v>0.22</v>
      </c>
      <c r="R200" s="21">
        <v>0.22</v>
      </c>
      <c r="S200" s="21">
        <v>0.35</v>
      </c>
      <c r="T200" s="21">
        <v>1</v>
      </c>
      <c r="U200" s="21">
        <f>PRODUCT(P200:T200)</f>
        <v>1.694E-2</v>
      </c>
      <c r="V200" s="21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 s="20"/>
      <c r="BF200" s="20"/>
      <c r="BG200"/>
    </row>
    <row r="201" spans="1:59">
      <c r="A201" s="21"/>
      <c r="B201" s="21"/>
      <c r="C201" s="21"/>
      <c r="D201" s="21"/>
      <c r="E201" s="22" t="s">
        <v>111</v>
      </c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>
        <v>1</v>
      </c>
      <c r="Q201" s="21">
        <v>0.22</v>
      </c>
      <c r="R201" s="21">
        <v>0.22</v>
      </c>
      <c r="S201" s="21">
        <v>0.35</v>
      </c>
      <c r="T201" s="21">
        <v>1</v>
      </c>
      <c r="U201" s="21">
        <f>PRODUCT(P201:T201)</f>
        <v>1.694E-2</v>
      </c>
      <c r="V201" s="22">
        <f>SUM(U202:U202)</f>
        <v>4.9599999999999998E-2</v>
      </c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 s="20"/>
      <c r="BF201" s="20"/>
      <c r="BG201"/>
    </row>
    <row r="202" spans="1:59">
      <c r="A202" s="24"/>
      <c r="B202" s="24"/>
      <c r="C202" s="24"/>
      <c r="D202" s="24"/>
      <c r="E202" s="25" t="s">
        <v>112</v>
      </c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>
        <v>1</v>
      </c>
      <c r="Q202" s="24">
        <v>4.96</v>
      </c>
      <c r="R202" s="24">
        <v>0.1</v>
      </c>
      <c r="S202" s="24">
        <v>0.1</v>
      </c>
      <c r="T202" s="24">
        <v>1</v>
      </c>
      <c r="U202" s="25">
        <f>PRODUCT(P202:T202)</f>
        <v>4.9599999999999998E-2</v>
      </c>
      <c r="V202" s="24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 s="20"/>
      <c r="BF202" s="20"/>
      <c r="BG202"/>
    </row>
    <row r="203" spans="1:59">
      <c r="A203" s="17"/>
      <c r="B203" s="17"/>
      <c r="C203" s="17"/>
      <c r="D203" s="17"/>
      <c r="E203" s="18" t="s">
        <v>44</v>
      </c>
      <c r="F203" s="17" t="s">
        <v>35</v>
      </c>
      <c r="G203" s="19">
        <f>SUM(U205:U263)</f>
        <v>0.83689565582747905</v>
      </c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8">
        <f>SUM(U205:U263)</f>
        <v>0.83689565582747905</v>
      </c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 s="20"/>
      <c r="BF203" s="20"/>
      <c r="BG203"/>
    </row>
    <row r="204" spans="1:59">
      <c r="A204" s="21"/>
      <c r="B204" s="21"/>
      <c r="C204" s="21"/>
      <c r="D204" s="21"/>
      <c r="E204" s="22" t="s">
        <v>33</v>
      </c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2">
        <f>SUM(U205:U205)</f>
        <v>3.492E-2</v>
      </c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 s="20"/>
      <c r="BF204" s="20"/>
      <c r="BG204"/>
    </row>
    <row r="205" spans="1:59">
      <c r="A205" s="21"/>
      <c r="B205" s="21"/>
      <c r="C205" s="21"/>
      <c r="D205" s="21"/>
      <c r="E205" s="23" t="s">
        <v>36</v>
      </c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>
        <v>1</v>
      </c>
      <c r="Q205" s="21">
        <v>3.88</v>
      </c>
      <c r="R205" s="21">
        <v>0.22</v>
      </c>
      <c r="S205" s="21">
        <v>0.4</v>
      </c>
      <c r="T205" s="21">
        <v>0.01</v>
      </c>
      <c r="U205" s="23">
        <f>P205*Q205*(R205+S205*2-0.12-0)*T205</f>
        <v>3.492E-2</v>
      </c>
      <c r="V205" s="21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 s="20"/>
      <c r="BF205" s="20"/>
      <c r="BG205"/>
    </row>
    <row r="206" spans="1:59">
      <c r="A206" s="21"/>
      <c r="B206" s="21"/>
      <c r="C206" s="21"/>
      <c r="D206" s="21"/>
      <c r="E206" s="22" t="s">
        <v>41</v>
      </c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2">
        <f>SUM(U207:U207)</f>
        <v>6.0000000000000001E-3</v>
      </c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 s="20"/>
      <c r="BF206" s="20"/>
      <c r="BG206"/>
    </row>
    <row r="207" spans="1:59">
      <c r="A207" s="21"/>
      <c r="B207" s="21"/>
      <c r="C207" s="21"/>
      <c r="D207" s="21"/>
      <c r="E207" s="23" t="s">
        <v>43</v>
      </c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>
        <v>1</v>
      </c>
      <c r="Q207" s="21">
        <v>0.75</v>
      </c>
      <c r="R207" s="21">
        <v>0.22</v>
      </c>
      <c r="S207" s="21">
        <v>0.35</v>
      </c>
      <c r="T207" s="21">
        <v>0.01</v>
      </c>
      <c r="U207" s="23">
        <f>P207*Q207*(R207+S207*2-0.12-0)*T207</f>
        <v>6.0000000000000001E-3</v>
      </c>
      <c r="V207" s="21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 s="20"/>
      <c r="BF207" s="20"/>
      <c r="BG207"/>
    </row>
    <row r="208" spans="1:59">
      <c r="A208" s="21"/>
      <c r="B208" s="21"/>
      <c r="C208" s="21"/>
      <c r="D208" s="21"/>
      <c r="E208" s="22" t="s">
        <v>45</v>
      </c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2">
        <f>SUM(U209:U209)</f>
        <v>8.064E-3</v>
      </c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 s="20"/>
      <c r="BF208" s="20"/>
      <c r="BG208"/>
    </row>
    <row r="209" spans="1:59">
      <c r="A209" s="21"/>
      <c r="B209" s="21"/>
      <c r="C209" s="21"/>
      <c r="D209" s="21"/>
      <c r="E209" s="23" t="s">
        <v>103</v>
      </c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>
        <v>1</v>
      </c>
      <c r="Q209" s="21">
        <v>4.4800000000000004</v>
      </c>
      <c r="R209" s="21">
        <v>0.1</v>
      </c>
      <c r="S209" s="21">
        <v>0.1</v>
      </c>
      <c r="T209" s="21">
        <v>0.01</v>
      </c>
      <c r="U209" s="23">
        <f>P209*Q209*(R209+S209*2-0.12-0)*T209</f>
        <v>8.064E-3</v>
      </c>
      <c r="V209" s="21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 s="20"/>
      <c r="BF209" s="20"/>
      <c r="BG209"/>
    </row>
    <row r="210" spans="1:59">
      <c r="A210" s="21"/>
      <c r="B210" s="21"/>
      <c r="C210" s="21"/>
      <c r="D210" s="21"/>
      <c r="E210" s="22" t="s">
        <v>49</v>
      </c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2">
        <f>SUM(U211:U211)</f>
        <v>3.0342000000000001E-2</v>
      </c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 s="20"/>
      <c r="BF210" s="20"/>
      <c r="BG210"/>
    </row>
    <row r="211" spans="1:59">
      <c r="A211" s="21"/>
      <c r="B211" s="21"/>
      <c r="C211" s="21"/>
      <c r="D211" s="21"/>
      <c r="E211" s="23" t="s">
        <v>47</v>
      </c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>
        <v>1</v>
      </c>
      <c r="Q211" s="21">
        <v>3.89</v>
      </c>
      <c r="R211" s="21">
        <v>0.22</v>
      </c>
      <c r="S211" s="21">
        <v>0.4</v>
      </c>
      <c r="T211" s="21">
        <v>0.01</v>
      </c>
      <c r="U211" s="23">
        <f>P211*Q211*(R211+S211*2-0.12-0.12)*T211</f>
        <v>3.0342000000000001E-2</v>
      </c>
      <c r="V211" s="2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 s="20"/>
      <c r="BF211" s="20"/>
      <c r="BG211"/>
    </row>
    <row r="212" spans="1:59">
      <c r="A212" s="21"/>
      <c r="B212" s="21"/>
      <c r="C212" s="21"/>
      <c r="D212" s="21"/>
      <c r="E212" s="22" t="s">
        <v>62</v>
      </c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2">
        <f>SUM(U213:U213)</f>
        <v>2.6099999999999999E-3</v>
      </c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 s="20"/>
      <c r="BF212" s="20"/>
      <c r="BG212"/>
    </row>
    <row r="213" spans="1:59">
      <c r="A213" s="21"/>
      <c r="B213" s="21"/>
      <c r="C213" s="21"/>
      <c r="D213" s="21"/>
      <c r="E213" s="23" t="s">
        <v>104</v>
      </c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>
        <v>1</v>
      </c>
      <c r="Q213" s="21">
        <v>1.45</v>
      </c>
      <c r="R213" s="21">
        <v>0.1</v>
      </c>
      <c r="S213" s="21">
        <v>0.1</v>
      </c>
      <c r="T213" s="21">
        <v>0.01</v>
      </c>
      <c r="U213" s="23">
        <f>P213*Q213*(R213+S213*2-0.12-0)*T213</f>
        <v>2.6099999999999999E-3</v>
      </c>
      <c r="V213" s="21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 s="20"/>
      <c r="BF213" s="20"/>
      <c r="BG213"/>
    </row>
    <row r="214" spans="1:59">
      <c r="A214" s="21"/>
      <c r="B214" s="21"/>
      <c r="C214" s="21"/>
      <c r="D214" s="21"/>
      <c r="E214" s="22" t="s">
        <v>66</v>
      </c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2">
        <f>SUM(U215:U218)</f>
        <v>0.106726</v>
      </c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 s="20"/>
      <c r="BF214" s="20"/>
      <c r="BG214"/>
    </row>
    <row r="215" spans="1:59">
      <c r="A215" s="21"/>
      <c r="B215" s="21"/>
      <c r="C215" s="21"/>
      <c r="D215" s="21"/>
      <c r="E215" s="23" t="s">
        <v>51</v>
      </c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>
        <v>1</v>
      </c>
      <c r="Q215" s="21">
        <v>4.2699999999999996</v>
      </c>
      <c r="R215" s="21">
        <v>0.22</v>
      </c>
      <c r="S215" s="21">
        <v>0.4</v>
      </c>
      <c r="T215" s="21">
        <v>0.01</v>
      </c>
      <c r="U215" s="23">
        <f>P215*Q215*(R215+S215*2-0.12-0)*T215</f>
        <v>3.8429999999999999E-2</v>
      </c>
      <c r="V215" s="21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 s="20"/>
      <c r="BF215" s="20"/>
      <c r="BG215"/>
    </row>
    <row r="216" spans="1:59">
      <c r="A216" s="21"/>
      <c r="B216" s="21"/>
      <c r="C216" s="21"/>
      <c r="D216" s="21"/>
      <c r="E216" s="23" t="s">
        <v>53</v>
      </c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>
        <v>1</v>
      </c>
      <c r="Q216" s="21">
        <v>3.8149999999999999</v>
      </c>
      <c r="R216" s="21">
        <v>0.22</v>
      </c>
      <c r="S216" s="21">
        <v>0.4</v>
      </c>
      <c r="T216" s="21">
        <v>0.01</v>
      </c>
      <c r="U216" s="23">
        <f>P216*Q216*(R216+S216*2-0.12-0.12)*T216</f>
        <v>2.9756999999999999E-2</v>
      </c>
      <c r="V216" s="21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 s="20"/>
      <c r="BF216" s="20"/>
      <c r="BG216"/>
    </row>
    <row r="217" spans="1:59">
      <c r="A217" s="21"/>
      <c r="B217" s="21"/>
      <c r="C217" s="21"/>
      <c r="D217" s="21"/>
      <c r="E217" s="23" t="s">
        <v>55</v>
      </c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>
        <v>1</v>
      </c>
      <c r="Q217" s="21">
        <v>3.8250000000000002</v>
      </c>
      <c r="R217" s="21">
        <v>0.22</v>
      </c>
      <c r="S217" s="21">
        <v>0.4</v>
      </c>
      <c r="T217" s="21">
        <v>0.01</v>
      </c>
      <c r="U217" s="23">
        <f>P217*Q217*(R217+S217*2-0.12-0.12)*T217</f>
        <v>2.9835E-2</v>
      </c>
      <c r="V217" s="21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 s="20"/>
      <c r="BF217" s="20"/>
      <c r="BG217"/>
    </row>
    <row r="218" spans="1:59">
      <c r="A218" s="21"/>
      <c r="B218" s="21"/>
      <c r="C218" s="21"/>
      <c r="D218" s="21"/>
      <c r="E218" s="23" t="s">
        <v>57</v>
      </c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>
        <v>1</v>
      </c>
      <c r="Q218" s="21">
        <v>1.28</v>
      </c>
      <c r="R218" s="21">
        <v>0.22</v>
      </c>
      <c r="S218" s="21">
        <v>0.35</v>
      </c>
      <c r="T218" s="21">
        <v>0.01</v>
      </c>
      <c r="U218" s="23">
        <f>P218*Q218*(R218+S218*2-0.12-0.12)*T218</f>
        <v>8.7039999999999999E-3</v>
      </c>
      <c r="V218" s="21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 s="20"/>
      <c r="BF218" s="20"/>
      <c r="BG218"/>
    </row>
    <row r="219" spans="1:59">
      <c r="A219" s="21"/>
      <c r="B219" s="21"/>
      <c r="C219" s="21"/>
      <c r="D219" s="21"/>
      <c r="E219" s="22" t="s">
        <v>70</v>
      </c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2">
        <f>SUM(U220:U220)</f>
        <v>1.35E-2</v>
      </c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 s="20"/>
      <c r="BF219" s="20"/>
      <c r="BG219"/>
    </row>
    <row r="220" spans="1:59">
      <c r="A220" s="21"/>
      <c r="B220" s="21"/>
      <c r="C220" s="21"/>
      <c r="D220" s="21"/>
      <c r="E220" s="23" t="s">
        <v>64</v>
      </c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>
        <v>1</v>
      </c>
      <c r="Q220" s="21">
        <v>1.5</v>
      </c>
      <c r="R220" s="21">
        <v>0.22</v>
      </c>
      <c r="S220" s="21">
        <v>0.4</v>
      </c>
      <c r="T220" s="21">
        <v>0.01</v>
      </c>
      <c r="U220" s="23">
        <f>P220*Q220*(R220+S220*2-0.12-0)*T220</f>
        <v>1.35E-2</v>
      </c>
      <c r="V220" s="21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 s="20"/>
      <c r="BF220" s="20"/>
      <c r="BG220"/>
    </row>
    <row r="221" spans="1:59">
      <c r="A221" s="21"/>
      <c r="B221" s="21"/>
      <c r="C221" s="21"/>
      <c r="D221" s="21"/>
      <c r="E221" s="22" t="s">
        <v>73</v>
      </c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2">
        <f>SUM(U222:U224)</f>
        <v>5.6556000000000002E-2</v>
      </c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 s="20"/>
      <c r="BF221" s="20"/>
      <c r="BG221"/>
    </row>
    <row r="222" spans="1:59">
      <c r="A222" s="21"/>
      <c r="B222" s="21"/>
      <c r="C222" s="21"/>
      <c r="D222" s="21"/>
      <c r="E222" s="23" t="s">
        <v>67</v>
      </c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>
        <v>1</v>
      </c>
      <c r="Q222" s="21">
        <v>2.2799999999999998</v>
      </c>
      <c r="R222" s="21">
        <v>0.22</v>
      </c>
      <c r="S222" s="21">
        <v>0.4</v>
      </c>
      <c r="T222" s="21">
        <v>0.01</v>
      </c>
      <c r="U222" s="23">
        <f>P222*Q222*(R222+S222*2-0.12-0.12)*T222</f>
        <v>1.7784000000000001E-2</v>
      </c>
      <c r="V222" s="21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 s="20"/>
      <c r="BF222" s="20"/>
      <c r="BG222"/>
    </row>
    <row r="223" spans="1:59">
      <c r="A223" s="21"/>
      <c r="B223" s="21"/>
      <c r="C223" s="21"/>
      <c r="D223" s="21"/>
      <c r="E223" s="23" t="s">
        <v>68</v>
      </c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>
        <v>1</v>
      </c>
      <c r="Q223" s="21">
        <v>1.5</v>
      </c>
      <c r="R223" s="21">
        <v>0.22</v>
      </c>
      <c r="S223" s="21">
        <v>0.4</v>
      </c>
      <c r="T223" s="21">
        <v>0.01</v>
      </c>
      <c r="U223" s="23">
        <f>P223*Q223*(R223+S223*2-0.12-0)*T223</f>
        <v>1.35E-2</v>
      </c>
      <c r="V223" s="21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 s="20"/>
      <c r="BF223" s="20"/>
      <c r="BG223"/>
    </row>
    <row r="224" spans="1:59">
      <c r="A224" s="21"/>
      <c r="B224" s="21"/>
      <c r="C224" s="21"/>
      <c r="D224" s="21"/>
      <c r="E224" s="23" t="s">
        <v>69</v>
      </c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>
        <v>1</v>
      </c>
      <c r="Q224" s="21">
        <v>3.24</v>
      </c>
      <c r="R224" s="21">
        <v>0.22</v>
      </c>
      <c r="S224" s="21">
        <v>0.4</v>
      </c>
      <c r="T224" s="21">
        <v>0.01</v>
      </c>
      <c r="U224" s="23">
        <f>P224*Q224*(R224+S224*2-0.12-0.12)*T224</f>
        <v>2.5271999999999999E-2</v>
      </c>
      <c r="V224" s="21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 s="20"/>
      <c r="BF224" s="20"/>
      <c r="BG224"/>
    </row>
    <row r="225" spans="1:59">
      <c r="A225" s="21"/>
      <c r="B225" s="21"/>
      <c r="C225" s="21"/>
      <c r="D225" s="21"/>
      <c r="E225" s="22" t="s">
        <v>75</v>
      </c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2">
        <f>SUM(U226:U227)</f>
        <v>4.4038000000000001E-2</v>
      </c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 s="20"/>
      <c r="BF225" s="20"/>
      <c r="BG225"/>
    </row>
    <row r="226" spans="1:59">
      <c r="A226" s="21"/>
      <c r="B226" s="21"/>
      <c r="C226" s="21"/>
      <c r="D226" s="21"/>
      <c r="E226" s="23" t="s">
        <v>71</v>
      </c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>
        <v>1</v>
      </c>
      <c r="Q226" s="21">
        <v>4.53</v>
      </c>
      <c r="R226" s="21">
        <v>0.22</v>
      </c>
      <c r="S226" s="21">
        <v>0.4</v>
      </c>
      <c r="T226" s="21">
        <v>0.01</v>
      </c>
      <c r="U226" s="23">
        <f>P226*Q226*(R226+S226*2-0.12-0.12)*T226</f>
        <v>3.5333999999999997E-2</v>
      </c>
      <c r="V226" s="21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 s="20"/>
      <c r="BF226" s="20"/>
      <c r="BG226"/>
    </row>
    <row r="227" spans="1:59">
      <c r="A227" s="21"/>
      <c r="B227" s="21"/>
      <c r="C227" s="21"/>
      <c r="D227" s="21"/>
      <c r="E227" s="23" t="s">
        <v>72</v>
      </c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>
        <v>1</v>
      </c>
      <c r="Q227" s="21">
        <v>1.28</v>
      </c>
      <c r="R227" s="21">
        <v>0.22</v>
      </c>
      <c r="S227" s="21">
        <v>0.35</v>
      </c>
      <c r="T227" s="21">
        <v>0.01</v>
      </c>
      <c r="U227" s="23">
        <f>P227*Q227*(R227+S227*2-0.12-0.12)*T227</f>
        <v>8.7039999999999999E-3</v>
      </c>
      <c r="V227" s="21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 s="20"/>
      <c r="BF227" s="20"/>
      <c r="BG227"/>
    </row>
    <row r="228" spans="1:59">
      <c r="A228" s="21"/>
      <c r="B228" s="21"/>
      <c r="C228" s="21"/>
      <c r="D228" s="21"/>
      <c r="E228" s="22" t="s">
        <v>79</v>
      </c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2">
        <f>SUM(U229:U229)</f>
        <v>2.5271999999999999E-2</v>
      </c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 s="20"/>
      <c r="BF228" s="20"/>
      <c r="BG228"/>
    </row>
    <row r="229" spans="1:59">
      <c r="A229" s="21"/>
      <c r="B229" s="21"/>
      <c r="C229" s="21"/>
      <c r="D229" s="21"/>
      <c r="E229" s="23" t="s">
        <v>74</v>
      </c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>
        <v>1</v>
      </c>
      <c r="Q229" s="21">
        <v>3.24</v>
      </c>
      <c r="R229" s="21">
        <v>0.22</v>
      </c>
      <c r="S229" s="21">
        <v>0.4</v>
      </c>
      <c r="T229" s="21">
        <v>0.01</v>
      </c>
      <c r="U229" s="23">
        <f>P229*Q229*(R229+S229*2-0.12-0.12)*T229</f>
        <v>2.5271999999999999E-2</v>
      </c>
      <c r="V229" s="21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 s="20"/>
      <c r="BF229" s="20"/>
      <c r="BG229"/>
    </row>
    <row r="230" spans="1:59">
      <c r="A230" s="21"/>
      <c r="B230" s="21"/>
      <c r="C230" s="21"/>
      <c r="D230" s="21"/>
      <c r="E230" s="22" t="s">
        <v>82</v>
      </c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2">
        <f>SUM(U231:U231)</f>
        <v>3.4559999999999999E-3</v>
      </c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 s="20"/>
      <c r="BF230" s="20"/>
      <c r="BG230"/>
    </row>
    <row r="231" spans="1:59">
      <c r="A231" s="21"/>
      <c r="B231" s="21"/>
      <c r="C231" s="21"/>
      <c r="D231" s="21"/>
      <c r="E231" s="23" t="s">
        <v>105</v>
      </c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>
        <v>1</v>
      </c>
      <c r="Q231" s="21">
        <v>1.92</v>
      </c>
      <c r="R231" s="21">
        <v>0.1</v>
      </c>
      <c r="S231" s="21">
        <v>0.1</v>
      </c>
      <c r="T231" s="21">
        <v>0.01</v>
      </c>
      <c r="U231" s="23">
        <f>P231*Q231*(R231+S231*2-0.12-0)*T231</f>
        <v>3.4559999999999999E-3</v>
      </c>
      <c r="V231" s="2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 s="20"/>
      <c r="BF231" s="20"/>
      <c r="BG231"/>
    </row>
    <row r="232" spans="1:59">
      <c r="A232" s="21"/>
      <c r="B232" s="21"/>
      <c r="C232" s="21"/>
      <c r="D232" s="21"/>
      <c r="E232" s="22" t="s">
        <v>84</v>
      </c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2">
        <f>SUM(U233:U235)</f>
        <v>0.10323</v>
      </c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 s="20"/>
      <c r="BF232" s="20"/>
      <c r="BG232"/>
    </row>
    <row r="233" spans="1:59">
      <c r="A233" s="21"/>
      <c r="B233" s="21"/>
      <c r="C233" s="21"/>
      <c r="D233" s="21"/>
      <c r="E233" s="23" t="s">
        <v>76</v>
      </c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>
        <v>1</v>
      </c>
      <c r="Q233" s="21">
        <v>3.7</v>
      </c>
      <c r="R233" s="21">
        <v>0.22</v>
      </c>
      <c r="S233" s="21">
        <v>0.4</v>
      </c>
      <c r="T233" s="21">
        <v>0.01</v>
      </c>
      <c r="U233" s="23">
        <f>P233*Q233*(R233+S233*2-0.12-0)*T233</f>
        <v>3.3300000000000003E-2</v>
      </c>
      <c r="V233" s="21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 s="20"/>
      <c r="BF233" s="20"/>
      <c r="BG233"/>
    </row>
    <row r="234" spans="1:59">
      <c r="A234" s="21"/>
      <c r="B234" s="21"/>
      <c r="C234" s="21"/>
      <c r="D234" s="21"/>
      <c r="E234" s="23" t="s">
        <v>77</v>
      </c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>
        <v>1</v>
      </c>
      <c r="Q234" s="21">
        <v>3.24</v>
      </c>
      <c r="R234" s="21">
        <v>0.22</v>
      </c>
      <c r="S234" s="21">
        <v>0.4</v>
      </c>
      <c r="T234" s="21">
        <v>0.01</v>
      </c>
      <c r="U234" s="23">
        <f>P234*Q234*(R234+S234*2-0.12-0)*T234</f>
        <v>2.9159999999999998E-2</v>
      </c>
      <c r="V234" s="21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 s="20"/>
      <c r="BF234" s="20"/>
      <c r="BG234"/>
    </row>
    <row r="235" spans="1:59">
      <c r="A235" s="21"/>
      <c r="B235" s="21"/>
      <c r="C235" s="21"/>
      <c r="D235" s="21"/>
      <c r="E235" s="23" t="s">
        <v>78</v>
      </c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>
        <v>1</v>
      </c>
      <c r="Q235" s="21">
        <v>4.53</v>
      </c>
      <c r="R235" s="21">
        <v>0.22</v>
      </c>
      <c r="S235" s="21">
        <v>0.4</v>
      </c>
      <c r="T235" s="21">
        <v>0.01</v>
      </c>
      <c r="U235" s="23">
        <f>P235*Q235*(R235+S235*2-0.12-0)*T235</f>
        <v>4.0770000000000001E-2</v>
      </c>
      <c r="V235" s="21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 s="20"/>
      <c r="BF235" s="20"/>
      <c r="BG235"/>
    </row>
    <row r="236" spans="1:59">
      <c r="A236" s="21"/>
      <c r="B236" s="21"/>
      <c r="C236" s="21"/>
      <c r="D236" s="21"/>
      <c r="E236" s="22" t="s">
        <v>86</v>
      </c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2">
        <f>SUM(U237:U238)</f>
        <v>6.4351655827479398E-2</v>
      </c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 s="20"/>
      <c r="BF236" s="20"/>
      <c r="BG236"/>
    </row>
    <row r="237" spans="1:59">
      <c r="A237" s="21"/>
      <c r="B237" s="21"/>
      <c r="C237" s="21"/>
      <c r="D237" s="21"/>
      <c r="E237" s="23" t="s">
        <v>80</v>
      </c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>
        <v>1</v>
      </c>
      <c r="Q237" s="21">
        <v>3.3795175617067001</v>
      </c>
      <c r="R237" s="21">
        <v>0.22</v>
      </c>
      <c r="S237" s="21">
        <v>0.4</v>
      </c>
      <c r="T237" s="21">
        <v>0.01</v>
      </c>
      <c r="U237" s="23">
        <f>P237*Q237*(R237+S237*2-0.12-0)*T237</f>
        <v>3.0415658055360301E-2</v>
      </c>
      <c r="V237" s="21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 s="20"/>
      <c r="BF237" s="20"/>
      <c r="BG237"/>
    </row>
    <row r="238" spans="1:59">
      <c r="A238" s="21"/>
      <c r="B238" s="21"/>
      <c r="C238" s="21"/>
      <c r="D238" s="21"/>
      <c r="E238" s="23" t="s">
        <v>81</v>
      </c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>
        <v>1</v>
      </c>
      <c r="Q238" s="21">
        <v>3.7706664191243502</v>
      </c>
      <c r="R238" s="21">
        <v>0.22</v>
      </c>
      <c r="S238" s="21">
        <v>0.4</v>
      </c>
      <c r="T238" s="21">
        <v>0.01</v>
      </c>
      <c r="U238" s="23">
        <f>P238*Q238*(R238+S238*2-0.12-0)*T238</f>
        <v>3.39359977721191E-2</v>
      </c>
      <c r="V238" s="21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 s="20"/>
      <c r="BF238" s="20"/>
      <c r="BG238"/>
    </row>
    <row r="239" spans="1:59">
      <c r="A239" s="21"/>
      <c r="B239" s="21"/>
      <c r="C239" s="21"/>
      <c r="D239" s="21"/>
      <c r="E239" s="22" t="s">
        <v>90</v>
      </c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2">
        <f>SUM(U240:U240)</f>
        <v>1.6379999999999999E-2</v>
      </c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 s="20"/>
      <c r="BF239" s="20"/>
      <c r="BG239"/>
    </row>
    <row r="240" spans="1:59">
      <c r="A240" s="21"/>
      <c r="B240" s="21"/>
      <c r="C240" s="21"/>
      <c r="D240" s="21"/>
      <c r="E240" s="23" t="s">
        <v>83</v>
      </c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>
        <v>1</v>
      </c>
      <c r="Q240" s="21">
        <v>1.82</v>
      </c>
      <c r="R240" s="21">
        <v>0.22</v>
      </c>
      <c r="S240" s="21">
        <v>0.4</v>
      </c>
      <c r="T240" s="21">
        <v>0.01</v>
      </c>
      <c r="U240" s="23">
        <f>P240*Q240*(R240+S240*2-0.12-0)*T240</f>
        <v>1.6379999999999999E-2</v>
      </c>
      <c r="V240" s="21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 s="20"/>
      <c r="BF240" s="20"/>
      <c r="BG240"/>
    </row>
    <row r="241" spans="1:59">
      <c r="A241" s="21"/>
      <c r="B241" s="21"/>
      <c r="C241" s="21"/>
      <c r="D241" s="21"/>
      <c r="E241" s="22" t="s">
        <v>92</v>
      </c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2">
        <f>SUM(U242:U242)</f>
        <v>2.1440000000000001E-2</v>
      </c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 s="20"/>
      <c r="BF241" s="20"/>
      <c r="BG241"/>
    </row>
    <row r="242" spans="1:59">
      <c r="A242" s="21"/>
      <c r="B242" s="21"/>
      <c r="C242" s="21"/>
      <c r="D242" s="21"/>
      <c r="E242" s="23" t="s">
        <v>85</v>
      </c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>
        <v>1</v>
      </c>
      <c r="Q242" s="21">
        <v>2.68</v>
      </c>
      <c r="R242" s="21">
        <v>0.22</v>
      </c>
      <c r="S242" s="21">
        <v>0.35</v>
      </c>
      <c r="T242" s="21">
        <v>0.01</v>
      </c>
      <c r="U242" s="23">
        <f>P242*Q242*(R242+S242*2-0.12-0)*T242</f>
        <v>2.1440000000000001E-2</v>
      </c>
      <c r="V242" s="21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 s="20"/>
      <c r="BF242" s="20"/>
      <c r="BG242"/>
    </row>
    <row r="243" spans="1:59">
      <c r="A243" s="21"/>
      <c r="B243" s="21"/>
      <c r="C243" s="21"/>
      <c r="D243" s="21"/>
      <c r="E243" s="22" t="s">
        <v>95</v>
      </c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2">
        <f>SUM(U244:U246)</f>
        <v>8.8686000000000001E-2</v>
      </c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 s="20"/>
      <c r="BF243" s="20"/>
      <c r="BG243"/>
    </row>
    <row r="244" spans="1:59">
      <c r="A244" s="21"/>
      <c r="B244" s="21"/>
      <c r="C244" s="21"/>
      <c r="D244" s="21"/>
      <c r="E244" s="23" t="s">
        <v>87</v>
      </c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>
        <v>1</v>
      </c>
      <c r="Q244" s="21">
        <v>5.51</v>
      </c>
      <c r="R244" s="21">
        <v>0.22</v>
      </c>
      <c r="S244" s="21">
        <v>0.4</v>
      </c>
      <c r="T244" s="21">
        <v>0.01</v>
      </c>
      <c r="U244" s="23">
        <f>P244*Q244*(R244+S244*2-0.12-0.12)*T244</f>
        <v>4.2978000000000002E-2</v>
      </c>
      <c r="V244" s="21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 s="20"/>
      <c r="BF244" s="20"/>
      <c r="BG244"/>
    </row>
    <row r="245" spans="1:59">
      <c r="A245" s="21"/>
      <c r="B245" s="21"/>
      <c r="C245" s="21"/>
      <c r="D245" s="21"/>
      <c r="E245" s="23" t="s">
        <v>88</v>
      </c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>
        <v>1</v>
      </c>
      <c r="Q245" s="21">
        <v>1.82</v>
      </c>
      <c r="R245" s="21">
        <v>0.22</v>
      </c>
      <c r="S245" s="21">
        <v>0.4</v>
      </c>
      <c r="T245" s="21">
        <v>0.01</v>
      </c>
      <c r="U245" s="23">
        <f>P245*Q245*(R245+S245*2-0.12-0)*T245</f>
        <v>1.6379999999999999E-2</v>
      </c>
      <c r="V245" s="21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 s="20"/>
      <c r="BF245" s="20"/>
      <c r="BG245"/>
    </row>
    <row r="246" spans="1:59">
      <c r="A246" s="21"/>
      <c r="B246" s="21"/>
      <c r="C246" s="21"/>
      <c r="D246" s="21"/>
      <c r="E246" s="23" t="s">
        <v>89</v>
      </c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>
        <v>1</v>
      </c>
      <c r="Q246" s="21">
        <v>3.76</v>
      </c>
      <c r="R246" s="21">
        <v>0.22</v>
      </c>
      <c r="S246" s="21">
        <v>0.4</v>
      </c>
      <c r="T246" s="21">
        <v>0.01</v>
      </c>
      <c r="U246" s="23">
        <f>P246*Q246*(R246+S246*2-0.12-0.12)*T246</f>
        <v>2.9328E-2</v>
      </c>
      <c r="V246" s="21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 s="20"/>
      <c r="BF246" s="20"/>
      <c r="BG246"/>
    </row>
    <row r="247" spans="1:59">
      <c r="A247" s="21"/>
      <c r="B247" s="21"/>
      <c r="C247" s="21"/>
      <c r="D247" s="21"/>
      <c r="E247" s="22" t="s">
        <v>97</v>
      </c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2">
        <f>SUM(U248:U248)</f>
        <v>2.2386E-2</v>
      </c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 s="20"/>
      <c r="BF247" s="20"/>
      <c r="BG247"/>
    </row>
    <row r="248" spans="1:59">
      <c r="A248" s="21"/>
      <c r="B248" s="21"/>
      <c r="C248" s="21"/>
      <c r="D248" s="21"/>
      <c r="E248" s="23" t="s">
        <v>91</v>
      </c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>
        <v>1</v>
      </c>
      <c r="Q248" s="21">
        <v>2.87</v>
      </c>
      <c r="R248" s="21">
        <v>0.22</v>
      </c>
      <c r="S248" s="21">
        <v>0.4</v>
      </c>
      <c r="T248" s="21">
        <v>0.01</v>
      </c>
      <c r="U248" s="23">
        <f>P248*Q248*(R248+S248*2-0.12-0.12)*T248</f>
        <v>2.2386E-2</v>
      </c>
      <c r="V248" s="21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 s="20"/>
      <c r="BF248" s="20"/>
      <c r="BG248"/>
    </row>
    <row r="249" spans="1:59">
      <c r="A249" s="21"/>
      <c r="B249" s="21"/>
      <c r="C249" s="21"/>
      <c r="D249" s="21"/>
      <c r="E249" s="22" t="s">
        <v>101</v>
      </c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2">
        <f>SUM(U250:U251)</f>
        <v>5.4600000000000003E-2</v>
      </c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 s="20"/>
      <c r="BF249" s="20"/>
      <c r="BG249"/>
    </row>
    <row r="250" spans="1:59">
      <c r="A250" s="21"/>
      <c r="B250" s="21"/>
      <c r="C250" s="21"/>
      <c r="D250" s="21"/>
      <c r="E250" s="23" t="s">
        <v>93</v>
      </c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>
        <v>1</v>
      </c>
      <c r="Q250" s="21">
        <v>3.3050000000000002</v>
      </c>
      <c r="R250" s="21">
        <v>0.22</v>
      </c>
      <c r="S250" s="21">
        <v>0.4</v>
      </c>
      <c r="T250" s="21">
        <v>0.01</v>
      </c>
      <c r="U250" s="23">
        <f>P250*Q250*(R250+S250*2-0.12-0.12)*T250</f>
        <v>2.5779E-2</v>
      </c>
      <c r="V250" s="21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 s="20"/>
      <c r="BF250" s="20"/>
      <c r="BG250"/>
    </row>
    <row r="251" spans="1:59">
      <c r="A251" s="21"/>
      <c r="B251" s="21"/>
      <c r="C251" s="21"/>
      <c r="D251" s="21"/>
      <c r="E251" s="23" t="s">
        <v>94</v>
      </c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>
        <v>1</v>
      </c>
      <c r="Q251" s="21">
        <v>3.6949999999999998</v>
      </c>
      <c r="R251" s="21">
        <v>0.22</v>
      </c>
      <c r="S251" s="21">
        <v>0.4</v>
      </c>
      <c r="T251" s="21">
        <v>0.01</v>
      </c>
      <c r="U251" s="23">
        <f>P251*Q251*(R251+S251*2-0.12-0.12)*T251</f>
        <v>2.8820999999999999E-2</v>
      </c>
      <c r="V251" s="2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 s="20"/>
      <c r="BF251" s="20"/>
      <c r="BG251"/>
    </row>
    <row r="252" spans="1:59">
      <c r="A252" s="21"/>
      <c r="B252" s="21"/>
      <c r="C252" s="21"/>
      <c r="D252" s="21"/>
      <c r="E252" s="22" t="s">
        <v>106</v>
      </c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2">
        <f>SUM(U253:U253)</f>
        <v>3.0887999999999999E-2</v>
      </c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 s="20"/>
      <c r="BF252" s="20"/>
      <c r="BG252"/>
    </row>
    <row r="253" spans="1:59">
      <c r="A253" s="21"/>
      <c r="B253" s="21"/>
      <c r="C253" s="21"/>
      <c r="D253" s="21"/>
      <c r="E253" s="23" t="s">
        <v>96</v>
      </c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>
        <v>1</v>
      </c>
      <c r="Q253" s="21">
        <v>3.96</v>
      </c>
      <c r="R253" s="21">
        <v>0.22</v>
      </c>
      <c r="S253" s="21">
        <v>0.4</v>
      </c>
      <c r="T253" s="21">
        <v>0.01</v>
      </c>
      <c r="U253" s="23">
        <f>P253*Q253*(R253+S253*2-0.12-0.12)*T253</f>
        <v>3.0887999999999999E-2</v>
      </c>
      <c r="V253" s="21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 s="20"/>
      <c r="BF253" s="20"/>
      <c r="BG253"/>
    </row>
    <row r="254" spans="1:59">
      <c r="A254" s="21"/>
      <c r="B254" s="21"/>
      <c r="C254" s="21"/>
      <c r="D254" s="21"/>
      <c r="E254" s="22" t="s">
        <v>107</v>
      </c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2">
        <f>SUM(U255:U257)</f>
        <v>6.5874000000000002E-2</v>
      </c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 s="20"/>
      <c r="BF254" s="20"/>
      <c r="BG254"/>
    </row>
    <row r="255" spans="1:59">
      <c r="A255" s="21"/>
      <c r="B255" s="21"/>
      <c r="C255" s="21"/>
      <c r="D255" s="21"/>
      <c r="E255" s="23" t="s">
        <v>98</v>
      </c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>
        <v>1</v>
      </c>
      <c r="Q255" s="21">
        <v>1.48</v>
      </c>
      <c r="R255" s="21">
        <v>0.22</v>
      </c>
      <c r="S255" s="21">
        <v>0.35</v>
      </c>
      <c r="T255" s="21">
        <v>0.01</v>
      </c>
      <c r="U255" s="23">
        <f>P255*Q255*(R255+S255*2-0.12-0.12)*T255</f>
        <v>1.0064E-2</v>
      </c>
      <c r="V255" s="21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 s="20"/>
      <c r="BF255" s="20"/>
      <c r="BG255"/>
    </row>
    <row r="256" spans="1:59">
      <c r="A256" s="21"/>
      <c r="B256" s="21"/>
      <c r="C256" s="21"/>
      <c r="D256" s="21"/>
      <c r="E256" s="23" t="s">
        <v>99</v>
      </c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>
        <v>1</v>
      </c>
      <c r="Q256" s="21">
        <v>3.8</v>
      </c>
      <c r="R256" s="21">
        <v>0.22</v>
      </c>
      <c r="S256" s="21">
        <v>0.35</v>
      </c>
      <c r="T256" s="21">
        <v>0.01</v>
      </c>
      <c r="U256" s="23">
        <f>P256*Q256*(R256+S256*2-0.12-0.12)*T256</f>
        <v>2.5839999999999998E-2</v>
      </c>
      <c r="V256" s="21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 s="20"/>
      <c r="BF256" s="20"/>
      <c r="BG256"/>
    </row>
    <row r="257" spans="1:59">
      <c r="A257" s="21"/>
      <c r="B257" s="21"/>
      <c r="C257" s="21"/>
      <c r="D257" s="21"/>
      <c r="E257" s="23" t="s">
        <v>100</v>
      </c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>
        <v>1</v>
      </c>
      <c r="Q257" s="21">
        <v>3.33</v>
      </c>
      <c r="R257" s="21">
        <v>0.22</v>
      </c>
      <c r="S257" s="21">
        <v>0.4</v>
      </c>
      <c r="T257" s="21">
        <v>0.01</v>
      </c>
      <c r="U257" s="23">
        <f>P257*Q257*(R257+S257*2-0.12-0)*T257</f>
        <v>2.997E-2</v>
      </c>
      <c r="V257" s="21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 s="20"/>
      <c r="BF257" s="20"/>
      <c r="BG257"/>
    </row>
    <row r="258" spans="1:59">
      <c r="A258" s="21"/>
      <c r="B258" s="21"/>
      <c r="C258" s="21"/>
      <c r="D258" s="21"/>
      <c r="E258" s="22" t="s">
        <v>108</v>
      </c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2">
        <f>SUM(U259:U259)</f>
        <v>2.8080000000000002E-3</v>
      </c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 s="20"/>
      <c r="BF258" s="20"/>
      <c r="BG258"/>
    </row>
    <row r="259" spans="1:59">
      <c r="A259" s="21"/>
      <c r="B259" s="21"/>
      <c r="C259" s="21"/>
      <c r="D259" s="21"/>
      <c r="E259" s="23" t="s">
        <v>109</v>
      </c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>
        <v>1</v>
      </c>
      <c r="Q259" s="21">
        <v>1.56</v>
      </c>
      <c r="R259" s="21">
        <v>0.1</v>
      </c>
      <c r="S259" s="21">
        <v>0.1</v>
      </c>
      <c r="T259" s="21">
        <v>0.01</v>
      </c>
      <c r="U259" s="23">
        <f>P259*Q259*(R259+S259*2-0.12-0)*T259</f>
        <v>2.8080000000000002E-3</v>
      </c>
      <c r="V259" s="21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 s="20"/>
      <c r="BF259" s="20"/>
      <c r="BG259"/>
    </row>
    <row r="260" spans="1:59">
      <c r="A260" s="21"/>
      <c r="B260" s="21"/>
      <c r="C260" s="21"/>
      <c r="D260" s="21"/>
      <c r="E260" s="22" t="s">
        <v>110</v>
      </c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2">
        <f>SUM(U261:U261)</f>
        <v>2.5839999999999998E-2</v>
      </c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 s="20"/>
      <c r="BF260" s="20"/>
      <c r="BG260"/>
    </row>
    <row r="261" spans="1:59">
      <c r="A261" s="21"/>
      <c r="B261" s="21"/>
      <c r="C261" s="21"/>
      <c r="D261" s="21"/>
      <c r="E261" s="23" t="s">
        <v>102</v>
      </c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>
        <v>1</v>
      </c>
      <c r="Q261" s="21">
        <v>3.8</v>
      </c>
      <c r="R261" s="21">
        <v>0.22</v>
      </c>
      <c r="S261" s="21">
        <v>0.35</v>
      </c>
      <c r="T261" s="21">
        <v>0.01</v>
      </c>
      <c r="U261" s="23">
        <f>P261*Q261*(R261+S261*2-0.12-0.12)*T261</f>
        <v>2.5839999999999998E-2</v>
      </c>
      <c r="V261" s="2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 s="20"/>
      <c r="BF261" s="20"/>
      <c r="BG261"/>
    </row>
    <row r="262" spans="1:59">
      <c r="A262" s="21"/>
      <c r="B262" s="21"/>
      <c r="C262" s="21"/>
      <c r="D262" s="21"/>
      <c r="E262" s="22" t="s">
        <v>111</v>
      </c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2">
        <f>SUM(U263:U263)</f>
        <v>8.9280000000000002E-3</v>
      </c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 s="20"/>
      <c r="BF262" s="20"/>
      <c r="BG262"/>
    </row>
    <row r="263" spans="1:59">
      <c r="A263" s="24"/>
      <c r="B263" s="24"/>
      <c r="C263" s="24"/>
      <c r="D263" s="24"/>
      <c r="E263" s="25" t="s">
        <v>112</v>
      </c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>
        <v>1</v>
      </c>
      <c r="Q263" s="24">
        <v>4.96</v>
      </c>
      <c r="R263" s="24">
        <v>0.1</v>
      </c>
      <c r="S263" s="24">
        <v>0.1</v>
      </c>
      <c r="T263" s="24">
        <v>0.01</v>
      </c>
      <c r="U263" s="25">
        <f>P263*Q263*(R263+S263*2-0.12-0)*T263</f>
        <v>8.9280000000000002E-3</v>
      </c>
      <c r="V263" s="24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 s="20"/>
      <c r="BF263" s="20"/>
      <c r="BG263"/>
    </row>
    <row r="264" spans="1:59">
      <c r="A264" s="17"/>
      <c r="B264" s="17"/>
      <c r="C264" s="17"/>
      <c r="D264" s="17"/>
      <c r="E264" s="18" t="s">
        <v>52</v>
      </c>
      <c r="F264" s="17" t="s">
        <v>32</v>
      </c>
      <c r="G264" s="19">
        <f>SUM(U266:U317)</f>
        <v>7.8298161903131298</v>
      </c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8">
        <f>SUM(U266:U317)</f>
        <v>7.8298161903131298</v>
      </c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 s="20"/>
      <c r="BF264" s="20"/>
      <c r="BG264"/>
    </row>
    <row r="265" spans="1:59">
      <c r="A265" s="21"/>
      <c r="B265" s="21"/>
      <c r="C265" s="21"/>
      <c r="D265" s="21"/>
      <c r="E265" s="22" t="s">
        <v>33</v>
      </c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2">
        <f>SUM(U266:U267)</f>
        <v>0.36080000000000001</v>
      </c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 s="20"/>
      <c r="BF265" s="20"/>
      <c r="BG265"/>
    </row>
    <row r="266" spans="1:59">
      <c r="A266" s="21"/>
      <c r="B266" s="21"/>
      <c r="C266" s="21"/>
      <c r="D266" s="21"/>
      <c r="E266" s="23" t="s">
        <v>36</v>
      </c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>
        <v>1</v>
      </c>
      <c r="Q266" s="21">
        <v>3.88</v>
      </c>
      <c r="R266" s="21">
        <v>0.22</v>
      </c>
      <c r="S266" s="21">
        <v>0.4</v>
      </c>
      <c r="T266" s="21">
        <v>1</v>
      </c>
      <c r="U266" s="23">
        <f t="shared" ref="U266:U285" si="9">PRODUCT(P266:T266)</f>
        <v>0.34144000000000002</v>
      </c>
      <c r="V266" s="21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 s="20"/>
      <c r="BF266" s="20"/>
      <c r="BG266"/>
    </row>
    <row r="267" spans="1:59">
      <c r="A267" s="21"/>
      <c r="B267" s="21"/>
      <c r="C267" s="21"/>
      <c r="D267" s="21"/>
      <c r="E267" s="23" t="s">
        <v>39</v>
      </c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>
        <v>1</v>
      </c>
      <c r="Q267" s="21">
        <v>0.22</v>
      </c>
      <c r="R267" s="21">
        <v>0.22</v>
      </c>
      <c r="S267" s="21">
        <v>0.4</v>
      </c>
      <c r="T267" s="21">
        <v>1</v>
      </c>
      <c r="U267" s="21">
        <f t="shared" si="9"/>
        <v>1.9359999999999999E-2</v>
      </c>
      <c r="V267" s="21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 s="20"/>
      <c r="BF267" s="20"/>
      <c r="BG267"/>
    </row>
    <row r="268" spans="1:59">
      <c r="A268" s="21"/>
      <c r="B268" s="21"/>
      <c r="C268" s="21"/>
      <c r="D268" s="21"/>
      <c r="E268" s="22" t="s">
        <v>41</v>
      </c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>
        <v>1</v>
      </c>
      <c r="Q268" s="21">
        <v>0.22</v>
      </c>
      <c r="R268" s="21">
        <v>0.22</v>
      </c>
      <c r="S268" s="21">
        <v>0.4</v>
      </c>
      <c r="T268" s="21">
        <v>1</v>
      </c>
      <c r="U268" s="21">
        <f t="shared" si="9"/>
        <v>1.9359999999999999E-2</v>
      </c>
      <c r="V268" s="22">
        <f>SUM(U269:U273)</f>
        <v>1.0982400000000001</v>
      </c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 s="20"/>
      <c r="BF268" s="20"/>
      <c r="BG268"/>
    </row>
    <row r="269" spans="1:59">
      <c r="A269" s="21"/>
      <c r="B269" s="21"/>
      <c r="C269" s="21"/>
      <c r="D269" s="21"/>
      <c r="E269" s="23" t="s">
        <v>51</v>
      </c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>
        <v>1</v>
      </c>
      <c r="Q269" s="21">
        <v>4.2699999999999996</v>
      </c>
      <c r="R269" s="21">
        <v>0.22</v>
      </c>
      <c r="S269" s="21">
        <v>0.4</v>
      </c>
      <c r="T269" s="21">
        <v>1</v>
      </c>
      <c r="U269" s="23">
        <f t="shared" si="9"/>
        <v>0.37575999999999998</v>
      </c>
      <c r="V269" s="21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 s="20"/>
      <c r="BF269" s="20"/>
      <c r="BG269"/>
    </row>
    <row r="270" spans="1:59">
      <c r="A270" s="21"/>
      <c r="B270" s="21"/>
      <c r="C270" s="21"/>
      <c r="D270" s="21"/>
      <c r="E270" s="23" t="s">
        <v>53</v>
      </c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>
        <v>1</v>
      </c>
      <c r="Q270" s="21">
        <v>3.88</v>
      </c>
      <c r="R270" s="21">
        <v>0.22</v>
      </c>
      <c r="S270" s="21">
        <v>0.4</v>
      </c>
      <c r="T270" s="21">
        <v>1</v>
      </c>
      <c r="U270" s="23">
        <f t="shared" si="9"/>
        <v>0.34144000000000002</v>
      </c>
      <c r="V270" s="21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 s="20"/>
      <c r="BF270" s="20"/>
      <c r="BG270"/>
    </row>
    <row r="271" spans="1:59">
      <c r="A271" s="21"/>
      <c r="B271" s="21"/>
      <c r="C271" s="21"/>
      <c r="D271" s="21"/>
      <c r="E271" s="23" t="s">
        <v>55</v>
      </c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>
        <v>1</v>
      </c>
      <c r="Q271" s="21">
        <v>3.89</v>
      </c>
      <c r="R271" s="21">
        <v>0.22</v>
      </c>
      <c r="S271" s="21">
        <v>0.4</v>
      </c>
      <c r="T271" s="21">
        <v>1</v>
      </c>
      <c r="U271" s="23">
        <f t="shared" si="9"/>
        <v>0.34232000000000001</v>
      </c>
      <c r="V271" s="2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 s="20"/>
      <c r="BF271" s="20"/>
      <c r="BG271"/>
    </row>
    <row r="272" spans="1:59">
      <c r="A272" s="21"/>
      <c r="B272" s="21"/>
      <c r="C272" s="21"/>
      <c r="D272" s="21"/>
      <c r="E272" s="23" t="s">
        <v>39</v>
      </c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>
        <v>1</v>
      </c>
      <c r="Q272" s="21">
        <v>0.22</v>
      </c>
      <c r="R272" s="21">
        <v>0.22</v>
      </c>
      <c r="S272" s="21">
        <v>0.4</v>
      </c>
      <c r="T272" s="21">
        <v>1</v>
      </c>
      <c r="U272" s="21">
        <f t="shared" si="9"/>
        <v>1.9359999999999999E-2</v>
      </c>
      <c r="V272" s="21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 s="20"/>
      <c r="BF272" s="20"/>
      <c r="BG272"/>
    </row>
    <row r="273" spans="1:59">
      <c r="A273" s="21"/>
      <c r="B273" s="21"/>
      <c r="C273" s="21"/>
      <c r="D273" s="21"/>
      <c r="E273" s="23" t="s">
        <v>39</v>
      </c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>
        <v>1</v>
      </c>
      <c r="Q273" s="21">
        <v>0.22</v>
      </c>
      <c r="R273" s="21">
        <v>0.22</v>
      </c>
      <c r="S273" s="21">
        <v>0.4</v>
      </c>
      <c r="T273" s="21">
        <v>1</v>
      </c>
      <c r="U273" s="21">
        <f t="shared" si="9"/>
        <v>1.9359999999999999E-2</v>
      </c>
      <c r="V273" s="21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 s="20"/>
      <c r="BF273" s="20"/>
      <c r="BG273"/>
    </row>
    <row r="274" spans="1:59">
      <c r="A274" s="21"/>
      <c r="B274" s="21"/>
      <c r="C274" s="21"/>
      <c r="D274" s="21"/>
      <c r="E274" s="22" t="s">
        <v>45</v>
      </c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>
        <v>1</v>
      </c>
      <c r="Q274" s="21">
        <v>0.22</v>
      </c>
      <c r="R274" s="21">
        <v>0.22</v>
      </c>
      <c r="S274" s="21">
        <v>0.4</v>
      </c>
      <c r="T274" s="21">
        <v>1</v>
      </c>
      <c r="U274" s="21">
        <f t="shared" si="9"/>
        <v>1.9359999999999999E-2</v>
      </c>
      <c r="V274" s="22">
        <f>SUM(U275:U276)</f>
        <v>0.15135999999999999</v>
      </c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 s="20"/>
      <c r="BF274" s="20"/>
      <c r="BG274"/>
    </row>
    <row r="275" spans="1:59">
      <c r="A275" s="21"/>
      <c r="B275" s="21"/>
      <c r="C275" s="21"/>
      <c r="D275" s="21"/>
      <c r="E275" s="23" t="s">
        <v>64</v>
      </c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>
        <v>1</v>
      </c>
      <c r="Q275" s="21">
        <v>1.5</v>
      </c>
      <c r="R275" s="21">
        <v>0.22</v>
      </c>
      <c r="S275" s="21">
        <v>0.4</v>
      </c>
      <c r="T275" s="21">
        <v>1</v>
      </c>
      <c r="U275" s="23">
        <f t="shared" si="9"/>
        <v>0.13200000000000001</v>
      </c>
      <c r="V275" s="21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 s="20"/>
      <c r="BF275" s="20"/>
      <c r="BG275"/>
    </row>
    <row r="276" spans="1:59">
      <c r="A276" s="21"/>
      <c r="B276" s="21"/>
      <c r="C276" s="21"/>
      <c r="D276" s="21"/>
      <c r="E276" s="23" t="s">
        <v>39</v>
      </c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>
        <v>1</v>
      </c>
      <c r="Q276" s="21">
        <v>0.22</v>
      </c>
      <c r="R276" s="21">
        <v>0.22</v>
      </c>
      <c r="S276" s="21">
        <v>0.4</v>
      </c>
      <c r="T276" s="21">
        <v>1</v>
      </c>
      <c r="U276" s="21">
        <f t="shared" si="9"/>
        <v>1.9359999999999999E-2</v>
      </c>
      <c r="V276" s="21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 s="20"/>
      <c r="BF276" s="20"/>
      <c r="BG276"/>
    </row>
    <row r="277" spans="1:59">
      <c r="A277" s="21"/>
      <c r="B277" s="21"/>
      <c r="C277" s="21"/>
      <c r="D277" s="21"/>
      <c r="E277" s="22" t="s">
        <v>49</v>
      </c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>
        <v>1</v>
      </c>
      <c r="Q277" s="21">
        <v>0.22</v>
      </c>
      <c r="R277" s="21">
        <v>0.22</v>
      </c>
      <c r="S277" s="21">
        <v>0.4</v>
      </c>
      <c r="T277" s="21">
        <v>1</v>
      </c>
      <c r="U277" s="21">
        <f t="shared" si="9"/>
        <v>1.9359999999999999E-2</v>
      </c>
      <c r="V277" s="22">
        <f>SUM(U278:U283)</f>
        <v>0.67584</v>
      </c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 s="20"/>
      <c r="BF277" s="20"/>
      <c r="BG277"/>
    </row>
    <row r="278" spans="1:59">
      <c r="A278" s="21"/>
      <c r="B278" s="21"/>
      <c r="C278" s="21"/>
      <c r="D278" s="21"/>
      <c r="E278" s="23" t="s">
        <v>67</v>
      </c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>
        <v>1</v>
      </c>
      <c r="Q278" s="21">
        <v>2.2799999999999998</v>
      </c>
      <c r="R278" s="21">
        <v>0.22</v>
      </c>
      <c r="S278" s="21">
        <v>0.4</v>
      </c>
      <c r="T278" s="21">
        <v>1</v>
      </c>
      <c r="U278" s="23">
        <f t="shared" si="9"/>
        <v>0.20064000000000001</v>
      </c>
      <c r="V278" s="21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 s="20"/>
      <c r="BF278" s="20"/>
      <c r="BG278"/>
    </row>
    <row r="279" spans="1:59">
      <c r="A279" s="21"/>
      <c r="B279" s="21"/>
      <c r="C279" s="21"/>
      <c r="D279" s="21"/>
      <c r="E279" s="23" t="s">
        <v>68</v>
      </c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>
        <v>1</v>
      </c>
      <c r="Q279" s="21">
        <v>1.5</v>
      </c>
      <c r="R279" s="21">
        <v>0.22</v>
      </c>
      <c r="S279" s="21">
        <v>0.4</v>
      </c>
      <c r="T279" s="21">
        <v>1</v>
      </c>
      <c r="U279" s="23">
        <f t="shared" si="9"/>
        <v>0.13200000000000001</v>
      </c>
      <c r="V279" s="21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 s="20"/>
      <c r="BF279" s="20"/>
      <c r="BG279"/>
    </row>
    <row r="280" spans="1:59">
      <c r="A280" s="21"/>
      <c r="B280" s="21"/>
      <c r="C280" s="21"/>
      <c r="D280" s="21"/>
      <c r="E280" s="23" t="s">
        <v>69</v>
      </c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>
        <v>1</v>
      </c>
      <c r="Q280" s="21">
        <v>3.24</v>
      </c>
      <c r="R280" s="21">
        <v>0.22</v>
      </c>
      <c r="S280" s="21">
        <v>0.4</v>
      </c>
      <c r="T280" s="21">
        <v>1</v>
      </c>
      <c r="U280" s="23">
        <f t="shared" si="9"/>
        <v>0.28511999999999998</v>
      </c>
      <c r="V280" s="21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 s="20"/>
      <c r="BF280" s="20"/>
      <c r="BG280"/>
    </row>
    <row r="281" spans="1:59">
      <c r="A281" s="21"/>
      <c r="B281" s="21"/>
      <c r="C281" s="21"/>
      <c r="D281" s="21"/>
      <c r="E281" s="23" t="s">
        <v>39</v>
      </c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>
        <v>1</v>
      </c>
      <c r="Q281" s="21">
        <v>0.22</v>
      </c>
      <c r="R281" s="21">
        <v>0.22</v>
      </c>
      <c r="S281" s="21">
        <v>0.4</v>
      </c>
      <c r="T281" s="21">
        <v>1</v>
      </c>
      <c r="U281" s="21">
        <f t="shared" si="9"/>
        <v>1.9359999999999999E-2</v>
      </c>
      <c r="V281" s="2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 s="20"/>
      <c r="BF281" s="20"/>
      <c r="BG281"/>
    </row>
    <row r="282" spans="1:59">
      <c r="A282" s="21"/>
      <c r="B282" s="21"/>
      <c r="C282" s="21"/>
      <c r="D282" s="21"/>
      <c r="E282" s="23" t="s">
        <v>39</v>
      </c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>
        <v>1</v>
      </c>
      <c r="Q282" s="21">
        <v>0.22</v>
      </c>
      <c r="R282" s="21">
        <v>0.22</v>
      </c>
      <c r="S282" s="21">
        <v>0.4</v>
      </c>
      <c r="T282" s="21">
        <v>1</v>
      </c>
      <c r="U282" s="21">
        <f t="shared" si="9"/>
        <v>1.9359999999999999E-2</v>
      </c>
      <c r="V282" s="21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 s="20"/>
      <c r="BF282" s="20"/>
      <c r="BG282"/>
    </row>
    <row r="283" spans="1:59">
      <c r="A283" s="21"/>
      <c r="B283" s="21"/>
      <c r="C283" s="21"/>
      <c r="D283" s="21"/>
      <c r="E283" s="23" t="s">
        <v>39</v>
      </c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>
        <v>1</v>
      </c>
      <c r="Q283" s="21">
        <v>0.22</v>
      </c>
      <c r="R283" s="21">
        <v>0.22</v>
      </c>
      <c r="S283" s="21">
        <v>0.4</v>
      </c>
      <c r="T283" s="21">
        <v>1</v>
      </c>
      <c r="U283" s="21">
        <f t="shared" si="9"/>
        <v>1.9359999999999999E-2</v>
      </c>
      <c r="V283" s="21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 s="20"/>
      <c r="BF283" s="20"/>
      <c r="BG283"/>
    </row>
    <row r="284" spans="1:59">
      <c r="A284" s="21"/>
      <c r="B284" s="21"/>
      <c r="C284" s="21"/>
      <c r="D284" s="21"/>
      <c r="E284" s="22" t="s">
        <v>62</v>
      </c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>
        <v>1</v>
      </c>
      <c r="Q284" s="21">
        <v>0.22</v>
      </c>
      <c r="R284" s="21">
        <v>0.22</v>
      </c>
      <c r="S284" s="21">
        <v>0.4</v>
      </c>
      <c r="T284" s="21">
        <v>1</v>
      </c>
      <c r="U284" s="21">
        <f t="shared" si="9"/>
        <v>1.9359999999999999E-2</v>
      </c>
      <c r="V284" s="22">
        <f>SUM(U285:U285)</f>
        <v>0.39863999999999999</v>
      </c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 s="20"/>
      <c r="BF284" s="20"/>
      <c r="BG284"/>
    </row>
    <row r="285" spans="1:59">
      <c r="A285" s="21"/>
      <c r="B285" s="21"/>
      <c r="C285" s="21"/>
      <c r="D285" s="21"/>
      <c r="E285" s="23" t="s">
        <v>71</v>
      </c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>
        <v>1</v>
      </c>
      <c r="Q285" s="21">
        <v>4.53</v>
      </c>
      <c r="R285" s="21">
        <v>0.22</v>
      </c>
      <c r="S285" s="21">
        <v>0.4</v>
      </c>
      <c r="T285" s="21">
        <v>1</v>
      </c>
      <c r="U285" s="23">
        <f t="shared" si="9"/>
        <v>0.39863999999999999</v>
      </c>
      <c r="V285" s="21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 s="20"/>
      <c r="BF285" s="20"/>
      <c r="BG285"/>
    </row>
    <row r="286" spans="1:59">
      <c r="A286" s="21"/>
      <c r="B286" s="21"/>
      <c r="C286" s="21"/>
      <c r="D286" s="21"/>
      <c r="E286" s="22" t="s">
        <v>66</v>
      </c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2">
        <f>SUM(U287:U287)</f>
        <v>0.28511999999999998</v>
      </c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 s="20"/>
      <c r="BF286" s="20"/>
      <c r="BG286"/>
    </row>
    <row r="287" spans="1:59">
      <c r="A287" s="21"/>
      <c r="B287" s="21"/>
      <c r="C287" s="21"/>
      <c r="D287" s="21"/>
      <c r="E287" s="23" t="s">
        <v>74</v>
      </c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>
        <v>1</v>
      </c>
      <c r="Q287" s="21">
        <v>3.24</v>
      </c>
      <c r="R287" s="21">
        <v>0.22</v>
      </c>
      <c r="S287" s="21">
        <v>0.4</v>
      </c>
      <c r="T287" s="21">
        <v>1</v>
      </c>
      <c r="U287" s="23">
        <f>PRODUCT(P287:T287)</f>
        <v>0.28511999999999998</v>
      </c>
      <c r="V287" s="21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 s="20"/>
      <c r="BF287" s="20"/>
      <c r="BG287"/>
    </row>
    <row r="288" spans="1:59">
      <c r="A288" s="21"/>
      <c r="B288" s="21"/>
      <c r="C288" s="21"/>
      <c r="D288" s="21"/>
      <c r="E288" s="22" t="s">
        <v>70</v>
      </c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2">
        <f>SUM(U289:U294)</f>
        <v>1.0674399999999999</v>
      </c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 s="20"/>
      <c r="BF288" s="20"/>
      <c r="BG288"/>
    </row>
    <row r="289" spans="1:59">
      <c r="A289" s="21"/>
      <c r="B289" s="21"/>
      <c r="C289" s="21"/>
      <c r="D289" s="21"/>
      <c r="E289" s="23" t="s">
        <v>76</v>
      </c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>
        <v>1</v>
      </c>
      <c r="Q289" s="21">
        <v>3.7</v>
      </c>
      <c r="R289" s="21">
        <v>0.22</v>
      </c>
      <c r="S289" s="21">
        <v>0.4</v>
      </c>
      <c r="T289" s="21">
        <v>1</v>
      </c>
      <c r="U289" s="23">
        <f t="shared" ref="U289:U297" si="10">PRODUCT(P289:T289)</f>
        <v>0.3256</v>
      </c>
      <c r="V289" s="21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 s="20"/>
      <c r="BF289" s="20"/>
      <c r="BG289"/>
    </row>
    <row r="290" spans="1:59">
      <c r="A290" s="21"/>
      <c r="B290" s="21"/>
      <c r="C290" s="21"/>
      <c r="D290" s="21"/>
      <c r="E290" s="23" t="s">
        <v>77</v>
      </c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>
        <v>1</v>
      </c>
      <c r="Q290" s="21">
        <v>3.24</v>
      </c>
      <c r="R290" s="21">
        <v>0.22</v>
      </c>
      <c r="S290" s="21">
        <v>0.4</v>
      </c>
      <c r="T290" s="21">
        <v>1</v>
      </c>
      <c r="U290" s="23">
        <f t="shared" si="10"/>
        <v>0.28511999999999998</v>
      </c>
      <c r="V290" s="21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 s="20"/>
      <c r="BF290" s="20"/>
      <c r="BG290"/>
    </row>
    <row r="291" spans="1:59">
      <c r="A291" s="21"/>
      <c r="B291" s="21"/>
      <c r="C291" s="21"/>
      <c r="D291" s="21"/>
      <c r="E291" s="23" t="s">
        <v>78</v>
      </c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>
        <v>1</v>
      </c>
      <c r="Q291" s="21">
        <v>4.53</v>
      </c>
      <c r="R291" s="21">
        <v>0.22</v>
      </c>
      <c r="S291" s="21">
        <v>0.4</v>
      </c>
      <c r="T291" s="21">
        <v>1</v>
      </c>
      <c r="U291" s="23">
        <f t="shared" si="10"/>
        <v>0.39863999999999999</v>
      </c>
      <c r="V291" s="2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 s="20"/>
      <c r="BF291" s="20"/>
      <c r="BG291"/>
    </row>
    <row r="292" spans="1:59">
      <c r="A292" s="21"/>
      <c r="B292" s="21"/>
      <c r="C292" s="21"/>
      <c r="D292" s="21"/>
      <c r="E292" s="23" t="s">
        <v>39</v>
      </c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>
        <v>1</v>
      </c>
      <c r="Q292" s="21">
        <v>0.22</v>
      </c>
      <c r="R292" s="21">
        <v>0.22</v>
      </c>
      <c r="S292" s="21">
        <v>0.4</v>
      </c>
      <c r="T292" s="21">
        <v>1</v>
      </c>
      <c r="U292" s="21">
        <f t="shared" si="10"/>
        <v>1.9359999999999999E-2</v>
      </c>
      <c r="V292" s="21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 s="20"/>
      <c r="BF292" s="20"/>
      <c r="BG292"/>
    </row>
    <row r="293" spans="1:59">
      <c r="A293" s="21"/>
      <c r="B293" s="21"/>
      <c r="C293" s="21"/>
      <c r="D293" s="21"/>
      <c r="E293" s="23" t="s">
        <v>39</v>
      </c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>
        <v>1</v>
      </c>
      <c r="Q293" s="21">
        <v>0.22</v>
      </c>
      <c r="R293" s="21">
        <v>0.22</v>
      </c>
      <c r="S293" s="21">
        <v>0.4</v>
      </c>
      <c r="T293" s="21">
        <v>1</v>
      </c>
      <c r="U293" s="21">
        <f t="shared" si="10"/>
        <v>1.9359999999999999E-2</v>
      </c>
      <c r="V293" s="21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 s="20"/>
      <c r="BF293" s="20"/>
      <c r="BG293"/>
    </row>
    <row r="294" spans="1:59">
      <c r="A294" s="21"/>
      <c r="B294" s="21"/>
      <c r="C294" s="21"/>
      <c r="D294" s="21"/>
      <c r="E294" s="23" t="s">
        <v>39</v>
      </c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>
        <v>1</v>
      </c>
      <c r="Q294" s="21">
        <v>0.22</v>
      </c>
      <c r="R294" s="21">
        <v>0.22</v>
      </c>
      <c r="S294" s="21">
        <v>0.4</v>
      </c>
      <c r="T294" s="21">
        <v>1</v>
      </c>
      <c r="U294" s="21">
        <f t="shared" si="10"/>
        <v>1.9359999999999999E-2</v>
      </c>
      <c r="V294" s="21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 s="20"/>
      <c r="BF294" s="20"/>
      <c r="BG294"/>
    </row>
    <row r="295" spans="1:59">
      <c r="A295" s="21"/>
      <c r="B295" s="21"/>
      <c r="C295" s="21"/>
      <c r="D295" s="21"/>
      <c r="E295" s="22" t="s">
        <v>73</v>
      </c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>
        <v>1</v>
      </c>
      <c r="Q295" s="21">
        <v>0.22</v>
      </c>
      <c r="R295" s="21">
        <v>0.22</v>
      </c>
      <c r="S295" s="21">
        <v>0.4</v>
      </c>
      <c r="T295" s="21">
        <v>1</v>
      </c>
      <c r="U295" s="21">
        <f t="shared" si="10"/>
        <v>1.9359999999999999E-2</v>
      </c>
      <c r="V295" s="22">
        <f>SUM(U296:U297)</f>
        <v>0.62921619031313203</v>
      </c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 s="20"/>
      <c r="BF295" s="20"/>
      <c r="BG295"/>
    </row>
    <row r="296" spans="1:59">
      <c r="A296" s="21"/>
      <c r="B296" s="21"/>
      <c r="C296" s="21"/>
      <c r="D296" s="21"/>
      <c r="E296" s="23" t="s">
        <v>80</v>
      </c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>
        <v>1</v>
      </c>
      <c r="Q296" s="21">
        <v>3.3795175617067001</v>
      </c>
      <c r="R296" s="21">
        <v>0.22</v>
      </c>
      <c r="S296" s="21">
        <v>0.4</v>
      </c>
      <c r="T296" s="21">
        <v>1</v>
      </c>
      <c r="U296" s="23">
        <f t="shared" si="10"/>
        <v>0.29739754543018998</v>
      </c>
      <c r="V296" s="21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 s="20"/>
      <c r="BF296" s="20"/>
      <c r="BG296"/>
    </row>
    <row r="297" spans="1:59">
      <c r="A297" s="21"/>
      <c r="B297" s="21"/>
      <c r="C297" s="21"/>
      <c r="D297" s="21"/>
      <c r="E297" s="23" t="s">
        <v>81</v>
      </c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>
        <v>1</v>
      </c>
      <c r="Q297" s="21">
        <v>3.7706664191243502</v>
      </c>
      <c r="R297" s="21">
        <v>0.22</v>
      </c>
      <c r="S297" s="21">
        <v>0.4</v>
      </c>
      <c r="T297" s="21">
        <v>1</v>
      </c>
      <c r="U297" s="23">
        <f t="shared" si="10"/>
        <v>0.33181864488294199</v>
      </c>
      <c r="V297" s="21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 s="20"/>
      <c r="BF297" s="20"/>
      <c r="BG297"/>
    </row>
    <row r="298" spans="1:59">
      <c r="A298" s="21"/>
      <c r="B298" s="21"/>
      <c r="C298" s="21"/>
      <c r="D298" s="21"/>
      <c r="E298" s="22" t="s">
        <v>75</v>
      </c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2">
        <f>SUM(U299:U299)</f>
        <v>0.16016</v>
      </c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 s="20"/>
      <c r="BF298" s="20"/>
      <c r="BG298"/>
    </row>
    <row r="299" spans="1:59">
      <c r="A299" s="21"/>
      <c r="B299" s="21"/>
      <c r="C299" s="21"/>
      <c r="D299" s="21"/>
      <c r="E299" s="23" t="s">
        <v>83</v>
      </c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>
        <v>1</v>
      </c>
      <c r="Q299" s="21">
        <v>1.82</v>
      </c>
      <c r="R299" s="21">
        <v>0.22</v>
      </c>
      <c r="S299" s="21">
        <v>0.4</v>
      </c>
      <c r="T299" s="21">
        <v>1</v>
      </c>
      <c r="U299" s="23">
        <f>PRODUCT(P299:T299)</f>
        <v>0.16016</v>
      </c>
      <c r="V299" s="21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 s="20"/>
      <c r="BF299" s="20"/>
      <c r="BG299"/>
    </row>
    <row r="300" spans="1:59">
      <c r="A300" s="21"/>
      <c r="B300" s="21"/>
      <c r="C300" s="21"/>
      <c r="D300" s="21"/>
      <c r="E300" s="22" t="s">
        <v>79</v>
      </c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2">
        <f>SUM(U301:U304)</f>
        <v>0.99528000000000005</v>
      </c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 s="20"/>
      <c r="BF300" s="20"/>
      <c r="BG300"/>
    </row>
    <row r="301" spans="1:59">
      <c r="A301" s="21"/>
      <c r="B301" s="21"/>
      <c r="C301" s="21"/>
      <c r="D301" s="21"/>
      <c r="E301" s="23" t="s">
        <v>87</v>
      </c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>
        <v>1</v>
      </c>
      <c r="Q301" s="21">
        <v>5.51</v>
      </c>
      <c r="R301" s="21">
        <v>0.22</v>
      </c>
      <c r="S301" s="21">
        <v>0.4</v>
      </c>
      <c r="T301" s="21">
        <v>1</v>
      </c>
      <c r="U301" s="23">
        <f t="shared" ref="U301:U306" si="11">PRODUCT(P301:T301)</f>
        <v>0.48487999999999998</v>
      </c>
      <c r="V301" s="2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 s="20"/>
      <c r="BF301" s="20"/>
      <c r="BG301"/>
    </row>
    <row r="302" spans="1:59">
      <c r="A302" s="21"/>
      <c r="B302" s="21"/>
      <c r="C302" s="21"/>
      <c r="D302" s="21"/>
      <c r="E302" s="23" t="s">
        <v>88</v>
      </c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>
        <v>1</v>
      </c>
      <c r="Q302" s="21">
        <v>1.82</v>
      </c>
      <c r="R302" s="21">
        <v>0.22</v>
      </c>
      <c r="S302" s="21">
        <v>0.4</v>
      </c>
      <c r="T302" s="21">
        <v>1</v>
      </c>
      <c r="U302" s="23">
        <f t="shared" si="11"/>
        <v>0.16016</v>
      </c>
      <c r="V302" s="21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 s="20"/>
      <c r="BF302" s="20"/>
      <c r="BG302"/>
    </row>
    <row r="303" spans="1:59">
      <c r="A303" s="21"/>
      <c r="B303" s="21"/>
      <c r="C303" s="21"/>
      <c r="D303" s="21"/>
      <c r="E303" s="23" t="s">
        <v>89</v>
      </c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>
        <v>1</v>
      </c>
      <c r="Q303" s="21">
        <v>3.76</v>
      </c>
      <c r="R303" s="21">
        <v>0.22</v>
      </c>
      <c r="S303" s="21">
        <v>0.4</v>
      </c>
      <c r="T303" s="21">
        <v>1</v>
      </c>
      <c r="U303" s="23">
        <f t="shared" si="11"/>
        <v>0.33088000000000001</v>
      </c>
      <c r="V303" s="21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 s="20"/>
      <c r="BF303" s="20"/>
      <c r="BG303"/>
    </row>
    <row r="304" spans="1:59">
      <c r="A304" s="21"/>
      <c r="B304" s="21"/>
      <c r="C304" s="21"/>
      <c r="D304" s="21"/>
      <c r="E304" s="23" t="s">
        <v>39</v>
      </c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>
        <v>1</v>
      </c>
      <c r="Q304" s="21">
        <v>0.22</v>
      </c>
      <c r="R304" s="21">
        <v>0.22</v>
      </c>
      <c r="S304" s="21">
        <v>0.4</v>
      </c>
      <c r="T304" s="21">
        <v>1</v>
      </c>
      <c r="U304" s="21">
        <f t="shared" si="11"/>
        <v>1.9359999999999999E-2</v>
      </c>
      <c r="V304" s="21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 s="20"/>
      <c r="BF304" s="20"/>
      <c r="BG304"/>
    </row>
    <row r="305" spans="1:59">
      <c r="A305" s="21"/>
      <c r="B305" s="21"/>
      <c r="C305" s="21"/>
      <c r="D305" s="21"/>
      <c r="E305" s="22" t="s">
        <v>82</v>
      </c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>
        <v>1</v>
      </c>
      <c r="Q305" s="21">
        <v>0.22</v>
      </c>
      <c r="R305" s="21">
        <v>0.22</v>
      </c>
      <c r="S305" s="21">
        <v>0.4</v>
      </c>
      <c r="T305" s="21">
        <v>1</v>
      </c>
      <c r="U305" s="21">
        <f t="shared" si="11"/>
        <v>1.9359999999999999E-2</v>
      </c>
      <c r="V305" s="22">
        <f>SUM(U306:U306)</f>
        <v>0.25256000000000001</v>
      </c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 s="20"/>
      <c r="BF305" s="20"/>
      <c r="BG305"/>
    </row>
    <row r="306" spans="1:59">
      <c r="A306" s="21"/>
      <c r="B306" s="21"/>
      <c r="C306" s="21"/>
      <c r="D306" s="21"/>
      <c r="E306" s="23" t="s">
        <v>91</v>
      </c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>
        <v>1</v>
      </c>
      <c r="Q306" s="21">
        <v>2.87</v>
      </c>
      <c r="R306" s="21">
        <v>0.22</v>
      </c>
      <c r="S306" s="21">
        <v>0.4</v>
      </c>
      <c r="T306" s="21">
        <v>1</v>
      </c>
      <c r="U306" s="23">
        <f t="shared" si="11"/>
        <v>0.25256000000000001</v>
      </c>
      <c r="V306" s="21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 s="20"/>
      <c r="BF306" s="20"/>
      <c r="BG306"/>
    </row>
    <row r="307" spans="1:59">
      <c r="A307" s="21"/>
      <c r="B307" s="21"/>
      <c r="C307" s="21"/>
      <c r="D307" s="21"/>
      <c r="E307" s="22" t="s">
        <v>84</v>
      </c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2">
        <f>SUM(U308:U310)</f>
        <v>0.64680000000000004</v>
      </c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 s="20"/>
      <c r="BF307" s="20"/>
      <c r="BG307"/>
    </row>
    <row r="308" spans="1:59">
      <c r="A308" s="21"/>
      <c r="B308" s="21"/>
      <c r="C308" s="21"/>
      <c r="D308" s="21"/>
      <c r="E308" s="23" t="s">
        <v>93</v>
      </c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>
        <v>1</v>
      </c>
      <c r="Q308" s="21">
        <v>3.37</v>
      </c>
      <c r="R308" s="21">
        <v>0.22</v>
      </c>
      <c r="S308" s="21">
        <v>0.4</v>
      </c>
      <c r="T308" s="21">
        <v>1</v>
      </c>
      <c r="U308" s="23">
        <f t="shared" ref="U308:U315" si="12">PRODUCT(P308:T308)</f>
        <v>0.29655999999999999</v>
      </c>
      <c r="V308" s="21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 s="20"/>
      <c r="BF308" s="20"/>
      <c r="BG308"/>
    </row>
    <row r="309" spans="1:59">
      <c r="A309" s="21"/>
      <c r="B309" s="21"/>
      <c r="C309" s="21"/>
      <c r="D309" s="21"/>
      <c r="E309" s="23" t="s">
        <v>94</v>
      </c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>
        <v>1</v>
      </c>
      <c r="Q309" s="21">
        <v>3.76</v>
      </c>
      <c r="R309" s="21">
        <v>0.22</v>
      </c>
      <c r="S309" s="21">
        <v>0.4</v>
      </c>
      <c r="T309" s="21">
        <v>1</v>
      </c>
      <c r="U309" s="23">
        <f t="shared" si="12"/>
        <v>0.33088000000000001</v>
      </c>
      <c r="V309" s="21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 s="20"/>
      <c r="BF309" s="20"/>
      <c r="BG309"/>
    </row>
    <row r="310" spans="1:59">
      <c r="A310" s="21"/>
      <c r="B310" s="21"/>
      <c r="C310" s="21"/>
      <c r="D310" s="21"/>
      <c r="E310" s="23" t="s">
        <v>39</v>
      </c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>
        <v>1</v>
      </c>
      <c r="Q310" s="21">
        <v>0.22</v>
      </c>
      <c r="R310" s="21">
        <v>0.22</v>
      </c>
      <c r="S310" s="21">
        <v>0.4</v>
      </c>
      <c r="T310" s="21">
        <v>1</v>
      </c>
      <c r="U310" s="21">
        <f t="shared" si="12"/>
        <v>1.9359999999999999E-2</v>
      </c>
      <c r="V310" s="21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 s="20"/>
      <c r="BF310" s="20"/>
      <c r="BG310"/>
    </row>
    <row r="311" spans="1:59">
      <c r="A311" s="21"/>
      <c r="B311" s="21"/>
      <c r="C311" s="21"/>
      <c r="D311" s="21"/>
      <c r="E311" s="22" t="s">
        <v>86</v>
      </c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>
        <v>1</v>
      </c>
      <c r="Q311" s="21">
        <v>0.22</v>
      </c>
      <c r="R311" s="21">
        <v>0.22</v>
      </c>
      <c r="S311" s="21">
        <v>0.4</v>
      </c>
      <c r="T311" s="21">
        <v>1</v>
      </c>
      <c r="U311" s="21">
        <f t="shared" si="12"/>
        <v>1.9359999999999999E-2</v>
      </c>
      <c r="V311" s="22">
        <f>SUM(U312:U313)</f>
        <v>0.36784</v>
      </c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 s="20"/>
      <c r="BF311" s="20"/>
      <c r="BG311"/>
    </row>
    <row r="312" spans="1:59">
      <c r="A312" s="21"/>
      <c r="B312" s="21"/>
      <c r="C312" s="21"/>
      <c r="D312" s="21"/>
      <c r="E312" s="23" t="s">
        <v>96</v>
      </c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>
        <v>1</v>
      </c>
      <c r="Q312" s="21">
        <v>3.96</v>
      </c>
      <c r="R312" s="21">
        <v>0.22</v>
      </c>
      <c r="S312" s="21">
        <v>0.4</v>
      </c>
      <c r="T312" s="21">
        <v>1</v>
      </c>
      <c r="U312" s="23">
        <f t="shared" si="12"/>
        <v>0.34848000000000001</v>
      </c>
      <c r="V312" s="21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 s="20"/>
      <c r="BF312" s="20"/>
      <c r="BG312"/>
    </row>
    <row r="313" spans="1:59">
      <c r="A313" s="21"/>
      <c r="B313" s="21"/>
      <c r="C313" s="21"/>
      <c r="D313" s="21"/>
      <c r="E313" s="23" t="s">
        <v>39</v>
      </c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>
        <v>1</v>
      </c>
      <c r="Q313" s="21">
        <v>0.22</v>
      </c>
      <c r="R313" s="21">
        <v>0.22</v>
      </c>
      <c r="S313" s="21">
        <v>0.4</v>
      </c>
      <c r="T313" s="21">
        <v>1</v>
      </c>
      <c r="U313" s="21">
        <f t="shared" si="12"/>
        <v>1.9359999999999999E-2</v>
      </c>
      <c r="V313" s="21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 s="20"/>
      <c r="BF313" s="20"/>
      <c r="BG313"/>
    </row>
    <row r="314" spans="1:59">
      <c r="A314" s="21"/>
      <c r="B314" s="21"/>
      <c r="C314" s="21"/>
      <c r="D314" s="21"/>
      <c r="E314" s="22" t="s">
        <v>90</v>
      </c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>
        <v>1</v>
      </c>
      <c r="Q314" s="21">
        <v>0.22</v>
      </c>
      <c r="R314" s="21">
        <v>0.22</v>
      </c>
      <c r="S314" s="21">
        <v>0.4</v>
      </c>
      <c r="T314" s="21">
        <v>1</v>
      </c>
      <c r="U314" s="21">
        <f t="shared" si="12"/>
        <v>1.9359999999999999E-2</v>
      </c>
      <c r="V314" s="22">
        <f>SUM(U315:U315)</f>
        <v>0.29260000000000003</v>
      </c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 s="20"/>
      <c r="BF314" s="20"/>
      <c r="BG314"/>
    </row>
    <row r="315" spans="1:59">
      <c r="A315" s="21"/>
      <c r="B315" s="21"/>
      <c r="C315" s="21"/>
      <c r="D315" s="21"/>
      <c r="E315" s="23" t="s">
        <v>113</v>
      </c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>
        <v>1</v>
      </c>
      <c r="Q315" s="21">
        <v>3.8</v>
      </c>
      <c r="R315" s="21">
        <v>0.22</v>
      </c>
      <c r="S315" s="21">
        <v>0.35</v>
      </c>
      <c r="T315" s="21">
        <v>1</v>
      </c>
      <c r="U315" s="23">
        <f t="shared" si="12"/>
        <v>0.29260000000000003</v>
      </c>
      <c r="V315" s="21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 s="20"/>
      <c r="BF315" s="20"/>
      <c r="BG315"/>
    </row>
    <row r="316" spans="1:59">
      <c r="A316" s="21"/>
      <c r="B316" s="21"/>
      <c r="C316" s="21"/>
      <c r="D316" s="21"/>
      <c r="E316" s="22" t="s">
        <v>92</v>
      </c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2">
        <f>SUM(U317:U317)</f>
        <v>0.29304000000000002</v>
      </c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 s="20"/>
      <c r="BF316" s="20"/>
      <c r="BG316"/>
    </row>
    <row r="317" spans="1:59">
      <c r="A317" s="24"/>
      <c r="B317" s="24"/>
      <c r="C317" s="24"/>
      <c r="D317" s="24"/>
      <c r="E317" s="25" t="s">
        <v>100</v>
      </c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>
        <v>1</v>
      </c>
      <c r="Q317" s="24">
        <v>3.33</v>
      </c>
      <c r="R317" s="24">
        <v>0.22</v>
      </c>
      <c r="S317" s="24">
        <v>0.4</v>
      </c>
      <c r="T317" s="24">
        <v>1</v>
      </c>
      <c r="U317" s="25">
        <f>PRODUCT(P317:T317)</f>
        <v>0.29304000000000002</v>
      </c>
      <c r="V317" s="24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 s="20"/>
      <c r="BF317" s="20"/>
      <c r="BG317"/>
    </row>
    <row r="318" spans="1:59">
      <c r="A318" s="17"/>
      <c r="B318" s="17"/>
      <c r="C318" s="17"/>
      <c r="D318" s="17"/>
      <c r="E318" s="18" t="s">
        <v>54</v>
      </c>
      <c r="F318" s="17" t="s">
        <v>35</v>
      </c>
      <c r="G318" s="19">
        <f>SUM(U320:U358)</f>
        <v>0.72255565582747905</v>
      </c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8">
        <f>SUM(U320:U358)</f>
        <v>0.72255565582747905</v>
      </c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 s="20"/>
      <c r="BF318" s="20"/>
      <c r="BG318"/>
    </row>
    <row r="319" spans="1:59">
      <c r="A319" s="21"/>
      <c r="B319" s="21"/>
      <c r="C319" s="21"/>
      <c r="D319" s="21"/>
      <c r="E319" s="22" t="s">
        <v>33</v>
      </c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2">
        <f>SUM(U320:U320)</f>
        <v>3.492E-2</v>
      </c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 s="20"/>
      <c r="BF319" s="20"/>
      <c r="BG319"/>
    </row>
    <row r="320" spans="1:59">
      <c r="A320" s="21"/>
      <c r="B320" s="21"/>
      <c r="C320" s="21"/>
      <c r="D320" s="21"/>
      <c r="E320" s="23" t="s">
        <v>36</v>
      </c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>
        <v>1</v>
      </c>
      <c r="Q320" s="21">
        <v>3.88</v>
      </c>
      <c r="R320" s="21">
        <v>0.22</v>
      </c>
      <c r="S320" s="21">
        <v>0.4</v>
      </c>
      <c r="T320" s="21">
        <v>0.01</v>
      </c>
      <c r="U320" s="23">
        <f>P320*Q320*(R320+S320*2-0.12-0)*T320</f>
        <v>3.492E-2</v>
      </c>
      <c r="V320" s="21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 s="20"/>
      <c r="BF320" s="20"/>
      <c r="BG320"/>
    </row>
    <row r="321" spans="1:59">
      <c r="A321" s="21"/>
      <c r="B321" s="21"/>
      <c r="C321" s="21"/>
      <c r="D321" s="21"/>
      <c r="E321" s="22" t="s">
        <v>41</v>
      </c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2">
        <f>SUM(U322:U324)</f>
        <v>0.103704</v>
      </c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 s="20"/>
      <c r="BF321" s="20"/>
      <c r="BG321"/>
    </row>
    <row r="322" spans="1:59">
      <c r="A322" s="21"/>
      <c r="B322" s="21"/>
      <c r="C322" s="21"/>
      <c r="D322" s="21"/>
      <c r="E322" s="23" t="s">
        <v>51</v>
      </c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>
        <v>1</v>
      </c>
      <c r="Q322" s="21">
        <v>4.2699999999999996</v>
      </c>
      <c r="R322" s="21">
        <v>0.22</v>
      </c>
      <c r="S322" s="21">
        <v>0.4</v>
      </c>
      <c r="T322" s="21">
        <v>0.01</v>
      </c>
      <c r="U322" s="23">
        <f>P322*Q322*(R322+S322*2-0.12-0)*T322</f>
        <v>3.8429999999999999E-2</v>
      </c>
      <c r="V322" s="21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 s="20"/>
      <c r="BF322" s="20"/>
      <c r="BG322"/>
    </row>
    <row r="323" spans="1:59">
      <c r="A323" s="21"/>
      <c r="B323" s="21"/>
      <c r="C323" s="21"/>
      <c r="D323" s="21"/>
      <c r="E323" s="23" t="s">
        <v>53</v>
      </c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>
        <v>1</v>
      </c>
      <c r="Q323" s="21">
        <v>3.88</v>
      </c>
      <c r="R323" s="21">
        <v>0.22</v>
      </c>
      <c r="S323" s="21">
        <v>0.4</v>
      </c>
      <c r="T323" s="21">
        <v>0.01</v>
      </c>
      <c r="U323" s="23">
        <f>P323*Q323*(R323+S323*2-0.12-0.12)*T323</f>
        <v>3.0263999999999999E-2</v>
      </c>
      <c r="V323" s="21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 s="20"/>
      <c r="BF323" s="20"/>
      <c r="BG323"/>
    </row>
    <row r="324" spans="1:59">
      <c r="A324" s="21"/>
      <c r="B324" s="21"/>
      <c r="C324" s="21"/>
      <c r="D324" s="21"/>
      <c r="E324" s="23" t="s">
        <v>55</v>
      </c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>
        <v>1</v>
      </c>
      <c r="Q324" s="21">
        <v>3.89</v>
      </c>
      <c r="R324" s="21">
        <v>0.22</v>
      </c>
      <c r="S324" s="21">
        <v>0.4</v>
      </c>
      <c r="T324" s="21">
        <v>0.01</v>
      </c>
      <c r="U324" s="23">
        <f>P324*Q324*(R324+S324*2-0.12-0)*T324</f>
        <v>3.5009999999999999E-2</v>
      </c>
      <c r="V324" s="21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 s="20"/>
      <c r="BF324" s="20"/>
      <c r="BG324"/>
    </row>
    <row r="325" spans="1:59">
      <c r="A325" s="21"/>
      <c r="B325" s="21"/>
      <c r="C325" s="21"/>
      <c r="D325" s="21"/>
      <c r="E325" s="22" t="s">
        <v>45</v>
      </c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2">
        <f>SUM(U326:U326)</f>
        <v>1.35E-2</v>
      </c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 s="20"/>
      <c r="BF325" s="20"/>
      <c r="BG325"/>
    </row>
    <row r="326" spans="1:59">
      <c r="A326" s="21"/>
      <c r="B326" s="21"/>
      <c r="C326" s="21"/>
      <c r="D326" s="21"/>
      <c r="E326" s="23" t="s">
        <v>64</v>
      </c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>
        <v>1</v>
      </c>
      <c r="Q326" s="21">
        <v>1.5</v>
      </c>
      <c r="R326" s="21">
        <v>0.22</v>
      </c>
      <c r="S326" s="21">
        <v>0.4</v>
      </c>
      <c r="T326" s="21">
        <v>0.01</v>
      </c>
      <c r="U326" s="23">
        <f>P326*Q326*(R326+S326*2-0.12-0)*T326</f>
        <v>1.35E-2</v>
      </c>
      <c r="V326" s="21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 s="20"/>
      <c r="BF326" s="20"/>
      <c r="BG326"/>
    </row>
    <row r="327" spans="1:59">
      <c r="A327" s="21"/>
      <c r="B327" s="21"/>
      <c r="C327" s="21"/>
      <c r="D327" s="21"/>
      <c r="E327" s="22" t="s">
        <v>49</v>
      </c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2">
        <f>SUM(U328:U330)</f>
        <v>5.6556000000000002E-2</v>
      </c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 s="20"/>
      <c r="BF327" s="20"/>
      <c r="BG327"/>
    </row>
    <row r="328" spans="1:59">
      <c r="A328" s="21"/>
      <c r="B328" s="21"/>
      <c r="C328" s="21"/>
      <c r="D328" s="21"/>
      <c r="E328" s="23" t="s">
        <v>67</v>
      </c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>
        <v>1</v>
      </c>
      <c r="Q328" s="21">
        <v>2.2799999999999998</v>
      </c>
      <c r="R328" s="21">
        <v>0.22</v>
      </c>
      <c r="S328" s="21">
        <v>0.4</v>
      </c>
      <c r="T328" s="21">
        <v>0.01</v>
      </c>
      <c r="U328" s="23">
        <f>P328*Q328*(R328+S328*2-0.12-0.12)*T328</f>
        <v>1.7784000000000001E-2</v>
      </c>
      <c r="V328" s="21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 s="20"/>
      <c r="BF328" s="20"/>
      <c r="BG328"/>
    </row>
    <row r="329" spans="1:59">
      <c r="A329" s="21"/>
      <c r="B329" s="21"/>
      <c r="C329" s="21"/>
      <c r="D329" s="21"/>
      <c r="E329" s="23" t="s">
        <v>68</v>
      </c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>
        <v>1</v>
      </c>
      <c r="Q329" s="21">
        <v>1.5</v>
      </c>
      <c r="R329" s="21">
        <v>0.22</v>
      </c>
      <c r="S329" s="21">
        <v>0.4</v>
      </c>
      <c r="T329" s="21">
        <v>0.01</v>
      </c>
      <c r="U329" s="23">
        <f>P329*Q329*(R329+S329*2-0.12-0)*T329</f>
        <v>1.35E-2</v>
      </c>
      <c r="V329" s="21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 s="20"/>
      <c r="BF329" s="20"/>
      <c r="BG329"/>
    </row>
    <row r="330" spans="1:59">
      <c r="A330" s="21"/>
      <c r="B330" s="21"/>
      <c r="C330" s="21"/>
      <c r="D330" s="21"/>
      <c r="E330" s="23" t="s">
        <v>69</v>
      </c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>
        <v>1</v>
      </c>
      <c r="Q330" s="21">
        <v>3.24</v>
      </c>
      <c r="R330" s="21">
        <v>0.22</v>
      </c>
      <c r="S330" s="21">
        <v>0.4</v>
      </c>
      <c r="T330" s="21">
        <v>0.01</v>
      </c>
      <c r="U330" s="23">
        <f>P330*Q330*(R330+S330*2-0.12-0.12)*T330</f>
        <v>2.5271999999999999E-2</v>
      </c>
      <c r="V330" s="21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 s="20"/>
      <c r="BF330" s="20"/>
      <c r="BG330"/>
    </row>
    <row r="331" spans="1:59">
      <c r="A331" s="21"/>
      <c r="B331" s="21"/>
      <c r="C331" s="21"/>
      <c r="D331" s="21"/>
      <c r="E331" s="22" t="s">
        <v>62</v>
      </c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2">
        <f>SUM(U332:U332)</f>
        <v>3.5333999999999997E-2</v>
      </c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 s="20"/>
      <c r="BF331" s="20"/>
      <c r="BG331"/>
    </row>
    <row r="332" spans="1:59">
      <c r="A332" s="21"/>
      <c r="B332" s="21"/>
      <c r="C332" s="21"/>
      <c r="D332" s="21"/>
      <c r="E332" s="23" t="s">
        <v>71</v>
      </c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>
        <v>1</v>
      </c>
      <c r="Q332" s="21">
        <v>4.53</v>
      </c>
      <c r="R332" s="21">
        <v>0.22</v>
      </c>
      <c r="S332" s="21">
        <v>0.4</v>
      </c>
      <c r="T332" s="21">
        <v>0.01</v>
      </c>
      <c r="U332" s="23">
        <f>P332*Q332*(R332+S332*2-0.12-0.12)*T332</f>
        <v>3.5333999999999997E-2</v>
      </c>
      <c r="V332" s="21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 s="20"/>
      <c r="BF332" s="20"/>
      <c r="BG332"/>
    </row>
    <row r="333" spans="1:59">
      <c r="A333" s="21"/>
      <c r="B333" s="21"/>
      <c r="C333" s="21"/>
      <c r="D333" s="21"/>
      <c r="E333" s="22" t="s">
        <v>66</v>
      </c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2">
        <f>SUM(U334:U334)</f>
        <v>2.5271999999999999E-2</v>
      </c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 s="20"/>
      <c r="BF333" s="20"/>
      <c r="BG333"/>
    </row>
    <row r="334" spans="1:59">
      <c r="A334" s="21"/>
      <c r="B334" s="21"/>
      <c r="C334" s="21"/>
      <c r="D334" s="21"/>
      <c r="E334" s="23" t="s">
        <v>74</v>
      </c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>
        <v>1</v>
      </c>
      <c r="Q334" s="21">
        <v>3.24</v>
      </c>
      <c r="R334" s="21">
        <v>0.22</v>
      </c>
      <c r="S334" s="21">
        <v>0.4</v>
      </c>
      <c r="T334" s="21">
        <v>0.01</v>
      </c>
      <c r="U334" s="23">
        <f>P334*Q334*(R334+S334*2-0.12-0.12)*T334</f>
        <v>2.5271999999999999E-2</v>
      </c>
      <c r="V334" s="21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 s="20"/>
      <c r="BF334" s="20"/>
      <c r="BG334"/>
    </row>
    <row r="335" spans="1:59">
      <c r="A335" s="21"/>
      <c r="B335" s="21"/>
      <c r="C335" s="21"/>
      <c r="D335" s="21"/>
      <c r="E335" s="22" t="s">
        <v>70</v>
      </c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2">
        <f>SUM(U336:U338)</f>
        <v>0.10323</v>
      </c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 s="20"/>
      <c r="BF335" s="20"/>
      <c r="BG335"/>
    </row>
    <row r="336" spans="1:59">
      <c r="A336" s="21"/>
      <c r="B336" s="21"/>
      <c r="C336" s="21"/>
      <c r="D336" s="21"/>
      <c r="E336" s="23" t="s">
        <v>76</v>
      </c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>
        <v>1</v>
      </c>
      <c r="Q336" s="21">
        <v>3.7</v>
      </c>
      <c r="R336" s="21">
        <v>0.22</v>
      </c>
      <c r="S336" s="21">
        <v>0.4</v>
      </c>
      <c r="T336" s="21">
        <v>0.01</v>
      </c>
      <c r="U336" s="23">
        <f>P336*Q336*(R336+S336*2-0.12-0)*T336</f>
        <v>3.3300000000000003E-2</v>
      </c>
      <c r="V336" s="21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 s="20"/>
      <c r="BF336" s="20"/>
      <c r="BG336"/>
    </row>
    <row r="337" spans="1:59">
      <c r="A337" s="21"/>
      <c r="B337" s="21"/>
      <c r="C337" s="21"/>
      <c r="D337" s="21"/>
      <c r="E337" s="23" t="s">
        <v>77</v>
      </c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>
        <v>1</v>
      </c>
      <c r="Q337" s="21">
        <v>3.24</v>
      </c>
      <c r="R337" s="21">
        <v>0.22</v>
      </c>
      <c r="S337" s="21">
        <v>0.4</v>
      </c>
      <c r="T337" s="21">
        <v>0.01</v>
      </c>
      <c r="U337" s="23">
        <f>P337*Q337*(R337+S337*2-0.12-0)*T337</f>
        <v>2.9159999999999998E-2</v>
      </c>
      <c r="V337" s="21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 s="20"/>
      <c r="BF337" s="20"/>
      <c r="BG337"/>
    </row>
    <row r="338" spans="1:59">
      <c r="A338" s="21"/>
      <c r="B338" s="21"/>
      <c r="C338" s="21"/>
      <c r="D338" s="21"/>
      <c r="E338" s="23" t="s">
        <v>78</v>
      </c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>
        <v>1</v>
      </c>
      <c r="Q338" s="21">
        <v>4.53</v>
      </c>
      <c r="R338" s="21">
        <v>0.22</v>
      </c>
      <c r="S338" s="21">
        <v>0.4</v>
      </c>
      <c r="T338" s="21">
        <v>0.01</v>
      </c>
      <c r="U338" s="23">
        <f>P338*Q338*(R338+S338*2-0.12-0)*T338</f>
        <v>4.0770000000000001E-2</v>
      </c>
      <c r="V338" s="21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 s="20"/>
      <c r="BF338" s="20"/>
      <c r="BG338"/>
    </row>
    <row r="339" spans="1:59">
      <c r="A339" s="21"/>
      <c r="B339" s="21"/>
      <c r="C339" s="21"/>
      <c r="D339" s="21"/>
      <c r="E339" s="22" t="s">
        <v>73</v>
      </c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2">
        <f>SUM(U340:U341)</f>
        <v>6.4351655827479398E-2</v>
      </c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 s="20"/>
      <c r="BF339" s="20"/>
      <c r="BG339"/>
    </row>
    <row r="340" spans="1:59">
      <c r="A340" s="21"/>
      <c r="B340" s="21"/>
      <c r="C340" s="21"/>
      <c r="D340" s="21"/>
      <c r="E340" s="23" t="s">
        <v>80</v>
      </c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>
        <v>1</v>
      </c>
      <c r="Q340" s="21">
        <v>3.3795175617067001</v>
      </c>
      <c r="R340" s="21">
        <v>0.22</v>
      </c>
      <c r="S340" s="21">
        <v>0.4</v>
      </c>
      <c r="T340" s="21">
        <v>0.01</v>
      </c>
      <c r="U340" s="23">
        <f>P340*Q340*(R340+S340*2-0.12-0)*T340</f>
        <v>3.0415658055360301E-2</v>
      </c>
      <c r="V340" s="21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 s="20"/>
      <c r="BF340" s="20"/>
      <c r="BG340"/>
    </row>
    <row r="341" spans="1:59">
      <c r="A341" s="21"/>
      <c r="B341" s="21"/>
      <c r="C341" s="21"/>
      <c r="D341" s="21"/>
      <c r="E341" s="23" t="s">
        <v>81</v>
      </c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>
        <v>1</v>
      </c>
      <c r="Q341" s="21">
        <v>3.7706664191243502</v>
      </c>
      <c r="R341" s="21">
        <v>0.22</v>
      </c>
      <c r="S341" s="21">
        <v>0.4</v>
      </c>
      <c r="T341" s="21">
        <v>0.01</v>
      </c>
      <c r="U341" s="23">
        <f>P341*Q341*(R341+S341*2-0.12-0)*T341</f>
        <v>3.39359977721191E-2</v>
      </c>
      <c r="V341" s="2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 s="20"/>
      <c r="BF341" s="20"/>
      <c r="BG341"/>
    </row>
    <row r="342" spans="1:59">
      <c r="A342" s="21"/>
      <c r="B342" s="21"/>
      <c r="C342" s="21"/>
      <c r="D342" s="21"/>
      <c r="E342" s="22" t="s">
        <v>75</v>
      </c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2">
        <f>SUM(U343:U343)</f>
        <v>1.6379999999999999E-2</v>
      </c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 s="20"/>
      <c r="BF342" s="20"/>
      <c r="BG342"/>
    </row>
    <row r="343" spans="1:59">
      <c r="A343" s="21"/>
      <c r="B343" s="21"/>
      <c r="C343" s="21"/>
      <c r="D343" s="21"/>
      <c r="E343" s="23" t="s">
        <v>83</v>
      </c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>
        <v>1</v>
      </c>
      <c r="Q343" s="21">
        <v>1.82</v>
      </c>
      <c r="R343" s="21">
        <v>0.22</v>
      </c>
      <c r="S343" s="21">
        <v>0.4</v>
      </c>
      <c r="T343" s="21">
        <v>0.01</v>
      </c>
      <c r="U343" s="23">
        <f>P343*Q343*(R343+S343*2-0.12-0)*T343</f>
        <v>1.6379999999999999E-2</v>
      </c>
      <c r="V343" s="21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 s="20"/>
      <c r="BF343" s="20"/>
      <c r="BG343"/>
    </row>
    <row r="344" spans="1:59">
      <c r="A344" s="21"/>
      <c r="B344" s="21"/>
      <c r="C344" s="21"/>
      <c r="D344" s="21"/>
      <c r="E344" s="22" t="s">
        <v>79</v>
      </c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2">
        <f>SUM(U345:U347)</f>
        <v>9.5297999999999994E-2</v>
      </c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 s="20"/>
      <c r="BF344" s="20"/>
      <c r="BG344"/>
    </row>
    <row r="345" spans="1:59">
      <c r="A345" s="21"/>
      <c r="B345" s="21"/>
      <c r="C345" s="21"/>
      <c r="D345" s="21"/>
      <c r="E345" s="23" t="s">
        <v>87</v>
      </c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>
        <v>1</v>
      </c>
      <c r="Q345" s="21">
        <v>5.51</v>
      </c>
      <c r="R345" s="21">
        <v>0.22</v>
      </c>
      <c r="S345" s="21">
        <v>0.4</v>
      </c>
      <c r="T345" s="21">
        <v>0.01</v>
      </c>
      <c r="U345" s="23">
        <f>P345*Q345*(R345+S345*2-0.12-0)*T345</f>
        <v>4.9590000000000002E-2</v>
      </c>
      <c r="V345" s="21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 s="20"/>
      <c r="BF345" s="20"/>
      <c r="BG345"/>
    </row>
    <row r="346" spans="1:59">
      <c r="A346" s="21"/>
      <c r="B346" s="21"/>
      <c r="C346" s="21"/>
      <c r="D346" s="21"/>
      <c r="E346" s="23" t="s">
        <v>88</v>
      </c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>
        <v>1</v>
      </c>
      <c r="Q346" s="21">
        <v>1.82</v>
      </c>
      <c r="R346" s="21">
        <v>0.22</v>
      </c>
      <c r="S346" s="21">
        <v>0.4</v>
      </c>
      <c r="T346" s="21">
        <v>0.01</v>
      </c>
      <c r="U346" s="23">
        <f>P346*Q346*(R346+S346*2-0.12-0)*T346</f>
        <v>1.6379999999999999E-2</v>
      </c>
      <c r="V346" s="21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 s="20"/>
      <c r="BF346" s="20"/>
      <c r="BG346"/>
    </row>
    <row r="347" spans="1:59">
      <c r="A347" s="21"/>
      <c r="B347" s="21"/>
      <c r="C347" s="21"/>
      <c r="D347" s="21"/>
      <c r="E347" s="23" t="s">
        <v>89</v>
      </c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>
        <v>1</v>
      </c>
      <c r="Q347" s="21">
        <v>3.76</v>
      </c>
      <c r="R347" s="21">
        <v>0.22</v>
      </c>
      <c r="S347" s="21">
        <v>0.4</v>
      </c>
      <c r="T347" s="21">
        <v>0.01</v>
      </c>
      <c r="U347" s="23">
        <f>P347*Q347*(R347+S347*2-0.12-0.12)*T347</f>
        <v>2.9328E-2</v>
      </c>
      <c r="V347" s="21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 s="20"/>
      <c r="BF347" s="20"/>
      <c r="BG347"/>
    </row>
    <row r="348" spans="1:59">
      <c r="A348" s="21"/>
      <c r="B348" s="21"/>
      <c r="C348" s="21"/>
      <c r="D348" s="21"/>
      <c r="E348" s="22" t="s">
        <v>82</v>
      </c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2">
        <f>SUM(U349:U349)</f>
        <v>2.2386E-2</v>
      </c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 s="20"/>
      <c r="BF348" s="20"/>
      <c r="BG348"/>
    </row>
    <row r="349" spans="1:59">
      <c r="A349" s="21"/>
      <c r="B349" s="21"/>
      <c r="C349" s="21"/>
      <c r="D349" s="21"/>
      <c r="E349" s="23" t="s">
        <v>91</v>
      </c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>
        <v>1</v>
      </c>
      <c r="Q349" s="21">
        <v>2.87</v>
      </c>
      <c r="R349" s="21">
        <v>0.22</v>
      </c>
      <c r="S349" s="21">
        <v>0.4</v>
      </c>
      <c r="T349" s="21">
        <v>0.01</v>
      </c>
      <c r="U349" s="23">
        <f>P349*Q349*(R349+S349*2-0.12-0.12)*T349</f>
        <v>2.2386E-2</v>
      </c>
      <c r="V349" s="21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 s="20"/>
      <c r="BF349" s="20"/>
      <c r="BG349"/>
    </row>
    <row r="350" spans="1:59">
      <c r="A350" s="21"/>
      <c r="B350" s="21"/>
      <c r="C350" s="21"/>
      <c r="D350" s="21"/>
      <c r="E350" s="22" t="s">
        <v>84</v>
      </c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2">
        <f>SUM(U351:U352)</f>
        <v>5.5613999999999997E-2</v>
      </c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 s="20"/>
      <c r="BF350" s="20"/>
      <c r="BG350"/>
    </row>
    <row r="351" spans="1:59">
      <c r="A351" s="21"/>
      <c r="B351" s="21"/>
      <c r="C351" s="21"/>
      <c r="D351" s="21"/>
      <c r="E351" s="23" t="s">
        <v>93</v>
      </c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>
        <v>1</v>
      </c>
      <c r="Q351" s="21">
        <v>3.37</v>
      </c>
      <c r="R351" s="21">
        <v>0.22</v>
      </c>
      <c r="S351" s="21">
        <v>0.4</v>
      </c>
      <c r="T351" s="21">
        <v>0.01</v>
      </c>
      <c r="U351" s="23">
        <f>P351*Q351*(R351+S351*2-0.12-0.12)*T351</f>
        <v>2.6286E-2</v>
      </c>
      <c r="V351" s="2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 s="20"/>
      <c r="BF351" s="20"/>
      <c r="BG351"/>
    </row>
    <row r="352" spans="1:59">
      <c r="A352" s="21"/>
      <c r="B352" s="21"/>
      <c r="C352" s="21"/>
      <c r="D352" s="21"/>
      <c r="E352" s="23" t="s">
        <v>94</v>
      </c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>
        <v>1</v>
      </c>
      <c r="Q352" s="21">
        <v>3.76</v>
      </c>
      <c r="R352" s="21">
        <v>0.22</v>
      </c>
      <c r="S352" s="21">
        <v>0.4</v>
      </c>
      <c r="T352" s="21">
        <v>0.01</v>
      </c>
      <c r="U352" s="23">
        <f>P352*Q352*(R352+S352*2-0.12-0.12)*T352</f>
        <v>2.9328E-2</v>
      </c>
      <c r="V352" s="21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 s="20"/>
      <c r="BF352" s="20"/>
      <c r="BG352"/>
    </row>
    <row r="353" spans="1:59">
      <c r="A353" s="21"/>
      <c r="B353" s="21"/>
      <c r="C353" s="21"/>
      <c r="D353" s="21"/>
      <c r="E353" s="22" t="s">
        <v>86</v>
      </c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2">
        <f>SUM(U354:U354)</f>
        <v>3.5639999999999998E-2</v>
      </c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 s="20"/>
      <c r="BF353" s="20"/>
      <c r="BG353"/>
    </row>
    <row r="354" spans="1:59">
      <c r="A354" s="21"/>
      <c r="B354" s="21"/>
      <c r="C354" s="21"/>
      <c r="D354" s="21"/>
      <c r="E354" s="23" t="s">
        <v>96</v>
      </c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>
        <v>1</v>
      </c>
      <c r="Q354" s="21">
        <v>3.96</v>
      </c>
      <c r="R354" s="21">
        <v>0.22</v>
      </c>
      <c r="S354" s="21">
        <v>0.4</v>
      </c>
      <c r="T354" s="21">
        <v>0.01</v>
      </c>
      <c r="U354" s="23">
        <f>P354*Q354*(R354+S354*2-0.12-0)*T354</f>
        <v>3.5639999999999998E-2</v>
      </c>
      <c r="V354" s="21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 s="20"/>
      <c r="BF354" s="20"/>
      <c r="BG354"/>
    </row>
    <row r="355" spans="1:59">
      <c r="A355" s="21"/>
      <c r="B355" s="21"/>
      <c r="C355" s="21"/>
      <c r="D355" s="21"/>
      <c r="E355" s="22" t="s">
        <v>90</v>
      </c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2">
        <f>SUM(U356:U356)</f>
        <v>3.04E-2</v>
      </c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 s="20"/>
      <c r="BF355" s="20"/>
      <c r="BG355"/>
    </row>
    <row r="356" spans="1:59">
      <c r="A356" s="21"/>
      <c r="B356" s="21"/>
      <c r="C356" s="21"/>
      <c r="D356" s="21"/>
      <c r="E356" s="23" t="s">
        <v>113</v>
      </c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>
        <v>1</v>
      </c>
      <c r="Q356" s="21">
        <v>3.8</v>
      </c>
      <c r="R356" s="21">
        <v>0.22</v>
      </c>
      <c r="S356" s="21">
        <v>0.35</v>
      </c>
      <c r="T356" s="21">
        <v>0.01</v>
      </c>
      <c r="U356" s="23">
        <f>P356*Q356*(R356+S356*2-0.12-0)*T356</f>
        <v>3.04E-2</v>
      </c>
      <c r="V356" s="21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 s="20"/>
      <c r="BF356" s="20"/>
      <c r="BG356"/>
    </row>
    <row r="357" spans="1:59">
      <c r="A357" s="21"/>
      <c r="B357" s="21"/>
      <c r="C357" s="21"/>
      <c r="D357" s="21"/>
      <c r="E357" s="22" t="s">
        <v>92</v>
      </c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2">
        <f>SUM(U358:U358)</f>
        <v>2.997E-2</v>
      </c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 s="20"/>
      <c r="BF357" s="20"/>
      <c r="BG357"/>
    </row>
    <row r="358" spans="1:59">
      <c r="A358" s="24"/>
      <c r="B358" s="24"/>
      <c r="C358" s="24"/>
      <c r="D358" s="24"/>
      <c r="E358" s="25" t="s">
        <v>100</v>
      </c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>
        <v>1</v>
      </c>
      <c r="Q358" s="24">
        <v>3.33</v>
      </c>
      <c r="R358" s="24">
        <v>0.22</v>
      </c>
      <c r="S358" s="24">
        <v>0.4</v>
      </c>
      <c r="T358" s="24">
        <v>0.01</v>
      </c>
      <c r="U358" s="25">
        <f>P358*Q358*(R358+S358*2-0.12-0)*T358</f>
        <v>2.997E-2</v>
      </c>
      <c r="V358" s="24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 s="20"/>
      <c r="BF358" s="20"/>
      <c r="BG358"/>
    </row>
    <row r="359" spans="1:59">
      <c r="A359" s="17"/>
      <c r="B359" s="17"/>
      <c r="C359" s="17"/>
      <c r="D359" s="17"/>
      <c r="E359" s="18" t="s">
        <v>59</v>
      </c>
      <c r="F359" s="17" t="s">
        <v>32</v>
      </c>
      <c r="G359" s="19">
        <f>SUM(U361:U405)</f>
        <v>6.5969361903131301</v>
      </c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8">
        <f>SUM(U361:U405)</f>
        <v>6.5969361903131301</v>
      </c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 s="20"/>
      <c r="BF359" s="20"/>
      <c r="BG359"/>
    </row>
    <row r="360" spans="1:59">
      <c r="A360" s="21"/>
      <c r="B360" s="21"/>
      <c r="C360" s="21"/>
      <c r="D360" s="21"/>
      <c r="E360" s="22" t="s">
        <v>33</v>
      </c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2">
        <f>SUM(U361:U365)</f>
        <v>1.1175999999999999</v>
      </c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 s="20"/>
      <c r="BF360" s="20"/>
      <c r="BG360"/>
    </row>
    <row r="361" spans="1:59">
      <c r="A361" s="21"/>
      <c r="B361" s="21"/>
      <c r="C361" s="21"/>
      <c r="D361" s="21"/>
      <c r="E361" s="23" t="s">
        <v>51</v>
      </c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>
        <v>1</v>
      </c>
      <c r="Q361" s="21">
        <v>4.38</v>
      </c>
      <c r="R361" s="21">
        <v>0.22</v>
      </c>
      <c r="S361" s="21">
        <v>0.4</v>
      </c>
      <c r="T361" s="21">
        <v>1</v>
      </c>
      <c r="U361" s="23">
        <f t="shared" ref="U361:U377" si="13">PRODUCT(P361:T361)</f>
        <v>0.38544</v>
      </c>
      <c r="V361" s="2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 s="20"/>
      <c r="BF361" s="20"/>
      <c r="BG361"/>
    </row>
    <row r="362" spans="1:59">
      <c r="A362" s="21"/>
      <c r="B362" s="21"/>
      <c r="C362" s="21"/>
      <c r="D362" s="21"/>
      <c r="E362" s="23" t="s">
        <v>53</v>
      </c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>
        <v>1</v>
      </c>
      <c r="Q362" s="21">
        <v>3.99</v>
      </c>
      <c r="R362" s="21">
        <v>0.22</v>
      </c>
      <c r="S362" s="21">
        <v>0.4</v>
      </c>
      <c r="T362" s="21">
        <v>1</v>
      </c>
      <c r="U362" s="23">
        <f t="shared" si="13"/>
        <v>0.35111999999999999</v>
      </c>
      <c r="V362" s="21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 s="20"/>
      <c r="BF362" s="20"/>
      <c r="BG362"/>
    </row>
    <row r="363" spans="1:59">
      <c r="A363" s="21"/>
      <c r="B363" s="21"/>
      <c r="C363" s="21"/>
      <c r="D363" s="21"/>
      <c r="E363" s="23" t="s">
        <v>55</v>
      </c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>
        <v>1</v>
      </c>
      <c r="Q363" s="21">
        <v>3.89</v>
      </c>
      <c r="R363" s="21">
        <v>0.22</v>
      </c>
      <c r="S363" s="21">
        <v>0.4</v>
      </c>
      <c r="T363" s="21">
        <v>1</v>
      </c>
      <c r="U363" s="23">
        <f t="shared" si="13"/>
        <v>0.34232000000000001</v>
      </c>
      <c r="V363" s="21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 s="20"/>
      <c r="BF363" s="20"/>
      <c r="BG363"/>
    </row>
    <row r="364" spans="1:59">
      <c r="A364" s="21"/>
      <c r="B364" s="21"/>
      <c r="C364" s="21"/>
      <c r="D364" s="21"/>
      <c r="E364" s="23" t="s">
        <v>39</v>
      </c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>
        <v>1</v>
      </c>
      <c r="Q364" s="21">
        <v>0.22</v>
      </c>
      <c r="R364" s="21">
        <v>0.22</v>
      </c>
      <c r="S364" s="21">
        <v>0.4</v>
      </c>
      <c r="T364" s="21">
        <v>1</v>
      </c>
      <c r="U364" s="21">
        <f t="shared" si="13"/>
        <v>1.9359999999999999E-2</v>
      </c>
      <c r="V364" s="21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 s="20"/>
      <c r="BF364" s="20"/>
      <c r="BG364"/>
    </row>
    <row r="365" spans="1:59">
      <c r="A365" s="21"/>
      <c r="B365" s="21"/>
      <c r="C365" s="21"/>
      <c r="D365" s="21"/>
      <c r="E365" s="23" t="s">
        <v>39</v>
      </c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>
        <v>1</v>
      </c>
      <c r="Q365" s="21">
        <v>0.22</v>
      </c>
      <c r="R365" s="21">
        <v>0.22</v>
      </c>
      <c r="S365" s="21">
        <v>0.4</v>
      </c>
      <c r="T365" s="21">
        <v>1</v>
      </c>
      <c r="U365" s="21">
        <f t="shared" si="13"/>
        <v>1.9359999999999999E-2</v>
      </c>
      <c r="V365" s="21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 s="20"/>
      <c r="BF365" s="20"/>
      <c r="BG365"/>
    </row>
    <row r="366" spans="1:59">
      <c r="A366" s="21"/>
      <c r="B366" s="21"/>
      <c r="C366" s="21"/>
      <c r="D366" s="21"/>
      <c r="E366" s="22" t="s">
        <v>41</v>
      </c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>
        <v>1</v>
      </c>
      <c r="Q366" s="21">
        <v>0.22</v>
      </c>
      <c r="R366" s="21">
        <v>0.22</v>
      </c>
      <c r="S366" s="21">
        <v>0.4</v>
      </c>
      <c r="T366" s="21">
        <v>1</v>
      </c>
      <c r="U366" s="21">
        <f t="shared" si="13"/>
        <v>1.9359999999999999E-2</v>
      </c>
      <c r="V366" s="22">
        <f>SUM(U367:U368)</f>
        <v>0.15135999999999999</v>
      </c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 s="20"/>
      <c r="BF366" s="20"/>
      <c r="BG366"/>
    </row>
    <row r="367" spans="1:59">
      <c r="A367" s="21"/>
      <c r="B367" s="21"/>
      <c r="C367" s="21"/>
      <c r="D367" s="21"/>
      <c r="E367" s="23" t="s">
        <v>64</v>
      </c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>
        <v>1</v>
      </c>
      <c r="Q367" s="21">
        <v>1.5</v>
      </c>
      <c r="R367" s="21">
        <v>0.22</v>
      </c>
      <c r="S367" s="21">
        <v>0.4</v>
      </c>
      <c r="T367" s="21">
        <v>1</v>
      </c>
      <c r="U367" s="23">
        <f t="shared" si="13"/>
        <v>0.13200000000000001</v>
      </c>
      <c r="V367" s="21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 s="20"/>
      <c r="BF367" s="20"/>
      <c r="BG367"/>
    </row>
    <row r="368" spans="1:59">
      <c r="A368" s="21"/>
      <c r="B368" s="21"/>
      <c r="C368" s="21"/>
      <c r="D368" s="21"/>
      <c r="E368" s="23" t="s">
        <v>39</v>
      </c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>
        <v>1</v>
      </c>
      <c r="Q368" s="21">
        <v>0.22</v>
      </c>
      <c r="R368" s="21">
        <v>0.22</v>
      </c>
      <c r="S368" s="21">
        <v>0.4</v>
      </c>
      <c r="T368" s="21">
        <v>1</v>
      </c>
      <c r="U368" s="21">
        <f t="shared" si="13"/>
        <v>1.9359999999999999E-2</v>
      </c>
      <c r="V368" s="21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 s="20"/>
      <c r="BF368" s="20"/>
      <c r="BG368"/>
    </row>
    <row r="369" spans="1:59">
      <c r="A369" s="21"/>
      <c r="B369" s="21"/>
      <c r="C369" s="21"/>
      <c r="D369" s="21"/>
      <c r="E369" s="22" t="s">
        <v>45</v>
      </c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>
        <v>1</v>
      </c>
      <c r="Q369" s="21">
        <v>0.22</v>
      </c>
      <c r="R369" s="21">
        <v>0.22</v>
      </c>
      <c r="S369" s="21">
        <v>0.4</v>
      </c>
      <c r="T369" s="21">
        <v>1</v>
      </c>
      <c r="U369" s="21">
        <f t="shared" si="13"/>
        <v>1.9359999999999999E-2</v>
      </c>
      <c r="V369" s="22">
        <f>SUM(U370:U375)</f>
        <v>0.67584</v>
      </c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 s="20"/>
      <c r="BF369" s="20"/>
      <c r="BG369"/>
    </row>
    <row r="370" spans="1:59">
      <c r="A370" s="21"/>
      <c r="B370" s="21"/>
      <c r="C370" s="21"/>
      <c r="D370" s="21"/>
      <c r="E370" s="23" t="s">
        <v>67</v>
      </c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>
        <v>1</v>
      </c>
      <c r="Q370" s="21">
        <v>2.2799999999999998</v>
      </c>
      <c r="R370" s="21">
        <v>0.22</v>
      </c>
      <c r="S370" s="21">
        <v>0.4</v>
      </c>
      <c r="T370" s="21">
        <v>1</v>
      </c>
      <c r="U370" s="23">
        <f t="shared" si="13"/>
        <v>0.20064000000000001</v>
      </c>
      <c r="V370" s="21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 s="20"/>
      <c r="BF370" s="20"/>
      <c r="BG370"/>
    </row>
    <row r="371" spans="1:59">
      <c r="A371" s="21"/>
      <c r="B371" s="21"/>
      <c r="C371" s="21"/>
      <c r="D371" s="21"/>
      <c r="E371" s="23" t="s">
        <v>68</v>
      </c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>
        <v>1</v>
      </c>
      <c r="Q371" s="21">
        <v>1.5</v>
      </c>
      <c r="R371" s="21">
        <v>0.22</v>
      </c>
      <c r="S371" s="21">
        <v>0.4</v>
      </c>
      <c r="T371" s="21">
        <v>1</v>
      </c>
      <c r="U371" s="23">
        <f t="shared" si="13"/>
        <v>0.13200000000000001</v>
      </c>
      <c r="V371" s="2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 s="20"/>
      <c r="BF371" s="20"/>
      <c r="BG371"/>
    </row>
    <row r="372" spans="1:59">
      <c r="A372" s="21"/>
      <c r="B372" s="21"/>
      <c r="C372" s="21"/>
      <c r="D372" s="21"/>
      <c r="E372" s="23" t="s">
        <v>69</v>
      </c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>
        <v>1</v>
      </c>
      <c r="Q372" s="21">
        <v>3.24</v>
      </c>
      <c r="R372" s="21">
        <v>0.22</v>
      </c>
      <c r="S372" s="21">
        <v>0.4</v>
      </c>
      <c r="T372" s="21">
        <v>1</v>
      </c>
      <c r="U372" s="23">
        <f t="shared" si="13"/>
        <v>0.28511999999999998</v>
      </c>
      <c r="V372" s="21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 s="20"/>
      <c r="BF372" s="20"/>
      <c r="BG372"/>
    </row>
    <row r="373" spans="1:59">
      <c r="A373" s="21"/>
      <c r="B373" s="21"/>
      <c r="C373" s="21"/>
      <c r="D373" s="21"/>
      <c r="E373" s="23" t="s">
        <v>39</v>
      </c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>
        <v>1</v>
      </c>
      <c r="Q373" s="21">
        <v>0.22</v>
      </c>
      <c r="R373" s="21">
        <v>0.22</v>
      </c>
      <c r="S373" s="21">
        <v>0.4</v>
      </c>
      <c r="T373" s="21">
        <v>1</v>
      </c>
      <c r="U373" s="21">
        <f t="shared" si="13"/>
        <v>1.9359999999999999E-2</v>
      </c>
      <c r="V373" s="21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 s="20"/>
      <c r="BF373" s="20"/>
      <c r="BG373"/>
    </row>
    <row r="374" spans="1:59">
      <c r="A374" s="21"/>
      <c r="B374" s="21"/>
      <c r="C374" s="21"/>
      <c r="D374" s="21"/>
      <c r="E374" s="23" t="s">
        <v>39</v>
      </c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>
        <v>1</v>
      </c>
      <c r="Q374" s="21">
        <v>0.22</v>
      </c>
      <c r="R374" s="21">
        <v>0.22</v>
      </c>
      <c r="S374" s="21">
        <v>0.4</v>
      </c>
      <c r="T374" s="21">
        <v>1</v>
      </c>
      <c r="U374" s="21">
        <f t="shared" si="13"/>
        <v>1.9359999999999999E-2</v>
      </c>
      <c r="V374" s="21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 s="20"/>
      <c r="BF374" s="20"/>
      <c r="BG374"/>
    </row>
    <row r="375" spans="1:59">
      <c r="A375" s="21"/>
      <c r="B375" s="21"/>
      <c r="C375" s="21"/>
      <c r="D375" s="21"/>
      <c r="E375" s="23" t="s">
        <v>39</v>
      </c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>
        <v>1</v>
      </c>
      <c r="Q375" s="21">
        <v>0.22</v>
      </c>
      <c r="R375" s="21">
        <v>0.22</v>
      </c>
      <c r="S375" s="21">
        <v>0.4</v>
      </c>
      <c r="T375" s="21">
        <v>1</v>
      </c>
      <c r="U375" s="21">
        <f t="shared" si="13"/>
        <v>1.9359999999999999E-2</v>
      </c>
      <c r="V375" s="21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 s="20"/>
      <c r="BF375" s="20"/>
      <c r="BG375"/>
    </row>
    <row r="376" spans="1:59">
      <c r="A376" s="21"/>
      <c r="B376" s="21"/>
      <c r="C376" s="21"/>
      <c r="D376" s="21"/>
      <c r="E376" s="22" t="s">
        <v>49</v>
      </c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>
        <v>1</v>
      </c>
      <c r="Q376" s="21">
        <v>0.22</v>
      </c>
      <c r="R376" s="21">
        <v>0.22</v>
      </c>
      <c r="S376" s="21">
        <v>0.4</v>
      </c>
      <c r="T376" s="21">
        <v>1</v>
      </c>
      <c r="U376" s="21">
        <f t="shared" si="13"/>
        <v>1.9359999999999999E-2</v>
      </c>
      <c r="V376" s="22">
        <f>SUM(U377:U377)</f>
        <v>0.39863999999999999</v>
      </c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 s="20"/>
      <c r="BF376" s="20"/>
      <c r="BG376"/>
    </row>
    <row r="377" spans="1:59">
      <c r="A377" s="21"/>
      <c r="B377" s="21"/>
      <c r="C377" s="21"/>
      <c r="D377" s="21"/>
      <c r="E377" s="23" t="s">
        <v>71</v>
      </c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>
        <v>1</v>
      </c>
      <c r="Q377" s="21">
        <v>4.53</v>
      </c>
      <c r="R377" s="21">
        <v>0.22</v>
      </c>
      <c r="S377" s="21">
        <v>0.4</v>
      </c>
      <c r="T377" s="21">
        <v>1</v>
      </c>
      <c r="U377" s="23">
        <f t="shared" si="13"/>
        <v>0.39863999999999999</v>
      </c>
      <c r="V377" s="21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 s="20"/>
      <c r="BF377" s="20"/>
      <c r="BG377"/>
    </row>
    <row r="378" spans="1:59">
      <c r="A378" s="21"/>
      <c r="B378" s="21"/>
      <c r="C378" s="21"/>
      <c r="D378" s="21"/>
      <c r="E378" s="22" t="s">
        <v>62</v>
      </c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2">
        <f>SUM(U379:U379)</f>
        <v>0.28511999999999998</v>
      </c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 s="20"/>
      <c r="BF378" s="20"/>
      <c r="BG378"/>
    </row>
    <row r="379" spans="1:59">
      <c r="A379" s="21"/>
      <c r="B379" s="21"/>
      <c r="C379" s="21"/>
      <c r="D379" s="21"/>
      <c r="E379" s="23" t="s">
        <v>74</v>
      </c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>
        <v>1</v>
      </c>
      <c r="Q379" s="21">
        <v>3.24</v>
      </c>
      <c r="R379" s="21">
        <v>0.22</v>
      </c>
      <c r="S379" s="21">
        <v>0.4</v>
      </c>
      <c r="T379" s="21">
        <v>1</v>
      </c>
      <c r="U379" s="23">
        <f>PRODUCT(P379:T379)</f>
        <v>0.28511999999999998</v>
      </c>
      <c r="V379" s="21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 s="20"/>
      <c r="BF379" s="20"/>
      <c r="BG379"/>
    </row>
    <row r="380" spans="1:59">
      <c r="A380" s="21"/>
      <c r="B380" s="21"/>
      <c r="C380" s="21"/>
      <c r="D380" s="21"/>
      <c r="E380" s="22" t="s">
        <v>66</v>
      </c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2">
        <f>SUM(U381:U386)</f>
        <v>1.0674399999999999</v>
      </c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 s="20"/>
      <c r="BF380" s="20"/>
      <c r="BG380"/>
    </row>
    <row r="381" spans="1:59">
      <c r="A381" s="21"/>
      <c r="B381" s="21"/>
      <c r="C381" s="21"/>
      <c r="D381" s="21"/>
      <c r="E381" s="23" t="s">
        <v>76</v>
      </c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>
        <v>1</v>
      </c>
      <c r="Q381" s="21">
        <v>3.7</v>
      </c>
      <c r="R381" s="21">
        <v>0.22</v>
      </c>
      <c r="S381" s="21">
        <v>0.4</v>
      </c>
      <c r="T381" s="21">
        <v>1</v>
      </c>
      <c r="U381" s="23">
        <f t="shared" ref="U381:U389" si="14">PRODUCT(P381:T381)</f>
        <v>0.3256</v>
      </c>
      <c r="V381" s="2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 s="20"/>
      <c r="BF381" s="20"/>
      <c r="BG381"/>
    </row>
    <row r="382" spans="1:59">
      <c r="A382" s="21"/>
      <c r="B382" s="21"/>
      <c r="C382" s="21"/>
      <c r="D382" s="21"/>
      <c r="E382" s="23" t="s">
        <v>77</v>
      </c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>
        <v>1</v>
      </c>
      <c r="Q382" s="21">
        <v>3.24</v>
      </c>
      <c r="R382" s="21">
        <v>0.22</v>
      </c>
      <c r="S382" s="21">
        <v>0.4</v>
      </c>
      <c r="T382" s="21">
        <v>1</v>
      </c>
      <c r="U382" s="23">
        <f t="shared" si="14"/>
        <v>0.28511999999999998</v>
      </c>
      <c r="V382" s="21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 s="20"/>
      <c r="BF382" s="20"/>
      <c r="BG382"/>
    </row>
    <row r="383" spans="1:59">
      <c r="A383" s="21"/>
      <c r="B383" s="21"/>
      <c r="C383" s="21"/>
      <c r="D383" s="21"/>
      <c r="E383" s="23" t="s">
        <v>78</v>
      </c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>
        <v>1</v>
      </c>
      <c r="Q383" s="21">
        <v>4.53</v>
      </c>
      <c r="R383" s="21">
        <v>0.22</v>
      </c>
      <c r="S383" s="21">
        <v>0.4</v>
      </c>
      <c r="T383" s="21">
        <v>1</v>
      </c>
      <c r="U383" s="23">
        <f t="shared" si="14"/>
        <v>0.39863999999999999</v>
      </c>
      <c r="V383" s="21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 s="20"/>
      <c r="BF383" s="20"/>
      <c r="BG383"/>
    </row>
    <row r="384" spans="1:59">
      <c r="A384" s="21"/>
      <c r="B384" s="21"/>
      <c r="C384" s="21"/>
      <c r="D384" s="21"/>
      <c r="E384" s="23" t="s">
        <v>39</v>
      </c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>
        <v>1</v>
      </c>
      <c r="Q384" s="21">
        <v>0.22</v>
      </c>
      <c r="R384" s="21">
        <v>0.22</v>
      </c>
      <c r="S384" s="21">
        <v>0.4</v>
      </c>
      <c r="T384" s="21">
        <v>1</v>
      </c>
      <c r="U384" s="21">
        <f t="shared" si="14"/>
        <v>1.9359999999999999E-2</v>
      </c>
      <c r="V384" s="21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 s="20"/>
      <c r="BF384" s="20"/>
      <c r="BG384"/>
    </row>
    <row r="385" spans="1:59">
      <c r="A385" s="21"/>
      <c r="B385" s="21"/>
      <c r="C385" s="21"/>
      <c r="D385" s="21"/>
      <c r="E385" s="23" t="s">
        <v>39</v>
      </c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>
        <v>1</v>
      </c>
      <c r="Q385" s="21">
        <v>0.22</v>
      </c>
      <c r="R385" s="21">
        <v>0.22</v>
      </c>
      <c r="S385" s="21">
        <v>0.4</v>
      </c>
      <c r="T385" s="21">
        <v>1</v>
      </c>
      <c r="U385" s="21">
        <f t="shared" si="14"/>
        <v>1.9359999999999999E-2</v>
      </c>
      <c r="V385" s="21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 s="20"/>
      <c r="BF385" s="20"/>
      <c r="BG385"/>
    </row>
    <row r="386" spans="1:59">
      <c r="A386" s="21"/>
      <c r="B386" s="21"/>
      <c r="C386" s="21"/>
      <c r="D386" s="21"/>
      <c r="E386" s="23" t="s">
        <v>39</v>
      </c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>
        <v>1</v>
      </c>
      <c r="Q386" s="21">
        <v>0.22</v>
      </c>
      <c r="R386" s="21">
        <v>0.22</v>
      </c>
      <c r="S386" s="21">
        <v>0.4</v>
      </c>
      <c r="T386" s="21">
        <v>1</v>
      </c>
      <c r="U386" s="21">
        <f t="shared" si="14"/>
        <v>1.9359999999999999E-2</v>
      </c>
      <c r="V386" s="21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 s="20"/>
      <c r="BF386" s="20"/>
      <c r="BG386"/>
    </row>
    <row r="387" spans="1:59">
      <c r="A387" s="21"/>
      <c r="B387" s="21"/>
      <c r="C387" s="21"/>
      <c r="D387" s="21"/>
      <c r="E387" s="22" t="s">
        <v>70</v>
      </c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>
        <v>1</v>
      </c>
      <c r="Q387" s="21">
        <v>0.22</v>
      </c>
      <c r="R387" s="21">
        <v>0.22</v>
      </c>
      <c r="S387" s="21">
        <v>0.4</v>
      </c>
      <c r="T387" s="21">
        <v>1</v>
      </c>
      <c r="U387" s="21">
        <f t="shared" si="14"/>
        <v>1.9359999999999999E-2</v>
      </c>
      <c r="V387" s="22">
        <f>SUM(U388:U389)</f>
        <v>0.62921619031313203</v>
      </c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 s="20"/>
      <c r="BF387" s="20"/>
      <c r="BG387"/>
    </row>
    <row r="388" spans="1:59">
      <c r="A388" s="21"/>
      <c r="B388" s="21"/>
      <c r="C388" s="21"/>
      <c r="D388" s="21"/>
      <c r="E388" s="23" t="s">
        <v>80</v>
      </c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>
        <v>1</v>
      </c>
      <c r="Q388" s="21">
        <v>3.3795175617067001</v>
      </c>
      <c r="R388" s="21">
        <v>0.22</v>
      </c>
      <c r="S388" s="21">
        <v>0.4</v>
      </c>
      <c r="T388" s="21">
        <v>1</v>
      </c>
      <c r="U388" s="23">
        <f t="shared" si="14"/>
        <v>0.29739754543018998</v>
      </c>
      <c r="V388" s="21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 s="20"/>
      <c r="BF388" s="20"/>
      <c r="BG388"/>
    </row>
    <row r="389" spans="1:59">
      <c r="A389" s="21"/>
      <c r="B389" s="21"/>
      <c r="C389" s="21"/>
      <c r="D389" s="21"/>
      <c r="E389" s="23" t="s">
        <v>81</v>
      </c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>
        <v>1</v>
      </c>
      <c r="Q389" s="21">
        <v>3.7706664191243502</v>
      </c>
      <c r="R389" s="21">
        <v>0.22</v>
      </c>
      <c r="S389" s="21">
        <v>0.4</v>
      </c>
      <c r="T389" s="21">
        <v>1</v>
      </c>
      <c r="U389" s="23">
        <f t="shared" si="14"/>
        <v>0.33181864488294199</v>
      </c>
      <c r="V389" s="21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 s="20"/>
      <c r="BF389" s="20"/>
      <c r="BG389"/>
    </row>
    <row r="390" spans="1:59">
      <c r="A390" s="21"/>
      <c r="B390" s="21"/>
      <c r="C390" s="21"/>
      <c r="D390" s="21"/>
      <c r="E390" s="22" t="s">
        <v>73</v>
      </c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2">
        <f>SUM(U391:U391)</f>
        <v>0.16016</v>
      </c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 s="20"/>
      <c r="BF390" s="20"/>
      <c r="BG390"/>
    </row>
    <row r="391" spans="1:59">
      <c r="A391" s="21"/>
      <c r="B391" s="21"/>
      <c r="C391" s="21"/>
      <c r="D391" s="21"/>
      <c r="E391" s="23" t="s">
        <v>83</v>
      </c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>
        <v>1</v>
      </c>
      <c r="Q391" s="21">
        <v>1.82</v>
      </c>
      <c r="R391" s="21">
        <v>0.22</v>
      </c>
      <c r="S391" s="21">
        <v>0.4</v>
      </c>
      <c r="T391" s="21">
        <v>1</v>
      </c>
      <c r="U391" s="23">
        <f>PRODUCT(P391:T391)</f>
        <v>0.16016</v>
      </c>
      <c r="V391" s="2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 s="20"/>
      <c r="BF391" s="20"/>
      <c r="BG391"/>
    </row>
    <row r="392" spans="1:59">
      <c r="A392" s="21"/>
      <c r="B392" s="21"/>
      <c r="C392" s="21"/>
      <c r="D392" s="21"/>
      <c r="E392" s="22" t="s">
        <v>75</v>
      </c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2">
        <f>SUM(U393:U395)</f>
        <v>0.51039999999999996</v>
      </c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 s="20"/>
      <c r="BF392" s="20"/>
      <c r="BG392"/>
    </row>
    <row r="393" spans="1:59">
      <c r="A393" s="21"/>
      <c r="B393" s="21"/>
      <c r="C393" s="21"/>
      <c r="D393" s="21"/>
      <c r="E393" s="23" t="s">
        <v>88</v>
      </c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>
        <v>1</v>
      </c>
      <c r="Q393" s="21">
        <v>1.82</v>
      </c>
      <c r="R393" s="21">
        <v>0.22</v>
      </c>
      <c r="S393" s="21">
        <v>0.4</v>
      </c>
      <c r="T393" s="21">
        <v>1</v>
      </c>
      <c r="U393" s="23">
        <f>PRODUCT(P393:T393)</f>
        <v>0.16016</v>
      </c>
      <c r="V393" s="21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 s="20"/>
      <c r="BF393" s="20"/>
      <c r="BG393"/>
    </row>
    <row r="394" spans="1:59">
      <c r="A394" s="21"/>
      <c r="B394" s="21"/>
      <c r="C394" s="21"/>
      <c r="D394" s="21"/>
      <c r="E394" s="23" t="s">
        <v>89</v>
      </c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>
        <v>1</v>
      </c>
      <c r="Q394" s="21">
        <v>3.76</v>
      </c>
      <c r="R394" s="21">
        <v>0.22</v>
      </c>
      <c r="S394" s="21">
        <v>0.4</v>
      </c>
      <c r="T394" s="21">
        <v>1</v>
      </c>
      <c r="U394" s="23">
        <f>PRODUCT(P394:T394)</f>
        <v>0.33088000000000001</v>
      </c>
      <c r="V394" s="21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 s="20"/>
      <c r="BF394" s="20"/>
      <c r="BG394"/>
    </row>
    <row r="395" spans="1:59">
      <c r="A395" s="21"/>
      <c r="B395" s="21"/>
      <c r="C395" s="21"/>
      <c r="D395" s="21"/>
      <c r="E395" s="23" t="s">
        <v>39</v>
      </c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>
        <v>1</v>
      </c>
      <c r="Q395" s="21">
        <v>0.22</v>
      </c>
      <c r="R395" s="21">
        <v>0.22</v>
      </c>
      <c r="S395" s="21">
        <v>0.4</v>
      </c>
      <c r="T395" s="21">
        <v>1</v>
      </c>
      <c r="U395" s="21">
        <f>PRODUCT(P395:T395)</f>
        <v>1.9359999999999999E-2</v>
      </c>
      <c r="V395" s="21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 s="20"/>
      <c r="BF395" s="20"/>
      <c r="BG395"/>
    </row>
    <row r="396" spans="1:59">
      <c r="A396" s="21"/>
      <c r="B396" s="21"/>
      <c r="C396" s="21"/>
      <c r="D396" s="21"/>
      <c r="E396" s="22" t="s">
        <v>79</v>
      </c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>
        <v>1</v>
      </c>
      <c r="Q396" s="21">
        <v>0.22</v>
      </c>
      <c r="R396" s="21">
        <v>0.22</v>
      </c>
      <c r="S396" s="21">
        <v>0.4</v>
      </c>
      <c r="T396" s="21">
        <v>1</v>
      </c>
      <c r="U396" s="21">
        <f>PRODUCT(P396:T396)</f>
        <v>1.9359999999999999E-2</v>
      </c>
      <c r="V396" s="22">
        <f>SUM(U397:U397)</f>
        <v>0.25256000000000001</v>
      </c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 s="20"/>
      <c r="BF396" s="20"/>
      <c r="BG396"/>
    </row>
    <row r="397" spans="1:59">
      <c r="A397" s="21"/>
      <c r="B397" s="21"/>
      <c r="C397" s="21"/>
      <c r="D397" s="21"/>
      <c r="E397" s="23" t="s">
        <v>91</v>
      </c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>
        <v>1</v>
      </c>
      <c r="Q397" s="21">
        <v>2.87</v>
      </c>
      <c r="R397" s="21">
        <v>0.22</v>
      </c>
      <c r="S397" s="21">
        <v>0.4</v>
      </c>
      <c r="T397" s="21">
        <v>1</v>
      </c>
      <c r="U397" s="23">
        <f>PRODUCT(P397:T397)</f>
        <v>0.25256000000000001</v>
      </c>
      <c r="V397" s="21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 s="20"/>
      <c r="BF397" s="20"/>
      <c r="BG397"/>
    </row>
    <row r="398" spans="1:59">
      <c r="A398" s="21"/>
      <c r="B398" s="21"/>
      <c r="C398" s="21"/>
      <c r="D398" s="21"/>
      <c r="E398" s="22" t="s">
        <v>82</v>
      </c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2">
        <f>SUM(U399:U401)</f>
        <v>0.64680000000000004</v>
      </c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 s="20"/>
      <c r="BF398" s="20"/>
      <c r="BG398"/>
    </row>
    <row r="399" spans="1:59">
      <c r="A399" s="21"/>
      <c r="B399" s="21"/>
      <c r="C399" s="21"/>
      <c r="D399" s="21"/>
      <c r="E399" s="23" t="s">
        <v>93</v>
      </c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>
        <v>1</v>
      </c>
      <c r="Q399" s="21">
        <v>3.37</v>
      </c>
      <c r="R399" s="21">
        <v>0.22</v>
      </c>
      <c r="S399" s="21">
        <v>0.4</v>
      </c>
      <c r="T399" s="21">
        <v>1</v>
      </c>
      <c r="U399" s="23">
        <f>PRODUCT(P399:T399)</f>
        <v>0.29655999999999999</v>
      </c>
      <c r="V399" s="21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 s="20"/>
      <c r="BF399" s="20"/>
      <c r="BG399"/>
    </row>
    <row r="400" spans="1:59">
      <c r="A400" s="21"/>
      <c r="B400" s="21"/>
      <c r="C400" s="21"/>
      <c r="D400" s="21"/>
      <c r="E400" s="23" t="s">
        <v>94</v>
      </c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>
        <v>1</v>
      </c>
      <c r="Q400" s="21">
        <v>3.76</v>
      </c>
      <c r="R400" s="21">
        <v>0.22</v>
      </c>
      <c r="S400" s="21">
        <v>0.4</v>
      </c>
      <c r="T400" s="21">
        <v>1</v>
      </c>
      <c r="U400" s="23">
        <f>PRODUCT(P400:T400)</f>
        <v>0.33088000000000001</v>
      </c>
      <c r="V400" s="21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 s="20"/>
      <c r="BF400" s="20"/>
      <c r="BG400"/>
    </row>
    <row r="401" spans="1:59">
      <c r="A401" s="21"/>
      <c r="B401" s="21"/>
      <c r="C401" s="21"/>
      <c r="D401" s="21"/>
      <c r="E401" s="23" t="s">
        <v>39</v>
      </c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>
        <v>1</v>
      </c>
      <c r="Q401" s="21">
        <v>0.22</v>
      </c>
      <c r="R401" s="21">
        <v>0.22</v>
      </c>
      <c r="S401" s="21">
        <v>0.4</v>
      </c>
      <c r="T401" s="21">
        <v>1</v>
      </c>
      <c r="U401" s="21">
        <f>PRODUCT(P401:T401)</f>
        <v>1.9359999999999999E-2</v>
      </c>
      <c r="V401" s="2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 s="20"/>
      <c r="BF401" s="20"/>
      <c r="BG401"/>
    </row>
    <row r="402" spans="1:59">
      <c r="A402" s="21"/>
      <c r="B402" s="21"/>
      <c r="C402" s="21"/>
      <c r="D402" s="21"/>
      <c r="E402" s="22" t="s">
        <v>84</v>
      </c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>
        <v>1</v>
      </c>
      <c r="Q402" s="21">
        <v>0.22</v>
      </c>
      <c r="R402" s="21">
        <v>0.22</v>
      </c>
      <c r="S402" s="21">
        <v>0.4</v>
      </c>
      <c r="T402" s="21">
        <v>1</v>
      </c>
      <c r="U402" s="21">
        <f>PRODUCT(P402:T402)</f>
        <v>1.9359999999999999E-2</v>
      </c>
      <c r="V402" s="22">
        <f>SUM(U403:U403)</f>
        <v>0.29260000000000003</v>
      </c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 s="20"/>
      <c r="BF402" s="20"/>
      <c r="BG402"/>
    </row>
    <row r="403" spans="1:59">
      <c r="A403" s="21"/>
      <c r="B403" s="21"/>
      <c r="C403" s="21"/>
      <c r="D403" s="21"/>
      <c r="E403" s="23" t="s">
        <v>113</v>
      </c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>
        <v>1</v>
      </c>
      <c r="Q403" s="21">
        <v>3.8</v>
      </c>
      <c r="R403" s="21">
        <v>0.22</v>
      </c>
      <c r="S403" s="21">
        <v>0.35</v>
      </c>
      <c r="T403" s="21">
        <v>1</v>
      </c>
      <c r="U403" s="23">
        <f>PRODUCT(P403:T403)</f>
        <v>0.29260000000000003</v>
      </c>
      <c r="V403" s="21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 s="20"/>
      <c r="BF403" s="20"/>
      <c r="BG403"/>
    </row>
    <row r="404" spans="1:59">
      <c r="A404" s="21"/>
      <c r="B404" s="21"/>
      <c r="C404" s="21"/>
      <c r="D404" s="21"/>
      <c r="E404" s="22" t="s">
        <v>86</v>
      </c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2">
        <f>SUM(U405:U405)</f>
        <v>0.29304000000000002</v>
      </c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 s="20"/>
      <c r="BF404" s="20"/>
      <c r="BG404"/>
    </row>
    <row r="405" spans="1:59">
      <c r="A405" s="24"/>
      <c r="B405" s="24"/>
      <c r="C405" s="24"/>
      <c r="D405" s="24"/>
      <c r="E405" s="25" t="s">
        <v>100</v>
      </c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>
        <v>1</v>
      </c>
      <c r="Q405" s="24">
        <v>3.33</v>
      </c>
      <c r="R405" s="24">
        <v>0.22</v>
      </c>
      <c r="S405" s="24">
        <v>0.4</v>
      </c>
      <c r="T405" s="24">
        <v>1</v>
      </c>
      <c r="U405" s="25">
        <f>PRODUCT(P405:T405)</f>
        <v>0.29304000000000002</v>
      </c>
      <c r="V405" s="24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 s="20"/>
      <c r="BF405" s="20"/>
      <c r="BG405"/>
    </row>
    <row r="406" spans="1:59">
      <c r="A406" s="17"/>
      <c r="B406" s="17"/>
      <c r="C406" s="17"/>
      <c r="D406" s="17"/>
      <c r="E406" s="18" t="s">
        <v>60</v>
      </c>
      <c r="F406" s="17" t="s">
        <v>35</v>
      </c>
      <c r="G406" s="19">
        <f>SUM(U408:U441)</f>
        <v>0.60904165582748004</v>
      </c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8">
        <f>SUM(U408:U441)</f>
        <v>0.60904165582748004</v>
      </c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 s="20"/>
      <c r="BF406" s="20"/>
      <c r="BG406"/>
    </row>
    <row r="407" spans="1:59">
      <c r="A407" s="21"/>
      <c r="B407" s="21"/>
      <c r="C407" s="21"/>
      <c r="D407" s="21"/>
      <c r="E407" s="22" t="s">
        <v>33</v>
      </c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2">
        <f>SUM(U408:U410)</f>
        <v>0.11033999999999999</v>
      </c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 s="20"/>
      <c r="BF407" s="20"/>
      <c r="BG407"/>
    </row>
    <row r="408" spans="1:59">
      <c r="A408" s="21"/>
      <c r="B408" s="21"/>
      <c r="C408" s="21"/>
      <c r="D408" s="21"/>
      <c r="E408" s="23" t="s">
        <v>51</v>
      </c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>
        <v>1</v>
      </c>
      <c r="Q408" s="21">
        <v>4.38</v>
      </c>
      <c r="R408" s="21">
        <v>0.22</v>
      </c>
      <c r="S408" s="21">
        <v>0.4</v>
      </c>
      <c r="T408" s="21">
        <v>0.01</v>
      </c>
      <c r="U408" s="23">
        <f>P408*Q408*(R408+S408*2-0.12-0)*T408</f>
        <v>3.9419999999999997E-2</v>
      </c>
      <c r="V408" s="21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 s="20"/>
      <c r="BF408" s="20"/>
      <c r="BG408"/>
    </row>
    <row r="409" spans="1:59">
      <c r="A409" s="21"/>
      <c r="B409" s="21"/>
      <c r="C409" s="21"/>
      <c r="D409" s="21"/>
      <c r="E409" s="23" t="s">
        <v>53</v>
      </c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>
        <v>1</v>
      </c>
      <c r="Q409" s="21">
        <v>3.99</v>
      </c>
      <c r="R409" s="21">
        <v>0.22</v>
      </c>
      <c r="S409" s="21">
        <v>0.4</v>
      </c>
      <c r="T409" s="21">
        <v>0.01</v>
      </c>
      <c r="U409" s="23">
        <f>P409*Q409*(R409+S409*2-0.12-0)*T409</f>
        <v>3.5909999999999997E-2</v>
      </c>
      <c r="V409" s="21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 s="20"/>
      <c r="BF409" s="20"/>
      <c r="BG409"/>
    </row>
    <row r="410" spans="1:59">
      <c r="A410" s="21"/>
      <c r="B410" s="21"/>
      <c r="C410" s="21"/>
      <c r="D410" s="21"/>
      <c r="E410" s="23" t="s">
        <v>55</v>
      </c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>
        <v>1</v>
      </c>
      <c r="Q410" s="21">
        <v>3.89</v>
      </c>
      <c r="R410" s="21">
        <v>0.22</v>
      </c>
      <c r="S410" s="21">
        <v>0.4</v>
      </c>
      <c r="T410" s="21">
        <v>0.01</v>
      </c>
      <c r="U410" s="23">
        <f>P410*Q410*(R410+S410*2-0.12-0)*T410</f>
        <v>3.5009999999999999E-2</v>
      </c>
      <c r="V410" s="21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 s="20"/>
      <c r="BF410" s="20"/>
      <c r="BG410"/>
    </row>
    <row r="411" spans="1:59">
      <c r="A411" s="21"/>
      <c r="B411" s="21"/>
      <c r="C411" s="21"/>
      <c r="D411" s="21"/>
      <c r="E411" s="22" t="s">
        <v>41</v>
      </c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2">
        <f>SUM(U412:U412)</f>
        <v>1.35E-2</v>
      </c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 s="20"/>
      <c r="BF411" s="20"/>
      <c r="BG411"/>
    </row>
    <row r="412" spans="1:59">
      <c r="A412" s="21"/>
      <c r="B412" s="21"/>
      <c r="C412" s="21"/>
      <c r="D412" s="21"/>
      <c r="E412" s="23" t="s">
        <v>64</v>
      </c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>
        <v>1</v>
      </c>
      <c r="Q412" s="21">
        <v>1.5</v>
      </c>
      <c r="R412" s="21">
        <v>0.22</v>
      </c>
      <c r="S412" s="21">
        <v>0.4</v>
      </c>
      <c r="T412" s="21">
        <v>0.01</v>
      </c>
      <c r="U412" s="23">
        <f>P412*Q412*(R412+S412*2-0.12-0)*T412</f>
        <v>1.35E-2</v>
      </c>
      <c r="V412" s="21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 s="20"/>
      <c r="BF412" s="20"/>
      <c r="BG412"/>
    </row>
    <row r="413" spans="1:59">
      <c r="A413" s="21"/>
      <c r="B413" s="21"/>
      <c r="C413" s="21"/>
      <c r="D413" s="21"/>
      <c r="E413" s="22" t="s">
        <v>45</v>
      </c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2">
        <f>SUM(U414:U416)</f>
        <v>5.6556000000000002E-2</v>
      </c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 s="20"/>
      <c r="BF413" s="20"/>
      <c r="BG413"/>
    </row>
    <row r="414" spans="1:59">
      <c r="A414" s="21"/>
      <c r="B414" s="21"/>
      <c r="C414" s="21"/>
      <c r="D414" s="21"/>
      <c r="E414" s="23" t="s">
        <v>67</v>
      </c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>
        <v>1</v>
      </c>
      <c r="Q414" s="21">
        <v>2.2799999999999998</v>
      </c>
      <c r="R414" s="21">
        <v>0.22</v>
      </c>
      <c r="S414" s="21">
        <v>0.4</v>
      </c>
      <c r="T414" s="21">
        <v>0.01</v>
      </c>
      <c r="U414" s="23">
        <f>P414*Q414*(R414+S414*2-0.12-0.12)*T414</f>
        <v>1.7784000000000001E-2</v>
      </c>
      <c r="V414" s="21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 s="20"/>
      <c r="BF414" s="20"/>
      <c r="BG414"/>
    </row>
    <row r="415" spans="1:59">
      <c r="A415" s="21"/>
      <c r="B415" s="21"/>
      <c r="C415" s="21"/>
      <c r="D415" s="21"/>
      <c r="E415" s="23" t="s">
        <v>68</v>
      </c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>
        <v>1</v>
      </c>
      <c r="Q415" s="21">
        <v>1.5</v>
      </c>
      <c r="R415" s="21">
        <v>0.22</v>
      </c>
      <c r="S415" s="21">
        <v>0.4</v>
      </c>
      <c r="T415" s="21">
        <v>0.01</v>
      </c>
      <c r="U415" s="23">
        <f>P415*Q415*(R415+S415*2-0.12-0)*T415</f>
        <v>1.35E-2</v>
      </c>
      <c r="V415" s="21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 s="20"/>
      <c r="BF415" s="20"/>
      <c r="BG415"/>
    </row>
    <row r="416" spans="1:59">
      <c r="A416" s="21"/>
      <c r="B416" s="21"/>
      <c r="C416" s="21"/>
      <c r="D416" s="21"/>
      <c r="E416" s="23" t="s">
        <v>69</v>
      </c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>
        <v>1</v>
      </c>
      <c r="Q416" s="21">
        <v>3.24</v>
      </c>
      <c r="R416" s="21">
        <v>0.22</v>
      </c>
      <c r="S416" s="21">
        <v>0.4</v>
      </c>
      <c r="T416" s="21">
        <v>0.01</v>
      </c>
      <c r="U416" s="23">
        <f>P416*Q416*(R416+S416*2-0.12-0.12)*T416</f>
        <v>2.5271999999999999E-2</v>
      </c>
      <c r="V416" s="21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 s="20"/>
      <c r="BF416" s="20"/>
      <c r="BG416"/>
    </row>
    <row r="417" spans="1:59">
      <c r="A417" s="21"/>
      <c r="B417" s="21"/>
      <c r="C417" s="21"/>
      <c r="D417" s="21"/>
      <c r="E417" s="22" t="s">
        <v>49</v>
      </c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2">
        <f>SUM(U418:U418)</f>
        <v>3.5333999999999997E-2</v>
      </c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 s="20"/>
      <c r="BF417" s="20"/>
      <c r="BG417"/>
    </row>
    <row r="418" spans="1:59">
      <c r="A418" s="21"/>
      <c r="B418" s="21"/>
      <c r="C418" s="21"/>
      <c r="D418" s="21"/>
      <c r="E418" s="23" t="s">
        <v>71</v>
      </c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>
        <v>1</v>
      </c>
      <c r="Q418" s="21">
        <v>4.53</v>
      </c>
      <c r="R418" s="21">
        <v>0.22</v>
      </c>
      <c r="S418" s="21">
        <v>0.4</v>
      </c>
      <c r="T418" s="21">
        <v>0.01</v>
      </c>
      <c r="U418" s="23">
        <f>P418*Q418*(R418+S418*2-0.12-0.12)*T418</f>
        <v>3.5333999999999997E-2</v>
      </c>
      <c r="V418" s="21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 s="20"/>
      <c r="BF418" s="20"/>
      <c r="BG418"/>
    </row>
    <row r="419" spans="1:59">
      <c r="A419" s="21"/>
      <c r="B419" s="21"/>
      <c r="C419" s="21"/>
      <c r="D419" s="21"/>
      <c r="E419" s="22" t="s">
        <v>62</v>
      </c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2">
        <f>SUM(U420:U420)</f>
        <v>2.5271999999999999E-2</v>
      </c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 s="20"/>
      <c r="BF419" s="20"/>
      <c r="BG419"/>
    </row>
    <row r="420" spans="1:59">
      <c r="A420" s="21"/>
      <c r="B420" s="21"/>
      <c r="C420" s="21"/>
      <c r="D420" s="21"/>
      <c r="E420" s="23" t="s">
        <v>74</v>
      </c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>
        <v>1</v>
      </c>
      <c r="Q420" s="21">
        <v>3.24</v>
      </c>
      <c r="R420" s="21">
        <v>0.22</v>
      </c>
      <c r="S420" s="21">
        <v>0.4</v>
      </c>
      <c r="T420" s="21">
        <v>0.01</v>
      </c>
      <c r="U420" s="23">
        <f>P420*Q420*(R420+S420*2-0.12-0.12)*T420</f>
        <v>2.5271999999999999E-2</v>
      </c>
      <c r="V420" s="21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 s="20"/>
      <c r="BF420" s="20"/>
      <c r="BG420"/>
    </row>
    <row r="421" spans="1:59">
      <c r="A421" s="21"/>
      <c r="B421" s="21"/>
      <c r="C421" s="21"/>
      <c r="D421" s="21"/>
      <c r="E421" s="22" t="s">
        <v>66</v>
      </c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2">
        <f>SUM(U422:U424)</f>
        <v>0.10323</v>
      </c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 s="20"/>
      <c r="BF421" s="20"/>
      <c r="BG421"/>
    </row>
    <row r="422" spans="1:59">
      <c r="A422" s="21"/>
      <c r="B422" s="21"/>
      <c r="C422" s="21"/>
      <c r="D422" s="21"/>
      <c r="E422" s="23" t="s">
        <v>76</v>
      </c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>
        <v>1</v>
      </c>
      <c r="Q422" s="21">
        <v>3.7</v>
      </c>
      <c r="R422" s="21">
        <v>0.22</v>
      </c>
      <c r="S422" s="21">
        <v>0.4</v>
      </c>
      <c r="T422" s="21">
        <v>0.01</v>
      </c>
      <c r="U422" s="23">
        <f>P422*Q422*(R422+S422*2-0.12-0)*T422</f>
        <v>3.3300000000000003E-2</v>
      </c>
      <c r="V422" s="21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 s="20"/>
      <c r="BF422" s="20"/>
      <c r="BG422"/>
    </row>
    <row r="423" spans="1:59">
      <c r="A423" s="21"/>
      <c r="B423" s="21"/>
      <c r="C423" s="21"/>
      <c r="D423" s="21"/>
      <c r="E423" s="23" t="s">
        <v>77</v>
      </c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>
        <v>1</v>
      </c>
      <c r="Q423" s="21">
        <v>3.24</v>
      </c>
      <c r="R423" s="21">
        <v>0.22</v>
      </c>
      <c r="S423" s="21">
        <v>0.4</v>
      </c>
      <c r="T423" s="21">
        <v>0.01</v>
      </c>
      <c r="U423" s="23">
        <f>P423*Q423*(R423+S423*2-0.12-0)*T423</f>
        <v>2.9159999999999998E-2</v>
      </c>
      <c r="V423" s="21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 s="20"/>
      <c r="BF423" s="20"/>
      <c r="BG423"/>
    </row>
    <row r="424" spans="1:59">
      <c r="A424" s="21"/>
      <c r="B424" s="21"/>
      <c r="C424" s="21"/>
      <c r="D424" s="21"/>
      <c r="E424" s="23" t="s">
        <v>78</v>
      </c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>
        <v>1</v>
      </c>
      <c r="Q424" s="21">
        <v>4.53</v>
      </c>
      <c r="R424" s="21">
        <v>0.22</v>
      </c>
      <c r="S424" s="21">
        <v>0.4</v>
      </c>
      <c r="T424" s="21">
        <v>0.01</v>
      </c>
      <c r="U424" s="23">
        <f>P424*Q424*(R424+S424*2-0.12-0)*T424</f>
        <v>4.0770000000000001E-2</v>
      </c>
      <c r="V424" s="21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 s="20"/>
      <c r="BF424" s="20"/>
      <c r="BG424"/>
    </row>
    <row r="425" spans="1:59">
      <c r="A425" s="21"/>
      <c r="B425" s="21"/>
      <c r="C425" s="21"/>
      <c r="D425" s="21"/>
      <c r="E425" s="22" t="s">
        <v>70</v>
      </c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2">
        <f>SUM(U426:U427)</f>
        <v>6.4351655827479398E-2</v>
      </c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 s="20"/>
      <c r="BF425" s="20"/>
      <c r="BG425"/>
    </row>
    <row r="426" spans="1:59">
      <c r="A426" s="21"/>
      <c r="B426" s="21"/>
      <c r="C426" s="21"/>
      <c r="D426" s="21"/>
      <c r="E426" s="23" t="s">
        <v>80</v>
      </c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>
        <v>1</v>
      </c>
      <c r="Q426" s="21">
        <v>3.3795175617067001</v>
      </c>
      <c r="R426" s="21">
        <v>0.22</v>
      </c>
      <c r="S426" s="21">
        <v>0.4</v>
      </c>
      <c r="T426" s="21">
        <v>0.01</v>
      </c>
      <c r="U426" s="23">
        <f>P426*Q426*(R426+S426*2-0.12-0)*T426</f>
        <v>3.0415658055360301E-2</v>
      </c>
      <c r="V426" s="21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 s="20"/>
      <c r="BF426" s="20"/>
      <c r="BG426"/>
    </row>
    <row r="427" spans="1:59">
      <c r="A427" s="21"/>
      <c r="B427" s="21"/>
      <c r="C427" s="21"/>
      <c r="D427" s="21"/>
      <c r="E427" s="23" t="s">
        <v>81</v>
      </c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>
        <v>1</v>
      </c>
      <c r="Q427" s="21">
        <v>3.7706664191243502</v>
      </c>
      <c r="R427" s="21">
        <v>0.22</v>
      </c>
      <c r="S427" s="21">
        <v>0.4</v>
      </c>
      <c r="T427" s="21">
        <v>0.01</v>
      </c>
      <c r="U427" s="23">
        <f>P427*Q427*(R427+S427*2-0.12-0)*T427</f>
        <v>3.39359977721191E-2</v>
      </c>
      <c r="V427" s="21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 s="20"/>
      <c r="BF427" s="20"/>
      <c r="BG427"/>
    </row>
    <row r="428" spans="1:59">
      <c r="A428" s="21"/>
      <c r="B428" s="21"/>
      <c r="C428" s="21"/>
      <c r="D428" s="21"/>
      <c r="E428" s="22" t="s">
        <v>73</v>
      </c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2">
        <f>SUM(U429:U429)</f>
        <v>1.6379999999999999E-2</v>
      </c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 s="20"/>
      <c r="BF428" s="20"/>
      <c r="BG428"/>
    </row>
    <row r="429" spans="1:59">
      <c r="A429" s="21"/>
      <c r="B429" s="21"/>
      <c r="C429" s="21"/>
      <c r="D429" s="21"/>
      <c r="E429" s="23" t="s">
        <v>83</v>
      </c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>
        <v>1</v>
      </c>
      <c r="Q429" s="21">
        <v>1.82</v>
      </c>
      <c r="R429" s="21">
        <v>0.22</v>
      </c>
      <c r="S429" s="21">
        <v>0.4</v>
      </c>
      <c r="T429" s="21">
        <v>0.01</v>
      </c>
      <c r="U429" s="23">
        <f>P429*Q429*(R429+S429*2-0.12-0)*T429</f>
        <v>1.6379999999999999E-2</v>
      </c>
      <c r="V429" s="21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 s="20"/>
      <c r="BF429" s="20"/>
      <c r="BG429"/>
    </row>
    <row r="430" spans="1:59">
      <c r="A430" s="21"/>
      <c r="B430" s="21"/>
      <c r="C430" s="21"/>
      <c r="D430" s="21"/>
      <c r="E430" s="22" t="s">
        <v>75</v>
      </c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2">
        <f>SUM(U431:U432)</f>
        <v>4.5707999999999999E-2</v>
      </c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 s="20"/>
      <c r="BF430" s="20"/>
      <c r="BG430"/>
    </row>
    <row r="431" spans="1:59">
      <c r="A431" s="21"/>
      <c r="B431" s="21"/>
      <c r="C431" s="21"/>
      <c r="D431" s="21"/>
      <c r="E431" s="23" t="s">
        <v>88</v>
      </c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>
        <v>1</v>
      </c>
      <c r="Q431" s="21">
        <v>1.82</v>
      </c>
      <c r="R431" s="21">
        <v>0.22</v>
      </c>
      <c r="S431" s="21">
        <v>0.4</v>
      </c>
      <c r="T431" s="21">
        <v>0.01</v>
      </c>
      <c r="U431" s="23">
        <f>P431*Q431*(R431+S431*2-0.12-0)*T431</f>
        <v>1.6379999999999999E-2</v>
      </c>
      <c r="V431" s="2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 s="20"/>
      <c r="BF431" s="20"/>
      <c r="BG431"/>
    </row>
    <row r="432" spans="1:59">
      <c r="A432" s="21"/>
      <c r="B432" s="21"/>
      <c r="C432" s="21"/>
      <c r="D432" s="21"/>
      <c r="E432" s="23" t="s">
        <v>89</v>
      </c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>
        <v>1</v>
      </c>
      <c r="Q432" s="21">
        <v>3.76</v>
      </c>
      <c r="R432" s="21">
        <v>0.22</v>
      </c>
      <c r="S432" s="21">
        <v>0.4</v>
      </c>
      <c r="T432" s="21">
        <v>0.01</v>
      </c>
      <c r="U432" s="23">
        <f>P432*Q432*(R432+S432*2-0.12-0.12)*T432</f>
        <v>2.9328E-2</v>
      </c>
      <c r="V432" s="21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 s="20"/>
      <c r="BF432" s="20"/>
      <c r="BG432"/>
    </row>
    <row r="433" spans="1:59">
      <c r="A433" s="21"/>
      <c r="B433" s="21"/>
      <c r="C433" s="21"/>
      <c r="D433" s="21"/>
      <c r="E433" s="22" t="s">
        <v>79</v>
      </c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2">
        <f>SUM(U434:U434)</f>
        <v>2.2386E-2</v>
      </c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 s="20"/>
      <c r="BF433" s="20"/>
      <c r="BG433"/>
    </row>
    <row r="434" spans="1:59">
      <c r="A434" s="21"/>
      <c r="B434" s="21"/>
      <c r="C434" s="21"/>
      <c r="D434" s="21"/>
      <c r="E434" s="23" t="s">
        <v>91</v>
      </c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>
        <v>1</v>
      </c>
      <c r="Q434" s="21">
        <v>2.87</v>
      </c>
      <c r="R434" s="21">
        <v>0.22</v>
      </c>
      <c r="S434" s="21">
        <v>0.4</v>
      </c>
      <c r="T434" s="21">
        <v>0.01</v>
      </c>
      <c r="U434" s="23">
        <f>P434*Q434*(R434+S434*2-0.12-0.12)*T434</f>
        <v>2.2386E-2</v>
      </c>
      <c r="V434" s="21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 s="20"/>
      <c r="BF434" s="20"/>
      <c r="BG434"/>
    </row>
    <row r="435" spans="1:59">
      <c r="A435" s="21"/>
      <c r="B435" s="21"/>
      <c r="C435" s="21"/>
      <c r="D435" s="21"/>
      <c r="E435" s="22" t="s">
        <v>82</v>
      </c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2">
        <f>SUM(U436:U437)</f>
        <v>5.5613999999999997E-2</v>
      </c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 s="20"/>
      <c r="BF435" s="20"/>
      <c r="BG435"/>
    </row>
    <row r="436" spans="1:59">
      <c r="A436" s="21"/>
      <c r="B436" s="21"/>
      <c r="C436" s="21"/>
      <c r="D436" s="21"/>
      <c r="E436" s="23" t="s">
        <v>93</v>
      </c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>
        <v>1</v>
      </c>
      <c r="Q436" s="21">
        <v>3.37</v>
      </c>
      <c r="R436" s="21">
        <v>0.22</v>
      </c>
      <c r="S436" s="21">
        <v>0.4</v>
      </c>
      <c r="T436" s="21">
        <v>0.01</v>
      </c>
      <c r="U436" s="23">
        <f>P436*Q436*(R436+S436*2-0.12-0.12)*T436</f>
        <v>2.6286E-2</v>
      </c>
      <c r="V436" s="21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 s="20"/>
      <c r="BF436" s="20"/>
      <c r="BG436"/>
    </row>
    <row r="437" spans="1:59">
      <c r="A437" s="21"/>
      <c r="B437" s="21"/>
      <c r="C437" s="21"/>
      <c r="D437" s="21"/>
      <c r="E437" s="23" t="s">
        <v>94</v>
      </c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>
        <v>1</v>
      </c>
      <c r="Q437" s="21">
        <v>3.76</v>
      </c>
      <c r="R437" s="21">
        <v>0.22</v>
      </c>
      <c r="S437" s="21">
        <v>0.4</v>
      </c>
      <c r="T437" s="21">
        <v>0.01</v>
      </c>
      <c r="U437" s="23">
        <f>P437*Q437*(R437+S437*2-0.12-0.12)*T437</f>
        <v>2.9328E-2</v>
      </c>
      <c r="V437" s="21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 s="20"/>
      <c r="BF437" s="20"/>
      <c r="BG437"/>
    </row>
    <row r="438" spans="1:59">
      <c r="A438" s="21"/>
      <c r="B438" s="21"/>
      <c r="C438" s="21"/>
      <c r="D438" s="21"/>
      <c r="E438" s="22" t="s">
        <v>84</v>
      </c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2">
        <f>SUM(U439:U439)</f>
        <v>3.04E-2</v>
      </c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 s="20"/>
      <c r="BF438" s="20"/>
      <c r="BG438"/>
    </row>
    <row r="439" spans="1:59">
      <c r="A439" s="21"/>
      <c r="B439" s="21"/>
      <c r="C439" s="21"/>
      <c r="D439" s="21"/>
      <c r="E439" s="23" t="s">
        <v>113</v>
      </c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>
        <v>1</v>
      </c>
      <c r="Q439" s="21">
        <v>3.8</v>
      </c>
      <c r="R439" s="21">
        <v>0.22</v>
      </c>
      <c r="S439" s="21">
        <v>0.35</v>
      </c>
      <c r="T439" s="21">
        <v>0.01</v>
      </c>
      <c r="U439" s="23">
        <f>P439*Q439*(R439+S439*2-0.12-0)*T439</f>
        <v>3.04E-2</v>
      </c>
      <c r="V439" s="21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 s="20"/>
      <c r="BF439" s="20"/>
      <c r="BG439"/>
    </row>
    <row r="440" spans="1:59">
      <c r="A440" s="21"/>
      <c r="B440" s="21"/>
      <c r="C440" s="21"/>
      <c r="D440" s="21"/>
      <c r="E440" s="22" t="s">
        <v>86</v>
      </c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2">
        <f>SUM(U441:U441)</f>
        <v>2.997E-2</v>
      </c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 s="20"/>
      <c r="BF440" s="20"/>
      <c r="BG440"/>
    </row>
    <row r="441" spans="1:59">
      <c r="A441" s="21"/>
      <c r="B441" s="21"/>
      <c r="C441" s="21"/>
      <c r="D441" s="21"/>
      <c r="E441" s="23" t="s">
        <v>100</v>
      </c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>
        <v>1</v>
      </c>
      <c r="Q441" s="21">
        <v>3.33</v>
      </c>
      <c r="R441" s="21">
        <v>0.22</v>
      </c>
      <c r="S441" s="21">
        <v>0.4</v>
      </c>
      <c r="T441" s="21">
        <v>0.01</v>
      </c>
      <c r="U441" s="23">
        <f>P441*Q441*(R441+S441*2-0.12-0)*T441</f>
        <v>2.997E-2</v>
      </c>
      <c r="V441" s="2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 s="20"/>
      <c r="BF441" s="20"/>
      <c r="BG441"/>
    </row>
    <row r="442" spans="1:59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 s="20"/>
      <c r="BF442" s="20"/>
      <c r="BG442"/>
    </row>
  </sheetData>
  <mergeCells count="4">
    <mergeCell ref="BB5:BG5"/>
    <mergeCell ref="A5:A6"/>
    <mergeCell ref="E5:E6"/>
    <mergeCell ref="F5:F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TienLuong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 P</cp:lastModifiedBy>
  <dcterms:created xsi:type="dcterms:W3CDTF">2022-04-15T00:55:00Z</dcterms:created>
  <dcterms:modified xsi:type="dcterms:W3CDTF">2026-09-16T07:26:52Z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018F9BCE25284041B656AB145C0C3C34_12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