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28800" windowHeight="12300"/>
  </bookViews>
  <sheets>
    <sheet name="KhoanNhoi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5" i="1" l="1"/>
  <c r="A144" i="1"/>
  <c r="A143" i="1"/>
  <c r="A142" i="1"/>
  <c r="F141" i="1"/>
  <c r="A141" i="1"/>
  <c r="F140" i="1"/>
  <c r="A140" i="1"/>
  <c r="F139" i="1"/>
  <c r="A139" i="1"/>
  <c r="F138" i="1"/>
  <c r="A138" i="1"/>
  <c r="F137" i="1"/>
  <c r="E137" i="1"/>
  <c r="A137" i="1"/>
  <c r="F136" i="1"/>
  <c r="E136" i="1"/>
  <c r="A136" i="1"/>
  <c r="F135" i="1"/>
  <c r="E135" i="1"/>
  <c r="A135" i="1"/>
  <c r="F134" i="1"/>
  <c r="E134" i="1"/>
  <c r="A134" i="1"/>
  <c r="F133" i="1"/>
  <c r="E133" i="1"/>
  <c r="A133" i="1"/>
  <c r="F132" i="1"/>
  <c r="E132" i="1"/>
  <c r="A132" i="1"/>
  <c r="F131" i="1"/>
  <c r="E131" i="1"/>
  <c r="A131" i="1"/>
  <c r="F130" i="1"/>
  <c r="E130" i="1"/>
  <c r="A130" i="1"/>
  <c r="F129" i="1"/>
  <c r="E129" i="1"/>
  <c r="A129" i="1"/>
  <c r="F128" i="1"/>
  <c r="E128" i="1"/>
  <c r="A128" i="1"/>
  <c r="F127" i="1"/>
  <c r="E127" i="1"/>
  <c r="A127" i="1"/>
  <c r="F126" i="1"/>
  <c r="E126" i="1"/>
  <c r="A126" i="1"/>
  <c r="F125" i="1"/>
  <c r="E125" i="1"/>
  <c r="A125" i="1"/>
  <c r="F124" i="1"/>
  <c r="E124" i="1"/>
  <c r="A124" i="1"/>
  <c r="F123" i="1"/>
  <c r="E123" i="1"/>
  <c r="A123" i="1"/>
  <c r="F122" i="1"/>
  <c r="E122" i="1"/>
  <c r="A122" i="1"/>
  <c r="F121" i="1"/>
  <c r="E121" i="1"/>
  <c r="A121" i="1"/>
  <c r="F120" i="1"/>
  <c r="E120" i="1"/>
  <c r="A120" i="1"/>
  <c r="F119" i="1"/>
  <c r="E119" i="1"/>
  <c r="A119" i="1"/>
  <c r="F118" i="1"/>
  <c r="E118" i="1"/>
  <c r="A118" i="1"/>
  <c r="F117" i="1"/>
  <c r="E117" i="1"/>
  <c r="A117" i="1"/>
  <c r="F116" i="1"/>
  <c r="E116" i="1"/>
  <c r="A116" i="1"/>
  <c r="F115" i="1"/>
  <c r="E115" i="1"/>
  <c r="A115" i="1"/>
  <c r="F114" i="1"/>
  <c r="E114" i="1"/>
  <c r="A114" i="1"/>
  <c r="F113" i="1"/>
  <c r="E113" i="1"/>
  <c r="A113" i="1"/>
  <c r="F112" i="1"/>
  <c r="E112" i="1"/>
  <c r="A112" i="1"/>
  <c r="F111" i="1"/>
  <c r="E111" i="1"/>
  <c r="A111" i="1"/>
  <c r="F110" i="1"/>
  <c r="E110" i="1"/>
  <c r="A110" i="1"/>
  <c r="F109" i="1"/>
  <c r="E109" i="1"/>
  <c r="A109" i="1"/>
  <c r="F108" i="1"/>
  <c r="E108" i="1"/>
  <c r="A108" i="1"/>
  <c r="F107" i="1"/>
  <c r="E107" i="1"/>
  <c r="A107" i="1"/>
  <c r="F106" i="1"/>
  <c r="E106" i="1"/>
  <c r="A106" i="1"/>
  <c r="F105" i="1"/>
  <c r="E105" i="1"/>
  <c r="A105" i="1"/>
  <c r="F104" i="1"/>
  <c r="E104" i="1"/>
  <c r="A104" i="1"/>
  <c r="F103" i="1"/>
  <c r="E103" i="1"/>
  <c r="A103" i="1"/>
  <c r="F102" i="1"/>
  <c r="E102" i="1"/>
  <c r="A102" i="1"/>
  <c r="F101" i="1"/>
  <c r="E101" i="1"/>
  <c r="A101" i="1"/>
  <c r="F100" i="1"/>
  <c r="E100" i="1"/>
  <c r="A100" i="1"/>
  <c r="F99" i="1"/>
  <c r="E99" i="1"/>
  <c r="A99" i="1"/>
  <c r="F98" i="1"/>
  <c r="E98" i="1"/>
  <c r="A98" i="1"/>
  <c r="F97" i="1"/>
  <c r="E97" i="1"/>
  <c r="A97" i="1"/>
  <c r="F96" i="1"/>
  <c r="E96" i="1"/>
  <c r="A96" i="1"/>
  <c r="F95" i="1"/>
  <c r="E95" i="1"/>
  <c r="A95" i="1"/>
  <c r="F94" i="1"/>
  <c r="E94" i="1"/>
  <c r="A94" i="1"/>
  <c r="F93" i="1"/>
  <c r="E93" i="1"/>
  <c r="A93" i="1"/>
  <c r="F92" i="1"/>
  <c r="E92" i="1"/>
  <c r="A92" i="1"/>
  <c r="F91" i="1"/>
  <c r="E91" i="1"/>
  <c r="A91" i="1"/>
  <c r="F90" i="1"/>
  <c r="E90" i="1"/>
  <c r="A90" i="1"/>
  <c r="F89" i="1"/>
  <c r="E89" i="1"/>
  <c r="A89" i="1"/>
  <c r="F88" i="1"/>
  <c r="E88" i="1"/>
  <c r="A88" i="1"/>
  <c r="F87" i="1"/>
  <c r="E87" i="1"/>
  <c r="A87" i="1"/>
  <c r="F86" i="1"/>
  <c r="E86" i="1"/>
  <c r="A86" i="1"/>
  <c r="F85" i="1"/>
  <c r="E85" i="1"/>
  <c r="A85" i="1"/>
  <c r="F84" i="1"/>
  <c r="E84" i="1"/>
  <c r="A84" i="1"/>
  <c r="F83" i="1"/>
  <c r="E83" i="1"/>
  <c r="A83" i="1"/>
  <c r="F82" i="1"/>
  <c r="E82" i="1"/>
  <c r="A82" i="1"/>
  <c r="F81" i="1"/>
  <c r="E81" i="1"/>
  <c r="A81" i="1"/>
  <c r="F80" i="1"/>
  <c r="E80" i="1"/>
  <c r="A80" i="1"/>
  <c r="F79" i="1"/>
  <c r="E79" i="1"/>
  <c r="A79" i="1"/>
  <c r="F78" i="1"/>
  <c r="E78" i="1"/>
  <c r="A78" i="1"/>
  <c r="F77" i="1"/>
  <c r="E77" i="1"/>
  <c r="A77" i="1"/>
  <c r="F76" i="1"/>
  <c r="E76" i="1"/>
  <c r="A76" i="1"/>
  <c r="F75" i="1"/>
  <c r="E75" i="1"/>
  <c r="A75" i="1"/>
  <c r="F74" i="1"/>
  <c r="E74" i="1"/>
  <c r="A74" i="1"/>
  <c r="F73" i="1"/>
  <c r="E73" i="1"/>
  <c r="A73" i="1"/>
  <c r="F72" i="1"/>
  <c r="E72" i="1"/>
  <c r="A72" i="1"/>
  <c r="F71" i="1"/>
  <c r="E71" i="1"/>
  <c r="A71" i="1"/>
  <c r="F70" i="1"/>
  <c r="E70" i="1"/>
  <c r="A70" i="1"/>
  <c r="F69" i="1"/>
  <c r="E69" i="1"/>
  <c r="A69" i="1"/>
  <c r="F68" i="1"/>
  <c r="E68" i="1"/>
  <c r="A68" i="1"/>
  <c r="F67" i="1"/>
  <c r="E67" i="1"/>
  <c r="A67" i="1"/>
  <c r="F66" i="1"/>
  <c r="E66" i="1"/>
  <c r="A66" i="1"/>
  <c r="F65" i="1"/>
  <c r="E65" i="1"/>
  <c r="A65" i="1"/>
  <c r="F64" i="1"/>
  <c r="E64" i="1"/>
  <c r="A64" i="1"/>
  <c r="F63" i="1"/>
  <c r="E63" i="1"/>
  <c r="A63" i="1"/>
  <c r="F62" i="1"/>
  <c r="E62" i="1"/>
  <c r="A62" i="1"/>
  <c r="F61" i="1"/>
  <c r="E61" i="1"/>
  <c r="A61" i="1"/>
  <c r="F60" i="1"/>
  <c r="E60" i="1"/>
  <c r="A60" i="1"/>
  <c r="F59" i="1"/>
  <c r="E59" i="1"/>
  <c r="A59" i="1"/>
  <c r="F58" i="1"/>
  <c r="E58" i="1"/>
  <c r="A58" i="1"/>
  <c r="F57" i="1"/>
  <c r="E57" i="1"/>
  <c r="A57" i="1"/>
  <c r="F56" i="1"/>
  <c r="E56" i="1"/>
  <c r="A56" i="1"/>
  <c r="F55" i="1"/>
  <c r="E55" i="1"/>
  <c r="A55" i="1"/>
  <c r="F54" i="1"/>
  <c r="E54" i="1"/>
  <c r="A54" i="1"/>
  <c r="F53" i="1"/>
  <c r="E53" i="1"/>
  <c r="A53" i="1"/>
  <c r="F52" i="1"/>
  <c r="E52" i="1"/>
  <c r="A52" i="1"/>
  <c r="F51" i="1"/>
  <c r="E51" i="1"/>
  <c r="A51" i="1"/>
  <c r="F50" i="1"/>
  <c r="E50" i="1"/>
  <c r="A50" i="1"/>
  <c r="F49" i="1"/>
  <c r="E49" i="1"/>
  <c r="A49" i="1"/>
  <c r="F48" i="1"/>
  <c r="E48" i="1"/>
  <c r="A48" i="1"/>
  <c r="F47" i="1"/>
  <c r="E47" i="1"/>
  <c r="A47" i="1"/>
  <c r="F46" i="1"/>
  <c r="E46" i="1"/>
  <c r="A46" i="1"/>
  <c r="F45" i="1"/>
  <c r="E45" i="1"/>
  <c r="A45" i="1"/>
  <c r="F44" i="1"/>
  <c r="E44" i="1"/>
  <c r="A44" i="1"/>
  <c r="F43" i="1"/>
  <c r="E43" i="1"/>
  <c r="A43" i="1"/>
  <c r="F42" i="1"/>
  <c r="E42" i="1"/>
  <c r="A42" i="1"/>
  <c r="F41" i="1"/>
  <c r="E41" i="1"/>
  <c r="A41" i="1"/>
  <c r="F40" i="1"/>
  <c r="E40" i="1"/>
  <c r="A40" i="1"/>
  <c r="F39" i="1"/>
  <c r="E39" i="1"/>
  <c r="A39" i="1"/>
  <c r="F38" i="1"/>
  <c r="E38" i="1"/>
  <c r="A38" i="1"/>
  <c r="F37" i="1"/>
  <c r="E37" i="1"/>
  <c r="A37" i="1"/>
  <c r="F36" i="1"/>
  <c r="E36" i="1"/>
  <c r="A36" i="1"/>
  <c r="F35" i="1"/>
  <c r="A35" i="1"/>
  <c r="G10" i="1"/>
  <c r="F10" i="1"/>
  <c r="E10" i="1"/>
  <c r="G9" i="1"/>
  <c r="E9" i="1"/>
  <c r="E8" i="1"/>
</calcChain>
</file>

<file path=xl/sharedStrings.xml><?xml version="1.0" encoding="utf-8"?>
<sst xmlns="http://schemas.openxmlformats.org/spreadsheetml/2006/main" count="46" uniqueCount="34">
  <si>
    <t>THÔNG SỐ VẼ CỌC KHOAN NHỒI</t>
  </si>
  <si>
    <t>Tên cọc khoan nhồi</t>
  </si>
  <si>
    <t>P1</t>
  </si>
  <si>
    <t>SL cọc</t>
  </si>
  <si>
    <t>Tỷ lệ vẽ mặt cắt dọc / Ngang</t>
  </si>
  <si>
    <t>Đường kính cọc</t>
  </si>
  <si>
    <t>mm</t>
  </si>
  <si>
    <t>Lớp BTBV Cọc</t>
  </si>
  <si>
    <t>Cao độ cắt đầu cọc</t>
  </si>
  <si>
    <t>m</t>
  </si>
  <si>
    <t>Chiều dài thép nằm trên cao độ cắt đầu cọc</t>
  </si>
  <si>
    <t>Cao độ mũi cọc (tính đến đoạn cuối cùng của thép)</t>
  </si>
  <si>
    <t>Chiều dài cọc (tính đến đoạn cuối cùng của thép)</t>
  </si>
  <si>
    <t>chiều dài nối thép</t>
  </si>
  <si>
    <t>d</t>
  </si>
  <si>
    <t>Đường kính đai lò xo</t>
  </si>
  <si>
    <t>Khoảng rải đai lò xo vị trí đầu</t>
  </si>
  <si>
    <t>Chiều dài rải đai lò xo vị trí đầu</t>
  </si>
  <si>
    <t>Khoảng rải đai lò xo vị trí nối thép</t>
  </si>
  <si>
    <t>Khoảng rải đai lò xo vị trí giữa</t>
  </si>
  <si>
    <t>Đai tròn phía trong dọc Cọc</t>
  </si>
  <si>
    <t>Đoạn nối lap thép đai phía trong cọc</t>
  </si>
  <si>
    <t>Khoảng cách con kê bê tông</t>
  </si>
  <si>
    <t>Ống vách CASING</t>
  </si>
  <si>
    <t>Thép dọc trong ống CASING</t>
  </si>
  <si>
    <t>Ống khoan lấy lõi kết hợp siêu âm</t>
  </si>
  <si>
    <t>Ống siêu âm</t>
  </si>
  <si>
    <t>Stt</t>
  </si>
  <si>
    <t>SL Thép</t>
  </si>
  <si>
    <t>Đk thép</t>
  </si>
  <si>
    <t>Chiều dài</t>
  </si>
  <si>
    <t>L nối</t>
  </si>
  <si>
    <t>Chiều sâu</t>
  </si>
  <si>
    <t>Ghi chú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</si>
</sst>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8" formatCode="&quot;&quot;0.00&quot; m&quot;"/>
    <numFmt numFmtId="169" formatCode="&quot;-&quot;\ 0.00&quot;m =&quot;"/>
    <numFmt numFmtId="170" formatCode="&quot;d&quot;0&quot;&quot;"/>
    <numFmt numFmtId="171" formatCode="&quot;a&quot;0&quot;&quot;"/>
    <numFmt numFmtId="172" formatCode="&quot;SL: &quot;0&quot;&quot;"/>
    <numFmt numFmtId="173" formatCode="&quot;d: &quot;0.0&quot;&quot;"/>
    <numFmt numFmtId="174" formatCode="&quot;dày &quot;0.0&quot;&quot;"/>
    <numFmt numFmtId="175" formatCode="&quot;đáy ống cách đáy cọc &quot;0&quot;mm&quot;"/>
  </numFmts>
  <fonts count="8">
    <font>
      <sz val="11"/>
      <color theme="1"/>
      <name val="Calibri"/>
      <charset val="163"/>
      <scheme val="minor"/>
    </font>
    <font>
      <sz val="11"/>
      <color theme="1"/>
      <name val="Times New Roman"/>
      <charset val="134"/>
    </font>
    <font>
      <sz val="11"/>
      <name val="Times New Roman"/>
      <charset val="134"/>
    </font>
    <font>
      <b/>
      <sz val="15"/>
      <color theme="1"/>
      <name val="Times New Roman"/>
      <charset val="134"/>
    </font>
    <font>
      <b/>
      <sz val="11"/>
      <color rgb="FF0000FF"/>
      <name val="Times New Roman"/>
      <charset val="134"/>
    </font>
    <font>
      <b/>
      <sz val="11"/>
      <color rgb="FFFF0000"/>
      <name val="Times New Roman"/>
      <charset val="134"/>
    </font>
    <font>
      <b/>
      <sz val="11"/>
      <name val="Times New Roman"/>
      <charset val="134"/>
    </font>
    <font>
      <b/>
      <sz val="11"/>
      <color theme="1"/>
      <name val="Times New Roman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1" xfId="0" applyFont="1" applyBorder="1" applyAlignment="1">
      <alignment vertical="center"/>
    </xf>
    <xf numFmtId="3" fontId="1" fillId="0" borderId="1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vertical="center"/>
    </xf>
    <xf numFmtId="0" fontId="2" fillId="2" borderId="0" xfId="0" applyFont="1" applyFill="1" applyAlignment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168" fontId="6" fillId="0" borderId="1" xfId="0" applyNumberFormat="1" applyFont="1" applyBorder="1" applyAlignment="1">
      <alignment vertical="center"/>
    </xf>
    <xf numFmtId="169" fontId="4" fillId="0" borderId="1" xfId="0" applyNumberFormat="1" applyFont="1" applyBorder="1" applyAlignment="1">
      <alignment horizontal="left" vertical="center" indent="1"/>
    </xf>
    <xf numFmtId="0" fontId="6" fillId="0" borderId="1" xfId="0" applyFont="1" applyBorder="1" applyAlignment="1">
      <alignment vertical="center"/>
    </xf>
    <xf numFmtId="169" fontId="6" fillId="0" borderId="1" xfId="0" applyNumberFormat="1" applyFont="1" applyBorder="1" applyAlignment="1">
      <alignment horizontal="left" vertical="center" indent="1"/>
    </xf>
    <xf numFmtId="170" fontId="4" fillId="0" borderId="1" xfId="0" applyNumberFormat="1" applyFont="1" applyBorder="1" applyAlignment="1">
      <alignment vertical="center"/>
    </xf>
    <xf numFmtId="171" fontId="4" fillId="0" borderId="1" xfId="0" applyNumberFormat="1" applyFont="1" applyBorder="1" applyAlignment="1">
      <alignment vertical="center"/>
    </xf>
    <xf numFmtId="170" fontId="4" fillId="0" borderId="1" xfId="0" applyNumberFormat="1" applyFont="1" applyBorder="1" applyAlignment="1">
      <alignment horizontal="left" vertical="center"/>
    </xf>
    <xf numFmtId="171" fontId="4" fillId="0" borderId="1" xfId="0" applyNumberFormat="1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172" fontId="4" fillId="0" borderId="1" xfId="0" applyNumberFormat="1" applyFont="1" applyBorder="1" applyAlignment="1">
      <alignment horizontal="left" vertical="center"/>
    </xf>
    <xf numFmtId="170" fontId="4" fillId="0" borderId="1" xfId="0" applyNumberFormat="1" applyFont="1" applyBorder="1" applyAlignment="1">
      <alignment horizontal="right" vertical="center"/>
    </xf>
    <xf numFmtId="173" fontId="4" fillId="0" borderId="1" xfId="0" applyNumberFormat="1" applyFont="1" applyBorder="1" applyAlignment="1">
      <alignment horizontal="left" vertical="center"/>
    </xf>
    <xf numFmtId="174" fontId="4" fillId="0" borderId="1" xfId="0" applyNumberFormat="1" applyFont="1" applyBorder="1" applyAlignment="1">
      <alignment horizontal="left" vertical="center" indent="1"/>
    </xf>
    <xf numFmtId="175" fontId="4" fillId="0" borderId="1" xfId="0" applyNumberFormat="1" applyFont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16" fontId="2" fillId="2" borderId="0" xfId="0" applyNumberFormat="1" applyFont="1" applyFill="1" applyAlignment="1">
      <alignment vertical="center"/>
    </xf>
    <xf numFmtId="0" fontId="1" fillId="0" borderId="5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J145"/>
  <sheetViews>
    <sheetView tabSelected="1" workbookViewId="0">
      <selection activeCell="H12" sqref="H12"/>
    </sheetView>
  </sheetViews>
  <sheetFormatPr defaultColWidth="9.140625" defaultRowHeight="15" outlineLevelRow="1"/>
  <cols>
    <col min="1" max="1" width="13.85546875" style="1" customWidth="1"/>
    <col min="2" max="2" width="17.28515625" style="2" customWidth="1"/>
    <col min="3" max="3" width="12.140625" style="2" customWidth="1"/>
    <col min="4" max="4" width="10" style="2" customWidth="1"/>
    <col min="5" max="5" width="10.42578125" style="3" customWidth="1"/>
    <col min="6" max="6" width="29.42578125" style="2" customWidth="1"/>
    <col min="7" max="7" width="8.140625" style="2" customWidth="1"/>
    <col min="8" max="16384" width="9.140625" style="4"/>
  </cols>
  <sheetData>
    <row r="1" spans="1:7" ht="15" customHeight="1">
      <c r="A1" s="37" t="s">
        <v>0</v>
      </c>
      <c r="B1" s="38"/>
      <c r="C1" s="38"/>
      <c r="D1" s="38"/>
      <c r="E1" s="38"/>
      <c r="F1" s="38"/>
      <c r="G1" s="38"/>
    </row>
    <row r="2" spans="1:7" ht="15" customHeight="1">
      <c r="A2" s="39"/>
      <c r="B2" s="40"/>
      <c r="C2" s="40"/>
      <c r="D2" s="40"/>
      <c r="E2" s="40"/>
      <c r="F2" s="40"/>
      <c r="G2" s="40"/>
    </row>
    <row r="3" spans="1:7">
      <c r="A3" s="31" t="s">
        <v>1</v>
      </c>
      <c r="B3" s="32"/>
      <c r="C3" s="33"/>
      <c r="D3" s="5" t="s">
        <v>2</v>
      </c>
      <c r="E3" s="1" t="s">
        <v>3</v>
      </c>
      <c r="F3" s="6">
        <v>1</v>
      </c>
      <c r="G3" s="6"/>
    </row>
    <row r="4" spans="1:7">
      <c r="A4" s="31" t="s">
        <v>4</v>
      </c>
      <c r="B4" s="32"/>
      <c r="C4" s="32"/>
      <c r="D4" s="33"/>
      <c r="E4" s="7">
        <v>100</v>
      </c>
      <c r="F4" s="6">
        <v>50</v>
      </c>
      <c r="G4" s="6"/>
    </row>
    <row r="5" spans="1:7">
      <c r="A5" s="31" t="s">
        <v>5</v>
      </c>
      <c r="B5" s="32"/>
      <c r="C5" s="32"/>
      <c r="D5" s="33"/>
      <c r="E5" s="7">
        <v>1200</v>
      </c>
      <c r="F5" s="1" t="s">
        <v>6</v>
      </c>
      <c r="G5" s="1"/>
    </row>
    <row r="6" spans="1:7">
      <c r="A6" s="31" t="s">
        <v>7</v>
      </c>
      <c r="B6" s="32"/>
      <c r="C6" s="32"/>
      <c r="D6" s="33"/>
      <c r="E6" s="7">
        <v>75</v>
      </c>
      <c r="F6" s="1" t="s">
        <v>6</v>
      </c>
      <c r="G6" s="1"/>
    </row>
    <row r="7" spans="1:7">
      <c r="A7" s="34" t="s">
        <v>8</v>
      </c>
      <c r="B7" s="34"/>
      <c r="C7" s="34"/>
      <c r="D7" s="34"/>
      <c r="E7" s="7">
        <v>-19.399999999999999</v>
      </c>
      <c r="F7" s="1" t="s">
        <v>9</v>
      </c>
      <c r="G7" s="1"/>
    </row>
    <row r="8" spans="1:7">
      <c r="A8" s="34" t="s">
        <v>10</v>
      </c>
      <c r="B8" s="34"/>
      <c r="C8" s="34"/>
      <c r="D8" s="34"/>
      <c r="E8" s="9">
        <f>+E11*C35</f>
        <v>1280</v>
      </c>
      <c r="F8" s="1" t="s">
        <v>6</v>
      </c>
      <c r="G8" s="1"/>
    </row>
    <row r="9" spans="1:7">
      <c r="A9" s="34" t="s">
        <v>11</v>
      </c>
      <c r="B9" s="34"/>
      <c r="C9" s="34"/>
      <c r="D9" s="34"/>
      <c r="E9" s="10">
        <f>E7-SUM(D35:D72)/1000+SUM(E35:E72)/1000+E8/1000</f>
        <v>-73.760000000000005</v>
      </c>
      <c r="F9" s="11">
        <v>0.2</v>
      </c>
      <c r="G9" s="12">
        <f>+E9-F9</f>
        <v>-73.959999999999994</v>
      </c>
    </row>
    <row r="10" spans="1:7">
      <c r="A10" s="34" t="s">
        <v>12</v>
      </c>
      <c r="B10" s="34"/>
      <c r="C10" s="34"/>
      <c r="D10" s="34"/>
      <c r="E10" s="10">
        <f>E9-E7</f>
        <v>-54.36</v>
      </c>
      <c r="F10" s="13">
        <f>F9</f>
        <v>0.2</v>
      </c>
      <c r="G10" s="12">
        <f>+E10-F10</f>
        <v>-54.56</v>
      </c>
    </row>
    <row r="11" spans="1:7">
      <c r="A11" s="34" t="s">
        <v>13</v>
      </c>
      <c r="B11" s="34"/>
      <c r="C11" s="34"/>
      <c r="D11" s="34"/>
      <c r="E11" s="7">
        <v>40</v>
      </c>
      <c r="F11" s="1" t="s">
        <v>14</v>
      </c>
      <c r="G11" s="1"/>
    </row>
    <row r="12" spans="1:7">
      <c r="A12" s="34" t="s">
        <v>15</v>
      </c>
      <c r="B12" s="34"/>
      <c r="C12" s="34"/>
      <c r="D12" s="34"/>
      <c r="E12" s="14">
        <v>10</v>
      </c>
      <c r="F12" s="1" t="s">
        <v>6</v>
      </c>
      <c r="G12" s="1"/>
    </row>
    <row r="13" spans="1:7">
      <c r="A13" s="34" t="s">
        <v>16</v>
      </c>
      <c r="B13" s="34"/>
      <c r="C13" s="34"/>
      <c r="D13" s="34"/>
      <c r="E13" s="15">
        <v>100</v>
      </c>
      <c r="F13" s="1" t="s">
        <v>6</v>
      </c>
      <c r="G13" s="1"/>
    </row>
    <row r="14" spans="1:7">
      <c r="A14" s="34" t="s">
        <v>17</v>
      </c>
      <c r="B14" s="34"/>
      <c r="C14" s="34"/>
      <c r="D14" s="34"/>
      <c r="E14" s="7">
        <v>2500</v>
      </c>
      <c r="F14" s="1" t="s">
        <v>6</v>
      </c>
      <c r="G14" s="1"/>
    </row>
    <row r="15" spans="1:7">
      <c r="A15" s="34" t="s">
        <v>18</v>
      </c>
      <c r="B15" s="34"/>
      <c r="C15" s="34"/>
      <c r="D15" s="34"/>
      <c r="E15" s="15">
        <v>100</v>
      </c>
      <c r="F15" s="1" t="s">
        <v>6</v>
      </c>
      <c r="G15" s="1"/>
    </row>
    <row r="16" spans="1:7">
      <c r="A16" s="34" t="s">
        <v>19</v>
      </c>
      <c r="B16" s="34"/>
      <c r="C16" s="34"/>
      <c r="D16" s="34"/>
      <c r="E16" s="15">
        <v>200</v>
      </c>
      <c r="F16" s="1" t="s">
        <v>6</v>
      </c>
      <c r="G16" s="1"/>
    </row>
    <row r="17" spans="1:7">
      <c r="A17" s="31" t="s">
        <v>20</v>
      </c>
      <c r="B17" s="32"/>
      <c r="C17" s="33"/>
      <c r="D17" s="16">
        <v>20</v>
      </c>
      <c r="E17" s="17">
        <v>2000</v>
      </c>
      <c r="F17" s="1" t="s">
        <v>6</v>
      </c>
      <c r="G17" s="1"/>
    </row>
    <row r="18" spans="1:7">
      <c r="A18" s="31" t="s">
        <v>21</v>
      </c>
      <c r="B18" s="32"/>
      <c r="C18" s="32"/>
      <c r="D18" s="33"/>
      <c r="E18" s="18">
        <v>200</v>
      </c>
      <c r="F18" s="1" t="s">
        <v>6</v>
      </c>
      <c r="G18" s="1"/>
    </row>
    <row r="19" spans="1:7">
      <c r="A19" s="34" t="s">
        <v>22</v>
      </c>
      <c r="B19" s="34"/>
      <c r="C19" s="34"/>
      <c r="D19" s="34"/>
      <c r="E19" s="18">
        <v>2000</v>
      </c>
      <c r="F19" s="1" t="s">
        <v>6</v>
      </c>
      <c r="G19" s="1"/>
    </row>
    <row r="20" spans="1:7">
      <c r="A20" s="31" t="s">
        <v>23</v>
      </c>
      <c r="B20" s="32"/>
      <c r="C20" s="32"/>
      <c r="D20" s="33"/>
      <c r="E20" s="18">
        <v>4000</v>
      </c>
      <c r="F20" s="1" t="s">
        <v>6</v>
      </c>
      <c r="G20" s="1"/>
    </row>
    <row r="21" spans="1:7">
      <c r="A21" s="31" t="s">
        <v>24</v>
      </c>
      <c r="B21" s="32"/>
      <c r="C21" s="32"/>
      <c r="D21" s="19">
        <v>4</v>
      </c>
      <c r="E21" s="20">
        <v>20</v>
      </c>
      <c r="F21" s="1" t="s">
        <v>6</v>
      </c>
      <c r="G21" s="1"/>
    </row>
    <row r="22" spans="1:7">
      <c r="A22" s="31" t="s">
        <v>25</v>
      </c>
      <c r="B22" s="32"/>
      <c r="C22" s="19">
        <v>1</v>
      </c>
      <c r="D22" s="21">
        <v>113.5</v>
      </c>
      <c r="E22" s="22">
        <v>1.8</v>
      </c>
      <c r="F22" s="23">
        <v>1000</v>
      </c>
      <c r="G22" s="23"/>
    </row>
    <row r="23" spans="1:7">
      <c r="A23" s="31" t="s">
        <v>26</v>
      </c>
      <c r="B23" s="32"/>
      <c r="C23" s="19">
        <v>3</v>
      </c>
      <c r="D23" s="21">
        <v>59.9</v>
      </c>
      <c r="E23" s="22">
        <v>1.8</v>
      </c>
      <c r="F23" s="23">
        <v>100</v>
      </c>
      <c r="G23" s="23"/>
    </row>
    <row r="24" spans="1:7" hidden="1" outlineLevel="1">
      <c r="A24" s="8"/>
      <c r="B24" s="8"/>
      <c r="C24" s="8"/>
      <c r="D24" s="8"/>
      <c r="E24" s="18"/>
      <c r="F24" s="1"/>
      <c r="G24" s="1"/>
    </row>
    <row r="25" spans="1:7" hidden="1" outlineLevel="1">
      <c r="A25" s="8"/>
      <c r="B25" s="8"/>
      <c r="C25" s="8"/>
      <c r="D25" s="8"/>
      <c r="E25" s="18"/>
      <c r="F25" s="1"/>
      <c r="G25" s="1"/>
    </row>
    <row r="26" spans="1:7" hidden="1" outlineLevel="1">
      <c r="A26" s="8"/>
      <c r="B26" s="8"/>
      <c r="C26" s="8"/>
      <c r="D26" s="8"/>
      <c r="E26" s="18"/>
      <c r="F26" s="1"/>
      <c r="G26" s="1"/>
    </row>
    <row r="27" spans="1:7" hidden="1" outlineLevel="1">
      <c r="A27" s="8"/>
      <c r="B27" s="8"/>
      <c r="C27" s="8"/>
      <c r="D27" s="8"/>
      <c r="E27" s="18"/>
      <c r="F27" s="1"/>
      <c r="G27" s="1"/>
    </row>
    <row r="28" spans="1:7" hidden="1" outlineLevel="1">
      <c r="A28" s="8"/>
      <c r="B28" s="8"/>
      <c r="C28" s="8"/>
      <c r="D28" s="8"/>
      <c r="E28" s="18"/>
      <c r="F28" s="1"/>
      <c r="G28" s="1"/>
    </row>
    <row r="29" spans="1:7" hidden="1" outlineLevel="1">
      <c r="A29" s="8"/>
      <c r="B29" s="8"/>
      <c r="C29" s="8"/>
      <c r="D29" s="8"/>
      <c r="E29" s="18"/>
      <c r="F29" s="1"/>
      <c r="G29" s="1"/>
    </row>
    <row r="30" spans="1:7" hidden="1" outlineLevel="1">
      <c r="A30" s="8"/>
      <c r="B30" s="8"/>
      <c r="C30" s="8"/>
      <c r="D30" s="8"/>
      <c r="E30" s="18"/>
      <c r="F30" s="1"/>
      <c r="G30" s="1"/>
    </row>
    <row r="31" spans="1:7" hidden="1" outlineLevel="1">
      <c r="A31" s="8"/>
      <c r="B31" s="8"/>
      <c r="C31" s="8"/>
      <c r="D31" s="8"/>
      <c r="E31" s="18"/>
      <c r="F31" s="1"/>
      <c r="G31" s="1"/>
    </row>
    <row r="32" spans="1:7" hidden="1" outlineLevel="1">
      <c r="A32" s="8"/>
      <c r="B32" s="8"/>
      <c r="C32" s="8"/>
      <c r="D32" s="8"/>
      <c r="E32" s="18"/>
      <c r="F32" s="1"/>
      <c r="G32" s="1"/>
    </row>
    <row r="33" spans="1:10" collapsed="1">
      <c r="A33" s="35"/>
      <c r="B33" s="36"/>
      <c r="C33" s="36"/>
      <c r="D33" s="36"/>
      <c r="E33" s="36"/>
      <c r="F33" s="36"/>
      <c r="G33" s="36"/>
    </row>
    <row r="34" spans="1:10">
      <c r="A34" s="24" t="s">
        <v>27</v>
      </c>
      <c r="B34" s="24" t="s">
        <v>28</v>
      </c>
      <c r="C34" s="24" t="s">
        <v>29</v>
      </c>
      <c r="D34" s="24" t="s">
        <v>30</v>
      </c>
      <c r="E34" s="25" t="s">
        <v>31</v>
      </c>
      <c r="F34" s="24" t="s">
        <v>32</v>
      </c>
      <c r="G34" s="24" t="s">
        <v>33</v>
      </c>
    </row>
    <row r="35" spans="1:10">
      <c r="A35" s="26">
        <f>IF(B35&lt;&gt;"",1,"")</f>
        <v>1</v>
      </c>
      <c r="B35" s="27">
        <v>23</v>
      </c>
      <c r="C35" s="27">
        <v>32</v>
      </c>
      <c r="D35" s="27">
        <v>11700</v>
      </c>
      <c r="E35" s="28">
        <v>0</v>
      </c>
      <c r="F35" s="29">
        <f>D35</f>
        <v>11700</v>
      </c>
      <c r="G35" s="27"/>
    </row>
    <row r="36" spans="1:10">
      <c r="A36" s="26">
        <f>IF(B36&lt;&gt;"",A35+1,"")</f>
        <v>2</v>
      </c>
      <c r="B36" s="27">
        <v>24</v>
      </c>
      <c r="C36" s="27">
        <v>32</v>
      </c>
      <c r="D36" s="27">
        <v>11700</v>
      </c>
      <c r="E36" s="28">
        <f>IF(C36&lt;&gt;"",MAX(C36,C35)*$E$11,"")</f>
        <v>1280</v>
      </c>
      <c r="F36" s="29">
        <f>IF(C36&lt;&gt;"",D36+F35-E36,"")</f>
        <v>22120</v>
      </c>
      <c r="G36" s="27"/>
    </row>
    <row r="37" spans="1:10">
      <c r="A37" s="26">
        <f t="shared" ref="A37:A100" si="0">IF(B37&lt;&gt;"",A36+1,"")</f>
        <v>3</v>
      </c>
      <c r="B37" s="27">
        <v>24</v>
      </c>
      <c r="C37" s="27">
        <v>25</v>
      </c>
      <c r="D37" s="27">
        <v>11700</v>
      </c>
      <c r="E37" s="28">
        <f>IF(C37&lt;&gt;"",MAX(C37,C36)*$E$11,"")</f>
        <v>1280</v>
      </c>
      <c r="F37" s="29">
        <f t="shared" ref="F37:F100" si="1">IF(C37&lt;&gt;"",D37+F36-E37,"")</f>
        <v>32540</v>
      </c>
      <c r="G37" s="27"/>
    </row>
    <row r="38" spans="1:10">
      <c r="A38" s="26">
        <f t="shared" si="0"/>
        <v>4</v>
      </c>
      <c r="B38" s="27">
        <v>24</v>
      </c>
      <c r="C38" s="27">
        <v>20</v>
      </c>
      <c r="D38" s="27">
        <v>11700</v>
      </c>
      <c r="E38" s="28">
        <f>IF(C38&lt;&gt;"",MAX(C38,C37)*$E$11,"")</f>
        <v>1000</v>
      </c>
      <c r="F38" s="29">
        <f t="shared" si="1"/>
        <v>43240</v>
      </c>
      <c r="G38" s="27"/>
      <c r="J38" s="30"/>
    </row>
    <row r="39" spans="1:10">
      <c r="A39" s="26">
        <f t="shared" si="0"/>
        <v>5</v>
      </c>
      <c r="B39" s="27">
        <v>10</v>
      </c>
      <c r="C39" s="27">
        <v>20</v>
      </c>
      <c r="D39" s="27">
        <v>11700</v>
      </c>
      <c r="E39" s="28">
        <f>IF(C39&lt;&gt;"",MAX(C39,C38)*$E$11,"")</f>
        <v>800</v>
      </c>
      <c r="F39" s="29">
        <f t="shared" si="1"/>
        <v>54140</v>
      </c>
      <c r="G39" s="27"/>
    </row>
    <row r="40" spans="1:10">
      <c r="A40" s="26">
        <f t="shared" si="0"/>
        <v>6</v>
      </c>
      <c r="B40" s="27">
        <v>10</v>
      </c>
      <c r="C40" s="27">
        <v>20</v>
      </c>
      <c r="D40" s="27">
        <v>2300</v>
      </c>
      <c r="E40" s="28">
        <f>IF(C40&lt;&gt;"",MAX(C40,C39)*$E$11,"")</f>
        <v>800</v>
      </c>
      <c r="F40" s="29">
        <f t="shared" si="1"/>
        <v>55640</v>
      </c>
      <c r="G40" s="27"/>
    </row>
    <row r="41" spans="1:10">
      <c r="A41" s="26" t="str">
        <f t="shared" si="0"/>
        <v/>
      </c>
      <c r="B41" s="27"/>
      <c r="C41" s="27"/>
      <c r="D41" s="27"/>
      <c r="E41" s="28" t="str">
        <f t="shared" ref="E41:E104" si="2">IF(C41&lt;&gt;"",MAX(C41,C40)*$E$11,"")</f>
        <v/>
      </c>
      <c r="F41" s="29" t="str">
        <f t="shared" si="1"/>
        <v/>
      </c>
      <c r="G41" s="27"/>
    </row>
    <row r="42" spans="1:10">
      <c r="A42" s="26" t="str">
        <f t="shared" si="0"/>
        <v/>
      </c>
      <c r="B42" s="27"/>
      <c r="C42" s="27"/>
      <c r="D42" s="27"/>
      <c r="E42" s="28" t="str">
        <f t="shared" si="2"/>
        <v/>
      </c>
      <c r="F42" s="29" t="str">
        <f t="shared" si="1"/>
        <v/>
      </c>
      <c r="G42" s="27"/>
    </row>
    <row r="43" spans="1:10">
      <c r="A43" s="26" t="str">
        <f t="shared" si="0"/>
        <v/>
      </c>
      <c r="B43" s="27"/>
      <c r="C43" s="27"/>
      <c r="D43" s="27"/>
      <c r="E43" s="28" t="str">
        <f t="shared" si="2"/>
        <v/>
      </c>
      <c r="F43" s="29" t="str">
        <f t="shared" si="1"/>
        <v/>
      </c>
      <c r="G43" s="27"/>
    </row>
    <row r="44" spans="1:10">
      <c r="A44" s="26" t="str">
        <f t="shared" si="0"/>
        <v/>
      </c>
      <c r="B44" s="27"/>
      <c r="C44" s="27"/>
      <c r="D44" s="27"/>
      <c r="E44" s="28" t="str">
        <f t="shared" si="2"/>
        <v/>
      </c>
      <c r="F44" s="29" t="str">
        <f t="shared" si="1"/>
        <v/>
      </c>
      <c r="G44" s="27"/>
    </row>
    <row r="45" spans="1:10">
      <c r="A45" s="26" t="str">
        <f t="shared" si="0"/>
        <v/>
      </c>
      <c r="B45" s="27"/>
      <c r="C45" s="27"/>
      <c r="D45" s="27"/>
      <c r="E45" s="28" t="str">
        <f t="shared" si="2"/>
        <v/>
      </c>
      <c r="F45" s="29" t="str">
        <f t="shared" si="1"/>
        <v/>
      </c>
      <c r="G45" s="27"/>
    </row>
    <row r="46" spans="1:10">
      <c r="A46" s="26" t="str">
        <f t="shared" si="0"/>
        <v/>
      </c>
      <c r="B46" s="27"/>
      <c r="C46" s="27"/>
      <c r="D46" s="27"/>
      <c r="E46" s="28" t="str">
        <f t="shared" si="2"/>
        <v/>
      </c>
      <c r="F46" s="29" t="str">
        <f t="shared" si="1"/>
        <v/>
      </c>
      <c r="G46" s="27"/>
    </row>
    <row r="47" spans="1:10">
      <c r="A47" s="26" t="str">
        <f t="shared" si="0"/>
        <v/>
      </c>
      <c r="B47" s="27"/>
      <c r="C47" s="27"/>
      <c r="D47" s="27"/>
      <c r="E47" s="28" t="str">
        <f t="shared" si="2"/>
        <v/>
      </c>
      <c r="F47" s="29" t="str">
        <f t="shared" si="1"/>
        <v/>
      </c>
      <c r="G47" s="27"/>
    </row>
    <row r="48" spans="1:10">
      <c r="A48" s="26" t="str">
        <f t="shared" si="0"/>
        <v/>
      </c>
      <c r="B48" s="27"/>
      <c r="C48" s="27"/>
      <c r="D48" s="27"/>
      <c r="E48" s="28" t="str">
        <f t="shared" si="2"/>
        <v/>
      </c>
      <c r="F48" s="29" t="str">
        <f t="shared" si="1"/>
        <v/>
      </c>
      <c r="G48" s="27"/>
    </row>
    <row r="49" spans="1:7">
      <c r="A49" s="26" t="str">
        <f t="shared" si="0"/>
        <v/>
      </c>
      <c r="B49" s="27"/>
      <c r="C49" s="27"/>
      <c r="D49" s="27"/>
      <c r="E49" s="28" t="str">
        <f t="shared" si="2"/>
        <v/>
      </c>
      <c r="F49" s="29" t="str">
        <f t="shared" si="1"/>
        <v/>
      </c>
      <c r="G49" s="27"/>
    </row>
    <row r="50" spans="1:7">
      <c r="A50" s="26" t="str">
        <f t="shared" si="0"/>
        <v/>
      </c>
      <c r="B50" s="27"/>
      <c r="C50" s="27"/>
      <c r="D50" s="27"/>
      <c r="E50" s="28" t="str">
        <f t="shared" si="2"/>
        <v/>
      </c>
      <c r="F50" s="29" t="str">
        <f t="shared" si="1"/>
        <v/>
      </c>
      <c r="G50" s="27"/>
    </row>
    <row r="51" spans="1:7">
      <c r="A51" s="26" t="str">
        <f t="shared" si="0"/>
        <v/>
      </c>
      <c r="B51" s="27"/>
      <c r="C51" s="27"/>
      <c r="D51" s="27"/>
      <c r="E51" s="28" t="str">
        <f t="shared" si="2"/>
        <v/>
      </c>
      <c r="F51" s="29" t="str">
        <f t="shared" si="1"/>
        <v/>
      </c>
      <c r="G51" s="27"/>
    </row>
    <row r="52" spans="1:7">
      <c r="A52" s="26" t="str">
        <f t="shared" si="0"/>
        <v/>
      </c>
      <c r="B52" s="27"/>
      <c r="C52" s="27"/>
      <c r="D52" s="27"/>
      <c r="E52" s="28" t="str">
        <f t="shared" si="2"/>
        <v/>
      </c>
      <c r="F52" s="29" t="str">
        <f t="shared" si="1"/>
        <v/>
      </c>
      <c r="G52" s="27"/>
    </row>
    <row r="53" spans="1:7">
      <c r="A53" s="26" t="str">
        <f t="shared" si="0"/>
        <v/>
      </c>
      <c r="B53" s="27"/>
      <c r="C53" s="27"/>
      <c r="D53" s="27"/>
      <c r="E53" s="28" t="str">
        <f t="shared" si="2"/>
        <v/>
      </c>
      <c r="F53" s="29" t="str">
        <f t="shared" si="1"/>
        <v/>
      </c>
      <c r="G53" s="27"/>
    </row>
    <row r="54" spans="1:7">
      <c r="A54" s="26" t="str">
        <f t="shared" si="0"/>
        <v/>
      </c>
      <c r="B54" s="27"/>
      <c r="C54" s="27"/>
      <c r="D54" s="27"/>
      <c r="E54" s="28" t="str">
        <f t="shared" si="2"/>
        <v/>
      </c>
      <c r="F54" s="29" t="str">
        <f t="shared" si="1"/>
        <v/>
      </c>
      <c r="G54" s="27"/>
    </row>
    <row r="55" spans="1:7">
      <c r="A55" s="26" t="str">
        <f t="shared" si="0"/>
        <v/>
      </c>
      <c r="B55" s="27"/>
      <c r="C55" s="27"/>
      <c r="D55" s="27"/>
      <c r="E55" s="28" t="str">
        <f t="shared" si="2"/>
        <v/>
      </c>
      <c r="F55" s="29" t="str">
        <f t="shared" si="1"/>
        <v/>
      </c>
      <c r="G55" s="27"/>
    </row>
    <row r="56" spans="1:7">
      <c r="A56" s="26" t="str">
        <f t="shared" si="0"/>
        <v/>
      </c>
      <c r="B56" s="27"/>
      <c r="C56" s="27"/>
      <c r="D56" s="27"/>
      <c r="E56" s="28" t="str">
        <f t="shared" si="2"/>
        <v/>
      </c>
      <c r="F56" s="29" t="str">
        <f t="shared" si="1"/>
        <v/>
      </c>
      <c r="G56" s="27"/>
    </row>
    <row r="57" spans="1:7">
      <c r="A57" s="26" t="str">
        <f t="shared" si="0"/>
        <v/>
      </c>
      <c r="B57" s="27"/>
      <c r="C57" s="27"/>
      <c r="D57" s="27"/>
      <c r="E57" s="28" t="str">
        <f t="shared" si="2"/>
        <v/>
      </c>
      <c r="F57" s="29" t="str">
        <f t="shared" si="1"/>
        <v/>
      </c>
      <c r="G57" s="27"/>
    </row>
    <row r="58" spans="1:7">
      <c r="A58" s="26" t="str">
        <f t="shared" si="0"/>
        <v/>
      </c>
      <c r="B58" s="29"/>
      <c r="C58" s="29"/>
      <c r="D58" s="29"/>
      <c r="E58" s="28" t="str">
        <f t="shared" si="2"/>
        <v/>
      </c>
      <c r="F58" s="29" t="str">
        <f t="shared" si="1"/>
        <v/>
      </c>
      <c r="G58" s="27"/>
    </row>
    <row r="59" spans="1:7">
      <c r="A59" s="26" t="str">
        <f t="shared" si="0"/>
        <v/>
      </c>
      <c r="B59" s="29"/>
      <c r="C59" s="29"/>
      <c r="D59" s="29"/>
      <c r="E59" s="28" t="str">
        <f t="shared" si="2"/>
        <v/>
      </c>
      <c r="F59" s="29" t="str">
        <f t="shared" si="1"/>
        <v/>
      </c>
      <c r="G59" s="27"/>
    </row>
    <row r="60" spans="1:7">
      <c r="A60" s="26" t="str">
        <f t="shared" si="0"/>
        <v/>
      </c>
      <c r="B60" s="29"/>
      <c r="C60" s="29"/>
      <c r="D60" s="29"/>
      <c r="E60" s="28" t="str">
        <f t="shared" si="2"/>
        <v/>
      </c>
      <c r="F60" s="29" t="str">
        <f t="shared" si="1"/>
        <v/>
      </c>
      <c r="G60" s="27"/>
    </row>
    <row r="61" spans="1:7">
      <c r="A61" s="26" t="str">
        <f t="shared" si="0"/>
        <v/>
      </c>
      <c r="B61" s="29"/>
      <c r="C61" s="29"/>
      <c r="D61" s="29"/>
      <c r="E61" s="28" t="str">
        <f t="shared" si="2"/>
        <v/>
      </c>
      <c r="F61" s="29" t="str">
        <f t="shared" si="1"/>
        <v/>
      </c>
      <c r="G61" s="27"/>
    </row>
    <row r="62" spans="1:7">
      <c r="A62" s="26" t="str">
        <f t="shared" si="0"/>
        <v/>
      </c>
      <c r="B62" s="29"/>
      <c r="C62" s="29"/>
      <c r="D62" s="29"/>
      <c r="E62" s="28" t="str">
        <f t="shared" si="2"/>
        <v/>
      </c>
      <c r="F62" s="29" t="str">
        <f t="shared" si="1"/>
        <v/>
      </c>
      <c r="G62" s="27"/>
    </row>
    <row r="63" spans="1:7">
      <c r="A63" s="26" t="str">
        <f t="shared" si="0"/>
        <v/>
      </c>
      <c r="B63" s="29"/>
      <c r="C63" s="29"/>
      <c r="D63" s="29"/>
      <c r="E63" s="28" t="str">
        <f t="shared" si="2"/>
        <v/>
      </c>
      <c r="F63" s="29" t="str">
        <f t="shared" si="1"/>
        <v/>
      </c>
      <c r="G63" s="27"/>
    </row>
    <row r="64" spans="1:7">
      <c r="A64" s="26" t="str">
        <f t="shared" si="0"/>
        <v/>
      </c>
      <c r="B64" s="29"/>
      <c r="C64" s="29"/>
      <c r="D64" s="29"/>
      <c r="E64" s="28" t="str">
        <f t="shared" si="2"/>
        <v/>
      </c>
      <c r="F64" s="29" t="str">
        <f t="shared" si="1"/>
        <v/>
      </c>
      <c r="G64" s="27"/>
    </row>
    <row r="65" spans="1:7">
      <c r="A65" s="26" t="str">
        <f t="shared" si="0"/>
        <v/>
      </c>
      <c r="B65" s="29"/>
      <c r="C65" s="29"/>
      <c r="D65" s="29"/>
      <c r="E65" s="28" t="str">
        <f t="shared" si="2"/>
        <v/>
      </c>
      <c r="F65" s="29" t="str">
        <f t="shared" si="1"/>
        <v/>
      </c>
      <c r="G65" s="27"/>
    </row>
    <row r="66" spans="1:7">
      <c r="A66" s="26" t="str">
        <f t="shared" si="0"/>
        <v/>
      </c>
      <c r="B66" s="29"/>
      <c r="C66" s="29"/>
      <c r="D66" s="29"/>
      <c r="E66" s="28" t="str">
        <f t="shared" si="2"/>
        <v/>
      </c>
      <c r="F66" s="29" t="str">
        <f t="shared" si="1"/>
        <v/>
      </c>
      <c r="G66" s="27"/>
    </row>
    <row r="67" spans="1:7">
      <c r="A67" s="26" t="str">
        <f t="shared" si="0"/>
        <v/>
      </c>
      <c r="B67" s="29"/>
      <c r="C67" s="29"/>
      <c r="D67" s="29"/>
      <c r="E67" s="28" t="str">
        <f t="shared" si="2"/>
        <v/>
      </c>
      <c r="F67" s="29" t="str">
        <f t="shared" si="1"/>
        <v/>
      </c>
      <c r="G67" s="27"/>
    </row>
    <row r="68" spans="1:7">
      <c r="A68" s="26" t="str">
        <f t="shared" si="0"/>
        <v/>
      </c>
      <c r="B68" s="29"/>
      <c r="C68" s="29"/>
      <c r="D68" s="29"/>
      <c r="E68" s="28" t="str">
        <f t="shared" si="2"/>
        <v/>
      </c>
      <c r="F68" s="29" t="str">
        <f t="shared" si="1"/>
        <v/>
      </c>
      <c r="G68" s="27"/>
    </row>
    <row r="69" spans="1:7">
      <c r="A69" s="26" t="str">
        <f t="shared" si="0"/>
        <v/>
      </c>
      <c r="B69" s="29"/>
      <c r="C69" s="29"/>
      <c r="D69" s="29"/>
      <c r="E69" s="28" t="str">
        <f t="shared" si="2"/>
        <v/>
      </c>
      <c r="F69" s="29" t="str">
        <f t="shared" si="1"/>
        <v/>
      </c>
      <c r="G69" s="27"/>
    </row>
    <row r="70" spans="1:7">
      <c r="A70" s="26" t="str">
        <f t="shared" si="0"/>
        <v/>
      </c>
      <c r="B70" s="29"/>
      <c r="C70" s="29"/>
      <c r="D70" s="29"/>
      <c r="E70" s="28" t="str">
        <f t="shared" si="2"/>
        <v/>
      </c>
      <c r="F70" s="29" t="str">
        <f t="shared" si="1"/>
        <v/>
      </c>
      <c r="G70" s="27"/>
    </row>
    <row r="71" spans="1:7">
      <c r="A71" s="26" t="str">
        <f t="shared" si="0"/>
        <v/>
      </c>
      <c r="B71" s="29"/>
      <c r="C71" s="29"/>
      <c r="D71" s="29"/>
      <c r="E71" s="28" t="str">
        <f t="shared" si="2"/>
        <v/>
      </c>
      <c r="F71" s="29" t="str">
        <f t="shared" si="1"/>
        <v/>
      </c>
      <c r="G71" s="27"/>
    </row>
    <row r="72" spans="1:7">
      <c r="A72" s="26" t="str">
        <f t="shared" si="0"/>
        <v/>
      </c>
      <c r="B72" s="29"/>
      <c r="C72" s="29"/>
      <c r="D72" s="29"/>
      <c r="E72" s="28" t="str">
        <f t="shared" si="2"/>
        <v/>
      </c>
      <c r="F72" s="29" t="str">
        <f t="shared" si="1"/>
        <v/>
      </c>
      <c r="G72" s="27"/>
    </row>
    <row r="73" spans="1:7">
      <c r="A73" s="26" t="str">
        <f t="shared" si="0"/>
        <v/>
      </c>
      <c r="B73" s="29"/>
      <c r="C73" s="29"/>
      <c r="D73" s="29"/>
      <c r="E73" s="28" t="str">
        <f t="shared" si="2"/>
        <v/>
      </c>
      <c r="F73" s="29" t="str">
        <f t="shared" si="1"/>
        <v/>
      </c>
      <c r="G73" s="27"/>
    </row>
    <row r="74" spans="1:7">
      <c r="A74" s="26" t="str">
        <f t="shared" si="0"/>
        <v/>
      </c>
      <c r="B74" s="29"/>
      <c r="C74" s="29"/>
      <c r="D74" s="29"/>
      <c r="E74" s="28" t="str">
        <f t="shared" si="2"/>
        <v/>
      </c>
      <c r="F74" s="29" t="str">
        <f t="shared" si="1"/>
        <v/>
      </c>
      <c r="G74" s="27"/>
    </row>
    <row r="75" spans="1:7">
      <c r="A75" s="26" t="str">
        <f t="shared" si="0"/>
        <v/>
      </c>
      <c r="B75" s="29"/>
      <c r="C75" s="29"/>
      <c r="D75" s="29"/>
      <c r="E75" s="28" t="str">
        <f t="shared" si="2"/>
        <v/>
      </c>
      <c r="F75" s="29" t="str">
        <f t="shared" si="1"/>
        <v/>
      </c>
      <c r="G75" s="27"/>
    </row>
    <row r="76" spans="1:7">
      <c r="A76" s="26" t="str">
        <f t="shared" si="0"/>
        <v/>
      </c>
      <c r="B76" s="29"/>
      <c r="C76" s="29"/>
      <c r="D76" s="29"/>
      <c r="E76" s="28" t="str">
        <f t="shared" si="2"/>
        <v/>
      </c>
      <c r="F76" s="29" t="str">
        <f t="shared" si="1"/>
        <v/>
      </c>
      <c r="G76" s="27"/>
    </row>
    <row r="77" spans="1:7">
      <c r="A77" s="26" t="str">
        <f t="shared" si="0"/>
        <v/>
      </c>
      <c r="B77" s="29"/>
      <c r="C77" s="29"/>
      <c r="D77" s="29"/>
      <c r="E77" s="28" t="str">
        <f t="shared" si="2"/>
        <v/>
      </c>
      <c r="F77" s="29" t="str">
        <f t="shared" si="1"/>
        <v/>
      </c>
      <c r="G77" s="27"/>
    </row>
    <row r="78" spans="1:7">
      <c r="A78" s="26" t="str">
        <f t="shared" si="0"/>
        <v/>
      </c>
      <c r="B78" s="29"/>
      <c r="C78" s="29"/>
      <c r="D78" s="29"/>
      <c r="E78" s="28" t="str">
        <f t="shared" si="2"/>
        <v/>
      </c>
      <c r="F78" s="29" t="str">
        <f t="shared" si="1"/>
        <v/>
      </c>
      <c r="G78" s="27"/>
    </row>
    <row r="79" spans="1:7">
      <c r="A79" s="26" t="str">
        <f t="shared" si="0"/>
        <v/>
      </c>
      <c r="B79" s="29"/>
      <c r="C79" s="29"/>
      <c r="D79" s="29"/>
      <c r="E79" s="28" t="str">
        <f t="shared" si="2"/>
        <v/>
      </c>
      <c r="F79" s="29" t="str">
        <f t="shared" si="1"/>
        <v/>
      </c>
      <c r="G79" s="27"/>
    </row>
    <row r="80" spans="1:7">
      <c r="A80" s="26" t="str">
        <f t="shared" si="0"/>
        <v/>
      </c>
      <c r="B80" s="29"/>
      <c r="C80" s="29"/>
      <c r="D80" s="29"/>
      <c r="E80" s="28" t="str">
        <f t="shared" si="2"/>
        <v/>
      </c>
      <c r="F80" s="29" t="str">
        <f t="shared" si="1"/>
        <v/>
      </c>
      <c r="G80" s="27"/>
    </row>
    <row r="81" spans="1:7">
      <c r="A81" s="26" t="str">
        <f t="shared" si="0"/>
        <v/>
      </c>
      <c r="B81" s="29"/>
      <c r="C81" s="29"/>
      <c r="D81" s="29"/>
      <c r="E81" s="28" t="str">
        <f t="shared" si="2"/>
        <v/>
      </c>
      <c r="F81" s="29" t="str">
        <f t="shared" si="1"/>
        <v/>
      </c>
      <c r="G81" s="27"/>
    </row>
    <row r="82" spans="1:7">
      <c r="A82" s="26" t="str">
        <f t="shared" si="0"/>
        <v/>
      </c>
      <c r="B82" s="29"/>
      <c r="C82" s="29"/>
      <c r="D82" s="29"/>
      <c r="E82" s="28" t="str">
        <f t="shared" si="2"/>
        <v/>
      </c>
      <c r="F82" s="29" t="str">
        <f t="shared" si="1"/>
        <v/>
      </c>
      <c r="G82" s="27"/>
    </row>
    <row r="83" spans="1:7">
      <c r="A83" s="26" t="str">
        <f t="shared" si="0"/>
        <v/>
      </c>
      <c r="B83" s="29"/>
      <c r="C83" s="29"/>
      <c r="D83" s="29"/>
      <c r="E83" s="28" t="str">
        <f t="shared" si="2"/>
        <v/>
      </c>
      <c r="F83" s="29" t="str">
        <f t="shared" si="1"/>
        <v/>
      </c>
      <c r="G83" s="27"/>
    </row>
    <row r="84" spans="1:7">
      <c r="A84" s="26" t="str">
        <f t="shared" si="0"/>
        <v/>
      </c>
      <c r="B84" s="29"/>
      <c r="C84" s="29"/>
      <c r="D84" s="29"/>
      <c r="E84" s="28" t="str">
        <f t="shared" si="2"/>
        <v/>
      </c>
      <c r="F84" s="29" t="str">
        <f t="shared" si="1"/>
        <v/>
      </c>
      <c r="G84" s="27"/>
    </row>
    <row r="85" spans="1:7">
      <c r="A85" s="26" t="str">
        <f t="shared" si="0"/>
        <v/>
      </c>
      <c r="B85" s="29"/>
      <c r="C85" s="29"/>
      <c r="D85" s="29"/>
      <c r="E85" s="28" t="str">
        <f t="shared" si="2"/>
        <v/>
      </c>
      <c r="F85" s="29" t="str">
        <f t="shared" si="1"/>
        <v/>
      </c>
      <c r="G85" s="27"/>
    </row>
    <row r="86" spans="1:7">
      <c r="A86" s="26" t="str">
        <f t="shared" si="0"/>
        <v/>
      </c>
      <c r="B86" s="29"/>
      <c r="C86" s="29"/>
      <c r="D86" s="29"/>
      <c r="E86" s="28" t="str">
        <f t="shared" si="2"/>
        <v/>
      </c>
      <c r="F86" s="29" t="str">
        <f t="shared" si="1"/>
        <v/>
      </c>
      <c r="G86" s="27"/>
    </row>
    <row r="87" spans="1:7">
      <c r="A87" s="26" t="str">
        <f t="shared" si="0"/>
        <v/>
      </c>
      <c r="B87" s="29"/>
      <c r="C87" s="29"/>
      <c r="D87" s="29"/>
      <c r="E87" s="28" t="str">
        <f t="shared" si="2"/>
        <v/>
      </c>
      <c r="F87" s="29" t="str">
        <f t="shared" si="1"/>
        <v/>
      </c>
      <c r="G87" s="27"/>
    </row>
    <row r="88" spans="1:7">
      <c r="A88" s="26" t="str">
        <f t="shared" si="0"/>
        <v/>
      </c>
      <c r="B88" s="29"/>
      <c r="C88" s="29"/>
      <c r="D88" s="29"/>
      <c r="E88" s="28" t="str">
        <f t="shared" si="2"/>
        <v/>
      </c>
      <c r="F88" s="29" t="str">
        <f t="shared" si="1"/>
        <v/>
      </c>
      <c r="G88" s="27"/>
    </row>
    <row r="89" spans="1:7">
      <c r="A89" s="26" t="str">
        <f t="shared" si="0"/>
        <v/>
      </c>
      <c r="B89" s="29"/>
      <c r="C89" s="29"/>
      <c r="D89" s="29"/>
      <c r="E89" s="28" t="str">
        <f t="shared" si="2"/>
        <v/>
      </c>
      <c r="F89" s="29" t="str">
        <f t="shared" si="1"/>
        <v/>
      </c>
      <c r="G89" s="27"/>
    </row>
    <row r="90" spans="1:7">
      <c r="A90" s="26" t="str">
        <f t="shared" si="0"/>
        <v/>
      </c>
      <c r="B90" s="29"/>
      <c r="C90" s="29"/>
      <c r="D90" s="29"/>
      <c r="E90" s="28" t="str">
        <f t="shared" si="2"/>
        <v/>
      </c>
      <c r="F90" s="29" t="str">
        <f t="shared" si="1"/>
        <v/>
      </c>
      <c r="G90" s="27"/>
    </row>
    <row r="91" spans="1:7">
      <c r="A91" s="26" t="str">
        <f t="shared" si="0"/>
        <v/>
      </c>
      <c r="B91" s="29"/>
      <c r="C91" s="29"/>
      <c r="D91" s="29"/>
      <c r="E91" s="28" t="str">
        <f t="shared" si="2"/>
        <v/>
      </c>
      <c r="F91" s="29" t="str">
        <f t="shared" si="1"/>
        <v/>
      </c>
      <c r="G91" s="27"/>
    </row>
    <row r="92" spans="1:7">
      <c r="A92" s="26" t="str">
        <f t="shared" si="0"/>
        <v/>
      </c>
      <c r="B92" s="29"/>
      <c r="C92" s="29"/>
      <c r="D92" s="29"/>
      <c r="E92" s="28" t="str">
        <f t="shared" si="2"/>
        <v/>
      </c>
      <c r="F92" s="29" t="str">
        <f t="shared" si="1"/>
        <v/>
      </c>
      <c r="G92" s="27"/>
    </row>
    <row r="93" spans="1:7">
      <c r="A93" s="26" t="str">
        <f t="shared" si="0"/>
        <v/>
      </c>
      <c r="B93" s="29"/>
      <c r="C93" s="29"/>
      <c r="D93" s="29"/>
      <c r="E93" s="28" t="str">
        <f t="shared" si="2"/>
        <v/>
      </c>
      <c r="F93" s="29" t="str">
        <f t="shared" si="1"/>
        <v/>
      </c>
      <c r="G93" s="27"/>
    </row>
    <row r="94" spans="1:7">
      <c r="A94" s="26" t="str">
        <f t="shared" si="0"/>
        <v/>
      </c>
      <c r="B94" s="29"/>
      <c r="C94" s="29"/>
      <c r="D94" s="29"/>
      <c r="E94" s="28" t="str">
        <f t="shared" si="2"/>
        <v/>
      </c>
      <c r="F94" s="29" t="str">
        <f t="shared" si="1"/>
        <v/>
      </c>
      <c r="G94" s="27"/>
    </row>
    <row r="95" spans="1:7">
      <c r="A95" s="26" t="str">
        <f t="shared" si="0"/>
        <v/>
      </c>
      <c r="B95" s="29"/>
      <c r="C95" s="29"/>
      <c r="D95" s="29"/>
      <c r="E95" s="28" t="str">
        <f t="shared" si="2"/>
        <v/>
      </c>
      <c r="F95" s="29" t="str">
        <f t="shared" si="1"/>
        <v/>
      </c>
      <c r="G95" s="27"/>
    </row>
    <row r="96" spans="1:7">
      <c r="A96" s="26" t="str">
        <f t="shared" si="0"/>
        <v/>
      </c>
      <c r="B96" s="29"/>
      <c r="C96" s="29"/>
      <c r="D96" s="29"/>
      <c r="E96" s="28" t="str">
        <f t="shared" si="2"/>
        <v/>
      </c>
      <c r="F96" s="29" t="str">
        <f t="shared" si="1"/>
        <v/>
      </c>
      <c r="G96" s="27"/>
    </row>
    <row r="97" spans="1:7">
      <c r="A97" s="26" t="str">
        <f t="shared" si="0"/>
        <v/>
      </c>
      <c r="B97" s="29"/>
      <c r="C97" s="29"/>
      <c r="D97" s="29"/>
      <c r="E97" s="28" t="str">
        <f t="shared" si="2"/>
        <v/>
      </c>
      <c r="F97" s="29" t="str">
        <f t="shared" si="1"/>
        <v/>
      </c>
      <c r="G97" s="27"/>
    </row>
    <row r="98" spans="1:7">
      <c r="A98" s="26" t="str">
        <f t="shared" si="0"/>
        <v/>
      </c>
      <c r="B98" s="29"/>
      <c r="C98" s="29"/>
      <c r="D98" s="29"/>
      <c r="E98" s="28" t="str">
        <f t="shared" si="2"/>
        <v/>
      </c>
      <c r="F98" s="29" t="str">
        <f t="shared" si="1"/>
        <v/>
      </c>
      <c r="G98" s="27"/>
    </row>
    <row r="99" spans="1:7">
      <c r="A99" s="26" t="str">
        <f t="shared" si="0"/>
        <v/>
      </c>
      <c r="B99" s="29"/>
      <c r="C99" s="29"/>
      <c r="D99" s="29"/>
      <c r="E99" s="28" t="str">
        <f t="shared" si="2"/>
        <v/>
      </c>
      <c r="F99" s="29" t="str">
        <f t="shared" si="1"/>
        <v/>
      </c>
      <c r="G99" s="27"/>
    </row>
    <row r="100" spans="1:7">
      <c r="A100" s="26" t="str">
        <f t="shared" si="0"/>
        <v/>
      </c>
      <c r="B100" s="29"/>
      <c r="C100" s="29"/>
      <c r="D100" s="29"/>
      <c r="E100" s="28" t="str">
        <f t="shared" si="2"/>
        <v/>
      </c>
      <c r="F100" s="29" t="str">
        <f t="shared" si="1"/>
        <v/>
      </c>
      <c r="G100" s="27"/>
    </row>
    <row r="101" spans="1:7">
      <c r="A101" s="26" t="str">
        <f t="shared" ref="A101:A145" si="3">IF(B101&lt;&gt;"",A100+1,"")</f>
        <v/>
      </c>
      <c r="B101" s="29"/>
      <c r="C101" s="29"/>
      <c r="D101" s="29"/>
      <c r="E101" s="28" t="str">
        <f t="shared" si="2"/>
        <v/>
      </c>
      <c r="F101" s="29" t="str">
        <f t="shared" ref="F101:F141" si="4">IF(C101&lt;&gt;"",D101+F100-E101,"")</f>
        <v/>
      </c>
      <c r="G101" s="27"/>
    </row>
    <row r="102" spans="1:7">
      <c r="A102" s="26" t="str">
        <f t="shared" si="3"/>
        <v/>
      </c>
      <c r="B102" s="29"/>
      <c r="C102" s="29"/>
      <c r="D102" s="29"/>
      <c r="E102" s="28" t="str">
        <f t="shared" si="2"/>
        <v/>
      </c>
      <c r="F102" s="29" t="str">
        <f t="shared" si="4"/>
        <v/>
      </c>
      <c r="G102" s="27"/>
    </row>
    <row r="103" spans="1:7">
      <c r="A103" s="26" t="str">
        <f t="shared" si="3"/>
        <v/>
      </c>
      <c r="B103" s="29"/>
      <c r="C103" s="29"/>
      <c r="D103" s="29"/>
      <c r="E103" s="28" t="str">
        <f t="shared" si="2"/>
        <v/>
      </c>
      <c r="F103" s="29" t="str">
        <f t="shared" si="4"/>
        <v/>
      </c>
      <c r="G103" s="27"/>
    </row>
    <row r="104" spans="1:7">
      <c r="A104" s="26" t="str">
        <f t="shared" si="3"/>
        <v/>
      </c>
      <c r="B104" s="29"/>
      <c r="C104" s="29"/>
      <c r="D104" s="29"/>
      <c r="E104" s="28" t="str">
        <f t="shared" si="2"/>
        <v/>
      </c>
      <c r="F104" s="29" t="str">
        <f t="shared" si="4"/>
        <v/>
      </c>
      <c r="G104" s="27"/>
    </row>
    <row r="105" spans="1:7">
      <c r="A105" s="26" t="str">
        <f t="shared" si="3"/>
        <v/>
      </c>
      <c r="B105" s="29"/>
      <c r="C105" s="29"/>
      <c r="D105" s="29"/>
      <c r="E105" s="28" t="str">
        <f t="shared" ref="E105:E137" si="5">IF(C105&lt;&gt;"",MAX(C105,C104)*$E$11,"")</f>
        <v/>
      </c>
      <c r="F105" s="29" t="str">
        <f t="shared" si="4"/>
        <v/>
      </c>
      <c r="G105" s="27"/>
    </row>
    <row r="106" spans="1:7">
      <c r="A106" s="26" t="str">
        <f t="shared" si="3"/>
        <v/>
      </c>
      <c r="B106" s="29"/>
      <c r="C106" s="29"/>
      <c r="D106" s="29"/>
      <c r="E106" s="28" t="str">
        <f t="shared" si="5"/>
        <v/>
      </c>
      <c r="F106" s="29" t="str">
        <f t="shared" si="4"/>
        <v/>
      </c>
      <c r="G106" s="27"/>
    </row>
    <row r="107" spans="1:7">
      <c r="A107" s="26" t="str">
        <f t="shared" si="3"/>
        <v/>
      </c>
      <c r="B107" s="29"/>
      <c r="C107" s="29"/>
      <c r="D107" s="29"/>
      <c r="E107" s="28" t="str">
        <f t="shared" si="5"/>
        <v/>
      </c>
      <c r="F107" s="29" t="str">
        <f t="shared" si="4"/>
        <v/>
      </c>
      <c r="G107" s="27"/>
    </row>
    <row r="108" spans="1:7">
      <c r="A108" s="26" t="str">
        <f t="shared" si="3"/>
        <v/>
      </c>
      <c r="B108" s="29"/>
      <c r="C108" s="29"/>
      <c r="D108" s="29"/>
      <c r="E108" s="28" t="str">
        <f t="shared" si="5"/>
        <v/>
      </c>
      <c r="F108" s="29" t="str">
        <f t="shared" si="4"/>
        <v/>
      </c>
      <c r="G108" s="27"/>
    </row>
    <row r="109" spans="1:7">
      <c r="A109" s="26" t="str">
        <f t="shared" si="3"/>
        <v/>
      </c>
      <c r="B109" s="29"/>
      <c r="C109" s="29"/>
      <c r="D109" s="29"/>
      <c r="E109" s="28" t="str">
        <f t="shared" si="5"/>
        <v/>
      </c>
      <c r="F109" s="29" t="str">
        <f t="shared" si="4"/>
        <v/>
      </c>
      <c r="G109" s="27"/>
    </row>
    <row r="110" spans="1:7">
      <c r="A110" s="26" t="str">
        <f t="shared" si="3"/>
        <v/>
      </c>
      <c r="B110" s="29"/>
      <c r="C110" s="29"/>
      <c r="D110" s="29"/>
      <c r="E110" s="28" t="str">
        <f t="shared" si="5"/>
        <v/>
      </c>
      <c r="F110" s="29" t="str">
        <f t="shared" si="4"/>
        <v/>
      </c>
      <c r="G110" s="27"/>
    </row>
    <row r="111" spans="1:7">
      <c r="A111" s="26" t="str">
        <f t="shared" si="3"/>
        <v/>
      </c>
      <c r="B111" s="29"/>
      <c r="C111" s="29"/>
      <c r="D111" s="29"/>
      <c r="E111" s="28" t="str">
        <f t="shared" si="5"/>
        <v/>
      </c>
      <c r="F111" s="29" t="str">
        <f t="shared" si="4"/>
        <v/>
      </c>
      <c r="G111" s="27"/>
    </row>
    <row r="112" spans="1:7">
      <c r="A112" s="26" t="str">
        <f t="shared" si="3"/>
        <v/>
      </c>
      <c r="B112" s="29"/>
      <c r="C112" s="29"/>
      <c r="D112" s="29"/>
      <c r="E112" s="28" t="str">
        <f t="shared" si="5"/>
        <v/>
      </c>
      <c r="F112" s="29" t="str">
        <f t="shared" si="4"/>
        <v/>
      </c>
      <c r="G112" s="27"/>
    </row>
    <row r="113" spans="1:7">
      <c r="A113" s="26" t="str">
        <f t="shared" si="3"/>
        <v/>
      </c>
      <c r="B113" s="29"/>
      <c r="C113" s="29"/>
      <c r="D113" s="29"/>
      <c r="E113" s="28" t="str">
        <f t="shared" si="5"/>
        <v/>
      </c>
      <c r="F113" s="29" t="str">
        <f t="shared" si="4"/>
        <v/>
      </c>
      <c r="G113" s="27"/>
    </row>
    <row r="114" spans="1:7">
      <c r="A114" s="26" t="str">
        <f t="shared" si="3"/>
        <v/>
      </c>
      <c r="B114" s="29"/>
      <c r="C114" s="29"/>
      <c r="D114" s="29"/>
      <c r="E114" s="28" t="str">
        <f t="shared" si="5"/>
        <v/>
      </c>
      <c r="F114" s="29" t="str">
        <f t="shared" si="4"/>
        <v/>
      </c>
      <c r="G114" s="27"/>
    </row>
    <row r="115" spans="1:7">
      <c r="A115" s="26" t="str">
        <f t="shared" si="3"/>
        <v/>
      </c>
      <c r="B115" s="29"/>
      <c r="C115" s="29"/>
      <c r="D115" s="29"/>
      <c r="E115" s="28" t="str">
        <f t="shared" si="5"/>
        <v/>
      </c>
      <c r="F115" s="29" t="str">
        <f t="shared" si="4"/>
        <v/>
      </c>
      <c r="G115" s="27"/>
    </row>
    <row r="116" spans="1:7">
      <c r="A116" s="26" t="str">
        <f t="shared" si="3"/>
        <v/>
      </c>
      <c r="B116" s="29"/>
      <c r="C116" s="29"/>
      <c r="D116" s="29"/>
      <c r="E116" s="28" t="str">
        <f t="shared" si="5"/>
        <v/>
      </c>
      <c r="F116" s="29" t="str">
        <f t="shared" si="4"/>
        <v/>
      </c>
      <c r="G116" s="27"/>
    </row>
    <row r="117" spans="1:7">
      <c r="A117" s="26" t="str">
        <f t="shared" si="3"/>
        <v/>
      </c>
      <c r="B117" s="29"/>
      <c r="C117" s="29"/>
      <c r="D117" s="29"/>
      <c r="E117" s="28" t="str">
        <f t="shared" si="5"/>
        <v/>
      </c>
      <c r="F117" s="29" t="str">
        <f t="shared" si="4"/>
        <v/>
      </c>
      <c r="G117" s="27"/>
    </row>
    <row r="118" spans="1:7">
      <c r="A118" s="26" t="str">
        <f t="shared" si="3"/>
        <v/>
      </c>
      <c r="B118" s="29"/>
      <c r="C118" s="29"/>
      <c r="D118" s="29"/>
      <c r="E118" s="28" t="str">
        <f t="shared" si="5"/>
        <v/>
      </c>
      <c r="F118" s="29" t="str">
        <f t="shared" si="4"/>
        <v/>
      </c>
      <c r="G118" s="27"/>
    </row>
    <row r="119" spans="1:7">
      <c r="A119" s="26" t="str">
        <f t="shared" si="3"/>
        <v/>
      </c>
      <c r="B119" s="29"/>
      <c r="C119" s="29"/>
      <c r="D119" s="29"/>
      <c r="E119" s="28" t="str">
        <f t="shared" si="5"/>
        <v/>
      </c>
      <c r="F119" s="29" t="str">
        <f t="shared" si="4"/>
        <v/>
      </c>
      <c r="G119" s="27"/>
    </row>
    <row r="120" spans="1:7">
      <c r="A120" s="26" t="str">
        <f t="shared" si="3"/>
        <v/>
      </c>
      <c r="B120" s="29"/>
      <c r="C120" s="29"/>
      <c r="D120" s="29"/>
      <c r="E120" s="28" t="str">
        <f t="shared" si="5"/>
        <v/>
      </c>
      <c r="F120" s="29" t="str">
        <f t="shared" si="4"/>
        <v/>
      </c>
      <c r="G120" s="27"/>
    </row>
    <row r="121" spans="1:7">
      <c r="A121" s="26" t="str">
        <f t="shared" si="3"/>
        <v/>
      </c>
      <c r="B121" s="29"/>
      <c r="C121" s="29"/>
      <c r="D121" s="29"/>
      <c r="E121" s="28" t="str">
        <f t="shared" si="5"/>
        <v/>
      </c>
      <c r="F121" s="29" t="str">
        <f t="shared" si="4"/>
        <v/>
      </c>
      <c r="G121" s="27"/>
    </row>
    <row r="122" spans="1:7">
      <c r="A122" s="26" t="str">
        <f t="shared" si="3"/>
        <v/>
      </c>
      <c r="B122" s="29"/>
      <c r="C122" s="29"/>
      <c r="D122" s="29"/>
      <c r="E122" s="28" t="str">
        <f t="shared" si="5"/>
        <v/>
      </c>
      <c r="F122" s="29" t="str">
        <f t="shared" si="4"/>
        <v/>
      </c>
      <c r="G122" s="27"/>
    </row>
    <row r="123" spans="1:7">
      <c r="A123" s="26" t="str">
        <f t="shared" si="3"/>
        <v/>
      </c>
      <c r="B123" s="29"/>
      <c r="C123" s="29"/>
      <c r="D123" s="29"/>
      <c r="E123" s="28" t="str">
        <f t="shared" si="5"/>
        <v/>
      </c>
      <c r="F123" s="29" t="str">
        <f t="shared" si="4"/>
        <v/>
      </c>
      <c r="G123" s="27"/>
    </row>
    <row r="124" spans="1:7">
      <c r="A124" s="26" t="str">
        <f t="shared" si="3"/>
        <v/>
      </c>
      <c r="B124" s="29"/>
      <c r="C124" s="29"/>
      <c r="D124" s="29"/>
      <c r="E124" s="28" t="str">
        <f t="shared" si="5"/>
        <v/>
      </c>
      <c r="F124" s="29" t="str">
        <f t="shared" si="4"/>
        <v/>
      </c>
      <c r="G124" s="27"/>
    </row>
    <row r="125" spans="1:7">
      <c r="A125" s="26" t="str">
        <f t="shared" si="3"/>
        <v/>
      </c>
      <c r="B125" s="29"/>
      <c r="C125" s="29"/>
      <c r="D125" s="29"/>
      <c r="E125" s="28" t="str">
        <f t="shared" si="5"/>
        <v/>
      </c>
      <c r="F125" s="29" t="str">
        <f t="shared" si="4"/>
        <v/>
      </c>
      <c r="G125" s="27"/>
    </row>
    <row r="126" spans="1:7">
      <c r="A126" s="26" t="str">
        <f t="shared" si="3"/>
        <v/>
      </c>
      <c r="B126" s="29"/>
      <c r="C126" s="29"/>
      <c r="D126" s="29"/>
      <c r="E126" s="28" t="str">
        <f t="shared" si="5"/>
        <v/>
      </c>
      <c r="F126" s="29" t="str">
        <f t="shared" si="4"/>
        <v/>
      </c>
      <c r="G126" s="27"/>
    </row>
    <row r="127" spans="1:7">
      <c r="A127" s="26" t="str">
        <f t="shared" si="3"/>
        <v/>
      </c>
      <c r="B127" s="29"/>
      <c r="C127" s="29"/>
      <c r="D127" s="29"/>
      <c r="E127" s="28" t="str">
        <f t="shared" si="5"/>
        <v/>
      </c>
      <c r="F127" s="29" t="str">
        <f t="shared" si="4"/>
        <v/>
      </c>
      <c r="G127" s="27"/>
    </row>
    <row r="128" spans="1:7">
      <c r="A128" s="26" t="str">
        <f t="shared" si="3"/>
        <v/>
      </c>
      <c r="B128" s="29"/>
      <c r="C128" s="29"/>
      <c r="D128" s="29"/>
      <c r="E128" s="28" t="str">
        <f t="shared" si="5"/>
        <v/>
      </c>
      <c r="F128" s="29" t="str">
        <f t="shared" si="4"/>
        <v/>
      </c>
      <c r="G128" s="27"/>
    </row>
    <row r="129" spans="1:7">
      <c r="A129" s="26" t="str">
        <f t="shared" si="3"/>
        <v/>
      </c>
      <c r="B129" s="29"/>
      <c r="C129" s="29"/>
      <c r="D129" s="29"/>
      <c r="E129" s="28" t="str">
        <f t="shared" si="5"/>
        <v/>
      </c>
      <c r="F129" s="29" t="str">
        <f t="shared" si="4"/>
        <v/>
      </c>
      <c r="G129" s="27"/>
    </row>
    <row r="130" spans="1:7">
      <c r="A130" s="26" t="str">
        <f t="shared" si="3"/>
        <v/>
      </c>
      <c r="B130" s="29"/>
      <c r="C130" s="29"/>
      <c r="D130" s="29"/>
      <c r="E130" s="28" t="str">
        <f t="shared" si="5"/>
        <v/>
      </c>
      <c r="F130" s="29" t="str">
        <f t="shared" si="4"/>
        <v/>
      </c>
      <c r="G130" s="27"/>
    </row>
    <row r="131" spans="1:7">
      <c r="A131" s="26" t="str">
        <f t="shared" si="3"/>
        <v/>
      </c>
      <c r="B131" s="29"/>
      <c r="C131" s="29"/>
      <c r="D131" s="29"/>
      <c r="E131" s="28" t="str">
        <f t="shared" si="5"/>
        <v/>
      </c>
      <c r="F131" s="29" t="str">
        <f t="shared" si="4"/>
        <v/>
      </c>
      <c r="G131" s="27"/>
    </row>
    <row r="132" spans="1:7">
      <c r="A132" s="26" t="str">
        <f t="shared" si="3"/>
        <v/>
      </c>
      <c r="B132" s="29"/>
      <c r="C132" s="29"/>
      <c r="D132" s="29"/>
      <c r="E132" s="28" t="str">
        <f t="shared" si="5"/>
        <v/>
      </c>
      <c r="F132" s="29" t="str">
        <f t="shared" si="4"/>
        <v/>
      </c>
      <c r="G132" s="27"/>
    </row>
    <row r="133" spans="1:7">
      <c r="A133" s="26" t="str">
        <f t="shared" si="3"/>
        <v/>
      </c>
      <c r="B133" s="29"/>
      <c r="C133" s="29"/>
      <c r="D133" s="29"/>
      <c r="E133" s="28" t="str">
        <f t="shared" si="5"/>
        <v/>
      </c>
      <c r="F133" s="29" t="str">
        <f t="shared" si="4"/>
        <v/>
      </c>
      <c r="G133" s="27"/>
    </row>
    <row r="134" spans="1:7">
      <c r="A134" s="26" t="str">
        <f t="shared" si="3"/>
        <v/>
      </c>
      <c r="B134" s="29"/>
      <c r="C134" s="29"/>
      <c r="D134" s="29"/>
      <c r="E134" s="28" t="str">
        <f t="shared" si="5"/>
        <v/>
      </c>
      <c r="F134" s="29" t="str">
        <f t="shared" si="4"/>
        <v/>
      </c>
      <c r="G134" s="27"/>
    </row>
    <row r="135" spans="1:7">
      <c r="A135" s="26" t="str">
        <f t="shared" si="3"/>
        <v/>
      </c>
      <c r="B135" s="29"/>
      <c r="C135" s="29"/>
      <c r="D135" s="29"/>
      <c r="E135" s="28" t="str">
        <f t="shared" si="5"/>
        <v/>
      </c>
      <c r="F135" s="29" t="str">
        <f t="shared" si="4"/>
        <v/>
      </c>
      <c r="G135" s="27"/>
    </row>
    <row r="136" spans="1:7">
      <c r="A136" s="26" t="str">
        <f t="shared" si="3"/>
        <v/>
      </c>
      <c r="B136" s="29"/>
      <c r="C136" s="29"/>
      <c r="D136" s="29"/>
      <c r="E136" s="28" t="str">
        <f t="shared" si="5"/>
        <v/>
      </c>
      <c r="F136" s="29" t="str">
        <f t="shared" si="4"/>
        <v/>
      </c>
      <c r="G136" s="27"/>
    </row>
    <row r="137" spans="1:7">
      <c r="A137" s="26" t="str">
        <f t="shared" si="3"/>
        <v/>
      </c>
      <c r="B137" s="29"/>
      <c r="C137" s="29"/>
      <c r="D137" s="29"/>
      <c r="E137" s="28" t="str">
        <f t="shared" si="5"/>
        <v/>
      </c>
      <c r="F137" s="29" t="str">
        <f t="shared" si="4"/>
        <v/>
      </c>
      <c r="G137" s="27"/>
    </row>
    <row r="138" spans="1:7">
      <c r="A138" s="26" t="str">
        <f t="shared" si="3"/>
        <v/>
      </c>
      <c r="B138" s="29"/>
      <c r="C138" s="29"/>
      <c r="D138" s="29"/>
      <c r="E138" s="28"/>
      <c r="F138" s="29" t="str">
        <f t="shared" si="4"/>
        <v/>
      </c>
      <c r="G138" s="27"/>
    </row>
    <row r="139" spans="1:7">
      <c r="A139" s="26" t="str">
        <f t="shared" si="3"/>
        <v/>
      </c>
      <c r="B139" s="29"/>
      <c r="C139" s="29"/>
      <c r="D139" s="29"/>
      <c r="E139" s="28"/>
      <c r="F139" s="29" t="str">
        <f t="shared" si="4"/>
        <v/>
      </c>
      <c r="G139" s="27"/>
    </row>
    <row r="140" spans="1:7">
      <c r="A140" s="26" t="str">
        <f t="shared" si="3"/>
        <v/>
      </c>
      <c r="B140" s="29"/>
      <c r="C140" s="29"/>
      <c r="D140" s="29"/>
      <c r="E140" s="28"/>
      <c r="F140" s="29" t="str">
        <f t="shared" si="4"/>
        <v/>
      </c>
      <c r="G140" s="27"/>
    </row>
    <row r="141" spans="1:7">
      <c r="A141" s="26" t="str">
        <f t="shared" si="3"/>
        <v/>
      </c>
      <c r="B141" s="29"/>
      <c r="C141" s="29"/>
      <c r="D141" s="29"/>
      <c r="E141" s="28"/>
      <c r="F141" s="29" t="str">
        <f t="shared" si="4"/>
        <v/>
      </c>
      <c r="G141" s="27"/>
    </row>
    <row r="142" spans="1:7">
      <c r="A142" s="26" t="str">
        <f t="shared" si="3"/>
        <v/>
      </c>
      <c r="B142" s="29"/>
      <c r="C142" s="29"/>
      <c r="D142" s="29"/>
      <c r="E142" s="28"/>
      <c r="F142" s="29"/>
      <c r="G142" s="29"/>
    </row>
    <row r="143" spans="1:7">
      <c r="A143" s="26" t="str">
        <f t="shared" si="3"/>
        <v/>
      </c>
      <c r="B143" s="29"/>
      <c r="C143" s="29"/>
      <c r="D143" s="29"/>
      <c r="E143" s="28"/>
      <c r="F143" s="29"/>
      <c r="G143" s="29"/>
    </row>
    <row r="144" spans="1:7">
      <c r="A144" s="26" t="str">
        <f t="shared" si="3"/>
        <v/>
      </c>
      <c r="B144" s="29"/>
      <c r="C144" s="29"/>
      <c r="D144" s="29"/>
      <c r="E144" s="28"/>
      <c r="F144" s="29"/>
      <c r="G144" s="29"/>
    </row>
    <row r="145" spans="1:7">
      <c r="A145" s="26" t="str">
        <f t="shared" si="3"/>
        <v/>
      </c>
      <c r="B145" s="29"/>
      <c r="C145" s="29"/>
      <c r="D145" s="29"/>
      <c r="E145" s="28"/>
      <c r="F145" s="29"/>
      <c r="G145" s="29"/>
    </row>
  </sheetData>
  <mergeCells count="23">
    <mergeCell ref="A23:B23"/>
    <mergeCell ref="A33:G33"/>
    <mergeCell ref="A1:G2"/>
    <mergeCell ref="A18:D18"/>
    <mergeCell ref="A19:D19"/>
    <mergeCell ref="A20:D20"/>
    <mergeCell ref="A21:C21"/>
    <mergeCell ref="A22:B22"/>
    <mergeCell ref="A13:D13"/>
    <mergeCell ref="A14:D14"/>
    <mergeCell ref="A15:D15"/>
    <mergeCell ref="A16:D16"/>
    <mergeCell ref="A17:C17"/>
    <mergeCell ref="A8:D8"/>
    <mergeCell ref="A9:D9"/>
    <mergeCell ref="A10:D10"/>
    <mergeCell ref="A11:D11"/>
    <mergeCell ref="A12:D12"/>
    <mergeCell ref="A3:C3"/>
    <mergeCell ref="A4:D4"/>
    <mergeCell ref="A5:D5"/>
    <mergeCell ref="A6:D6"/>
    <mergeCell ref="A7:D7"/>
  </mergeCells>
  <dataValidations count="1">
    <dataValidation type="list" allowBlank="1" showInputMessage="1" showErrorMessage="1" sqref="G35:G141">
      <formula1>"Rải đều,2 lớp,Kẹp đôi"</formula1>
    </dataValidation>
  </dataValidation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KhoanNhoi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P</dc:creator>
  <cp:lastModifiedBy>C P</cp:lastModifiedBy>
  <dcterms:created xsi:type="dcterms:W3CDTF">2024-05-09T08:45:00Z</dcterms:created>
  <dcterms:modified xsi:type="dcterms:W3CDTF">2026-09-16T07:27:47Z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6E52176590D34386B0730CDA595FAC5E_12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