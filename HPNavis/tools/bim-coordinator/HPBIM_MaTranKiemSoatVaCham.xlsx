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Q:\My Drive\05_PracticAI\02_BIM\03-TRUONG THCS LONG TAN\05_VaCham\"/>
    </mc:Choice>
  </mc:AlternateContent>
  <xr:revisionPtr revIDLastSave="0" documentId="13_ncr:1_{6EBAFA47-61B6-44AD-8CB5-78B54A4901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leClash(HP)" sheetId="1" r:id="rId1"/>
    <sheet name="SearchSets(HP)" sheetId="2" r:id="rId2"/>
    <sheet name="SearchSets(DSC)" sheetId="3" r:id="rId3"/>
    <sheet name="ColorSearchSet(DSC)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7" l="1"/>
  <c r="A20" i="7"/>
  <c r="A21" i="7"/>
  <c r="A22" i="7"/>
  <c r="A23" i="7"/>
  <c r="A24" i="7"/>
  <c r="A25" i="7"/>
  <c r="A26" i="7"/>
  <c r="A27" i="7"/>
  <c r="A28" i="7"/>
  <c r="A29" i="7"/>
  <c r="A14" i="7"/>
  <c r="A15" i="7"/>
  <c r="A16" i="7"/>
  <c r="A17" i="7"/>
  <c r="A18" i="7"/>
  <c r="A4" i="7"/>
  <c r="A5" i="7"/>
  <c r="A6" i="7"/>
  <c r="A7" i="7"/>
  <c r="A8" i="7"/>
  <c r="A9" i="7"/>
  <c r="A10" i="7"/>
  <c r="A11" i="7"/>
  <c r="A12" i="7"/>
  <c r="A13" i="7"/>
  <c r="A3" i="7"/>
  <c r="B49" i="2"/>
  <c r="B47" i="2"/>
  <c r="B46" i="2"/>
  <c r="B45" i="2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1" i="3"/>
  <c r="B20" i="3"/>
  <c r="B19" i="3"/>
  <c r="B18" i="3"/>
  <c r="B17" i="3"/>
  <c r="B12" i="3"/>
  <c r="B11" i="3"/>
  <c r="B10" i="3"/>
  <c r="B9" i="3"/>
  <c r="B8" i="3"/>
  <c r="B7" i="3"/>
  <c r="B6" i="3"/>
  <c r="B5" i="3"/>
  <c r="B42" i="2"/>
  <c r="B43" i="2"/>
  <c r="B44" i="2"/>
  <c r="B41" i="2"/>
  <c r="B36" i="2"/>
  <c r="B37" i="2"/>
  <c r="B38" i="2"/>
  <c r="B39" i="2"/>
  <c r="B40" i="2"/>
  <c r="B35" i="2"/>
  <c r="B32" i="2"/>
  <c r="B34" i="2"/>
  <c r="B33" i="2"/>
  <c r="B31" i="2"/>
  <c r="B27" i="2"/>
  <c r="B28" i="2"/>
  <c r="B29" i="2"/>
  <c r="B30" i="2"/>
  <c r="B26" i="2"/>
  <c r="B18" i="2"/>
  <c r="B19" i="2"/>
  <c r="B20" i="2"/>
  <c r="B21" i="2"/>
  <c r="B17" i="2"/>
  <c r="B6" i="2"/>
  <c r="B7" i="2"/>
  <c r="B8" i="2"/>
  <c r="B9" i="2"/>
  <c r="B10" i="2"/>
  <c r="B11" i="2"/>
  <c r="B12" i="2"/>
  <c r="B5" i="2"/>
</calcChain>
</file>

<file path=xl/sharedStrings.xml><?xml version="1.0" encoding="utf-8"?>
<sst xmlns="http://schemas.openxmlformats.org/spreadsheetml/2006/main" count="792" uniqueCount="611">
  <si>
    <t>LOD</t>
  </si>
  <si>
    <t>Cấu kiện BIM/BIM Elements</t>
  </si>
  <si>
    <t>S1</t>
  </si>
  <si>
    <t>S2</t>
  </si>
  <si>
    <t>S3</t>
  </si>
  <si>
    <t>S4</t>
  </si>
  <si>
    <t>S5</t>
  </si>
  <si>
    <t>M1</t>
  </si>
  <si>
    <t>M2</t>
  </si>
  <si>
    <t>M3</t>
  </si>
  <si>
    <t>M4</t>
  </si>
  <si>
    <t>M5</t>
  </si>
  <si>
    <t>M6</t>
  </si>
  <si>
    <t>M7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</si>
  <si>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</si>
  <si>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</si>
  <si>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</si>
  <si>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</si>
  <si>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</si>
  <si>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</si>
  <si>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</si>
  <si>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</si>
  <si>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</si>
  <si>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/>
  </si>
  <si>
    <t>Nội thất
Furnitures</t>
  </si>
  <si>
    <t>A1</t>
  </si>
  <si>
    <t>N</t>
  </si>
  <si>
    <t>N</t>
  </si>
  <si>
    <t>Y</t>
  </si>
  <si>
    <t>Nhóm va chạm/Group of collision:</t>
  </si>
  <si>
    <t/>
  </si>
  <si>
    <t/>
  </si>
  <si>
    <t/>
  </si>
  <si>
    <t/>
  </si>
  <si>
    <t/>
  </si>
  <si>
    <t/>
  </si>
  <si>
    <t/>
  </si>
  <si>
    <t/>
  </si>
  <si>
    <t>A1</t>
  </si>
  <si>
    <t>Trần giả
Ceilings</t>
  </si>
  <si>
    <t>A2</t>
  </si>
  <si>
    <t>N</t>
  </si>
  <si>
    <t>Y</t>
  </si>
  <si>
    <t>Y</t>
  </si>
  <si>
    <t/>
  </si>
  <si>
    <t/>
  </si>
  <si>
    <t/>
  </si>
  <si>
    <t/>
  </si>
  <si>
    <t/>
  </si>
  <si>
    <t/>
  </si>
  <si>
    <t>A2</t>
  </si>
  <si>
    <t>Cột kiến trúc
Architectural Columns</t>
  </si>
  <si>
    <t>A3</t>
  </si>
  <si>
    <t>Y</t>
  </si>
  <si>
    <t>Y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</si>
  <si>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</si>
  <si>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</si>
  <si>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</si>
  <si>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</si>
  <si>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</si>
  <si>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</si>
  <si>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</si>
  <si>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</si>
  <si>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</si>
  <si>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</si>
  <si>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</si>
  <si>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>A3</t>
  </si>
  <si>
    <t>Vách kính
Curtain Walls</t>
  </si>
  <si>
    <t>A4</t>
  </si>
  <si>
    <t>N</t>
  </si>
  <si>
    <t>Y</t>
  </si>
  <si>
    <t>Y</t>
  </si>
  <si>
    <t/>
  </si>
  <si>
    <t/>
  </si>
  <si>
    <t>Nhóm 2: Ưu tiên VỪA
Group 2: MEDIUM Priority</t>
  </si>
  <si>
    <t/>
  </si>
  <si>
    <t/>
  </si>
  <si>
    <t/>
  </si>
  <si>
    <t/>
  </si>
  <si>
    <t/>
  </si>
  <si>
    <t/>
  </si>
  <si>
    <t>A4</t>
  </si>
  <si>
    <t>Cửa đi
Doors</t>
  </si>
  <si>
    <t>A5</t>
  </si>
  <si>
    <t>Y</t>
  </si>
  <si>
    <t>Y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</si>
  <si>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</si>
  <si>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</si>
  <si>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</si>
  <si>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</si>
  <si>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</si>
  <si>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</si>
  <si>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</si>
  <si>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</si>
  <si>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</si>
  <si>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</si>
  <si>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</si>
  <si>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</si>
  <si>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</si>
  <si>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A5</t>
  </si>
  <si>
    <t>Sàn kiến trúc
Architectural Floors</t>
  </si>
  <si>
    <t>A6</t>
  </si>
  <si>
    <t>N</t>
  </si>
  <si>
    <t>Y</t>
  </si>
  <si>
    <t>Y</t>
  </si>
  <si>
    <t/>
  </si>
  <si>
    <t/>
  </si>
  <si>
    <t>Nhóm 3: Ưu tiên THẤP
Group 3: LOW Priority</t>
  </si>
  <si>
    <t/>
  </si>
  <si>
    <t/>
  </si>
  <si>
    <t/>
  </si>
  <si>
    <t/>
  </si>
  <si>
    <t/>
  </si>
  <si>
    <t/>
  </si>
  <si>
    <t/>
  </si>
  <si>
    <t/>
  </si>
  <si>
    <t/>
  </si>
  <si>
    <t>A6</t>
  </si>
  <si>
    <t>Thang bộ &amp; Lan kan
Stairs and Railings</t>
  </si>
  <si>
    <t>A7</t>
  </si>
  <si>
    <t>N</t>
  </si>
  <si>
    <t>Y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</si>
  <si>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</si>
  <si>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</si>
  <si>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</si>
  <si>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</si>
  <si>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</si>
  <si>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</si>
  <si>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</si>
  <si>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</si>
  <si>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</si>
  <si>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</si>
  <si>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</si>
  <si>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</si>
  <si>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</si>
  <si>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</si>
  <si>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</si>
  <si>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A7</t>
  </si>
  <si>
    <t>Tường kiến trúc
Architectural Walls</t>
  </si>
  <si>
    <t>A8</t>
  </si>
  <si>
    <t>N</t>
  </si>
  <si>
    <t>Y</t>
  </si>
  <si>
    <t>Y</t>
  </si>
  <si>
    <t/>
  </si>
  <si>
    <t/>
  </si>
  <si>
    <t/>
  </si>
  <si>
    <t>Tùy dự án hoặc Không áp dụng
Varies in project or Not applicable</t>
  </si>
  <si>
    <t/>
  </si>
  <si>
    <t/>
  </si>
  <si>
    <t/>
  </si>
  <si>
    <t/>
  </si>
  <si>
    <t/>
  </si>
  <si>
    <t/>
  </si>
  <si>
    <t/>
  </si>
  <si>
    <t/>
  </si>
  <si>
    <t/>
  </si>
  <si>
    <t/>
  </si>
  <si>
    <t>A8</t>
  </si>
  <si>
    <t>Cửa sổ
Windows</t>
  </si>
  <si>
    <t>A9</t>
  </si>
  <si>
    <t>Y</t>
  </si>
  <si>
    <t>Y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</si>
  <si>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</si>
  <si>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</si>
  <si>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</si>
  <si>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</si>
  <si>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</si>
  <si>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</si>
  <si>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</si>
  <si>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</si>
  <si>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</si>
  <si>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</si>
  <si>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</si>
  <si>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</si>
  <si>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</si>
  <si>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</si>
  <si>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</si>
  <si>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</si>
  <si>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A9</t>
  </si>
  <si>
    <t>Móng
Foundations</t>
  </si>
  <si>
    <t>S1</t>
  </si>
  <si>
    <t>N</t>
  </si>
  <si>
    <t>Y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</si>
  <si>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</si>
  <si>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</si>
  <si>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</si>
  <si>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</si>
  <si>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</si>
  <si>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</si>
  <si>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</si>
  <si>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</si>
  <si>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</si>
  <si>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</si>
  <si>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</si>
  <si>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>S1</t>
  </si>
  <si>
    <t>Tường/vách chịu lực
Structural Walls</t>
  </si>
  <si>
    <t>S2</t>
  </si>
  <si>
    <t>Y</t>
  </si>
  <si>
    <t>Y</t>
  </si>
  <si>
    <t>Y</t>
  </si>
  <si>
    <t/>
  </si>
  <si>
    <t/>
  </si>
  <si>
    <t>S2</t>
  </si>
  <si>
    <t>Cột chịu lực
Structural Columns</t>
  </si>
  <si>
    <t>S3</t>
  </si>
  <si>
    <t>Y</t>
  </si>
  <si>
    <t>Y</t>
  </si>
  <si>
    <t>Y</t>
  </si>
  <si>
    <t/>
  </si>
  <si>
    <t/>
  </si>
  <si>
    <t/>
  </si>
  <si>
    <t>S3</t>
  </si>
  <si>
    <t>Sàn chịu lực
Structural Floors</t>
  </si>
  <si>
    <t>S4</t>
  </si>
  <si>
    <t>Y</t>
  </si>
  <si>
    <t>Y</t>
  </si>
  <si>
    <t>Y</t>
  </si>
  <si>
    <t/>
  </si>
  <si>
    <t/>
  </si>
  <si>
    <t/>
  </si>
  <si>
    <t/>
  </si>
  <si>
    <t/>
  </si>
  <si>
    <t/>
  </si>
  <si>
    <t/>
  </si>
  <si>
    <t/>
  </si>
  <si>
    <t/>
  </si>
  <si>
    <t>S4</t>
  </si>
  <si>
    <t>S5</t>
  </si>
  <si>
    <t>N</t>
  </si>
  <si>
    <t>Y</t>
  </si>
  <si>
    <t>Y</t>
  </si>
  <si>
    <t/>
  </si>
  <si>
    <t/>
  </si>
  <si>
    <t/>
  </si>
  <si>
    <t/>
  </si>
  <si>
    <t>S5</t>
  </si>
  <si>
    <t>Miệng gió
Air terminals</t>
  </si>
  <si>
    <t>M1</t>
  </si>
  <si>
    <t>Y</t>
  </si>
  <si>
    <t>Y</t>
  </si>
  <si>
    <t>Y</t>
  </si>
  <si>
    <t/>
  </si>
  <si>
    <t/>
  </si>
  <si>
    <t/>
  </si>
  <si>
    <t/>
  </si>
  <si>
    <t/>
  </si>
  <si>
    <t/>
  </si>
  <si>
    <t/>
  </si>
  <si>
    <t/>
  </si>
  <si>
    <t/>
  </si>
  <si>
    <t>M1</t>
  </si>
  <si>
    <t>Thang/Máng cáp
Cable Ladders/Trays</t>
  </si>
  <si>
    <t>M2</t>
  </si>
  <si>
    <t>N</t>
  </si>
  <si>
    <t>Y</t>
  </si>
  <si>
    <t>Y</t>
  </si>
  <si>
    <t/>
  </si>
  <si>
    <t/>
  </si>
  <si>
    <t/>
  </si>
  <si>
    <t/>
  </si>
  <si>
    <t/>
  </si>
  <si>
    <t>M2</t>
  </si>
  <si>
    <t>M3</t>
  </si>
  <si>
    <t>Y</t>
  </si>
  <si>
    <t>Y</t>
  </si>
  <si>
    <t>Y</t>
  </si>
  <si>
    <t/>
  </si>
  <si>
    <t/>
  </si>
  <si>
    <t/>
  </si>
  <si>
    <t/>
  </si>
  <si>
    <t/>
  </si>
  <si>
    <t/>
  </si>
  <si>
    <t>M3</t>
  </si>
  <si>
    <t>Pipes/Pipe Accessories
Ống &amp; Phụ kiện đường ống</t>
  </si>
  <si>
    <t>M4</t>
  </si>
  <si>
    <t>N</t>
  </si>
  <si>
    <t>Y</t>
  </si>
  <si>
    <t>Y</t>
  </si>
  <si>
    <t/>
  </si>
  <si>
    <t/>
  </si>
  <si>
    <t/>
  </si>
  <si>
    <t/>
  </si>
  <si>
    <t/>
  </si>
  <si>
    <t/>
  </si>
  <si>
    <t/>
  </si>
  <si>
    <t>M4</t>
  </si>
  <si>
    <t>EDE &amp; Accessories
Thiết bị phân phối điện &amp; Phụ kiện</t>
  </si>
  <si>
    <t>M5</t>
  </si>
  <si>
    <t>N</t>
  </si>
  <si>
    <t>Y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</si>
  <si>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</si>
  <si>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</si>
  <si>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</si>
  <si>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</si>
  <si>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</si>
  <si>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</si>
  <si>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</si>
  <si>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</si>
  <si>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</si>
  <si>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</si>
  <si>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</si>
  <si>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</si>
  <si>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</si>
  <si>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</si>
  <si>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M5</t>
  </si>
  <si>
    <t>Thiết bị Thông gió Điều hòa
HVAC Equipments</t>
  </si>
  <si>
    <t>M6</t>
  </si>
  <si>
    <t>N</t>
  </si>
  <si>
    <t>Y</t>
  </si>
  <si>
    <t>Y</t>
  </si>
  <si>
    <t/>
  </si>
  <si>
    <t/>
  </si>
  <si>
    <t/>
  </si>
  <si>
    <t/>
  </si>
  <si>
    <t/>
  </si>
  <si>
    <t/>
  </si>
  <si>
    <t/>
  </si>
  <si>
    <t/>
  </si>
  <si>
    <t>M6</t>
  </si>
  <si>
    <t>Thiết bị chiếu sáng &amp; Phụ kiện
Lighting Fixtures &amp; Accessories</t>
  </si>
  <si>
    <t>M7</t>
  </si>
  <si>
    <t>N</t>
  </si>
  <si>
    <t>N</t>
  </si>
  <si>
    <t>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</si>
  <si>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</si>
  <si>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</si>
  <si>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</si>
  <si>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</si>
  <si>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</si>
  <si>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</si>
  <si>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</si>
  <si>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</si>
  <si>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</si>
  <si>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</si>
  <si>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</si>
  <si>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</si>
  <si>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</si>
  <si>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</si>
  <si>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M7</t>
  </si>
  <si>
    <t>Giai đoạn/Phases</t>
  </si>
  <si>
    <t>Kết cấu/Structure</t>
  </si>
  <si>
    <t>Cơ điện/MEPF</t>
  </si>
  <si>
    <t>Kiến trúc/Architecture</t>
  </si>
  <si>
    <t>Phương pháp luận/Methodology:</t>
  </si>
  <si>
    <t>Móng
Foundation</t>
  </si>
  <si>
    <t>Tường/Vách chịu lực
Structural Walls</t>
  </si>
  <si>
    <t>Miệng gió
Air Terminals</t>
  </si>
  <si>
    <t>Ống gió &amp; phụ kiện
Ducts/Duct Accessories</t>
  </si>
  <si>
    <t>Đường ống &amp; phụ kiện
Pipes/Pipe Accessories</t>
  </si>
  <si>
    <t>Thiết bị phân phối điện &amp; phụ kiện
EDE &amp; Accessories</t>
  </si>
  <si>
    <t>Thiết bị thông gió và Điều hòa
HVAC Equipment</t>
  </si>
  <si>
    <t>Thiết bị chiếu sáng và phụ kiện
Lighting Fixtures &amp; Accessories</t>
  </si>
  <si>
    <t>Nội thất
Funiture</t>
  </si>
  <si>
    <t>Cột kiến trúc
Architecture Columns</t>
  </si>
  <si>
    <t>Vách kính
Curtain wall</t>
  </si>
  <si>
    <t>Sàn kiến trúc
Architecture Floors</t>
  </si>
  <si>
    <t>Thanh bộ &amp; Lan can
Stais anh Railings</t>
  </si>
  <si>
    <t>Tường Kiến trúc
Architecture Walls</t>
  </si>
  <si>
    <t>Của sổ
Windows</t>
  </si>
  <si>
    <t>Đề xuất bởi công ty TNHH MTV Hoàng Phúc
Proposed by Hoang Phuc co. LTD</t>
  </si>
  <si>
    <t>Thiết kế CS/Basic Design</t>
  </si>
  <si>
    <t>Thiết kế TK/Technical Design</t>
  </si>
  <si>
    <t>Bản vẽ TC/Construction Drawings</t>
  </si>
  <si>
    <r>
      <t xml:space="preserve">Ghi chú/Notes:
</t>
    </r>
    <r>
      <rPr>
        <b/>
        <sz val="10"/>
        <color rgb="FF00B050"/>
        <rFont val="Times New Roman"/>
        <family val="1"/>
      </rPr>
      <t>Y</t>
    </r>
    <r>
      <rPr>
        <b/>
        <sz val="10"/>
        <rFont val="Times New Roman"/>
        <family val="2"/>
      </rPr>
      <t xml:space="preserve">: Check clash in this LOD/Phase
</t>
    </r>
    <r>
      <rPr>
        <b/>
        <sz val="10"/>
        <color rgb="FFFF0000"/>
        <rFont val="Times New Roman"/>
        <family val="1"/>
      </rPr>
      <t>N:</t>
    </r>
    <r>
      <rPr>
        <b/>
        <sz val="10"/>
        <rFont val="Times New Roman"/>
        <family val="2"/>
      </rPr>
      <t xml:space="preserve"> Do not check clash in this LOD/Phase</t>
    </r>
  </si>
  <si>
    <r>
      <rPr>
        <b/>
        <sz val="10"/>
        <rFont val="Times New Roman"/>
        <family val="1"/>
      </rPr>
      <t>Nhóm 1: Ưu tiên CAO
Group 1: HIGH Priority</t>
    </r>
  </si>
  <si>
    <r>
      <rPr>
        <sz val="10"/>
        <rFont val="Times New Roman"/>
        <family val="1"/>
      </rPr>
      <t>Ống gió &amp; Phụ kiện ống gió
Ducts and Duct Accessories</t>
    </r>
  </si>
  <si>
    <t>MA TRẬN KIỂM SOÁT VA CHẠM
CLASH CONTROL MATRIX</t>
  </si>
  <si>
    <t>350
400</t>
  </si>
  <si>
    <t>Cơ Điện/MEPF</t>
  </si>
  <si>
    <t>Kết Cấu/Structure</t>
  </si>
  <si>
    <t>Dung sai cho phép/Allowed 
tolerance:
LOD 200: 50mm
LOD 300: 30mm
LOD 350: 10mm</t>
  </si>
  <si>
    <r>
      <t xml:space="preserve">Nhóm 3: Các va chạm còn lại, cập nhật định kỳ theo thiết kế và xử lý ngoài hiện trường.
Group 3: All other collisions, updated regularly during </t>
    </r>
    <r>
      <rPr>
        <i/>
        <sz val="10"/>
        <rFont val="Times New Roman"/>
        <family val="1"/>
      </rPr>
      <t xml:space="preserve">
</t>
    </r>
  </si>
  <si>
    <t>Nhóm 2: Các va chạm ảnh hưởng đến thiết kê và/hoặc  thi công nhưng mức độ thấp hơn Nhóm 1, phải xử lý trước khi trình nộp bản vẽ.
Group 2: Collisions affecting design and/or construction but less impactfull than Group 1, shall be addressed before drawing submittals.</t>
  </si>
  <si>
    <t>Nhóm 1: Các va chạm ảnh hưởng đến phương án thiết kế và/hoặc tiến độ dự án. Phải giải quyết trước khi họp phối hợp.
Group 1: Major collisions affecting project progrees and/or design scheme shall be addressed before coordinate meeting.</t>
  </si>
  <si>
    <r>
      <t>1. Kiểm tra sự trùng khớp lỗ mở sàn kiến trúc với sàn kết cấu qua góc nhìn Thiên đỉnh và/hoặc Hạ chiếu/</t>
    </r>
    <r>
      <rPr>
        <i/>
        <sz val="10"/>
        <rFont val="Times New Roman"/>
        <family val="1"/>
      </rPr>
      <t xml:space="preserve">Check the location of shaft openings of architectural slabs with 
structural floors through Top view and/or Bottom view.
</t>
    </r>
    <r>
      <rPr>
        <sz val="10"/>
        <rFont val="Times New Roman"/>
        <family val="1"/>
      </rPr>
      <t xml:space="preserve">
2. Kiểm tra va chạm tất cả phần tử trong Phòng máy/</t>
    </r>
    <r>
      <rPr>
        <i/>
        <sz val="10"/>
        <rFont val="Times New Roman"/>
        <family val="1"/>
      </rPr>
      <t>Check 
clash for every element in Mech/Elec rooms</t>
    </r>
    <r>
      <rPr>
        <sz val="10"/>
        <rFont val="Times New Roman"/>
        <family val="1"/>
      </rPr>
      <t>.
3. Không kiểm tra va chạm: Ống gió mềm; ống mềm &amp; các 
ống có đường kính danh định D &lt; 32mm/</t>
    </r>
    <r>
      <rPr>
        <i/>
        <sz val="10"/>
        <rFont val="Times New Roman"/>
        <family val="1"/>
      </rPr>
      <t>Do not check
clash: Flex ducts; Flex pipes &amp; All pipes with nominal
diameter D &lt; 32mm</t>
    </r>
    <r>
      <rPr>
        <sz val="10"/>
        <rFont val="Times New Roman"/>
        <family val="1"/>
      </rPr>
      <t xml:space="preserve"> .</t>
    </r>
  </si>
  <si>
    <t>Hệ dầm chịu lực
Structural Framings</t>
  </si>
  <si>
    <t>STT</t>
  </si>
  <si>
    <t>THƯ MỤC</t>
  </si>
  <si>
    <t>THƯ MỤC CON</t>
  </si>
  <si>
    <t>SEARCH SETS</t>
  </si>
  <si>
    <t>MỤC ĐÍCH</t>
  </si>
  <si>
    <t>HƯỚNG DẪN</t>
  </si>
  <si>
    <t>Categories</t>
  </si>
  <si>
    <t>Furnitures (nội thất)</t>
  </si>
  <si>
    <t>Sử Dụng Category = Element</t>
  </si>
  <si>
    <t>Tìm các đối tượng thiết bị nội thất</t>
  </si>
  <si>
    <t xml:space="preserve">TẠO SEARCH SETS </t>
  </si>
  <si>
    <t>SEARCH SETS CÔNG TY TNHH MTV HOÀNG PHÚC</t>
  </si>
  <si>
    <t>Ceilings (trần giả)</t>
  </si>
  <si>
    <t>Tìm các đối tượng trần giả</t>
  </si>
  <si>
    <t>Architectural Columns (cột kiến trúc)</t>
  </si>
  <si>
    <t>Tìm các đối tượng cột kiến trúc</t>
  </si>
  <si>
    <t>Curtain Walls (vách kính)</t>
  </si>
  <si>
    <t>Tìm các đối tượng vách kính</t>
  </si>
  <si>
    <t>Doors (Cửa đi )</t>
  </si>
  <si>
    <t>Tìm các đối tượng cửa đi</t>
  </si>
  <si>
    <t>Stair and Railings (thang bộ &amp; lan can)</t>
  </si>
  <si>
    <t>Tìm các đối tượng cầu thang và lan can</t>
  </si>
  <si>
    <t>Architectural Walls (tường kiến trúc)</t>
  </si>
  <si>
    <t>Tìm các đối tượng tường kiến trúc</t>
  </si>
  <si>
    <t>Windows (Cửa sổ)</t>
  </si>
  <si>
    <t>Tìm các đối tượng cửa sổ</t>
  </si>
  <si>
    <t>Architecture
(Kiến trúc)</t>
  </si>
  <si>
    <t>1. KIẾN TRÚC</t>
  </si>
  <si>
    <t>2. KẾT CẤU</t>
  </si>
  <si>
    <t>Structure
(Kết cấu)</t>
  </si>
  <si>
    <t>Tìm các đối tượng móng kết cấu</t>
  </si>
  <si>
    <t>Tìm các đối tượng tường/ vách kết cấu</t>
  </si>
  <si>
    <t>Structural Columns (cột kết cấu)</t>
  </si>
  <si>
    <t>Structural Walls (tường/ vách kết cấu)</t>
  </si>
  <si>
    <t>Tìm các đối tượng cột kết cấu</t>
  </si>
  <si>
    <t>Structural Floors (sàn kết cấu)</t>
  </si>
  <si>
    <t>Tìm các đối tượng sàn kết cấu</t>
  </si>
  <si>
    <t>Tìm các đối tượng dầm kết cấu</t>
  </si>
  <si>
    <t>Foundations (móng)</t>
  </si>
  <si>
    <t>Structural Framing (dầm kết cấu )</t>
  </si>
  <si>
    <t>3. MEP</t>
  </si>
  <si>
    <t>Electrical
(Điện)</t>
  </si>
  <si>
    <t>Tìm các đối tượng thang/máng cáp và phụ kiện</t>
  </si>
  <si>
    <t xml:space="preserve">Communication Devices </t>
  </si>
  <si>
    <t xml:space="preserve">Cable Ladder/Trays </t>
  </si>
  <si>
    <t>Tìm các đối tượng thiết bị thông tin liên lạc</t>
  </si>
  <si>
    <t>Conduits</t>
  </si>
  <si>
    <t>Data Devices</t>
  </si>
  <si>
    <t>Tìm các đối tượng thiết bị lưu trữ thông tin</t>
  </si>
  <si>
    <t>Electrical Equipments</t>
  </si>
  <si>
    <t>Electrical Fixtures</t>
  </si>
  <si>
    <t>Tìm các thiết bị điện</t>
  </si>
  <si>
    <t>Lighting Fixtures</t>
  </si>
  <si>
    <t>Tìm các đối tượng dạng đèn</t>
  </si>
  <si>
    <t>Security Devices</t>
  </si>
  <si>
    <t>Tìm các đối tượng thiết bị an ninh</t>
  </si>
  <si>
    <t>Tìm các thiết bị ổ cắm</t>
  </si>
  <si>
    <t>Tìm các thiết bị công tắc</t>
  </si>
  <si>
    <t>Lighting Devices</t>
  </si>
  <si>
    <t>Fire Alarm Devices</t>
  </si>
  <si>
    <t>Tìm các đối tượng thiết bị báo cháy</t>
  </si>
  <si>
    <t>Pipe</t>
  </si>
  <si>
    <t>Tìm các đối tượng ống chữa cháy</t>
  </si>
  <si>
    <t>Pipe Accessories</t>
  </si>
  <si>
    <t>Tìm các đối tượng van vòi chữa cháy</t>
  </si>
  <si>
    <t>Pipe Fittings</t>
  </si>
  <si>
    <t>Tìm các đối tượng phụ kiến ống chữa cháy</t>
  </si>
  <si>
    <t>Tìm các đối tượng đầu phun</t>
  </si>
  <si>
    <t>Sprinklers</t>
  </si>
  <si>
    <t>Fire Drencher</t>
  </si>
  <si>
    <t>Tìm hệ thống chữa cháy màng ngăn</t>
  </si>
  <si>
    <t>Fire Dry</t>
  </si>
  <si>
    <t>Tìm hệ thống chữa cháy khô</t>
  </si>
  <si>
    <t>Fire Spinkler</t>
  </si>
  <si>
    <t>Tìm hệ thống chữa cháy tự động</t>
  </si>
  <si>
    <t>Pipe System Types</t>
  </si>
  <si>
    <t>Tìm các đối tượng thiết bị phòng cháy</t>
  </si>
  <si>
    <t>Fire Protection</t>
  </si>
  <si>
    <t>Sử Dụng Category = Element &amp;
 SystemType &amp; System Classification</t>
  </si>
  <si>
    <t>Sử Dụng Category = System Type</t>
  </si>
  <si>
    <t>Fire
(Phòng cháy)</t>
  </si>
  <si>
    <t>Plumbing 
(Ống nước)</t>
  </si>
  <si>
    <t>Tìm các đối tượng dạng ống nước</t>
  </si>
  <si>
    <t>Tìm các đối tượng dạng van vòi nước</t>
  </si>
  <si>
    <t>Tìm các đối tượng dạng phụ kiện ống nước</t>
  </si>
  <si>
    <t>Plumbing Fixtures</t>
  </si>
  <si>
    <t>Tìm các đối tượng thiết bị vệ sinh</t>
  </si>
  <si>
    <t>Tìm các đối tượng ống luồn dây</t>
  </si>
  <si>
    <t xml:space="preserve">Sử Dụng Category = Element &amp; System Type, Wildcard
</t>
  </si>
  <si>
    <t>Drainage Rain Water</t>
  </si>
  <si>
    <t>Tìm hệ thống thoát nước mưa</t>
  </si>
  <si>
    <t>Tìm hệ thống hệ nước cấp lạnh</t>
  </si>
  <si>
    <t>Tìm hệ thống hệ nước cấp nóng</t>
  </si>
  <si>
    <t>Tìm hệ thống nước vệ sinh</t>
  </si>
  <si>
    <t>Supply Cold Water</t>
  </si>
  <si>
    <t>Supply Hot Water</t>
  </si>
  <si>
    <t>Drainage Sanitary</t>
  </si>
  <si>
    <t>Drainage Sanitary Vent</t>
  </si>
  <si>
    <t>Tìm hệ thống thông hơi vệ sinh</t>
  </si>
  <si>
    <t>ARC</t>
  </si>
  <si>
    <t>&lt;Default&gt;</t>
  </si>
  <si>
    <t>MÀU ĐỐI TƯỢNG THEO SEARCH SET</t>
  </si>
  <si>
    <t>HỆ THỐNG</t>
  </si>
  <si>
    <t>TÊN BÔ SEARCH SET</t>
  </si>
  <si>
    <t>MÃ MÀU RGB</t>
  </si>
  <si>
    <t>HIỂN THỊ</t>
  </si>
  <si>
    <t>Đổi màu tất cả các đối tượng kiến trúc</t>
  </si>
  <si>
    <t>STR</t>
  </si>
  <si>
    <t>Đổi màu tất cả các đối tượng kết cấu</t>
  </si>
  <si>
    <t>ELC</t>
  </si>
  <si>
    <t>65-100-210</t>
  </si>
  <si>
    <t>Đổ màu thang/ máng điện nặng</t>
  </si>
  <si>
    <t>255-128-64</t>
  </si>
  <si>
    <t>Đổ màu thang/ máng điện nhẹ</t>
  </si>
  <si>
    <t>Đổ màu các đối tượng thiết bị thông tin liên lạc</t>
  </si>
  <si>
    <t>Đổ màu các đối tượng ống luồn dây điện</t>
  </si>
  <si>
    <t>Đổ màu các đối tượng thiết bị lưu trữ thông tin</t>
  </si>
  <si>
    <t>Đổ màu các thiết bị điện</t>
  </si>
  <si>
    <t>128-128-255</t>
  </si>
  <si>
    <t>Đổ màu các thiết bị công tắc ổ cắm</t>
  </si>
  <si>
    <t>0-128-192</t>
  </si>
  <si>
    <t>Đổ màu các đối tượng dạng đèn</t>
  </si>
  <si>
    <t>255-255-0</t>
  </si>
  <si>
    <t>Đổ màu các đối tượng thiết bị an ninh</t>
  </si>
  <si>
    <t>0-128-128</t>
  </si>
  <si>
    <t>Đổ màu hệ thống chữa cháy màng ngăn</t>
  </si>
  <si>
    <t>128-100-162</t>
  </si>
  <si>
    <t>Đổ màu hệ thống chữa cháy khô</t>
  </si>
  <si>
    <t>128-128-0</t>
  </si>
  <si>
    <t>FF</t>
  </si>
  <si>
    <t>Đổ màu hệ thống chữa cháy tự động</t>
  </si>
  <si>
    <t>255-0-0</t>
  </si>
  <si>
    <t>Đổ màu các đối tượng thiết bị báo cháy</t>
  </si>
  <si>
    <t>192-192-192</t>
  </si>
  <si>
    <t>Đổ màu các đối tượng phụ kiện, van...</t>
  </si>
  <si>
    <t>223-191-138</t>
  </si>
  <si>
    <t>Đổ màu hệ thống thoát nước mưa</t>
  </si>
  <si>
    <t>Đổ màu hệ thống thoát xí</t>
  </si>
  <si>
    <t>128-128-064</t>
  </si>
  <si>
    <t>Đổ màu hệ thống thông hơi</t>
  </si>
  <si>
    <t>Đổ màu hệ thống thoát rửa</t>
  </si>
  <si>
    <t>Đổ màu hệ thống thoát bếp</t>
  </si>
  <si>
    <t>255-128-128</t>
  </si>
  <si>
    <t>PLB</t>
  </si>
  <si>
    <t>Đổ màu hệ thống cấp nước sinh hoạt</t>
  </si>
  <si>
    <t>101-182-101</t>
  </si>
  <si>
    <t>Đổ màu hệ thống cấp nước nóng</t>
  </si>
  <si>
    <t>255-0-128</t>
  </si>
  <si>
    <t>Đổ màu hệ thống cấp nước thô</t>
  </si>
  <si>
    <t>0-64-128</t>
  </si>
  <si>
    <t>Đổ màu hệ thống hồi nước nóng</t>
  </si>
  <si>
    <t>Đổ màu thiết bị vệ sinh</t>
  </si>
  <si>
    <t>Đổ màu các đối tượng nối mềm, tiêu âm...</t>
  </si>
  <si>
    <t>183-193-162</t>
  </si>
  <si>
    <t>Đổ màu hệ thống gió thải bếp</t>
  </si>
  <si>
    <t>255-128-255</t>
  </si>
  <si>
    <t>Đổ màu hệ thống gió thải VS/ phòng rác/ kho...</t>
  </si>
  <si>
    <t>Đổ màu hệ thống hút khói</t>
  </si>
  <si>
    <t>160-80-255</t>
  </si>
  <si>
    <t>Đổ màu hệ thống gió tươi</t>
  </si>
  <si>
    <t>0-255-0</t>
  </si>
  <si>
    <t>Đổ màu hệ thống gió tăng áp</t>
  </si>
  <si>
    <t>70-70-255</t>
  </si>
  <si>
    <t>Đổ màu hệ thống hồi gió lạnh</t>
  </si>
  <si>
    <t>Đổ màu hệ thống cấp gió lạnh</t>
  </si>
  <si>
    <t>HVAC</t>
  </si>
  <si>
    <t>Đổ màu thiết bị HVAC</t>
  </si>
  <si>
    <t>Đổ màu hệ thống ống hồi nước lạnh Chiller</t>
  </si>
  <si>
    <t>255-0-255</t>
  </si>
  <si>
    <t>Đổ màu hệ thống ống cấp nước lạnh Chiller</t>
  </si>
  <si>
    <t>0-128-64</t>
  </si>
  <si>
    <t>Đổ màu hệ thống ống hồi nước giải nhiệt</t>
  </si>
  <si>
    <t>255-128-0</t>
  </si>
  <si>
    <t>Đổ màu hệ thống ống cấp nước giải nhiệt</t>
  </si>
  <si>
    <t>128-128-192</t>
  </si>
  <si>
    <t>Đổ màu hệ thống ống thoát nước ngưng</t>
  </si>
  <si>
    <t>Đổ màu hệ thống ống gas hồi(hot)</t>
  </si>
  <si>
    <t>Đổ màu hệ thống ống gas cấp(lỏng)</t>
  </si>
  <si>
    <t>Furnitures</t>
  </si>
  <si>
    <t>Ceilings</t>
  </si>
  <si>
    <t xml:space="preserve">Architectural Columns </t>
  </si>
  <si>
    <t xml:space="preserve">Curtain Walls </t>
  </si>
  <si>
    <t xml:space="preserve">Doors </t>
  </si>
  <si>
    <t xml:space="preserve">Stair and Railings </t>
  </si>
  <si>
    <t xml:space="preserve">Architectural Walls </t>
  </si>
  <si>
    <t xml:space="preserve">Windows </t>
  </si>
  <si>
    <t xml:space="preserve">Foundations </t>
  </si>
  <si>
    <t xml:space="preserve">Structural Walls </t>
  </si>
  <si>
    <t xml:space="preserve">Structural Columns </t>
  </si>
  <si>
    <t>Structural Floors</t>
  </si>
  <si>
    <t xml:space="preserve">Structural Framing </t>
  </si>
  <si>
    <t>HP_A_All</t>
  </si>
  <si>
    <t>HP_S_All</t>
  </si>
  <si>
    <t>HP_E_CableTray(ELV)</t>
  </si>
  <si>
    <t>HP_E_CableTray(LV)</t>
  </si>
  <si>
    <t>HP_E_CommunicationDevices</t>
  </si>
  <si>
    <t>HP_E_Conduit</t>
  </si>
  <si>
    <t>HP_E_DataDevices</t>
  </si>
  <si>
    <t>HP_E_ElectricalEquipment</t>
  </si>
  <si>
    <t>HP_E_ElectricalFixtures</t>
  </si>
  <si>
    <t>HP_E_LightingDevices</t>
  </si>
  <si>
    <t>HP_E_SecurityDevices</t>
  </si>
  <si>
    <t>HP_F_FireDrencher</t>
  </si>
  <si>
    <t>HP_F_FireDry</t>
  </si>
  <si>
    <t>HP_F_FireSprinkler</t>
  </si>
  <si>
    <t>HP_F_FireAlarmDevices</t>
  </si>
  <si>
    <t>HP_F_PipeFitting+Accessory</t>
  </si>
  <si>
    <t>HP_P_Drainage_RainWater</t>
  </si>
  <si>
    <t>HP_P_Drainage_SoilPipe</t>
  </si>
  <si>
    <t>HP_P_Drainage_VentPipe</t>
  </si>
  <si>
    <t>HP_P_Drainage_WastePipe</t>
  </si>
  <si>
    <t>HP_P_Drainage_KitchenPipe</t>
  </si>
  <si>
    <t>HP_P_Supply_ColdWater</t>
  </si>
  <si>
    <t>HP_P_Supply_HotWater</t>
  </si>
  <si>
    <t>HP_P_Supply_RawWater</t>
  </si>
  <si>
    <t>HP_P_Return_HotWater</t>
  </si>
  <si>
    <t>HP_P_PipeFitting+Accessory</t>
  </si>
  <si>
    <t>HP_P_Fixtures</t>
  </si>
  <si>
    <t>HP_M_Duct_Accessory</t>
  </si>
  <si>
    <t>HP_M_Duct_KitchenAir</t>
  </si>
  <si>
    <t>HP_M_Duct_ExhaustAir</t>
  </si>
  <si>
    <t>HP_M_Duct_ExhaustSmoke</t>
  </si>
  <si>
    <t>HP_M_Duct_OutsideAir</t>
  </si>
  <si>
    <t>HP_M_Duct_PressureAir</t>
  </si>
  <si>
    <t>HP_M_Duct_ReturnAir</t>
  </si>
  <si>
    <t>HP_M_Duct_SupplyAir</t>
  </si>
  <si>
    <t>HP_M_Equipment</t>
  </si>
  <si>
    <t>HP_M_Pipe_ChillerWaterReturn</t>
  </si>
  <si>
    <t>HP_M_Pipe_ChillerWaterSupply</t>
  </si>
  <si>
    <t>HP_M_Pipe_CondenserWaterReturn</t>
  </si>
  <si>
    <t>HP_M_Pipe_CondenserWaterSupply</t>
  </si>
  <si>
    <t>HP_M_Pipe_DrainPipe</t>
  </si>
  <si>
    <t>HP_M_PipeFitting+Accessory</t>
  </si>
  <si>
    <t>HP_M_Pipe_Gas</t>
  </si>
  <si>
    <t>HP_M_Pipe_Liquid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</si>
</sst>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Calibri"/>
      <family val="2"/>
    </font>
    <font>
      <sz val="10"/>
      <name val="Times New Roman"/>
      <family val="1"/>
    </font>
    <font>
      <i/>
      <sz val="10"/>
      <name val="Times New Roman"/>
      <family val="1"/>
    </font>
    <font>
      <sz val="10"/>
      <name val="Calibri"/>
      <family val="2"/>
    </font>
    <font>
      <b/>
      <sz val="10"/>
      <name val="Calibri"/>
      <family val="2"/>
    </font>
    <font>
      <b/>
      <sz val="10"/>
      <name val="Times New Roman"/>
      <family val="2"/>
    </font>
    <font>
      <b/>
      <sz val="10"/>
      <color rgb="FF00B050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sz val="10"/>
      <color rgb="FF00B050"/>
      <name val="Calibri"/>
      <family val="2"/>
    </font>
    <font>
      <sz val="10"/>
      <name val="Times New Roman"/>
      <family val="2"/>
    </font>
    <font>
      <b/>
      <sz val="10"/>
      <color rgb="FFFF0000"/>
      <name val="Times New Roman"/>
      <family val="2"/>
    </font>
    <font>
      <b/>
      <sz val="10"/>
      <color rgb="FF0DB04A"/>
      <name val="Times New Roman"/>
      <family val="2"/>
    </font>
    <font>
      <b/>
      <sz val="10"/>
      <name val="Times New Roman"/>
      <family val="1"/>
    </font>
    <font>
      <u/>
      <sz val="10"/>
      <name val="Times New Roman"/>
      <family val="2"/>
    </font>
    <font>
      <b/>
      <sz val="15"/>
      <name val="Calibri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rgb="FF0070C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E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DB04A"/>
        <bgColor indexed="64"/>
      </patternFill>
    </fill>
    <fill>
      <patternFill patternType="solid">
        <fgColor rgb="FFF4AF8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164D2"/>
        <bgColor indexed="64"/>
      </patternFill>
    </fill>
    <fill>
      <patternFill patternType="solid">
        <fgColor rgb="FFFF8040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80C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FBF8A"/>
        <bgColor indexed="64"/>
      </patternFill>
    </fill>
    <fill>
      <patternFill patternType="solid">
        <fgColor rgb="FF80804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65B665"/>
        <bgColor indexed="64"/>
      </patternFill>
    </fill>
    <fill>
      <patternFill patternType="solid">
        <fgColor rgb="FFFF0080"/>
        <bgColor indexed="64"/>
      </patternFill>
    </fill>
    <fill>
      <patternFill patternType="solid">
        <fgColor rgb="FF004080"/>
        <bgColor indexed="64"/>
      </patternFill>
    </fill>
    <fill>
      <patternFill patternType="solid">
        <fgColor rgb="FFB7C0A2"/>
        <bgColor indexed="64"/>
      </patternFill>
    </fill>
    <fill>
      <patternFill patternType="solid">
        <fgColor rgb="FFA05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646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4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808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left" wrapText="1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5" fillId="3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top"/>
    </xf>
    <xf numFmtId="0" fontId="10" fillId="6" borderId="10" xfId="0" applyFont="1" applyFill="1" applyBorder="1" applyAlignment="1">
      <alignment horizontal="center" vertical="top"/>
    </xf>
    <xf numFmtId="0" fontId="10" fillId="0" borderId="10" xfId="0" applyFont="1" applyBorder="1" applyAlignment="1">
      <alignment horizontal="left" vertical="center"/>
    </xf>
    <xf numFmtId="0" fontId="13" fillId="0" borderId="13" xfId="0" applyFont="1" applyBorder="1" applyAlignment="1">
      <alignment horizontal="center" vertical="center"/>
    </xf>
    <xf numFmtId="0" fontId="10" fillId="6" borderId="10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top"/>
    </xf>
    <xf numFmtId="0" fontId="13" fillId="0" borderId="10" xfId="0" applyFont="1" applyBorder="1" applyAlignment="1">
      <alignment horizontal="center" textRotation="90" wrapText="1"/>
    </xf>
    <xf numFmtId="0" fontId="13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16" borderId="10" xfId="0" applyFont="1" applyFill="1" applyBorder="1" applyAlignment="1">
      <alignment horizontal="left" vertical="center"/>
    </xf>
    <xf numFmtId="0" fontId="16" fillId="17" borderId="10" xfId="0" applyFont="1" applyFill="1" applyBorder="1" applyAlignment="1">
      <alignment horizontal="left" vertical="center"/>
    </xf>
    <xf numFmtId="0" fontId="16" fillId="18" borderId="10" xfId="0" applyFont="1" applyFill="1" applyBorder="1" applyAlignment="1">
      <alignment horizontal="left" vertical="center"/>
    </xf>
    <xf numFmtId="0" fontId="16" fillId="4" borderId="10" xfId="0" applyFont="1" applyFill="1" applyBorder="1" applyAlignment="1">
      <alignment horizontal="left" vertical="center"/>
    </xf>
    <xf numFmtId="0" fontId="16" fillId="19" borderId="10" xfId="0" applyFont="1" applyFill="1" applyBorder="1" applyAlignment="1">
      <alignment horizontal="left" vertical="center"/>
    </xf>
    <xf numFmtId="0" fontId="16" fillId="20" borderId="10" xfId="0" applyFont="1" applyFill="1" applyBorder="1" applyAlignment="1">
      <alignment horizontal="left" vertical="center"/>
    </xf>
    <xf numFmtId="0" fontId="16" fillId="21" borderId="10" xfId="0" applyFont="1" applyFill="1" applyBorder="1" applyAlignment="1">
      <alignment horizontal="left" vertical="center"/>
    </xf>
    <xf numFmtId="0" fontId="16" fillId="22" borderId="10" xfId="0" applyFont="1" applyFill="1" applyBorder="1" applyAlignment="1">
      <alignment horizontal="left" vertical="center"/>
    </xf>
    <xf numFmtId="0" fontId="16" fillId="7" borderId="10" xfId="0" applyFont="1" applyFill="1" applyBorder="1" applyAlignment="1">
      <alignment horizontal="left" vertical="center"/>
    </xf>
    <xf numFmtId="0" fontId="16" fillId="23" borderId="10" xfId="0" applyFont="1" applyFill="1" applyBorder="1" applyAlignment="1">
      <alignment horizontal="left" vertical="center"/>
    </xf>
    <xf numFmtId="0" fontId="16" fillId="24" borderId="10" xfId="0" applyFont="1" applyFill="1" applyBorder="1" applyAlignment="1">
      <alignment horizontal="left" vertical="center"/>
    </xf>
    <xf numFmtId="0" fontId="16" fillId="25" borderId="10" xfId="0" applyFont="1" applyFill="1" applyBorder="1" applyAlignment="1">
      <alignment horizontal="left" vertical="center"/>
    </xf>
    <xf numFmtId="0" fontId="16" fillId="26" borderId="10" xfId="0" applyFont="1" applyFill="1" applyBorder="1" applyAlignment="1">
      <alignment horizontal="left" vertical="center"/>
    </xf>
    <xf numFmtId="0" fontId="16" fillId="27" borderId="10" xfId="0" applyFont="1" applyFill="1" applyBorder="1" applyAlignment="1">
      <alignment horizontal="left" vertical="center"/>
    </xf>
    <xf numFmtId="0" fontId="16" fillId="28" borderId="10" xfId="0" applyFont="1" applyFill="1" applyBorder="1" applyAlignment="1">
      <alignment horizontal="left" vertical="center"/>
    </xf>
    <xf numFmtId="0" fontId="16" fillId="29" borderId="10" xfId="0" applyFont="1" applyFill="1" applyBorder="1" applyAlignment="1">
      <alignment horizontal="left" vertical="center"/>
    </xf>
    <xf numFmtId="0" fontId="16" fillId="30" borderId="10" xfId="0" applyFont="1" applyFill="1" applyBorder="1" applyAlignment="1">
      <alignment horizontal="left" vertical="center"/>
    </xf>
    <xf numFmtId="0" fontId="16" fillId="31" borderId="10" xfId="0" applyFont="1" applyFill="1" applyBorder="1" applyAlignment="1">
      <alignment horizontal="left" vertical="center"/>
    </xf>
    <xf numFmtId="0" fontId="16" fillId="32" borderId="10" xfId="0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16" fillId="34" borderId="10" xfId="0" applyFont="1" applyFill="1" applyBorder="1" applyAlignment="1">
      <alignment horizontal="left" vertical="center"/>
    </xf>
    <xf numFmtId="0" fontId="16" fillId="35" borderId="10" xfId="0" applyFont="1" applyFill="1" applyBorder="1" applyAlignment="1">
      <alignment horizontal="left" vertical="center"/>
    </xf>
    <xf numFmtId="0" fontId="16" fillId="36" borderId="10" xfId="0" applyFont="1" applyFill="1" applyBorder="1" applyAlignment="1">
      <alignment horizontal="left" vertical="center"/>
    </xf>
    <xf numFmtId="0" fontId="16" fillId="37" borderId="10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textRotation="90" wrapText="1"/>
    </xf>
    <xf numFmtId="0" fontId="13" fillId="0" borderId="9" xfId="0" applyFont="1" applyBorder="1" applyAlignment="1">
      <alignment horizontal="center" textRotation="90" wrapText="1"/>
    </xf>
    <xf numFmtId="0" fontId="13" fillId="0" borderId="10" xfId="0" applyFont="1" applyBorder="1" applyAlignment="1">
      <alignment horizontal="center" vertical="top" wrapText="1"/>
    </xf>
    <xf numFmtId="0" fontId="13" fillId="0" borderId="29" xfId="0" applyFont="1" applyBorder="1" applyAlignment="1">
      <alignment horizontal="center" vertical="top" wrapText="1"/>
    </xf>
    <xf numFmtId="0" fontId="17" fillId="15" borderId="14" xfId="0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4" fillId="9" borderId="19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center"/>
    </xf>
    <xf numFmtId="0" fontId="12" fillId="13" borderId="10" xfId="0" applyFont="1" applyFill="1" applyBorder="1" applyAlignment="1">
      <alignment horizontal="center" vertical="center"/>
    </xf>
    <xf numFmtId="0" fontId="12" fillId="13" borderId="2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wrapText="1"/>
    </xf>
    <xf numFmtId="0" fontId="13" fillId="0" borderId="10" xfId="0" applyFont="1" applyBorder="1" applyAlignment="1">
      <alignment horizontal="left" wrapText="1"/>
    </xf>
    <xf numFmtId="0" fontId="5" fillId="0" borderId="24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3" fillId="2" borderId="29" xfId="0" applyFont="1" applyFill="1" applyBorder="1" applyAlignment="1">
      <alignment horizontal="center"/>
    </xf>
    <xf numFmtId="0" fontId="4" fillId="11" borderId="24" xfId="0" applyFont="1" applyFill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22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4" fillId="2" borderId="23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 vertical="center" textRotation="90"/>
    </xf>
    <xf numFmtId="0" fontId="4" fillId="3" borderId="25" xfId="0" applyFont="1" applyFill="1" applyBorder="1" applyAlignment="1">
      <alignment horizontal="center" vertical="center" textRotation="90"/>
    </xf>
    <xf numFmtId="0" fontId="4" fillId="3" borderId="27" xfId="0" applyFont="1" applyFill="1" applyBorder="1" applyAlignment="1">
      <alignment horizontal="center" vertical="center" textRotation="90"/>
    </xf>
    <xf numFmtId="0" fontId="15" fillId="2" borderId="1" xfId="0" applyFont="1" applyFill="1" applyBorder="1" applyAlignment="1">
      <alignment horizontal="center" wrapText="1"/>
    </xf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/>
    </xf>
    <xf numFmtId="0" fontId="3" fillId="12" borderId="23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4" fillId="14" borderId="24" xfId="0" applyFont="1" applyFill="1" applyBorder="1" applyAlignment="1">
      <alignment horizontal="center" vertical="center" textRotation="90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textRotation="90" wrapText="1"/>
    </xf>
    <xf numFmtId="0" fontId="4" fillId="8" borderId="13" xfId="0" applyFont="1" applyFill="1" applyBorder="1" applyAlignment="1">
      <alignment horizontal="center" textRotation="90"/>
    </xf>
    <xf numFmtId="0" fontId="4" fillId="8" borderId="10" xfId="0" applyFont="1" applyFill="1" applyBorder="1" applyAlignment="1">
      <alignment horizontal="center" textRotation="90"/>
    </xf>
    <xf numFmtId="0" fontId="4" fillId="8" borderId="29" xfId="0" applyFont="1" applyFill="1" applyBorder="1" applyAlignment="1">
      <alignment horizontal="center" textRotation="90"/>
    </xf>
    <xf numFmtId="0" fontId="4" fillId="8" borderId="30" xfId="0" applyFont="1" applyFill="1" applyBorder="1" applyAlignment="1">
      <alignment horizontal="center" textRotation="90"/>
    </xf>
    <xf numFmtId="0" fontId="5" fillId="0" borderId="29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10" borderId="19" xfId="0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000"/>
      <color rgb="FFDFBF8A"/>
      <color rgb="FF0080C0"/>
      <color rgb="FF8080C0"/>
      <color rgb="FF008040"/>
      <color rgb="FFFF00FF"/>
      <color rgb="FF8080FF"/>
      <color rgb="FFFF8040"/>
      <color rgb="FF464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G30"/>
  <sheetViews>
    <sheetView tabSelected="1" topLeftCell="A7" zoomScale="85" zoomScaleNormal="85" workbookViewId="0">
      <selection activeCell="AH12" sqref="AH12"/>
    </sheetView>
  </sheetViews>
  <sheetFormatPr defaultRowHeight="12.75" x14ac:dyDescent="0.2"/>
  <cols>
    <col min="1" max="1" width="5.42578125" style="1" customWidth="1"/>
    <col min="2" max="2" width="4.7109375" style="1" customWidth="1"/>
    <col min="3" max="3" width="36.28515625" style="1" customWidth="1"/>
    <col min="4" max="4" width="3.85546875" style="2" customWidth="1"/>
    <col min="5" max="7" width="6.28515625" style="1" customWidth="1"/>
    <col min="8" max="8" width="2.85546875" style="1" customWidth="1"/>
    <col min="9" max="13" width="10" style="1" customWidth="1"/>
    <col min="14" max="14" width="2.85546875" style="1" customWidth="1"/>
    <col min="15" max="21" width="9.5703125" style="1" customWidth="1"/>
    <col min="22" max="22" width="2.7109375" style="1" customWidth="1"/>
    <col min="23" max="31" width="9.7109375" style="1" customWidth="1"/>
    <col min="32" max="32" width="3" style="1" customWidth="1"/>
    <col min="33" max="33" width="5.28515625" style="3" customWidth="1"/>
    <col min="34" max="16384" width="9.140625" style="1"/>
  </cols>
  <sheetData>
    <row r="1" spans="2:33" ht="13.5" thickBot="1" x14ac:dyDescent="0.25"/>
    <row r="2" spans="2:33" ht="24" customHeight="1" x14ac:dyDescent="0.2">
      <c r="B2" s="144" t="s">
        <v>363</v>
      </c>
      <c r="C2" s="145"/>
      <c r="D2" s="145"/>
      <c r="E2" s="148" t="s">
        <v>0</v>
      </c>
      <c r="F2" s="148"/>
      <c r="G2" s="148"/>
      <c r="H2" s="158"/>
      <c r="I2" s="152" t="s">
        <v>366</v>
      </c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4"/>
    </row>
    <row r="3" spans="2:33" ht="24" customHeight="1" x14ac:dyDescent="0.2">
      <c r="B3" s="146"/>
      <c r="C3" s="147"/>
      <c r="D3" s="147"/>
      <c r="E3" s="143">
        <v>200</v>
      </c>
      <c r="F3" s="143">
        <v>300</v>
      </c>
      <c r="G3" s="142" t="s">
        <v>367</v>
      </c>
      <c r="H3" s="159"/>
      <c r="I3" s="155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7"/>
    </row>
    <row r="4" spans="2:33" ht="24" customHeight="1" x14ac:dyDescent="0.2">
      <c r="B4" s="138" t="s">
        <v>1</v>
      </c>
      <c r="C4" s="139"/>
      <c r="D4" s="139"/>
      <c r="E4" s="143"/>
      <c r="F4" s="143"/>
      <c r="G4" s="143"/>
      <c r="H4" s="159"/>
      <c r="I4" s="27" t="s">
        <v>2</v>
      </c>
      <c r="J4" s="27" t="s">
        <v>3</v>
      </c>
      <c r="K4" s="27" t="s">
        <v>4</v>
      </c>
      <c r="L4" s="27" t="s">
        <v>5</v>
      </c>
      <c r="M4" s="27" t="s">
        <v>6</v>
      </c>
      <c r="N4" s="111"/>
      <c r="O4" s="27" t="s">
        <v>7</v>
      </c>
      <c r="P4" s="27" t="s">
        <v>8</v>
      </c>
      <c r="Q4" s="27" t="s">
        <v>9</v>
      </c>
      <c r="R4" s="27" t="s">
        <v>10</v>
      </c>
      <c r="S4" s="27" t="s">
        <v>11</v>
      </c>
      <c r="T4" s="27" t="s">
        <v>12</v>
      </c>
      <c r="U4" s="27" t="s">
        <v>13</v>
      </c>
      <c r="V4" s="111"/>
      <c r="W4" s="27" t="s">
        <v>14</v>
      </c>
      <c r="X4" s="27" t="s">
        <v>15</v>
      </c>
      <c r="Y4" s="27" t="s">
        <v>16</v>
      </c>
      <c r="Z4" s="27" t="s">
        <v>17</v>
      </c>
      <c r="AA4" s="27" t="s">
        <v>18</v>
      </c>
      <c r="AB4" s="27" t="s">
        <v>19</v>
      </c>
      <c r="AC4" s="27" t="s">
        <v>20</v>
      </c>
      <c r="AD4" s="27" t="s">
        <v>21</v>
      </c>
      <c r="AE4" s="27" t="s">
        <v>22</v>
      </c>
      <c r="AF4" s="161" t="s">
        <v>23</v>
      </c>
      <c r="AG4" s="162"/>
    </row>
    <row r="5" spans="2:33" ht="27" customHeight="1" x14ac:dyDescent="0.2">
      <c r="B5" s="141" t="s">
        <v>342</v>
      </c>
      <c r="C5" s="5" t="s">
        <v>24</v>
      </c>
      <c r="D5" s="4" t="s">
        <v>25</v>
      </c>
      <c r="E5" s="6" t="s">
        <v>26</v>
      </c>
      <c r="F5" s="6" t="s">
        <v>27</v>
      </c>
      <c r="G5" s="7" t="s">
        <v>28</v>
      </c>
      <c r="H5" s="7"/>
      <c r="I5" s="112" t="s">
        <v>29</v>
      </c>
      <c r="J5" s="113"/>
      <c r="K5" s="113"/>
      <c r="L5" s="113"/>
      <c r="M5" s="114"/>
      <c r="N5" s="111"/>
      <c r="O5" s="8" t="s">
        <v>30</v>
      </c>
      <c r="P5" s="8" t="s">
        <v>31</v>
      </c>
      <c r="Q5" s="8" t="s">
        <v>32</v>
      </c>
      <c r="R5" s="9" t="s">
        <v>33</v>
      </c>
      <c r="S5" s="8" t="s">
        <v>34</v>
      </c>
      <c r="T5" s="8" t="s">
        <v>35</v>
      </c>
      <c r="U5" s="8" t="s">
        <v>36</v>
      </c>
      <c r="V5" s="111"/>
      <c r="W5" s="10">
        <v>2</v>
      </c>
      <c r="X5" s="11">
        <v>3</v>
      </c>
      <c r="Y5" s="10">
        <v>2</v>
      </c>
      <c r="Z5" s="10">
        <v>2</v>
      </c>
      <c r="AA5" s="10">
        <v>2</v>
      </c>
      <c r="AB5" s="12">
        <v>3</v>
      </c>
      <c r="AC5" s="13" t="s">
        <v>37</v>
      </c>
      <c r="AD5" s="14">
        <v>1</v>
      </c>
      <c r="AE5" s="10">
        <v>2</v>
      </c>
      <c r="AF5" s="143"/>
      <c r="AG5" s="16" t="s">
        <v>38</v>
      </c>
    </row>
    <row r="6" spans="2:33" ht="27" customHeight="1" x14ac:dyDescent="0.2">
      <c r="B6" s="141"/>
      <c r="C6" s="5" t="s">
        <v>39</v>
      </c>
      <c r="D6" s="4" t="s">
        <v>40</v>
      </c>
      <c r="E6" s="6" t="s">
        <v>41</v>
      </c>
      <c r="F6" s="7" t="s">
        <v>42</v>
      </c>
      <c r="G6" s="7" t="s">
        <v>43</v>
      </c>
      <c r="H6" s="7"/>
      <c r="I6" s="65" t="s">
        <v>373</v>
      </c>
      <c r="J6" s="66"/>
      <c r="K6" s="66"/>
      <c r="L6" s="66"/>
      <c r="M6" s="67"/>
      <c r="N6" s="111"/>
      <c r="O6" s="17" t="s">
        <v>44</v>
      </c>
      <c r="P6" s="14">
        <v>1</v>
      </c>
      <c r="Q6" s="17" t="s">
        <v>45</v>
      </c>
      <c r="R6" s="124" t="s">
        <v>364</v>
      </c>
      <c r="S6" s="125"/>
      <c r="T6" s="125"/>
      <c r="U6" s="126"/>
      <c r="V6" s="111"/>
      <c r="W6" s="18" t="s">
        <v>46</v>
      </c>
      <c r="X6" s="19" t="s">
        <v>47</v>
      </c>
      <c r="Y6" s="12">
        <v>3</v>
      </c>
      <c r="Z6" s="10">
        <v>2</v>
      </c>
      <c r="AA6" s="10">
        <v>2</v>
      </c>
      <c r="AB6" s="13" t="s">
        <v>48</v>
      </c>
      <c r="AC6" s="13" t="s">
        <v>49</v>
      </c>
      <c r="AD6" s="12">
        <v>3</v>
      </c>
      <c r="AE6" s="10">
        <v>2</v>
      </c>
      <c r="AF6" s="143"/>
      <c r="AG6" s="16" t="s">
        <v>50</v>
      </c>
    </row>
    <row r="7" spans="2:33" ht="27" customHeight="1" x14ac:dyDescent="0.2">
      <c r="B7" s="141"/>
      <c r="C7" s="5" t="s">
        <v>51</v>
      </c>
      <c r="D7" s="4" t="s">
        <v>52</v>
      </c>
      <c r="E7" s="7" t="s">
        <v>53</v>
      </c>
      <c r="F7" s="7" t="s">
        <v>54</v>
      </c>
      <c r="G7" s="7" t="s">
        <v>55</v>
      </c>
      <c r="H7" s="7"/>
      <c r="I7" s="68"/>
      <c r="J7" s="69"/>
      <c r="K7" s="69"/>
      <c r="L7" s="69"/>
      <c r="M7" s="70"/>
      <c r="N7" s="111"/>
      <c r="O7" s="17" t="s">
        <v>56</v>
      </c>
      <c r="P7" s="17" t="s">
        <v>57</v>
      </c>
      <c r="Q7" s="17" t="s">
        <v>58</v>
      </c>
      <c r="R7" s="20" t="s">
        <v>59</v>
      </c>
      <c r="S7" s="20" t="s">
        <v>60</v>
      </c>
      <c r="T7" s="20" t="s">
        <v>61</v>
      </c>
      <c r="U7" s="17" t="s">
        <v>62</v>
      </c>
      <c r="V7" s="111"/>
      <c r="W7" s="17" t="s">
        <v>63</v>
      </c>
      <c r="X7" s="17" t="s">
        <v>64</v>
      </c>
      <c r="Y7" s="13" t="s">
        <v>65</v>
      </c>
      <c r="Z7" s="10">
        <v>2</v>
      </c>
      <c r="AA7" s="10">
        <v>2</v>
      </c>
      <c r="AB7" s="12">
        <v>3</v>
      </c>
      <c r="AC7" s="10">
        <v>2</v>
      </c>
      <c r="AD7" s="12">
        <v>3</v>
      </c>
      <c r="AE7" s="10">
        <v>2</v>
      </c>
      <c r="AF7" s="143"/>
      <c r="AG7" s="16" t="s">
        <v>66</v>
      </c>
    </row>
    <row r="8" spans="2:33" ht="27" customHeight="1" x14ac:dyDescent="0.2">
      <c r="B8" s="141"/>
      <c r="C8" s="5" t="s">
        <v>67</v>
      </c>
      <c r="D8" s="15" t="s">
        <v>68</v>
      </c>
      <c r="E8" s="6" t="s">
        <v>69</v>
      </c>
      <c r="F8" s="7" t="s">
        <v>70</v>
      </c>
      <c r="G8" s="7" t="s">
        <v>71</v>
      </c>
      <c r="H8" s="7"/>
      <c r="I8" s="71"/>
      <c r="J8" s="72"/>
      <c r="K8" s="72"/>
      <c r="L8" s="72"/>
      <c r="M8" s="73"/>
      <c r="N8" s="111"/>
      <c r="O8" s="18" t="s">
        <v>72</v>
      </c>
      <c r="P8" s="10">
        <v>2</v>
      </c>
      <c r="Q8" s="17" t="s">
        <v>73</v>
      </c>
      <c r="R8" s="124" t="s">
        <v>74</v>
      </c>
      <c r="S8" s="125" t="s">
        <v>75</v>
      </c>
      <c r="T8" s="125" t="s">
        <v>76</v>
      </c>
      <c r="U8" s="126" t="s">
        <v>77</v>
      </c>
      <c r="V8" s="111"/>
      <c r="W8" s="17" t="s">
        <v>78</v>
      </c>
      <c r="X8" s="17" t="s">
        <v>79</v>
      </c>
      <c r="Y8" s="17" t="s">
        <v>80</v>
      </c>
      <c r="Z8" s="10">
        <v>2</v>
      </c>
      <c r="AA8" s="10">
        <v>2</v>
      </c>
      <c r="AB8" s="10">
        <v>2</v>
      </c>
      <c r="AC8" s="10">
        <v>2</v>
      </c>
      <c r="AD8" s="10">
        <v>2</v>
      </c>
      <c r="AE8" s="10">
        <v>2</v>
      </c>
      <c r="AF8" s="143"/>
      <c r="AG8" s="21" t="s">
        <v>81</v>
      </c>
    </row>
    <row r="9" spans="2:33" ht="27" customHeight="1" x14ac:dyDescent="0.2">
      <c r="B9" s="141"/>
      <c r="C9" s="5" t="s">
        <v>82</v>
      </c>
      <c r="D9" s="15" t="s">
        <v>83</v>
      </c>
      <c r="E9" s="7" t="s">
        <v>84</v>
      </c>
      <c r="F9" s="7" t="s">
        <v>85</v>
      </c>
      <c r="G9" s="7" t="s">
        <v>86</v>
      </c>
      <c r="H9" s="7"/>
      <c r="I9" s="127" t="s">
        <v>372</v>
      </c>
      <c r="J9" s="128"/>
      <c r="K9" s="128"/>
      <c r="L9" s="128"/>
      <c r="M9" s="129"/>
      <c r="N9" s="111"/>
      <c r="O9" s="17" t="s">
        <v>87</v>
      </c>
      <c r="P9" s="17" t="s">
        <v>88</v>
      </c>
      <c r="Q9" s="17" t="s">
        <v>89</v>
      </c>
      <c r="R9" s="20" t="s">
        <v>90</v>
      </c>
      <c r="S9" s="20" t="s">
        <v>91</v>
      </c>
      <c r="T9" s="20" t="s">
        <v>92</v>
      </c>
      <c r="U9" s="17" t="s">
        <v>93</v>
      </c>
      <c r="V9" s="111"/>
      <c r="W9" s="17" t="s">
        <v>94</v>
      </c>
      <c r="X9" s="17" t="s">
        <v>95</v>
      </c>
      <c r="Y9" s="17" t="s">
        <v>96</v>
      </c>
      <c r="Z9" s="17" t="s">
        <v>97</v>
      </c>
      <c r="AA9" s="13" t="s">
        <v>98</v>
      </c>
      <c r="AB9" s="12">
        <v>3</v>
      </c>
      <c r="AC9" s="12">
        <v>3</v>
      </c>
      <c r="AD9" s="10">
        <v>2</v>
      </c>
      <c r="AE9" s="10">
        <v>2</v>
      </c>
      <c r="AF9" s="143"/>
      <c r="AG9" s="21" t="s">
        <v>99</v>
      </c>
    </row>
    <row r="10" spans="2:33" ht="27" customHeight="1" x14ac:dyDescent="0.2">
      <c r="B10" s="141"/>
      <c r="C10" s="5" t="s">
        <v>100</v>
      </c>
      <c r="D10" s="15" t="s">
        <v>101</v>
      </c>
      <c r="E10" s="6" t="s">
        <v>102</v>
      </c>
      <c r="F10" s="7" t="s">
        <v>103</v>
      </c>
      <c r="G10" s="7" t="s">
        <v>104</v>
      </c>
      <c r="H10" s="7"/>
      <c r="I10" s="130"/>
      <c r="J10" s="131"/>
      <c r="K10" s="131"/>
      <c r="L10" s="131"/>
      <c r="M10" s="132"/>
      <c r="N10" s="111"/>
      <c r="O10" s="18" t="s">
        <v>105</v>
      </c>
      <c r="P10" s="12">
        <v>3</v>
      </c>
      <c r="Q10" s="17" t="s">
        <v>106</v>
      </c>
      <c r="R10" s="124" t="s">
        <v>107</v>
      </c>
      <c r="S10" s="125" t="s">
        <v>108</v>
      </c>
      <c r="T10" s="125" t="s">
        <v>109</v>
      </c>
      <c r="U10" s="126" t="s">
        <v>110</v>
      </c>
      <c r="V10" s="111"/>
      <c r="W10" s="17" t="s">
        <v>111</v>
      </c>
      <c r="X10" s="17" t="s">
        <v>112</v>
      </c>
      <c r="Y10" s="17" t="s">
        <v>113</v>
      </c>
      <c r="Z10" s="17" t="s">
        <v>114</v>
      </c>
      <c r="AA10" s="17" t="s">
        <v>115</v>
      </c>
      <c r="AB10" s="13" t="s">
        <v>116</v>
      </c>
      <c r="AC10" s="12">
        <v>3</v>
      </c>
      <c r="AD10" s="12">
        <v>3</v>
      </c>
      <c r="AE10" s="12">
        <v>3</v>
      </c>
      <c r="AF10" s="143"/>
      <c r="AG10" s="21" t="s">
        <v>117</v>
      </c>
    </row>
    <row r="11" spans="2:33" ht="27" customHeight="1" x14ac:dyDescent="0.2">
      <c r="B11" s="141"/>
      <c r="C11" s="5" t="s">
        <v>118</v>
      </c>
      <c r="D11" s="15" t="s">
        <v>119</v>
      </c>
      <c r="E11" s="6" t="s">
        <v>120</v>
      </c>
      <c r="F11" s="7" t="s">
        <v>121</v>
      </c>
      <c r="G11" s="7" t="s">
        <v>122</v>
      </c>
      <c r="H11" s="7"/>
      <c r="I11" s="133"/>
      <c r="J11" s="134"/>
      <c r="K11" s="134"/>
      <c r="L11" s="134"/>
      <c r="M11" s="135"/>
      <c r="N11" s="111"/>
      <c r="O11" s="17" t="s">
        <v>123</v>
      </c>
      <c r="P11" s="17" t="s">
        <v>124</v>
      </c>
      <c r="Q11" s="17" t="s">
        <v>125</v>
      </c>
      <c r="R11" s="20" t="s">
        <v>126</v>
      </c>
      <c r="S11" s="20" t="s">
        <v>127</v>
      </c>
      <c r="T11" s="20" t="s">
        <v>128</v>
      </c>
      <c r="U11" s="17" t="s">
        <v>129</v>
      </c>
      <c r="V11" s="111"/>
      <c r="W11" s="17" t="s">
        <v>130</v>
      </c>
      <c r="X11" s="17" t="s">
        <v>131</v>
      </c>
      <c r="Y11" s="17" t="s">
        <v>132</v>
      </c>
      <c r="Z11" s="17" t="s">
        <v>133</v>
      </c>
      <c r="AA11" s="17" t="s">
        <v>134</v>
      </c>
      <c r="AB11" s="17" t="s">
        <v>135</v>
      </c>
      <c r="AC11" s="13" t="s">
        <v>136</v>
      </c>
      <c r="AD11" s="12">
        <v>3</v>
      </c>
      <c r="AE11" s="10">
        <v>2</v>
      </c>
      <c r="AF11" s="143"/>
      <c r="AG11" s="21" t="s">
        <v>137</v>
      </c>
    </row>
    <row r="12" spans="2:33" ht="27" customHeight="1" x14ac:dyDescent="0.2">
      <c r="B12" s="141"/>
      <c r="C12" s="5" t="s">
        <v>138</v>
      </c>
      <c r="D12" s="15" t="s">
        <v>139</v>
      </c>
      <c r="E12" s="6" t="s">
        <v>140</v>
      </c>
      <c r="F12" s="7" t="s">
        <v>141</v>
      </c>
      <c r="G12" s="7" t="s">
        <v>142</v>
      </c>
      <c r="H12" s="7"/>
      <c r="I12" s="74" t="s">
        <v>371</v>
      </c>
      <c r="J12" s="75"/>
      <c r="K12" s="75"/>
      <c r="L12" s="75"/>
      <c r="M12" s="76"/>
      <c r="N12" s="111"/>
      <c r="O12" s="18" t="s">
        <v>143</v>
      </c>
      <c r="P12" s="19" t="s">
        <v>144</v>
      </c>
      <c r="Q12" s="18" t="s">
        <v>145</v>
      </c>
      <c r="R12" s="124" t="s">
        <v>146</v>
      </c>
      <c r="S12" s="125" t="s">
        <v>147</v>
      </c>
      <c r="T12" s="125" t="s">
        <v>148</v>
      </c>
      <c r="U12" s="126" t="s">
        <v>149</v>
      </c>
      <c r="V12" s="111"/>
      <c r="W12" s="17" t="s">
        <v>150</v>
      </c>
      <c r="X12" s="17" t="s">
        <v>151</v>
      </c>
      <c r="Y12" s="17" t="s">
        <v>152</v>
      </c>
      <c r="Z12" s="17" t="s">
        <v>153</v>
      </c>
      <c r="AA12" s="17" t="s">
        <v>154</v>
      </c>
      <c r="AB12" s="17" t="s">
        <v>155</v>
      </c>
      <c r="AC12" s="17" t="s">
        <v>156</v>
      </c>
      <c r="AD12" s="10">
        <v>2</v>
      </c>
      <c r="AE12" s="10">
        <v>2</v>
      </c>
      <c r="AF12" s="143"/>
      <c r="AG12" s="21" t="s">
        <v>157</v>
      </c>
    </row>
    <row r="13" spans="2:33" ht="27" customHeight="1" x14ac:dyDescent="0.2">
      <c r="B13" s="141"/>
      <c r="C13" s="5" t="s">
        <v>158</v>
      </c>
      <c r="D13" s="4" t="s">
        <v>159</v>
      </c>
      <c r="E13" s="7" t="s">
        <v>160</v>
      </c>
      <c r="F13" s="7" t="s">
        <v>161</v>
      </c>
      <c r="G13" s="7" t="s">
        <v>162</v>
      </c>
      <c r="H13" s="7"/>
      <c r="I13" s="77"/>
      <c r="J13" s="78"/>
      <c r="K13" s="78"/>
      <c r="L13" s="78"/>
      <c r="M13" s="79"/>
      <c r="N13" s="111"/>
      <c r="O13" s="18" t="s">
        <v>163</v>
      </c>
      <c r="P13" s="18" t="s">
        <v>164</v>
      </c>
      <c r="Q13" s="18" t="s">
        <v>165</v>
      </c>
      <c r="R13" s="18" t="s">
        <v>166</v>
      </c>
      <c r="S13" s="18" t="s">
        <v>167</v>
      </c>
      <c r="T13" s="18" t="s">
        <v>168</v>
      </c>
      <c r="U13" s="18" t="s">
        <v>169</v>
      </c>
      <c r="V13" s="111"/>
      <c r="W13" s="18" t="s">
        <v>170</v>
      </c>
      <c r="X13" s="18" t="s">
        <v>171</v>
      </c>
      <c r="Y13" s="18" t="s">
        <v>172</v>
      </c>
      <c r="Z13" s="18" t="s">
        <v>173</v>
      </c>
      <c r="AA13" s="18" t="s">
        <v>174</v>
      </c>
      <c r="AB13" s="18" t="s">
        <v>175</v>
      </c>
      <c r="AC13" s="18" t="s">
        <v>176</v>
      </c>
      <c r="AD13" s="18" t="s">
        <v>177</v>
      </c>
      <c r="AE13" s="10">
        <v>2</v>
      </c>
      <c r="AF13" s="143"/>
      <c r="AG13" s="16" t="s">
        <v>178</v>
      </c>
    </row>
    <row r="14" spans="2:33" ht="29.1" customHeight="1" x14ac:dyDescent="0.2">
      <c r="B14" s="163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5"/>
    </row>
    <row r="15" spans="2:33" ht="29.1" customHeight="1" x14ac:dyDescent="0.2">
      <c r="B15" s="160" t="s">
        <v>369</v>
      </c>
      <c r="C15" s="5" t="s">
        <v>179</v>
      </c>
      <c r="D15" s="4" t="s">
        <v>180</v>
      </c>
      <c r="E15" s="6" t="s">
        <v>181</v>
      </c>
      <c r="F15" s="7" t="s">
        <v>182</v>
      </c>
      <c r="G15" s="7" t="s">
        <v>183</v>
      </c>
      <c r="H15" s="169"/>
      <c r="I15" s="12">
        <v>3</v>
      </c>
      <c r="J15" s="10">
        <v>2</v>
      </c>
      <c r="K15" s="10">
        <v>2</v>
      </c>
      <c r="L15" s="10">
        <v>2</v>
      </c>
      <c r="M15" s="10">
        <v>2</v>
      </c>
      <c r="N15" s="143"/>
      <c r="O15" s="13" t="s">
        <v>184</v>
      </c>
      <c r="P15" s="13" t="s">
        <v>185</v>
      </c>
      <c r="Q15" s="13" t="s">
        <v>186</v>
      </c>
      <c r="R15" s="10">
        <v>2</v>
      </c>
      <c r="S15" s="13" t="s">
        <v>187</v>
      </c>
      <c r="T15" s="10">
        <v>2</v>
      </c>
      <c r="U15" s="13" t="s">
        <v>188</v>
      </c>
      <c r="V15" s="105"/>
      <c r="W15" s="13" t="s">
        <v>189</v>
      </c>
      <c r="X15" s="13" t="s">
        <v>190</v>
      </c>
      <c r="Y15" s="12">
        <v>3</v>
      </c>
      <c r="Z15" s="13" t="s">
        <v>191</v>
      </c>
      <c r="AA15" s="13" t="s">
        <v>192</v>
      </c>
      <c r="AB15" s="12">
        <v>3</v>
      </c>
      <c r="AC15" s="10">
        <v>2</v>
      </c>
      <c r="AD15" s="12">
        <v>3</v>
      </c>
      <c r="AE15" s="13" t="s">
        <v>193</v>
      </c>
      <c r="AF15" s="105"/>
      <c r="AG15" s="16" t="s">
        <v>194</v>
      </c>
    </row>
    <row r="16" spans="2:33" ht="29.1" customHeight="1" x14ac:dyDescent="0.2">
      <c r="B16" s="160"/>
      <c r="C16" s="5" t="s">
        <v>195</v>
      </c>
      <c r="D16" s="4" t="s">
        <v>196</v>
      </c>
      <c r="E16" s="7" t="s">
        <v>197</v>
      </c>
      <c r="F16" s="7" t="s">
        <v>198</v>
      </c>
      <c r="G16" s="7" t="s">
        <v>199</v>
      </c>
      <c r="H16" s="169"/>
      <c r="I16" s="17" t="s">
        <v>200</v>
      </c>
      <c r="J16" s="22" t="s">
        <v>201</v>
      </c>
      <c r="K16" s="10">
        <v>2</v>
      </c>
      <c r="L16" s="10">
        <v>2</v>
      </c>
      <c r="M16" s="10">
        <v>2</v>
      </c>
      <c r="N16" s="143"/>
      <c r="O16" s="10">
        <v>2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2">
        <v>3</v>
      </c>
      <c r="V16" s="105"/>
      <c r="W16" s="10">
        <v>2</v>
      </c>
      <c r="X16" s="10">
        <v>2</v>
      </c>
      <c r="Y16" s="12">
        <v>3</v>
      </c>
      <c r="Z16" s="10">
        <v>2</v>
      </c>
      <c r="AA16" s="14">
        <v>1</v>
      </c>
      <c r="AB16" s="12">
        <v>3</v>
      </c>
      <c r="AC16" s="10">
        <v>2</v>
      </c>
      <c r="AD16" s="12">
        <v>3</v>
      </c>
      <c r="AE16" s="10">
        <v>2</v>
      </c>
      <c r="AF16" s="105"/>
      <c r="AG16" s="16" t="s">
        <v>202</v>
      </c>
    </row>
    <row r="17" spans="2:33" ht="29.1" customHeight="1" x14ac:dyDescent="0.2">
      <c r="B17" s="160"/>
      <c r="C17" s="5" t="s">
        <v>203</v>
      </c>
      <c r="D17" s="4" t="s">
        <v>204</v>
      </c>
      <c r="E17" s="7" t="s">
        <v>205</v>
      </c>
      <c r="F17" s="7" t="s">
        <v>206</v>
      </c>
      <c r="G17" s="7" t="s">
        <v>207</v>
      </c>
      <c r="H17" s="169"/>
      <c r="I17" s="17" t="s">
        <v>208</v>
      </c>
      <c r="J17" s="20" t="s">
        <v>209</v>
      </c>
      <c r="K17" s="13" t="s">
        <v>210</v>
      </c>
      <c r="L17" s="10">
        <v>2</v>
      </c>
      <c r="M17" s="10">
        <v>2</v>
      </c>
      <c r="N17" s="143"/>
      <c r="O17" s="10">
        <v>2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0">
        <v>2</v>
      </c>
      <c r="V17" s="105"/>
      <c r="W17" s="10">
        <v>2</v>
      </c>
      <c r="X17" s="10">
        <v>2</v>
      </c>
      <c r="Y17" s="12">
        <v>3</v>
      </c>
      <c r="Z17" s="10">
        <v>2</v>
      </c>
      <c r="AA17" s="14">
        <v>1</v>
      </c>
      <c r="AB17" s="12">
        <v>3</v>
      </c>
      <c r="AC17" s="10">
        <v>2</v>
      </c>
      <c r="AD17" s="12">
        <v>3</v>
      </c>
      <c r="AE17" s="10">
        <v>2</v>
      </c>
      <c r="AF17" s="105"/>
      <c r="AG17" s="16" t="s">
        <v>211</v>
      </c>
    </row>
    <row r="18" spans="2:33" ht="29.1" customHeight="1" x14ac:dyDescent="0.2">
      <c r="B18" s="160"/>
      <c r="C18" s="5" t="s">
        <v>212</v>
      </c>
      <c r="D18" s="4" t="s">
        <v>213</v>
      </c>
      <c r="E18" s="7" t="s">
        <v>214</v>
      </c>
      <c r="F18" s="7" t="s">
        <v>215</v>
      </c>
      <c r="G18" s="7" t="s">
        <v>216</v>
      </c>
      <c r="H18" s="169"/>
      <c r="I18" s="17" t="s">
        <v>217</v>
      </c>
      <c r="J18" s="20" t="s">
        <v>218</v>
      </c>
      <c r="K18" s="17" t="s">
        <v>219</v>
      </c>
      <c r="L18" s="13" t="s">
        <v>220</v>
      </c>
      <c r="M18" s="10">
        <v>2</v>
      </c>
      <c r="N18" s="143"/>
      <c r="O18" s="13" t="s">
        <v>221</v>
      </c>
      <c r="P18" s="10">
        <v>2</v>
      </c>
      <c r="Q18" s="14">
        <v>1</v>
      </c>
      <c r="R18" s="14">
        <v>1</v>
      </c>
      <c r="S18" s="13" t="s">
        <v>222</v>
      </c>
      <c r="T18" s="10">
        <v>2</v>
      </c>
      <c r="U18" s="13" t="s">
        <v>223</v>
      </c>
      <c r="V18" s="105"/>
      <c r="W18" s="10">
        <v>2</v>
      </c>
      <c r="X18" s="13" t="s">
        <v>224</v>
      </c>
      <c r="Y18" s="12">
        <v>3</v>
      </c>
      <c r="Z18" s="10">
        <v>2</v>
      </c>
      <c r="AA18" s="10">
        <v>2</v>
      </c>
      <c r="AB18" s="12">
        <v>3</v>
      </c>
      <c r="AC18" s="10">
        <v>2</v>
      </c>
      <c r="AD18" s="12">
        <v>3</v>
      </c>
      <c r="AE18" s="13" t="s">
        <v>225</v>
      </c>
      <c r="AF18" s="105"/>
      <c r="AG18" s="16" t="s">
        <v>226</v>
      </c>
    </row>
    <row r="19" spans="2:33" ht="29.1" customHeight="1" x14ac:dyDescent="0.2">
      <c r="B19" s="160"/>
      <c r="C19" s="5" t="s">
        <v>375</v>
      </c>
      <c r="D19" s="4" t="s">
        <v>227</v>
      </c>
      <c r="E19" s="6" t="s">
        <v>228</v>
      </c>
      <c r="F19" s="7" t="s">
        <v>229</v>
      </c>
      <c r="G19" s="7" t="s">
        <v>230</v>
      </c>
      <c r="H19" s="169"/>
      <c r="I19" s="17" t="s">
        <v>231</v>
      </c>
      <c r="J19" s="20" t="s">
        <v>232</v>
      </c>
      <c r="K19" s="17" t="s">
        <v>233</v>
      </c>
      <c r="L19" s="17" t="s">
        <v>234</v>
      </c>
      <c r="M19" s="12">
        <v>3</v>
      </c>
      <c r="N19" s="143"/>
      <c r="O19" s="12">
        <v>3</v>
      </c>
      <c r="P19" s="14">
        <v>1</v>
      </c>
      <c r="Q19" s="14">
        <v>1</v>
      </c>
      <c r="R19" s="14">
        <v>1</v>
      </c>
      <c r="S19" s="10">
        <v>2</v>
      </c>
      <c r="T19" s="14">
        <v>1</v>
      </c>
      <c r="U19" s="10">
        <v>2</v>
      </c>
      <c r="V19" s="105"/>
      <c r="W19" s="10">
        <v>2</v>
      </c>
      <c r="X19" s="14">
        <v>1</v>
      </c>
      <c r="Y19" s="10">
        <v>2</v>
      </c>
      <c r="Z19" s="14">
        <v>1</v>
      </c>
      <c r="AA19" s="10">
        <v>2</v>
      </c>
      <c r="AB19" s="12">
        <v>3</v>
      </c>
      <c r="AC19" s="10">
        <v>2</v>
      </c>
      <c r="AD19" s="12">
        <v>3</v>
      </c>
      <c r="AE19" s="14">
        <v>1</v>
      </c>
      <c r="AF19" s="105"/>
      <c r="AG19" s="16" t="s">
        <v>235</v>
      </c>
    </row>
    <row r="20" spans="2:33" ht="29.1" customHeight="1" x14ac:dyDescent="0.2"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8"/>
    </row>
    <row r="21" spans="2:33" ht="29.1" customHeight="1" x14ac:dyDescent="0.2">
      <c r="B21" s="149" t="s">
        <v>368</v>
      </c>
      <c r="C21" s="5" t="s">
        <v>236</v>
      </c>
      <c r="D21" s="4" t="s">
        <v>237</v>
      </c>
      <c r="E21" s="7" t="s">
        <v>238</v>
      </c>
      <c r="F21" s="7" t="s">
        <v>239</v>
      </c>
      <c r="G21" s="7" t="s">
        <v>240</v>
      </c>
      <c r="H21" s="169"/>
      <c r="I21" s="17" t="s">
        <v>241</v>
      </c>
      <c r="J21" s="20" t="s">
        <v>242</v>
      </c>
      <c r="K21" s="17" t="s">
        <v>243</v>
      </c>
      <c r="L21" s="17" t="s">
        <v>244</v>
      </c>
      <c r="M21" s="17" t="s">
        <v>245</v>
      </c>
      <c r="N21" s="105"/>
      <c r="O21" s="13" t="s">
        <v>246</v>
      </c>
      <c r="P21" s="10">
        <v>2</v>
      </c>
      <c r="Q21" s="13" t="s">
        <v>247</v>
      </c>
      <c r="R21" s="13" t="s">
        <v>248</v>
      </c>
      <c r="S21" s="13" t="s">
        <v>249</v>
      </c>
      <c r="T21" s="10">
        <v>2</v>
      </c>
      <c r="U21" s="10">
        <v>2</v>
      </c>
      <c r="V21" s="143"/>
      <c r="W21" s="12">
        <v>3</v>
      </c>
      <c r="X21" s="10">
        <v>2</v>
      </c>
      <c r="Y21" s="10">
        <v>2</v>
      </c>
      <c r="Z21" s="10">
        <v>2</v>
      </c>
      <c r="AA21" s="10">
        <v>2</v>
      </c>
      <c r="AB21" s="10">
        <v>2</v>
      </c>
      <c r="AC21" s="10">
        <v>2</v>
      </c>
      <c r="AD21" s="12">
        <v>3</v>
      </c>
      <c r="AE21" s="10">
        <v>2</v>
      </c>
      <c r="AF21" s="143"/>
      <c r="AG21" s="16" t="s">
        <v>250</v>
      </c>
    </row>
    <row r="22" spans="2:33" ht="30" customHeight="1" x14ac:dyDescent="0.2">
      <c r="B22" s="150"/>
      <c r="C22" s="5" t="s">
        <v>251</v>
      </c>
      <c r="D22" s="4" t="s">
        <v>252</v>
      </c>
      <c r="E22" s="6" t="s">
        <v>253</v>
      </c>
      <c r="F22" s="7" t="s">
        <v>254</v>
      </c>
      <c r="G22" s="7" t="s">
        <v>255</v>
      </c>
      <c r="H22" s="169"/>
      <c r="I22" s="17" t="s">
        <v>256</v>
      </c>
      <c r="J22" s="115" t="s">
        <v>370</v>
      </c>
      <c r="K22" s="116"/>
      <c r="L22" s="117"/>
      <c r="M22" s="23" t="s">
        <v>257</v>
      </c>
      <c r="N22" s="105"/>
      <c r="O22" s="17" t="s">
        <v>258</v>
      </c>
      <c r="P22" s="14">
        <v>1</v>
      </c>
      <c r="Q22" s="14">
        <v>1</v>
      </c>
      <c r="R22" s="14">
        <v>1</v>
      </c>
      <c r="S22" s="13" t="s">
        <v>259</v>
      </c>
      <c r="T22" s="14">
        <v>1</v>
      </c>
      <c r="U22" s="10">
        <v>2</v>
      </c>
      <c r="V22" s="143"/>
      <c r="W22" s="13" t="s">
        <v>260</v>
      </c>
      <c r="X22" s="14">
        <v>1</v>
      </c>
      <c r="Y22" s="14">
        <v>1</v>
      </c>
      <c r="Z22" s="10">
        <v>2</v>
      </c>
      <c r="AA22" s="10">
        <v>2</v>
      </c>
      <c r="AB22" s="12">
        <v>3</v>
      </c>
      <c r="AC22" s="10">
        <v>2</v>
      </c>
      <c r="AD22" s="12">
        <v>3</v>
      </c>
      <c r="AE22" s="10">
        <v>2</v>
      </c>
      <c r="AF22" s="143"/>
      <c r="AG22" s="16" t="s">
        <v>261</v>
      </c>
    </row>
    <row r="23" spans="2:33" ht="35.1" customHeight="1" x14ac:dyDescent="0.2">
      <c r="B23" s="150"/>
      <c r="C23" s="5" t="s">
        <v>365</v>
      </c>
      <c r="D23" s="4" t="s">
        <v>262</v>
      </c>
      <c r="E23" s="7" t="s">
        <v>263</v>
      </c>
      <c r="F23" s="7" t="s">
        <v>264</v>
      </c>
      <c r="G23" s="7" t="s">
        <v>265</v>
      </c>
      <c r="H23" s="169"/>
      <c r="I23" s="17" t="s">
        <v>266</v>
      </c>
      <c r="J23" s="118"/>
      <c r="K23" s="119"/>
      <c r="L23" s="120"/>
      <c r="M23" s="24" t="s">
        <v>267</v>
      </c>
      <c r="N23" s="105"/>
      <c r="O23" s="8" t="s">
        <v>268</v>
      </c>
      <c r="P23" s="8" t="s">
        <v>269</v>
      </c>
      <c r="Q23" s="14">
        <v>1</v>
      </c>
      <c r="R23" s="14">
        <v>1</v>
      </c>
      <c r="S23" s="13" t="s">
        <v>270</v>
      </c>
      <c r="T23" s="14">
        <v>1</v>
      </c>
      <c r="U23" s="10">
        <v>2</v>
      </c>
      <c r="V23" s="143"/>
      <c r="W23" s="13" t="s">
        <v>271</v>
      </c>
      <c r="X23" s="14">
        <v>1</v>
      </c>
      <c r="Y23" s="14">
        <v>1</v>
      </c>
      <c r="Z23" s="10">
        <v>2</v>
      </c>
      <c r="AA23" s="10">
        <v>2</v>
      </c>
      <c r="AB23" s="12">
        <v>3</v>
      </c>
      <c r="AC23" s="10">
        <v>2</v>
      </c>
      <c r="AD23" s="10">
        <v>2</v>
      </c>
      <c r="AE23" s="10">
        <v>2</v>
      </c>
      <c r="AF23" s="143"/>
      <c r="AG23" s="16" t="s">
        <v>272</v>
      </c>
    </row>
    <row r="24" spans="2:33" ht="27.95" customHeight="1" x14ac:dyDescent="0.2">
      <c r="B24" s="150"/>
      <c r="C24" s="5" t="s">
        <v>273</v>
      </c>
      <c r="D24" s="4" t="s">
        <v>274</v>
      </c>
      <c r="E24" s="6" t="s">
        <v>275</v>
      </c>
      <c r="F24" s="7" t="s">
        <v>276</v>
      </c>
      <c r="G24" s="7" t="s">
        <v>277</v>
      </c>
      <c r="H24" s="169"/>
      <c r="I24" s="17" t="s">
        <v>278</v>
      </c>
      <c r="J24" s="118"/>
      <c r="K24" s="119"/>
      <c r="L24" s="120"/>
      <c r="M24" s="23" t="s">
        <v>279</v>
      </c>
      <c r="N24" s="105"/>
      <c r="O24" s="17" t="s">
        <v>280</v>
      </c>
      <c r="P24" s="17" t="s">
        <v>281</v>
      </c>
      <c r="Q24" s="17" t="s">
        <v>282</v>
      </c>
      <c r="R24" s="14">
        <v>1</v>
      </c>
      <c r="S24" s="13" t="s">
        <v>283</v>
      </c>
      <c r="T24" s="14">
        <v>1</v>
      </c>
      <c r="U24" s="12">
        <v>3</v>
      </c>
      <c r="V24" s="143"/>
      <c r="W24" s="13" t="s">
        <v>284</v>
      </c>
      <c r="X24" s="14">
        <v>1</v>
      </c>
      <c r="Y24" s="14">
        <v>1</v>
      </c>
      <c r="Z24" s="10">
        <v>2</v>
      </c>
      <c r="AA24" s="10">
        <v>2</v>
      </c>
      <c r="AB24" s="10">
        <v>2</v>
      </c>
      <c r="AC24" s="10">
        <v>2</v>
      </c>
      <c r="AD24" s="12">
        <v>3</v>
      </c>
      <c r="AE24" s="10">
        <v>2</v>
      </c>
      <c r="AF24" s="143"/>
      <c r="AG24" s="16" t="s">
        <v>285</v>
      </c>
    </row>
    <row r="25" spans="2:33" ht="30.95" customHeight="1" x14ac:dyDescent="0.2">
      <c r="B25" s="150"/>
      <c r="C25" s="5" t="s">
        <v>286</v>
      </c>
      <c r="D25" s="4" t="s">
        <v>287</v>
      </c>
      <c r="E25" s="6" t="s">
        <v>288</v>
      </c>
      <c r="F25" s="7" t="s">
        <v>289</v>
      </c>
      <c r="G25" s="7" t="s">
        <v>290</v>
      </c>
      <c r="H25" s="169"/>
      <c r="I25" s="17" t="s">
        <v>291</v>
      </c>
      <c r="J25" s="118"/>
      <c r="K25" s="119"/>
      <c r="L25" s="120"/>
      <c r="M25" s="25" t="s">
        <v>292</v>
      </c>
      <c r="N25" s="105"/>
      <c r="O25" s="18" t="s">
        <v>293</v>
      </c>
      <c r="P25" s="18" t="s">
        <v>294</v>
      </c>
      <c r="Q25" s="18" t="s">
        <v>295</v>
      </c>
      <c r="R25" s="18" t="s">
        <v>296</v>
      </c>
      <c r="S25" s="19" t="s">
        <v>297</v>
      </c>
      <c r="T25" s="19" t="s">
        <v>298</v>
      </c>
      <c r="U25" s="19" t="s">
        <v>299</v>
      </c>
      <c r="V25" s="143"/>
      <c r="W25" s="12">
        <v>3</v>
      </c>
      <c r="X25" s="13" t="s">
        <v>300</v>
      </c>
      <c r="Y25" s="13" t="s">
        <v>301</v>
      </c>
      <c r="Z25" s="10">
        <v>2</v>
      </c>
      <c r="AA25" s="10">
        <v>2</v>
      </c>
      <c r="AB25" s="13" t="s">
        <v>302</v>
      </c>
      <c r="AC25" s="13" t="s">
        <v>303</v>
      </c>
      <c r="AD25" s="12">
        <v>3</v>
      </c>
      <c r="AE25" s="10">
        <v>2</v>
      </c>
      <c r="AF25" s="143"/>
      <c r="AG25" s="16" t="s">
        <v>304</v>
      </c>
    </row>
    <row r="26" spans="2:33" ht="30" customHeight="1" x14ac:dyDescent="0.2">
      <c r="B26" s="150"/>
      <c r="C26" s="5" t="s">
        <v>305</v>
      </c>
      <c r="D26" s="4" t="s">
        <v>306</v>
      </c>
      <c r="E26" s="6" t="s">
        <v>307</v>
      </c>
      <c r="F26" s="7" t="s">
        <v>308</v>
      </c>
      <c r="G26" s="7" t="s">
        <v>309</v>
      </c>
      <c r="H26" s="169"/>
      <c r="I26" s="17" t="s">
        <v>310</v>
      </c>
      <c r="J26" s="121"/>
      <c r="K26" s="122"/>
      <c r="L26" s="123"/>
      <c r="M26" s="17" t="s">
        <v>311</v>
      </c>
      <c r="N26" s="105"/>
      <c r="O26" s="17" t="s">
        <v>312</v>
      </c>
      <c r="P26" s="17" t="s">
        <v>313</v>
      </c>
      <c r="Q26" s="17" t="s">
        <v>314</v>
      </c>
      <c r="R26" s="17" t="s">
        <v>315</v>
      </c>
      <c r="S26" s="17" t="s">
        <v>316</v>
      </c>
      <c r="T26" s="13" t="s">
        <v>317</v>
      </c>
      <c r="U26" s="10">
        <v>2</v>
      </c>
      <c r="V26" s="143"/>
      <c r="W26" s="12">
        <v>3</v>
      </c>
      <c r="X26" s="14">
        <v>1</v>
      </c>
      <c r="Y26" s="14">
        <v>1</v>
      </c>
      <c r="Z26" s="10">
        <v>2</v>
      </c>
      <c r="AA26" s="10">
        <v>2</v>
      </c>
      <c r="AB26" s="10">
        <v>2</v>
      </c>
      <c r="AC26" s="12">
        <v>3</v>
      </c>
      <c r="AD26" s="14">
        <v>1</v>
      </c>
      <c r="AE26" s="10">
        <v>2</v>
      </c>
      <c r="AF26" s="143"/>
      <c r="AG26" s="16" t="s">
        <v>318</v>
      </c>
    </row>
    <row r="27" spans="2:33" ht="29.1" customHeight="1" x14ac:dyDescent="0.2">
      <c r="B27" s="151"/>
      <c r="C27" s="5" t="s">
        <v>319</v>
      </c>
      <c r="D27" s="4" t="s">
        <v>320</v>
      </c>
      <c r="E27" s="6" t="s">
        <v>321</v>
      </c>
      <c r="F27" s="6" t="s">
        <v>322</v>
      </c>
      <c r="G27" s="7" t="s">
        <v>323</v>
      </c>
      <c r="H27" s="169"/>
      <c r="I27" s="17" t="s">
        <v>324</v>
      </c>
      <c r="J27" s="20" t="s">
        <v>325</v>
      </c>
      <c r="K27" s="17" t="s">
        <v>326</v>
      </c>
      <c r="L27" s="20" t="s">
        <v>327</v>
      </c>
      <c r="M27" s="17" t="s">
        <v>328</v>
      </c>
      <c r="N27" s="105"/>
      <c r="O27" s="17" t="s">
        <v>329</v>
      </c>
      <c r="P27" s="17" t="s">
        <v>330</v>
      </c>
      <c r="Q27" s="17" t="s">
        <v>331</v>
      </c>
      <c r="R27" s="17" t="s">
        <v>332</v>
      </c>
      <c r="S27" s="17" t="s">
        <v>333</v>
      </c>
      <c r="T27" s="17" t="s">
        <v>334</v>
      </c>
      <c r="U27" s="13" t="s">
        <v>335</v>
      </c>
      <c r="V27" s="143"/>
      <c r="W27" s="12">
        <v>3</v>
      </c>
      <c r="X27" s="12">
        <v>3</v>
      </c>
      <c r="Y27" s="12">
        <v>3</v>
      </c>
      <c r="Z27" s="10">
        <v>2</v>
      </c>
      <c r="AA27" s="10">
        <v>2</v>
      </c>
      <c r="AB27" s="13" t="s">
        <v>336</v>
      </c>
      <c r="AC27" s="13" t="s">
        <v>337</v>
      </c>
      <c r="AD27" s="12">
        <v>3</v>
      </c>
      <c r="AE27" s="10">
        <v>2</v>
      </c>
      <c r="AF27" s="143"/>
      <c r="AG27" s="16" t="s">
        <v>338</v>
      </c>
    </row>
    <row r="28" spans="2:33" ht="22.5" customHeight="1" x14ac:dyDescent="0.2">
      <c r="B28" s="136" t="s">
        <v>343</v>
      </c>
      <c r="C28" s="137"/>
      <c r="D28" s="137"/>
      <c r="E28" s="84" t="s">
        <v>360</v>
      </c>
      <c r="F28" s="84" t="s">
        <v>361</v>
      </c>
      <c r="G28" s="84" t="s">
        <v>362</v>
      </c>
      <c r="H28" s="109"/>
      <c r="I28" s="27" t="s">
        <v>2</v>
      </c>
      <c r="J28" s="27" t="s">
        <v>3</v>
      </c>
      <c r="K28" s="27" t="s">
        <v>4</v>
      </c>
      <c r="L28" s="27" t="s">
        <v>5</v>
      </c>
      <c r="M28" s="27" t="s">
        <v>6</v>
      </c>
      <c r="N28" s="86"/>
      <c r="O28" s="27" t="s">
        <v>7</v>
      </c>
      <c r="P28" s="27" t="s">
        <v>8</v>
      </c>
      <c r="Q28" s="27" t="s">
        <v>9</v>
      </c>
      <c r="R28" s="27" t="s">
        <v>10</v>
      </c>
      <c r="S28" s="27" t="s">
        <v>11</v>
      </c>
      <c r="T28" s="27" t="s">
        <v>12</v>
      </c>
      <c r="U28" s="27" t="s">
        <v>13</v>
      </c>
      <c r="V28" s="143"/>
      <c r="W28" s="27" t="s">
        <v>14</v>
      </c>
      <c r="X28" s="27" t="s">
        <v>15</v>
      </c>
      <c r="Y28" s="27" t="s">
        <v>16</v>
      </c>
      <c r="Z28" s="27" t="s">
        <v>17</v>
      </c>
      <c r="AA28" s="27" t="s">
        <v>18</v>
      </c>
      <c r="AB28" s="27" t="s">
        <v>19</v>
      </c>
      <c r="AC28" s="27" t="s">
        <v>20</v>
      </c>
      <c r="AD28" s="27" t="s">
        <v>21</v>
      </c>
      <c r="AE28" s="27" t="s">
        <v>22</v>
      </c>
      <c r="AF28" s="170" t="s">
        <v>359</v>
      </c>
      <c r="AG28" s="171"/>
    </row>
    <row r="29" spans="2:33" ht="163.5" customHeight="1" x14ac:dyDescent="0.2">
      <c r="B29" s="80" t="s">
        <v>374</v>
      </c>
      <c r="C29" s="81"/>
      <c r="D29" s="81"/>
      <c r="E29" s="85"/>
      <c r="F29" s="85"/>
      <c r="G29" s="85"/>
      <c r="H29" s="109"/>
      <c r="I29" s="26" t="s">
        <v>344</v>
      </c>
      <c r="J29" s="26" t="s">
        <v>345</v>
      </c>
      <c r="K29" s="26" t="s">
        <v>203</v>
      </c>
      <c r="L29" s="26" t="s">
        <v>212</v>
      </c>
      <c r="M29" s="26" t="s">
        <v>375</v>
      </c>
      <c r="N29" s="86"/>
      <c r="O29" s="26" t="s">
        <v>346</v>
      </c>
      <c r="P29" s="26" t="s">
        <v>251</v>
      </c>
      <c r="Q29" s="26" t="s">
        <v>347</v>
      </c>
      <c r="R29" s="26" t="s">
        <v>348</v>
      </c>
      <c r="S29" s="26" t="s">
        <v>349</v>
      </c>
      <c r="T29" s="26" t="s">
        <v>350</v>
      </c>
      <c r="U29" s="26" t="s">
        <v>351</v>
      </c>
      <c r="V29" s="143"/>
      <c r="W29" s="26" t="s">
        <v>352</v>
      </c>
      <c r="X29" s="26" t="s">
        <v>39</v>
      </c>
      <c r="Y29" s="26" t="s">
        <v>353</v>
      </c>
      <c r="Z29" s="26" t="s">
        <v>354</v>
      </c>
      <c r="AA29" s="26" t="s">
        <v>82</v>
      </c>
      <c r="AB29" s="26" t="s">
        <v>355</v>
      </c>
      <c r="AC29" s="26" t="s">
        <v>356</v>
      </c>
      <c r="AD29" s="26" t="s">
        <v>357</v>
      </c>
      <c r="AE29" s="26" t="s">
        <v>358</v>
      </c>
      <c r="AF29" s="172"/>
      <c r="AG29" s="171"/>
    </row>
    <row r="30" spans="2:33" ht="26.25" customHeight="1" thickBot="1" x14ac:dyDescent="0.25">
      <c r="B30" s="82"/>
      <c r="C30" s="83"/>
      <c r="D30" s="83"/>
      <c r="E30" s="140" t="s">
        <v>339</v>
      </c>
      <c r="F30" s="140"/>
      <c r="G30" s="140"/>
      <c r="H30" s="110"/>
      <c r="I30" s="106" t="s">
        <v>340</v>
      </c>
      <c r="J30" s="107"/>
      <c r="K30" s="107"/>
      <c r="L30" s="107"/>
      <c r="M30" s="108"/>
      <c r="N30" s="87"/>
      <c r="O30" s="176" t="s">
        <v>341</v>
      </c>
      <c r="P30" s="177"/>
      <c r="Q30" s="177"/>
      <c r="R30" s="177"/>
      <c r="S30" s="177"/>
      <c r="T30" s="177"/>
      <c r="U30" s="178"/>
      <c r="V30" s="175"/>
      <c r="W30" s="179" t="s">
        <v>342</v>
      </c>
      <c r="X30" s="180"/>
      <c r="Y30" s="180"/>
      <c r="Z30" s="180"/>
      <c r="AA30" s="180"/>
      <c r="AB30" s="180"/>
      <c r="AC30" s="180"/>
      <c r="AD30" s="180"/>
      <c r="AE30" s="181"/>
      <c r="AF30" s="173"/>
      <c r="AG30" s="174"/>
    </row>
  </sheetData>
  <mergeCells count="47">
    <mergeCell ref="AF28:AG30"/>
    <mergeCell ref="V21:V27"/>
    <mergeCell ref="V28:V30"/>
    <mergeCell ref="O30:U30"/>
    <mergeCell ref="W30:AE30"/>
    <mergeCell ref="I2:AG3"/>
    <mergeCell ref="H2:H4"/>
    <mergeCell ref="B15:B19"/>
    <mergeCell ref="E28:E29"/>
    <mergeCell ref="AF4:AG4"/>
    <mergeCell ref="AF5:AF13"/>
    <mergeCell ref="AF15:AF19"/>
    <mergeCell ref="AF21:AF27"/>
    <mergeCell ref="B14:AG14"/>
    <mergeCell ref="B20:AG20"/>
    <mergeCell ref="V15:V19"/>
    <mergeCell ref="H21:H27"/>
    <mergeCell ref="H15:H19"/>
    <mergeCell ref="V4:V13"/>
    <mergeCell ref="R12:U12"/>
    <mergeCell ref="N15:N19"/>
    <mergeCell ref="B28:D28"/>
    <mergeCell ref="B29:D30"/>
    <mergeCell ref="B4:D4"/>
    <mergeCell ref="E30:G30"/>
    <mergeCell ref="B5:B13"/>
    <mergeCell ref="G3:G4"/>
    <mergeCell ref="B2:D3"/>
    <mergeCell ref="E3:E4"/>
    <mergeCell ref="F3:F4"/>
    <mergeCell ref="E2:G2"/>
    <mergeCell ref="B21:B27"/>
    <mergeCell ref="F28:F29"/>
    <mergeCell ref="G28:G29"/>
    <mergeCell ref="R6:U6"/>
    <mergeCell ref="R8:U8"/>
    <mergeCell ref="R10:U10"/>
    <mergeCell ref="I12:M13"/>
    <mergeCell ref="I9:M11"/>
    <mergeCell ref="I6:M8"/>
    <mergeCell ref="N28:N30"/>
    <mergeCell ref="N21:N27"/>
    <mergeCell ref="I30:M30"/>
    <mergeCell ref="H28:H30"/>
    <mergeCell ref="N4:N13"/>
    <mergeCell ref="I5:M5"/>
    <mergeCell ref="J22:L26"/>
  </mergeCells>
  <pageMargins left="0.75" right="0.75" top="1" bottom="1" header="0.5" footer="0.5"/>
  <pageSetup paperSize="8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E9B5-5DA4-4144-A3D6-95FC04462841}">
  <sheetPr>
    <outlinePr summaryBelow="0"/>
  </sheetPr>
  <dimension ref="A1:G66"/>
  <sheetViews>
    <sheetView topLeftCell="A39" workbookViewId="0">
      <selection activeCell="E62" sqref="E61:E62"/>
    </sheetView>
  </sheetViews>
  <sheetFormatPr defaultRowHeight="20.100000000000001" customHeight="1" outlineLevelRow="2" x14ac:dyDescent="0.25"/>
  <cols>
    <col min="1" max="1" width="2.7109375" style="28" customWidth="1"/>
    <col min="2" max="2" width="5.7109375" style="28" customWidth="1"/>
    <col min="3" max="4" width="20.7109375" style="28" customWidth="1"/>
    <col min="5" max="5" width="40.7109375" style="28" customWidth="1"/>
    <col min="6" max="6" width="50.7109375" style="28" customWidth="1"/>
    <col min="7" max="7" width="46.7109375" style="28" customWidth="1"/>
    <col min="8" max="16384" width="9.140625" style="28"/>
  </cols>
  <sheetData>
    <row r="1" spans="1:7" ht="16.5" x14ac:dyDescent="0.25">
      <c r="A1" s="33">
        <v>1</v>
      </c>
      <c r="B1" s="33" t="s">
        <v>386</v>
      </c>
      <c r="C1" s="33"/>
    </row>
    <row r="2" spans="1:7" ht="20.100000000000001" customHeight="1" outlineLevel="1" x14ac:dyDescent="0.25">
      <c r="B2" s="32" t="s">
        <v>403</v>
      </c>
    </row>
    <row r="3" spans="1:7" ht="30" customHeight="1" outlineLevel="2" x14ac:dyDescent="0.25">
      <c r="B3" s="88" t="s">
        <v>387</v>
      </c>
      <c r="C3" s="89"/>
      <c r="D3" s="89"/>
      <c r="E3" s="89"/>
      <c r="F3" s="89"/>
      <c r="G3" s="90"/>
    </row>
    <row r="4" spans="1:7" ht="30" customHeight="1" outlineLevel="2" x14ac:dyDescent="0.25">
      <c r="B4" s="30" t="s">
        <v>376</v>
      </c>
      <c r="C4" s="30" t="s">
        <v>377</v>
      </c>
      <c r="D4" s="30" t="s">
        <v>378</v>
      </c>
      <c r="E4" s="30" t="s">
        <v>379</v>
      </c>
      <c r="F4" s="30" t="s">
        <v>380</v>
      </c>
      <c r="G4" s="30" t="s">
        <v>381</v>
      </c>
    </row>
    <row r="5" spans="1:7" ht="20.100000000000001" customHeight="1" outlineLevel="2" x14ac:dyDescent="0.25">
      <c r="B5" s="29">
        <f>IF(E5="","",SUBTOTAL(103,$E$5:E5))</f>
        <v>1</v>
      </c>
      <c r="C5" s="94" t="s">
        <v>402</v>
      </c>
      <c r="D5" s="91" t="s">
        <v>382</v>
      </c>
      <c r="E5" s="31" t="s">
        <v>383</v>
      </c>
      <c r="F5" s="31" t="s">
        <v>385</v>
      </c>
      <c r="G5" s="91" t="s">
        <v>384</v>
      </c>
    </row>
    <row r="6" spans="1:7" ht="20.100000000000001" customHeight="1" outlineLevel="2" x14ac:dyDescent="0.25">
      <c r="B6" s="29">
        <f>IF(E6="","",SUBTOTAL(103,$E$5:E6))</f>
        <v>2</v>
      </c>
      <c r="C6" s="61"/>
      <c r="D6" s="92"/>
      <c r="E6" s="31" t="s">
        <v>388</v>
      </c>
      <c r="F6" s="31" t="s">
        <v>389</v>
      </c>
      <c r="G6" s="92"/>
    </row>
    <row r="7" spans="1:7" ht="20.100000000000001" customHeight="1" outlineLevel="2" x14ac:dyDescent="0.25">
      <c r="B7" s="29">
        <f>IF(E7="","",SUBTOTAL(103,$E$5:E7))</f>
        <v>3</v>
      </c>
      <c r="C7" s="61"/>
      <c r="D7" s="92"/>
      <c r="E7" s="31" t="s">
        <v>390</v>
      </c>
      <c r="F7" s="31" t="s">
        <v>391</v>
      </c>
      <c r="G7" s="92"/>
    </row>
    <row r="8" spans="1:7" ht="20.100000000000001" customHeight="1" outlineLevel="2" x14ac:dyDescent="0.25">
      <c r="B8" s="29">
        <f>IF(E8="","",SUBTOTAL(103,$E$5:E8))</f>
        <v>4</v>
      </c>
      <c r="C8" s="61"/>
      <c r="D8" s="92"/>
      <c r="E8" s="31" t="s">
        <v>392</v>
      </c>
      <c r="F8" s="31" t="s">
        <v>393</v>
      </c>
      <c r="G8" s="92"/>
    </row>
    <row r="9" spans="1:7" ht="20.100000000000001" customHeight="1" outlineLevel="2" x14ac:dyDescent="0.25">
      <c r="B9" s="29">
        <f>IF(E9="","",SUBTOTAL(103,$E$5:E9))</f>
        <v>5</v>
      </c>
      <c r="C9" s="61"/>
      <c r="D9" s="92"/>
      <c r="E9" s="31" t="s">
        <v>394</v>
      </c>
      <c r="F9" s="31" t="s">
        <v>395</v>
      </c>
      <c r="G9" s="92"/>
    </row>
    <row r="10" spans="1:7" ht="20.100000000000001" customHeight="1" outlineLevel="2" x14ac:dyDescent="0.25">
      <c r="B10" s="29">
        <f>IF(E10="","",SUBTOTAL(103,$E$5:E10))</f>
        <v>6</v>
      </c>
      <c r="C10" s="61"/>
      <c r="D10" s="92"/>
      <c r="E10" s="31" t="s">
        <v>396</v>
      </c>
      <c r="F10" s="31" t="s">
        <v>397</v>
      </c>
      <c r="G10" s="92"/>
    </row>
    <row r="11" spans="1:7" ht="20.100000000000001" customHeight="1" outlineLevel="2" x14ac:dyDescent="0.25">
      <c r="B11" s="29">
        <f>IF(E11="","",SUBTOTAL(103,$E$5:E11))</f>
        <v>7</v>
      </c>
      <c r="C11" s="61"/>
      <c r="D11" s="92"/>
      <c r="E11" s="31" t="s">
        <v>398</v>
      </c>
      <c r="F11" s="31" t="s">
        <v>399</v>
      </c>
      <c r="G11" s="92"/>
    </row>
    <row r="12" spans="1:7" ht="20.100000000000001" customHeight="1" outlineLevel="2" x14ac:dyDescent="0.25">
      <c r="B12" s="29">
        <f>IF(E12="","",SUBTOTAL(103,$E$5:E12))</f>
        <v>8</v>
      </c>
      <c r="C12" s="62"/>
      <c r="D12" s="93"/>
      <c r="E12" s="31" t="s">
        <v>400</v>
      </c>
      <c r="F12" s="31" t="s">
        <v>401</v>
      </c>
      <c r="G12" s="93"/>
    </row>
    <row r="13" spans="1:7" ht="20.100000000000001" customHeight="1" outlineLevel="2" x14ac:dyDescent="0.25">
      <c r="B13" s="34"/>
      <c r="C13" s="34"/>
      <c r="D13" s="35"/>
      <c r="E13" s="35"/>
      <c r="F13" s="35"/>
      <c r="G13" s="35"/>
    </row>
    <row r="14" spans="1:7" ht="20.100000000000001" customHeight="1" outlineLevel="1" x14ac:dyDescent="0.25">
      <c r="B14" s="32" t="s">
        <v>404</v>
      </c>
    </row>
    <row r="15" spans="1:7" ht="30" customHeight="1" outlineLevel="2" x14ac:dyDescent="0.25">
      <c r="B15" s="88" t="s">
        <v>387</v>
      </c>
      <c r="C15" s="89"/>
      <c r="D15" s="89"/>
      <c r="E15" s="89"/>
      <c r="F15" s="89"/>
      <c r="G15" s="90"/>
    </row>
    <row r="16" spans="1:7" ht="30" customHeight="1" outlineLevel="2" x14ac:dyDescent="0.25">
      <c r="B16" s="30" t="s">
        <v>376</v>
      </c>
      <c r="C16" s="30" t="s">
        <v>377</v>
      </c>
      <c r="D16" s="30" t="s">
        <v>378</v>
      </c>
      <c r="E16" s="30" t="s">
        <v>379</v>
      </c>
      <c r="F16" s="30" t="s">
        <v>380</v>
      </c>
      <c r="G16" s="30" t="s">
        <v>381</v>
      </c>
    </row>
    <row r="17" spans="2:7" ht="20.100000000000001" customHeight="1" outlineLevel="2" x14ac:dyDescent="0.25">
      <c r="B17" s="29">
        <f>IF(E17="","",SUBTOTAL(103,$E$17:E17))</f>
        <v>1</v>
      </c>
      <c r="C17" s="94" t="s">
        <v>405</v>
      </c>
      <c r="D17" s="91" t="s">
        <v>382</v>
      </c>
      <c r="E17" s="31" t="s">
        <v>414</v>
      </c>
      <c r="F17" s="31" t="s">
        <v>406</v>
      </c>
      <c r="G17" s="91" t="s">
        <v>384</v>
      </c>
    </row>
    <row r="18" spans="2:7" ht="20.100000000000001" customHeight="1" outlineLevel="2" x14ac:dyDescent="0.25">
      <c r="B18" s="29">
        <f>IF(E18="","",SUBTOTAL(103,$E$17:E18))</f>
        <v>2</v>
      </c>
      <c r="C18" s="61"/>
      <c r="D18" s="92"/>
      <c r="E18" s="31" t="s">
        <v>409</v>
      </c>
      <c r="F18" s="31" t="s">
        <v>407</v>
      </c>
      <c r="G18" s="92"/>
    </row>
    <row r="19" spans="2:7" ht="20.100000000000001" customHeight="1" outlineLevel="2" x14ac:dyDescent="0.25">
      <c r="B19" s="29">
        <f>IF(E19="","",SUBTOTAL(103,$E$17:E19))</f>
        <v>3</v>
      </c>
      <c r="C19" s="61"/>
      <c r="D19" s="92"/>
      <c r="E19" s="31" t="s">
        <v>408</v>
      </c>
      <c r="F19" s="31" t="s">
        <v>410</v>
      </c>
      <c r="G19" s="92"/>
    </row>
    <row r="20" spans="2:7" ht="20.100000000000001" customHeight="1" outlineLevel="2" x14ac:dyDescent="0.25">
      <c r="B20" s="29">
        <f>IF(E20="","",SUBTOTAL(103,$E$17:E20))</f>
        <v>4</v>
      </c>
      <c r="C20" s="61"/>
      <c r="D20" s="92"/>
      <c r="E20" s="31" t="s">
        <v>411</v>
      </c>
      <c r="F20" s="31" t="s">
        <v>412</v>
      </c>
      <c r="G20" s="92"/>
    </row>
    <row r="21" spans="2:7" ht="20.100000000000001" customHeight="1" outlineLevel="2" x14ac:dyDescent="0.25">
      <c r="B21" s="29">
        <f>IF(E21="","",SUBTOTAL(103,$E$17:E21))</f>
        <v>5</v>
      </c>
      <c r="C21" s="62"/>
      <c r="D21" s="93"/>
      <c r="E21" s="31" t="s">
        <v>415</v>
      </c>
      <c r="F21" s="31" t="s">
        <v>413</v>
      </c>
      <c r="G21" s="93"/>
    </row>
    <row r="22" spans="2:7" ht="20.100000000000001" customHeight="1" outlineLevel="2" x14ac:dyDescent="0.25">
      <c r="B22" s="34"/>
      <c r="C22" s="34"/>
      <c r="D22" s="35"/>
      <c r="E22" s="35"/>
      <c r="F22" s="35"/>
      <c r="G22" s="35"/>
    </row>
    <row r="23" spans="2:7" ht="20.100000000000001" customHeight="1" outlineLevel="1" x14ac:dyDescent="0.25">
      <c r="B23" s="32" t="s">
        <v>416</v>
      </c>
    </row>
    <row r="24" spans="2:7" ht="30" customHeight="1" outlineLevel="1" x14ac:dyDescent="0.25">
      <c r="B24" s="88" t="s">
        <v>387</v>
      </c>
      <c r="C24" s="89"/>
      <c r="D24" s="89"/>
      <c r="E24" s="89"/>
      <c r="F24" s="89"/>
      <c r="G24" s="90"/>
    </row>
    <row r="25" spans="2:7" ht="30" customHeight="1" outlineLevel="1" x14ac:dyDescent="0.25">
      <c r="B25" s="30" t="s">
        <v>376</v>
      </c>
      <c r="C25" s="30" t="s">
        <v>377</v>
      </c>
      <c r="D25" s="30" t="s">
        <v>378</v>
      </c>
      <c r="E25" s="30" t="s">
        <v>379</v>
      </c>
      <c r="F25" s="30" t="s">
        <v>380</v>
      </c>
      <c r="G25" s="30" t="s">
        <v>381</v>
      </c>
    </row>
    <row r="26" spans="2:7" ht="20.100000000000001" customHeight="1" outlineLevel="1" x14ac:dyDescent="0.25">
      <c r="B26" s="29">
        <f>IF(E26="","",SUBTOTAL(103,$E$26:E26))</f>
        <v>1</v>
      </c>
      <c r="C26" s="102" t="s">
        <v>417</v>
      </c>
      <c r="D26" s="91" t="s">
        <v>382</v>
      </c>
      <c r="E26" s="31" t="s">
        <v>420</v>
      </c>
      <c r="F26" s="31" t="s">
        <v>418</v>
      </c>
      <c r="G26" s="91" t="s">
        <v>384</v>
      </c>
    </row>
    <row r="27" spans="2:7" ht="20.100000000000001" customHeight="1" outlineLevel="1" x14ac:dyDescent="0.25">
      <c r="B27" s="29">
        <f>IF(E27="","",SUBTOTAL(103,$E$26:E27))</f>
        <v>2</v>
      </c>
      <c r="C27" s="103"/>
      <c r="D27" s="92"/>
      <c r="E27" s="31" t="s">
        <v>419</v>
      </c>
      <c r="F27" s="31" t="s">
        <v>421</v>
      </c>
      <c r="G27" s="92"/>
    </row>
    <row r="28" spans="2:7" ht="20.100000000000001" customHeight="1" outlineLevel="1" x14ac:dyDescent="0.25">
      <c r="B28" s="29">
        <f>IF(E28="","",SUBTOTAL(103,$E$26:E28))</f>
        <v>3</v>
      </c>
      <c r="C28" s="103"/>
      <c r="D28" s="92"/>
      <c r="E28" s="31" t="s">
        <v>422</v>
      </c>
      <c r="F28" s="31" t="s">
        <v>463</v>
      </c>
      <c r="G28" s="92"/>
    </row>
    <row r="29" spans="2:7" ht="20.100000000000001" customHeight="1" outlineLevel="1" x14ac:dyDescent="0.25">
      <c r="B29" s="29">
        <f>IF(E29="","",SUBTOTAL(103,$E$26:E29))</f>
        <v>4</v>
      </c>
      <c r="C29" s="103"/>
      <c r="D29" s="92"/>
      <c r="E29" s="31" t="s">
        <v>423</v>
      </c>
      <c r="F29" s="31" t="s">
        <v>424</v>
      </c>
      <c r="G29" s="92"/>
    </row>
    <row r="30" spans="2:7" ht="20.100000000000001" customHeight="1" outlineLevel="1" x14ac:dyDescent="0.25">
      <c r="B30" s="29">
        <f>IF(E30="","",SUBTOTAL(103,$E$26:E30))</f>
        <v>5</v>
      </c>
      <c r="C30" s="103"/>
      <c r="D30" s="92"/>
      <c r="E30" s="31" t="s">
        <v>425</v>
      </c>
      <c r="F30" s="31" t="s">
        <v>427</v>
      </c>
      <c r="G30" s="92"/>
    </row>
    <row r="31" spans="2:7" ht="20.100000000000001" customHeight="1" outlineLevel="1" x14ac:dyDescent="0.25">
      <c r="B31" s="29">
        <f>IF(E31="","",SUBTOTAL(103,$E$26:E31))</f>
        <v>6</v>
      </c>
      <c r="C31" s="103"/>
      <c r="D31" s="92"/>
      <c r="E31" s="31" t="s">
        <v>426</v>
      </c>
      <c r="F31" s="31" t="s">
        <v>432</v>
      </c>
      <c r="G31" s="92"/>
    </row>
    <row r="32" spans="2:7" ht="20.100000000000001" customHeight="1" outlineLevel="1" x14ac:dyDescent="0.25">
      <c r="B32" s="29">
        <f>IF(E32="","",SUBTOTAL(103,$E$26:E32))</f>
        <v>7</v>
      </c>
      <c r="C32" s="103"/>
      <c r="D32" s="92"/>
      <c r="E32" s="31" t="s">
        <v>434</v>
      </c>
      <c r="F32" s="31" t="s">
        <v>433</v>
      </c>
      <c r="G32" s="92"/>
    </row>
    <row r="33" spans="2:7" ht="20.100000000000001" customHeight="1" outlineLevel="1" x14ac:dyDescent="0.25">
      <c r="B33" s="29">
        <f>IF(E33="","",SUBTOTAL(103,$E$26:E33))</f>
        <v>8</v>
      </c>
      <c r="C33" s="103"/>
      <c r="D33" s="92"/>
      <c r="E33" s="31" t="s">
        <v>428</v>
      </c>
      <c r="F33" s="31" t="s">
        <v>429</v>
      </c>
      <c r="G33" s="92"/>
    </row>
    <row r="34" spans="2:7" ht="20.100000000000001" customHeight="1" outlineLevel="1" x14ac:dyDescent="0.25">
      <c r="B34" s="29">
        <f>IF(E34="","",SUBTOTAL(103,$E$26:E34))</f>
        <v>9</v>
      </c>
      <c r="C34" s="104"/>
      <c r="D34" s="93"/>
      <c r="E34" s="31" t="s">
        <v>430</v>
      </c>
      <c r="F34" s="31" t="s">
        <v>431</v>
      </c>
      <c r="G34" s="93"/>
    </row>
    <row r="35" spans="2:7" ht="20.100000000000001" customHeight="1" outlineLevel="1" x14ac:dyDescent="0.25">
      <c r="B35" s="29">
        <f>IF(E35="","",SUBTOTAL(103,$E$35:E35))</f>
        <v>1</v>
      </c>
      <c r="C35" s="101" t="s">
        <v>456</v>
      </c>
      <c r="D35" s="95" t="s">
        <v>382</v>
      </c>
      <c r="E35" s="31" t="s">
        <v>435</v>
      </c>
      <c r="F35" s="31" t="s">
        <v>436</v>
      </c>
      <c r="G35" s="98" t="s">
        <v>454</v>
      </c>
    </row>
    <row r="36" spans="2:7" ht="20.100000000000001" customHeight="1" outlineLevel="1" x14ac:dyDescent="0.25">
      <c r="B36" s="29">
        <f>IF(E36="","",SUBTOTAL(103,$E$35:E36))</f>
        <v>2</v>
      </c>
      <c r="C36" s="101"/>
      <c r="D36" s="95"/>
      <c r="E36" s="31" t="s">
        <v>453</v>
      </c>
      <c r="F36" s="31" t="s">
        <v>452</v>
      </c>
      <c r="G36" s="99"/>
    </row>
    <row r="37" spans="2:7" ht="20.100000000000001" customHeight="1" outlineLevel="1" x14ac:dyDescent="0.25">
      <c r="B37" s="29">
        <f>IF(E37="","",SUBTOTAL(103,$E$35:E37))</f>
        <v>3</v>
      </c>
      <c r="C37" s="101"/>
      <c r="D37" s="95"/>
      <c r="E37" s="31" t="s">
        <v>437</v>
      </c>
      <c r="F37" s="31" t="s">
        <v>438</v>
      </c>
      <c r="G37" s="99"/>
    </row>
    <row r="38" spans="2:7" ht="20.100000000000001" customHeight="1" outlineLevel="1" x14ac:dyDescent="0.25">
      <c r="B38" s="29">
        <f>IF(E38="","",SUBTOTAL(103,$E$35:E38))</f>
        <v>4</v>
      </c>
      <c r="C38" s="101"/>
      <c r="D38" s="95"/>
      <c r="E38" s="31" t="s">
        <v>439</v>
      </c>
      <c r="F38" s="31" t="s">
        <v>440</v>
      </c>
      <c r="G38" s="99"/>
    </row>
    <row r="39" spans="2:7" ht="20.100000000000001" customHeight="1" outlineLevel="1" x14ac:dyDescent="0.25">
      <c r="B39" s="29">
        <f>IF(E39="","",SUBTOTAL(103,$E$35:E39))</f>
        <v>5</v>
      </c>
      <c r="C39" s="101"/>
      <c r="D39" s="95"/>
      <c r="E39" s="31" t="s">
        <v>441</v>
      </c>
      <c r="F39" s="31" t="s">
        <v>442</v>
      </c>
      <c r="G39" s="99"/>
    </row>
    <row r="40" spans="2:7" ht="20.100000000000001" customHeight="1" outlineLevel="1" x14ac:dyDescent="0.25">
      <c r="B40" s="29">
        <f>IF(E40="","",SUBTOTAL(103,$E$35:E40))</f>
        <v>6</v>
      </c>
      <c r="C40" s="101"/>
      <c r="D40" s="95"/>
      <c r="E40" s="31" t="s">
        <v>444</v>
      </c>
      <c r="F40" s="31" t="s">
        <v>443</v>
      </c>
      <c r="G40" s="100"/>
    </row>
    <row r="41" spans="2:7" ht="20.100000000000001" customHeight="1" outlineLevel="1" x14ac:dyDescent="0.25">
      <c r="B41" s="29">
        <f>IF(E41="","",SUBTOTAL(103,$E$41:E41))</f>
        <v>1</v>
      </c>
      <c r="C41" s="94" t="s">
        <v>457</v>
      </c>
      <c r="D41" s="95" t="s">
        <v>382</v>
      </c>
      <c r="E41" s="31" t="s">
        <v>437</v>
      </c>
      <c r="F41" s="31" t="s">
        <v>458</v>
      </c>
      <c r="G41" s="91" t="s">
        <v>464</v>
      </c>
    </row>
    <row r="42" spans="2:7" ht="20.100000000000001" customHeight="1" outlineLevel="1" x14ac:dyDescent="0.25">
      <c r="B42" s="29">
        <f>IF(E42="","",SUBTOTAL(103,$E$41:E42))</f>
        <v>2</v>
      </c>
      <c r="C42" s="96"/>
      <c r="D42" s="95"/>
      <c r="E42" s="31" t="s">
        <v>439</v>
      </c>
      <c r="F42" s="31" t="s">
        <v>459</v>
      </c>
      <c r="G42" s="92"/>
    </row>
    <row r="43" spans="2:7" ht="20.100000000000001" customHeight="1" outlineLevel="1" x14ac:dyDescent="0.25">
      <c r="B43" s="29">
        <f>IF(E43="","",SUBTOTAL(103,$E$41:E43))</f>
        <v>3</v>
      </c>
      <c r="C43" s="96"/>
      <c r="D43" s="95"/>
      <c r="E43" s="31" t="s">
        <v>441</v>
      </c>
      <c r="F43" s="31" t="s">
        <v>460</v>
      </c>
      <c r="G43" s="92"/>
    </row>
    <row r="44" spans="2:7" ht="20.100000000000001" customHeight="1" outlineLevel="1" x14ac:dyDescent="0.25">
      <c r="B44" s="29">
        <f>IF(E44="","",SUBTOTAL(103,$E$41:E44))</f>
        <v>4</v>
      </c>
      <c r="C44" s="96"/>
      <c r="D44" s="95"/>
      <c r="E44" s="31" t="s">
        <v>461</v>
      </c>
      <c r="F44" s="31" t="s">
        <v>462</v>
      </c>
      <c r="G44" s="92"/>
    </row>
    <row r="45" spans="2:7" ht="20.100000000000001" customHeight="1" outlineLevel="1" x14ac:dyDescent="0.25">
      <c r="B45" s="29">
        <f>IF(E45="","",SUBTOTAL(103,$E$41:E45))</f>
        <v>5</v>
      </c>
      <c r="C45" s="96"/>
      <c r="D45" s="95" t="s">
        <v>451</v>
      </c>
      <c r="E45" s="31" t="s">
        <v>465</v>
      </c>
      <c r="F45" s="31" t="s">
        <v>466</v>
      </c>
      <c r="G45" s="92"/>
    </row>
    <row r="46" spans="2:7" ht="20.100000000000001" customHeight="1" outlineLevel="1" x14ac:dyDescent="0.25">
      <c r="B46" s="29">
        <f>IF(E46="","",SUBTOTAL(103,$E$41:E46))</f>
        <v>6</v>
      </c>
      <c r="C46" s="96"/>
      <c r="D46" s="95"/>
      <c r="E46" s="31" t="s">
        <v>472</v>
      </c>
      <c r="F46" s="31" t="s">
        <v>469</v>
      </c>
      <c r="G46" s="92"/>
    </row>
    <row r="47" spans="2:7" ht="20.100000000000001" customHeight="1" outlineLevel="1" x14ac:dyDescent="0.25">
      <c r="B47" s="29">
        <f>IF(E47="","",SUBTOTAL(103,$E$41:E47))</f>
        <v>7</v>
      </c>
      <c r="C47" s="96"/>
      <c r="D47" s="95"/>
      <c r="E47" s="31" t="s">
        <v>473</v>
      </c>
      <c r="F47" s="31" t="s">
        <v>474</v>
      </c>
      <c r="G47" s="92"/>
    </row>
    <row r="48" spans="2:7" ht="20.100000000000001" customHeight="1" outlineLevel="1" x14ac:dyDescent="0.25">
      <c r="B48" s="29"/>
      <c r="C48" s="96"/>
      <c r="D48" s="95"/>
      <c r="E48" s="31" t="s">
        <v>470</v>
      </c>
      <c r="F48" s="31" t="s">
        <v>467</v>
      </c>
      <c r="G48" s="92"/>
    </row>
    <row r="49" spans="2:7" ht="20.100000000000001" customHeight="1" outlineLevel="1" x14ac:dyDescent="0.25">
      <c r="B49" s="29">
        <f>IF(E49="","",SUBTOTAL(103,$E$41:E49))</f>
        <v>9</v>
      </c>
      <c r="C49" s="97"/>
      <c r="D49" s="95"/>
      <c r="E49" s="31" t="s">
        <v>471</v>
      </c>
      <c r="F49" s="31" t="s">
        <v>468</v>
      </c>
      <c r="G49" s="93"/>
    </row>
    <row r="50" spans="2:7" ht="20.100000000000001" customHeight="1" outlineLevel="1" x14ac:dyDescent="0.25">
      <c r="B50" s="34"/>
      <c r="C50" s="34"/>
      <c r="D50" s="35"/>
      <c r="E50" s="35"/>
      <c r="F50" s="35"/>
      <c r="G50" s="35"/>
    </row>
    <row r="51" spans="2:7" ht="20.100000000000001" customHeight="1" outlineLevel="1" x14ac:dyDescent="0.25">
      <c r="B51" s="34"/>
      <c r="C51" s="34"/>
      <c r="D51" s="35"/>
      <c r="E51" s="35"/>
      <c r="F51" s="35"/>
      <c r="G51" s="35"/>
    </row>
    <row r="52" spans="2:7" ht="20.100000000000001" customHeight="1" outlineLevel="1" x14ac:dyDescent="0.25">
      <c r="B52" s="34"/>
      <c r="C52" s="34"/>
      <c r="D52" s="35"/>
      <c r="E52" s="35"/>
      <c r="F52" s="35"/>
      <c r="G52" s="35"/>
    </row>
    <row r="53" spans="2:7" ht="20.100000000000001" customHeight="1" outlineLevel="1" x14ac:dyDescent="0.25">
      <c r="B53" s="34"/>
      <c r="C53" s="34"/>
      <c r="D53" s="35"/>
      <c r="E53" s="35"/>
      <c r="F53" s="35"/>
      <c r="G53" s="35"/>
    </row>
    <row r="54" spans="2:7" ht="20.100000000000001" customHeight="1" outlineLevel="1" x14ac:dyDescent="0.25">
      <c r="B54" s="34"/>
      <c r="C54" s="34"/>
      <c r="D54" s="35"/>
      <c r="E54" s="35"/>
      <c r="F54" s="35"/>
      <c r="G54" s="35"/>
    </row>
    <row r="55" spans="2:7" ht="20.100000000000001" customHeight="1" outlineLevel="1" x14ac:dyDescent="0.25">
      <c r="B55" s="34"/>
      <c r="C55" s="34"/>
      <c r="D55" s="35"/>
      <c r="E55" s="35"/>
      <c r="F55" s="35"/>
      <c r="G55" s="35"/>
    </row>
    <row r="56" spans="2:7" ht="20.100000000000001" customHeight="1" outlineLevel="1" x14ac:dyDescent="0.25">
      <c r="B56" s="34"/>
      <c r="C56" s="34"/>
      <c r="D56" s="35"/>
      <c r="E56" s="35"/>
      <c r="F56" s="35"/>
      <c r="G56" s="35"/>
    </row>
    <row r="57" spans="2:7" ht="20.100000000000001" customHeight="1" outlineLevel="1" x14ac:dyDescent="0.25">
      <c r="B57" s="34"/>
      <c r="C57" s="34"/>
      <c r="D57" s="35"/>
      <c r="E57" s="35"/>
      <c r="F57" s="35"/>
      <c r="G57" s="35"/>
    </row>
    <row r="58" spans="2:7" ht="20.100000000000001" customHeight="1" outlineLevel="1" x14ac:dyDescent="0.25">
      <c r="B58" s="34"/>
      <c r="C58" s="34"/>
      <c r="D58" s="35"/>
      <c r="E58" s="35"/>
      <c r="F58" s="35"/>
      <c r="G58" s="35"/>
    </row>
    <row r="59" spans="2:7" ht="20.100000000000001" customHeight="1" outlineLevel="1" x14ac:dyDescent="0.25">
      <c r="B59" s="34"/>
      <c r="C59" s="34"/>
      <c r="D59" s="35"/>
      <c r="E59" s="35"/>
      <c r="F59" s="35"/>
      <c r="G59" s="35"/>
    </row>
    <row r="60" spans="2:7" ht="20.100000000000001" customHeight="1" outlineLevel="1" x14ac:dyDescent="0.25">
      <c r="C60" s="34"/>
      <c r="D60" s="35"/>
      <c r="E60" s="35"/>
      <c r="F60" s="35"/>
      <c r="G60" s="35"/>
    </row>
    <row r="61" spans="2:7" ht="20.100000000000001" customHeight="1" outlineLevel="1" x14ac:dyDescent="0.25">
      <c r="B61" s="34"/>
      <c r="C61" s="34"/>
      <c r="D61" s="35"/>
      <c r="E61" s="35"/>
      <c r="F61" s="35"/>
      <c r="G61" s="35"/>
    </row>
    <row r="62" spans="2:7" ht="20.100000000000001" customHeight="1" outlineLevel="1" x14ac:dyDescent="0.25">
      <c r="B62" s="34"/>
      <c r="C62" s="34"/>
      <c r="D62" s="35"/>
      <c r="E62" s="35"/>
      <c r="F62" s="35"/>
      <c r="G62" s="35"/>
    </row>
    <row r="63" spans="2:7" ht="20.100000000000001" customHeight="1" outlineLevel="1" x14ac:dyDescent="0.25">
      <c r="B63" s="34"/>
      <c r="C63" s="34"/>
      <c r="D63" s="35"/>
      <c r="E63" s="35"/>
      <c r="F63" s="35"/>
      <c r="G63" s="35"/>
    </row>
    <row r="64" spans="2:7" ht="20.100000000000001" customHeight="1" outlineLevel="1" x14ac:dyDescent="0.25"/>
    <row r="65" ht="20.100000000000001" customHeight="1" outlineLevel="1" x14ac:dyDescent="0.25"/>
    <row r="66" ht="20.100000000000001" customHeight="1" outlineLevel="1" x14ac:dyDescent="0.25"/>
  </sheetData>
  <mergeCells count="19">
    <mergeCell ref="D45:D49"/>
    <mergeCell ref="C41:C49"/>
    <mergeCell ref="G41:G49"/>
    <mergeCell ref="C17:C21"/>
    <mergeCell ref="D17:D21"/>
    <mergeCell ref="G17:G21"/>
    <mergeCell ref="D41:D44"/>
    <mergeCell ref="G35:G40"/>
    <mergeCell ref="C35:C40"/>
    <mergeCell ref="D35:D40"/>
    <mergeCell ref="B24:G24"/>
    <mergeCell ref="C26:C34"/>
    <mergeCell ref="D26:D34"/>
    <mergeCell ref="G26:G34"/>
    <mergeCell ref="B3:G3"/>
    <mergeCell ref="G5:G12"/>
    <mergeCell ref="C5:C12"/>
    <mergeCell ref="D5:D12"/>
    <mergeCell ref="B15:G15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4757-101C-4423-8F47-42F3079BBAF3}">
  <sheetPr>
    <outlinePr summaryBelow="0"/>
  </sheetPr>
  <dimension ref="A1:G75"/>
  <sheetViews>
    <sheetView topLeftCell="A33" workbookViewId="0">
      <selection activeCell="F54" sqref="F54:F55"/>
    </sheetView>
  </sheetViews>
  <sheetFormatPr defaultRowHeight="20.100000000000001" customHeight="1" outlineLevelRow="2" x14ac:dyDescent="0.25"/>
  <cols>
    <col min="1" max="1" width="2.7109375" style="28" customWidth="1"/>
    <col min="2" max="2" width="5.7109375" style="28" customWidth="1"/>
    <col min="3" max="4" width="20.7109375" style="28" customWidth="1"/>
    <col min="5" max="5" width="40.7109375" style="28" customWidth="1"/>
    <col min="6" max="6" width="50.7109375" style="28" customWidth="1"/>
    <col min="7" max="7" width="46.7109375" style="28" customWidth="1"/>
    <col min="8" max="16384" width="9.140625" style="28"/>
  </cols>
  <sheetData>
    <row r="1" spans="1:7" ht="16.5" x14ac:dyDescent="0.25">
      <c r="A1" s="33">
        <v>1</v>
      </c>
      <c r="B1" s="33" t="s">
        <v>386</v>
      </c>
      <c r="C1" s="33"/>
    </row>
    <row r="2" spans="1:7" ht="20.100000000000001" customHeight="1" outlineLevel="1" x14ac:dyDescent="0.25">
      <c r="B2" s="32" t="s">
        <v>403</v>
      </c>
    </row>
    <row r="3" spans="1:7" ht="30" customHeight="1" outlineLevel="2" x14ac:dyDescent="0.25">
      <c r="B3" s="88" t="s">
        <v>387</v>
      </c>
      <c r="C3" s="89"/>
      <c r="D3" s="89"/>
      <c r="E3" s="89"/>
      <c r="F3" s="89"/>
      <c r="G3" s="90"/>
    </row>
    <row r="4" spans="1:7" ht="30" customHeight="1" outlineLevel="2" x14ac:dyDescent="0.25">
      <c r="B4" s="30" t="s">
        <v>376</v>
      </c>
      <c r="C4" s="30" t="s">
        <v>377</v>
      </c>
      <c r="D4" s="30" t="s">
        <v>378</v>
      </c>
      <c r="E4" s="30" t="s">
        <v>379</v>
      </c>
      <c r="F4" s="30" t="s">
        <v>380</v>
      </c>
      <c r="G4" s="30" t="s">
        <v>381</v>
      </c>
    </row>
    <row r="5" spans="1:7" ht="20.100000000000001" customHeight="1" outlineLevel="2" x14ac:dyDescent="0.25">
      <c r="B5" s="29">
        <f>IF(E5="","",SUBTOTAL(103,$E$5:E5))</f>
        <v>1</v>
      </c>
      <c r="C5" s="94" t="s">
        <v>402</v>
      </c>
      <c r="D5" s="91" t="s">
        <v>382</v>
      </c>
      <c r="E5" s="31" t="s">
        <v>554</v>
      </c>
      <c r="F5" s="31" t="s">
        <v>385</v>
      </c>
      <c r="G5" s="91" t="s">
        <v>384</v>
      </c>
    </row>
    <row r="6" spans="1:7" ht="20.100000000000001" customHeight="1" outlineLevel="2" x14ac:dyDescent="0.25">
      <c r="B6" s="29">
        <f>IF(E6="","",SUBTOTAL(103,$E$5:E6))</f>
        <v>2</v>
      </c>
      <c r="C6" s="61"/>
      <c r="D6" s="92"/>
      <c r="E6" s="31" t="s">
        <v>555</v>
      </c>
      <c r="F6" s="31" t="s">
        <v>389</v>
      </c>
      <c r="G6" s="92"/>
    </row>
    <row r="7" spans="1:7" ht="20.100000000000001" customHeight="1" outlineLevel="2" x14ac:dyDescent="0.25">
      <c r="B7" s="29">
        <f>IF(E7="","",SUBTOTAL(103,$E$5:E7))</f>
        <v>3</v>
      </c>
      <c r="C7" s="61"/>
      <c r="D7" s="92"/>
      <c r="E7" s="31" t="s">
        <v>556</v>
      </c>
      <c r="F7" s="31" t="s">
        <v>391</v>
      </c>
      <c r="G7" s="92"/>
    </row>
    <row r="8" spans="1:7" ht="20.100000000000001" customHeight="1" outlineLevel="2" x14ac:dyDescent="0.25">
      <c r="B8" s="29">
        <f>IF(E8="","",SUBTOTAL(103,$E$5:E8))</f>
        <v>4</v>
      </c>
      <c r="C8" s="61"/>
      <c r="D8" s="92"/>
      <c r="E8" s="31" t="s">
        <v>557</v>
      </c>
      <c r="F8" s="31" t="s">
        <v>393</v>
      </c>
      <c r="G8" s="92"/>
    </row>
    <row r="9" spans="1:7" ht="20.100000000000001" customHeight="1" outlineLevel="2" x14ac:dyDescent="0.25">
      <c r="B9" s="29">
        <f>IF(E9="","",SUBTOTAL(103,$E$5:E9))</f>
        <v>5</v>
      </c>
      <c r="C9" s="61"/>
      <c r="D9" s="92"/>
      <c r="E9" s="31" t="s">
        <v>558</v>
      </c>
      <c r="F9" s="31" t="s">
        <v>395</v>
      </c>
      <c r="G9" s="92"/>
    </row>
    <row r="10" spans="1:7" ht="20.100000000000001" customHeight="1" outlineLevel="2" x14ac:dyDescent="0.25">
      <c r="B10" s="29">
        <f>IF(E10="","",SUBTOTAL(103,$E$5:E10))</f>
        <v>6</v>
      </c>
      <c r="C10" s="61"/>
      <c r="D10" s="92"/>
      <c r="E10" s="31" t="s">
        <v>559</v>
      </c>
      <c r="F10" s="31" t="s">
        <v>397</v>
      </c>
      <c r="G10" s="92"/>
    </row>
    <row r="11" spans="1:7" ht="20.100000000000001" customHeight="1" outlineLevel="2" x14ac:dyDescent="0.25">
      <c r="B11" s="29">
        <f>IF(E11="","",SUBTOTAL(103,$E$5:E11))</f>
        <v>7</v>
      </c>
      <c r="C11" s="61"/>
      <c r="D11" s="92"/>
      <c r="E11" s="31" t="s">
        <v>560</v>
      </c>
      <c r="F11" s="31" t="s">
        <v>399</v>
      </c>
      <c r="G11" s="92"/>
    </row>
    <row r="12" spans="1:7" ht="20.100000000000001" customHeight="1" outlineLevel="2" x14ac:dyDescent="0.25">
      <c r="B12" s="29">
        <f>IF(E12="","",SUBTOTAL(103,$E$5:E12))</f>
        <v>8</v>
      </c>
      <c r="C12" s="62"/>
      <c r="D12" s="93"/>
      <c r="E12" s="31" t="s">
        <v>561</v>
      </c>
      <c r="F12" s="31" t="s">
        <v>401</v>
      </c>
      <c r="G12" s="93"/>
    </row>
    <row r="13" spans="1:7" ht="20.100000000000001" customHeight="1" outlineLevel="2" x14ac:dyDescent="0.25">
      <c r="B13" s="34"/>
      <c r="C13" s="34"/>
      <c r="D13" s="35"/>
      <c r="E13" s="35"/>
      <c r="F13" s="35"/>
      <c r="G13" s="35"/>
    </row>
    <row r="14" spans="1:7" ht="20.100000000000001" customHeight="1" outlineLevel="1" x14ac:dyDescent="0.25">
      <c r="B14" s="32" t="s">
        <v>404</v>
      </c>
    </row>
    <row r="15" spans="1:7" ht="30" customHeight="1" outlineLevel="2" x14ac:dyDescent="0.25">
      <c r="B15" s="88" t="s">
        <v>387</v>
      </c>
      <c r="C15" s="89"/>
      <c r="D15" s="89"/>
      <c r="E15" s="89"/>
      <c r="F15" s="89"/>
      <c r="G15" s="90"/>
    </row>
    <row r="16" spans="1:7" ht="30" customHeight="1" outlineLevel="2" x14ac:dyDescent="0.25">
      <c r="B16" s="30" t="s">
        <v>376</v>
      </c>
      <c r="C16" s="30" t="s">
        <v>377</v>
      </c>
      <c r="D16" s="30" t="s">
        <v>378</v>
      </c>
      <c r="E16" s="30" t="s">
        <v>379</v>
      </c>
      <c r="F16" s="30" t="s">
        <v>380</v>
      </c>
      <c r="G16" s="30" t="s">
        <v>381</v>
      </c>
    </row>
    <row r="17" spans="2:7" ht="20.100000000000001" customHeight="1" outlineLevel="2" x14ac:dyDescent="0.25">
      <c r="B17" s="29">
        <f>IF(E17="","",SUBTOTAL(103,$E$17:E17))</f>
        <v>1</v>
      </c>
      <c r="C17" s="94" t="s">
        <v>405</v>
      </c>
      <c r="D17" s="91" t="s">
        <v>382</v>
      </c>
      <c r="E17" s="31" t="s">
        <v>562</v>
      </c>
      <c r="F17" s="31" t="s">
        <v>406</v>
      </c>
      <c r="G17" s="91" t="s">
        <v>384</v>
      </c>
    </row>
    <row r="18" spans="2:7" ht="20.100000000000001" customHeight="1" outlineLevel="2" x14ac:dyDescent="0.25">
      <c r="B18" s="29">
        <f>IF(E18="","",SUBTOTAL(103,$E$17:E18))</f>
        <v>2</v>
      </c>
      <c r="C18" s="61"/>
      <c r="D18" s="92"/>
      <c r="E18" s="31" t="s">
        <v>563</v>
      </c>
      <c r="F18" s="31" t="s">
        <v>407</v>
      </c>
      <c r="G18" s="92"/>
    </row>
    <row r="19" spans="2:7" ht="20.100000000000001" customHeight="1" outlineLevel="2" x14ac:dyDescent="0.25">
      <c r="B19" s="29">
        <f>IF(E19="","",SUBTOTAL(103,$E$17:E19))</f>
        <v>3</v>
      </c>
      <c r="C19" s="61"/>
      <c r="D19" s="92"/>
      <c r="E19" s="31" t="s">
        <v>564</v>
      </c>
      <c r="F19" s="31" t="s">
        <v>410</v>
      </c>
      <c r="G19" s="92"/>
    </row>
    <row r="20" spans="2:7" ht="20.100000000000001" customHeight="1" outlineLevel="2" x14ac:dyDescent="0.25">
      <c r="B20" s="29">
        <f>IF(E20="","",SUBTOTAL(103,$E$17:E20))</f>
        <v>4</v>
      </c>
      <c r="C20" s="61"/>
      <c r="D20" s="92"/>
      <c r="E20" s="31" t="s">
        <v>565</v>
      </c>
      <c r="F20" s="31" t="s">
        <v>412</v>
      </c>
      <c r="G20" s="92"/>
    </row>
    <row r="21" spans="2:7" ht="20.100000000000001" customHeight="1" outlineLevel="2" x14ac:dyDescent="0.25">
      <c r="B21" s="29">
        <f>IF(E21="","",SUBTOTAL(103,$E$17:E21))</f>
        <v>5</v>
      </c>
      <c r="C21" s="62"/>
      <c r="D21" s="93"/>
      <c r="E21" s="31" t="s">
        <v>566</v>
      </c>
      <c r="F21" s="31" t="s">
        <v>413</v>
      </c>
      <c r="G21" s="93"/>
    </row>
    <row r="22" spans="2:7" ht="20.100000000000001" customHeight="1" outlineLevel="2" x14ac:dyDescent="0.25">
      <c r="B22" s="34"/>
      <c r="C22" s="34"/>
      <c r="D22" s="35"/>
      <c r="E22" s="35"/>
      <c r="F22" s="35"/>
      <c r="G22" s="35"/>
    </row>
    <row r="23" spans="2:7" ht="20.100000000000001" customHeight="1" outlineLevel="1" x14ac:dyDescent="0.25">
      <c r="B23" s="32" t="s">
        <v>416</v>
      </c>
    </row>
    <row r="24" spans="2:7" ht="30" customHeight="1" outlineLevel="1" x14ac:dyDescent="0.25">
      <c r="B24" s="88" t="s">
        <v>387</v>
      </c>
      <c r="C24" s="89"/>
      <c r="D24" s="89"/>
      <c r="E24" s="89"/>
      <c r="F24" s="89"/>
      <c r="G24" s="90"/>
    </row>
    <row r="25" spans="2:7" ht="30" customHeight="1" outlineLevel="1" x14ac:dyDescent="0.25">
      <c r="B25" s="30" t="s">
        <v>376</v>
      </c>
      <c r="C25" s="30" t="s">
        <v>377</v>
      </c>
      <c r="D25" s="30" t="s">
        <v>378</v>
      </c>
      <c r="E25" s="30" t="s">
        <v>379</v>
      </c>
      <c r="F25" s="30" t="s">
        <v>380</v>
      </c>
      <c r="G25" s="30" t="s">
        <v>381</v>
      </c>
    </row>
    <row r="26" spans="2:7" ht="20.100000000000001" customHeight="1" outlineLevel="1" x14ac:dyDescent="0.25">
      <c r="B26" s="29">
        <f>IF(E26="","",SUBTOTAL(103,$E$26:E26))</f>
        <v>1</v>
      </c>
      <c r="C26" s="102" t="s">
        <v>417</v>
      </c>
      <c r="D26" s="91" t="s">
        <v>382</v>
      </c>
      <c r="E26" s="31" t="s">
        <v>420</v>
      </c>
      <c r="F26" s="31" t="s">
        <v>418</v>
      </c>
      <c r="G26" s="91" t="s">
        <v>384</v>
      </c>
    </row>
    <row r="27" spans="2:7" ht="20.100000000000001" customHeight="1" outlineLevel="1" x14ac:dyDescent="0.25">
      <c r="B27" s="29">
        <f>IF(E27="","",SUBTOTAL(103,$E$26:E27))</f>
        <v>2</v>
      </c>
      <c r="C27" s="103"/>
      <c r="D27" s="92"/>
      <c r="E27" s="31" t="s">
        <v>419</v>
      </c>
      <c r="F27" s="31" t="s">
        <v>421</v>
      </c>
      <c r="G27" s="92"/>
    </row>
    <row r="28" spans="2:7" ht="20.100000000000001" customHeight="1" outlineLevel="1" x14ac:dyDescent="0.25">
      <c r="B28" s="29">
        <f>IF(E28="","",SUBTOTAL(103,$E$26:E28))</f>
        <v>3</v>
      </c>
      <c r="C28" s="103"/>
      <c r="D28" s="92"/>
      <c r="E28" s="31" t="s">
        <v>422</v>
      </c>
      <c r="F28" s="31" t="s">
        <v>463</v>
      </c>
      <c r="G28" s="92"/>
    </row>
    <row r="29" spans="2:7" ht="20.100000000000001" customHeight="1" outlineLevel="1" x14ac:dyDescent="0.25">
      <c r="B29" s="29">
        <f>IF(E29="","",SUBTOTAL(103,$E$26:E29))</f>
        <v>4</v>
      </c>
      <c r="C29" s="103"/>
      <c r="D29" s="92"/>
      <c r="E29" s="31" t="s">
        <v>423</v>
      </c>
      <c r="F29" s="31" t="s">
        <v>424</v>
      </c>
      <c r="G29" s="92"/>
    </row>
    <row r="30" spans="2:7" ht="20.100000000000001" customHeight="1" outlineLevel="1" x14ac:dyDescent="0.25">
      <c r="B30" s="29">
        <f>IF(E30="","",SUBTOTAL(103,$E$26:E30))</f>
        <v>5</v>
      </c>
      <c r="C30" s="103"/>
      <c r="D30" s="92"/>
      <c r="E30" s="31" t="s">
        <v>425</v>
      </c>
      <c r="F30" s="31" t="s">
        <v>427</v>
      </c>
      <c r="G30" s="92"/>
    </row>
    <row r="31" spans="2:7" ht="20.100000000000001" customHeight="1" outlineLevel="1" x14ac:dyDescent="0.25">
      <c r="B31" s="29">
        <f>IF(E31="","",SUBTOTAL(103,$E$26:E31))</f>
        <v>6</v>
      </c>
      <c r="C31" s="103"/>
      <c r="D31" s="92"/>
      <c r="E31" s="31" t="s">
        <v>426</v>
      </c>
      <c r="F31" s="31" t="s">
        <v>432</v>
      </c>
      <c r="G31" s="92"/>
    </row>
    <row r="32" spans="2:7" ht="20.100000000000001" customHeight="1" outlineLevel="1" x14ac:dyDescent="0.25">
      <c r="B32" s="29">
        <f>IF(E32="","",SUBTOTAL(103,$E$26:E32))</f>
        <v>7</v>
      </c>
      <c r="C32" s="103"/>
      <c r="D32" s="92"/>
      <c r="E32" s="31" t="s">
        <v>434</v>
      </c>
      <c r="F32" s="31" t="s">
        <v>433</v>
      </c>
      <c r="G32" s="92"/>
    </row>
    <row r="33" spans="2:7" ht="20.100000000000001" customHeight="1" outlineLevel="1" x14ac:dyDescent="0.25">
      <c r="B33" s="29">
        <f>IF(E33="","",SUBTOTAL(103,$E$26:E33))</f>
        <v>8</v>
      </c>
      <c r="C33" s="103"/>
      <c r="D33" s="92"/>
      <c r="E33" s="31" t="s">
        <v>428</v>
      </c>
      <c r="F33" s="31" t="s">
        <v>429</v>
      </c>
      <c r="G33" s="92"/>
    </row>
    <row r="34" spans="2:7" ht="20.100000000000001" customHeight="1" outlineLevel="1" x14ac:dyDescent="0.25">
      <c r="B34" s="29">
        <f>IF(E34="","",SUBTOTAL(103,$E$26:E34))</f>
        <v>9</v>
      </c>
      <c r="C34" s="104"/>
      <c r="D34" s="93"/>
      <c r="E34" s="31" t="s">
        <v>430</v>
      </c>
      <c r="F34" s="31" t="s">
        <v>431</v>
      </c>
      <c r="G34" s="93"/>
    </row>
    <row r="35" spans="2:7" ht="20.100000000000001" customHeight="1" outlineLevel="1" x14ac:dyDescent="0.25">
      <c r="B35" s="29">
        <f>IF(E35="","",SUBTOTAL(103,$E$35:E35))</f>
        <v>1</v>
      </c>
      <c r="C35" s="101" t="s">
        <v>456</v>
      </c>
      <c r="D35" s="95" t="s">
        <v>382</v>
      </c>
      <c r="E35" s="31" t="s">
        <v>435</v>
      </c>
      <c r="F35" s="31" t="s">
        <v>436</v>
      </c>
      <c r="G35" s="98" t="s">
        <v>454</v>
      </c>
    </row>
    <row r="36" spans="2:7" ht="20.100000000000001" customHeight="1" outlineLevel="1" x14ac:dyDescent="0.25">
      <c r="B36" s="29">
        <f>IF(E36="","",SUBTOTAL(103,$E$35:E36))</f>
        <v>2</v>
      </c>
      <c r="C36" s="101"/>
      <c r="D36" s="95"/>
      <c r="E36" s="31" t="s">
        <v>453</v>
      </c>
      <c r="F36" s="31" t="s">
        <v>452</v>
      </c>
      <c r="G36" s="99"/>
    </row>
    <row r="37" spans="2:7" ht="20.100000000000001" customHeight="1" outlineLevel="1" x14ac:dyDescent="0.25">
      <c r="B37" s="29">
        <f>IF(E37="","",SUBTOTAL(103,$E$35:E37))</f>
        <v>3</v>
      </c>
      <c r="C37" s="101"/>
      <c r="D37" s="95"/>
      <c r="E37" s="31" t="s">
        <v>437</v>
      </c>
      <c r="F37" s="31" t="s">
        <v>438</v>
      </c>
      <c r="G37" s="99"/>
    </row>
    <row r="38" spans="2:7" ht="20.100000000000001" customHeight="1" outlineLevel="1" x14ac:dyDescent="0.25">
      <c r="B38" s="29">
        <f>IF(E38="","",SUBTOTAL(103,$E$35:E38))</f>
        <v>4</v>
      </c>
      <c r="C38" s="101"/>
      <c r="D38" s="95"/>
      <c r="E38" s="31" t="s">
        <v>439</v>
      </c>
      <c r="F38" s="31" t="s">
        <v>440</v>
      </c>
      <c r="G38" s="99"/>
    </row>
    <row r="39" spans="2:7" ht="20.100000000000001" customHeight="1" outlineLevel="1" x14ac:dyDescent="0.25">
      <c r="B39" s="29">
        <f>IF(E39="","",SUBTOTAL(103,$E$35:E39))</f>
        <v>5</v>
      </c>
      <c r="C39" s="101"/>
      <c r="D39" s="95"/>
      <c r="E39" s="31" t="s">
        <v>441</v>
      </c>
      <c r="F39" s="31" t="s">
        <v>442</v>
      </c>
      <c r="G39" s="99"/>
    </row>
    <row r="40" spans="2:7" ht="20.100000000000001" customHeight="1" outlineLevel="1" x14ac:dyDescent="0.25">
      <c r="B40" s="29">
        <f>IF(E40="","",SUBTOTAL(103,$E$35:E40))</f>
        <v>6</v>
      </c>
      <c r="C40" s="101"/>
      <c r="D40" s="95"/>
      <c r="E40" s="31" t="s">
        <v>444</v>
      </c>
      <c r="F40" s="31" t="s">
        <v>443</v>
      </c>
      <c r="G40" s="100"/>
    </row>
    <row r="41" spans="2:7" ht="20.100000000000001" customHeight="1" outlineLevel="1" x14ac:dyDescent="0.25">
      <c r="B41" s="29">
        <f>IF(E41="","",SUBTOTAL(103,$E$35:E41))</f>
        <v>7</v>
      </c>
      <c r="C41" s="101"/>
      <c r="D41" s="95" t="s">
        <v>451</v>
      </c>
      <c r="E41" s="31" t="s">
        <v>445</v>
      </c>
      <c r="F41" s="31" t="s">
        <v>446</v>
      </c>
      <c r="G41" s="98" t="s">
        <v>455</v>
      </c>
    </row>
    <row r="42" spans="2:7" ht="20.100000000000001" customHeight="1" outlineLevel="1" x14ac:dyDescent="0.25">
      <c r="B42" s="29">
        <f>IF(E42="","",SUBTOTAL(103,$E$35:E42))</f>
        <v>8</v>
      </c>
      <c r="C42" s="101"/>
      <c r="D42" s="95"/>
      <c r="E42" s="31" t="s">
        <v>447</v>
      </c>
      <c r="F42" s="31" t="s">
        <v>448</v>
      </c>
      <c r="G42" s="99"/>
    </row>
    <row r="43" spans="2:7" ht="20.100000000000001" customHeight="1" outlineLevel="1" x14ac:dyDescent="0.25">
      <c r="B43" s="29">
        <f>IF(E43="","",SUBTOTAL(103,$E$35:E43))</f>
        <v>9</v>
      </c>
      <c r="C43" s="101"/>
      <c r="D43" s="95"/>
      <c r="E43" s="31" t="s">
        <v>449</v>
      </c>
      <c r="F43" s="31" t="s">
        <v>450</v>
      </c>
      <c r="G43" s="100"/>
    </row>
    <row r="44" spans="2:7" ht="20.100000000000001" customHeight="1" outlineLevel="1" x14ac:dyDescent="0.25">
      <c r="B44" s="29">
        <f>IF(E44="","",SUBTOTAL(103,$E$44:E44))</f>
        <v>1</v>
      </c>
      <c r="C44" s="101" t="s">
        <v>457</v>
      </c>
      <c r="D44" s="95" t="s">
        <v>382</v>
      </c>
      <c r="E44" s="31" t="s">
        <v>437</v>
      </c>
      <c r="F44" s="31" t="s">
        <v>458</v>
      </c>
      <c r="G44" s="98" t="s">
        <v>454</v>
      </c>
    </row>
    <row r="45" spans="2:7" ht="20.100000000000001" customHeight="1" outlineLevel="1" x14ac:dyDescent="0.25">
      <c r="B45" s="29">
        <f>IF(E45="","",SUBTOTAL(103,$E$44:E45))</f>
        <v>2</v>
      </c>
      <c r="C45" s="101"/>
      <c r="D45" s="95"/>
      <c r="E45" s="31" t="s">
        <v>439</v>
      </c>
      <c r="F45" s="31" t="s">
        <v>459</v>
      </c>
      <c r="G45" s="99"/>
    </row>
    <row r="46" spans="2:7" ht="20.100000000000001" customHeight="1" outlineLevel="1" x14ac:dyDescent="0.25">
      <c r="B46" s="29">
        <f>IF(E46="","",SUBTOTAL(103,$E$44:E46))</f>
        <v>3</v>
      </c>
      <c r="C46" s="101"/>
      <c r="D46" s="95"/>
      <c r="E46" s="31" t="s">
        <v>441</v>
      </c>
      <c r="F46" s="31" t="s">
        <v>460</v>
      </c>
      <c r="G46" s="99"/>
    </row>
    <row r="47" spans="2:7" ht="20.100000000000001" customHeight="1" outlineLevel="1" x14ac:dyDescent="0.25">
      <c r="B47" s="29">
        <f>IF(E47="","",SUBTOTAL(103,$E$44:E47))</f>
        <v>4</v>
      </c>
      <c r="C47" s="101"/>
      <c r="D47" s="95"/>
      <c r="E47" s="31" t="s">
        <v>461</v>
      </c>
      <c r="F47" s="31" t="s">
        <v>462</v>
      </c>
      <c r="G47" s="99"/>
    </row>
    <row r="48" spans="2:7" ht="20.100000000000001" customHeight="1" outlineLevel="1" x14ac:dyDescent="0.25">
      <c r="B48" s="29">
        <f>IF(E48="","",SUBTOTAL(103,$E$44:E48))</f>
        <v>5</v>
      </c>
      <c r="C48" s="101"/>
      <c r="D48" s="95"/>
      <c r="E48" s="31" t="s">
        <v>441</v>
      </c>
      <c r="F48" s="31" t="s">
        <v>442</v>
      </c>
      <c r="G48" s="99"/>
    </row>
    <row r="49" spans="2:7" ht="20.100000000000001" customHeight="1" outlineLevel="1" x14ac:dyDescent="0.25">
      <c r="B49" s="29">
        <f>IF(E49="","",SUBTOTAL(103,$E$44:E49))</f>
        <v>6</v>
      </c>
      <c r="C49" s="101"/>
      <c r="D49" s="95"/>
      <c r="E49" s="31" t="s">
        <v>444</v>
      </c>
      <c r="F49" s="31" t="s">
        <v>443</v>
      </c>
      <c r="G49" s="100"/>
    </row>
    <row r="50" spans="2:7" ht="20.100000000000001" customHeight="1" outlineLevel="1" x14ac:dyDescent="0.25">
      <c r="B50" s="29">
        <f>IF(E50="","",SUBTOTAL(103,$E$44:E50))</f>
        <v>7</v>
      </c>
      <c r="C50" s="101"/>
      <c r="D50" s="95" t="s">
        <v>451</v>
      </c>
      <c r="E50" s="31" t="s">
        <v>445</v>
      </c>
      <c r="F50" s="31" t="s">
        <v>446</v>
      </c>
      <c r="G50" s="94"/>
    </row>
    <row r="51" spans="2:7" ht="20.100000000000001" customHeight="1" outlineLevel="1" x14ac:dyDescent="0.25">
      <c r="B51" s="29">
        <f>IF(E51="","",SUBTOTAL(103,$E$44:E51))</f>
        <v>8</v>
      </c>
      <c r="C51" s="101"/>
      <c r="D51" s="95"/>
      <c r="E51" s="31" t="s">
        <v>447</v>
      </c>
      <c r="F51" s="31" t="s">
        <v>448</v>
      </c>
      <c r="G51" s="96"/>
    </row>
    <row r="52" spans="2:7" ht="20.100000000000001" customHeight="1" outlineLevel="1" x14ac:dyDescent="0.25">
      <c r="B52" s="29">
        <f>IF(E52="","",SUBTOTAL(103,$E$44:E52))</f>
        <v>9</v>
      </c>
      <c r="C52" s="101"/>
      <c r="D52" s="95"/>
      <c r="E52" s="31" t="s">
        <v>449</v>
      </c>
      <c r="F52" s="31" t="s">
        <v>450</v>
      </c>
      <c r="G52" s="97"/>
    </row>
    <row r="53" spans="2:7" ht="20.100000000000001" customHeight="1" outlineLevel="1" x14ac:dyDescent="0.25">
      <c r="B53" s="34"/>
      <c r="C53" s="34"/>
      <c r="D53" s="35"/>
      <c r="E53" s="35"/>
      <c r="F53" s="35"/>
      <c r="G53" s="35"/>
    </row>
    <row r="54" spans="2:7" ht="20.100000000000001" customHeight="1" outlineLevel="1" x14ac:dyDescent="0.25">
      <c r="B54" s="34"/>
      <c r="C54" s="34"/>
      <c r="D54" s="35"/>
      <c r="E54" s="35"/>
      <c r="F54" s="35"/>
      <c r="G54" s="35"/>
    </row>
    <row r="55" spans="2:7" ht="20.100000000000001" customHeight="1" outlineLevel="1" x14ac:dyDescent="0.25">
      <c r="B55" s="34"/>
      <c r="C55" s="34"/>
      <c r="D55" s="35"/>
      <c r="E55" s="35"/>
      <c r="F55" s="35"/>
      <c r="G55" s="35"/>
    </row>
    <row r="56" spans="2:7" ht="20.100000000000001" customHeight="1" outlineLevel="1" x14ac:dyDescent="0.25">
      <c r="B56" s="34"/>
      <c r="C56" s="34"/>
      <c r="D56" s="35"/>
      <c r="E56" s="35"/>
      <c r="F56" s="35"/>
      <c r="G56" s="35"/>
    </row>
    <row r="57" spans="2:7" ht="20.100000000000001" customHeight="1" outlineLevel="1" x14ac:dyDescent="0.25">
      <c r="B57" s="34"/>
      <c r="C57" s="34"/>
      <c r="D57" s="35"/>
      <c r="E57" s="35"/>
      <c r="F57" s="35"/>
      <c r="G57" s="35"/>
    </row>
    <row r="58" spans="2:7" ht="20.100000000000001" customHeight="1" outlineLevel="1" x14ac:dyDescent="0.25">
      <c r="B58" s="34"/>
      <c r="C58" s="34"/>
      <c r="D58" s="35"/>
      <c r="E58" s="35"/>
      <c r="F58" s="35"/>
      <c r="G58" s="35"/>
    </row>
    <row r="59" spans="2:7" ht="20.100000000000001" customHeight="1" outlineLevel="1" x14ac:dyDescent="0.25">
      <c r="B59" s="34"/>
      <c r="C59" s="34"/>
      <c r="D59" s="35"/>
      <c r="E59" s="35"/>
      <c r="F59" s="35"/>
      <c r="G59" s="35"/>
    </row>
    <row r="60" spans="2:7" ht="20.100000000000001" customHeight="1" outlineLevel="1" x14ac:dyDescent="0.25">
      <c r="B60" s="34"/>
      <c r="C60" s="34"/>
      <c r="D60" s="35"/>
      <c r="E60" s="35"/>
      <c r="F60" s="35"/>
      <c r="G60" s="35"/>
    </row>
    <row r="61" spans="2:7" ht="20.100000000000001" customHeight="1" outlineLevel="1" x14ac:dyDescent="0.25">
      <c r="B61" s="34"/>
      <c r="C61" s="34"/>
      <c r="D61" s="35"/>
      <c r="E61" s="35"/>
      <c r="F61" s="35"/>
      <c r="G61" s="35"/>
    </row>
    <row r="62" spans="2:7" ht="20.100000000000001" customHeight="1" outlineLevel="1" x14ac:dyDescent="0.25">
      <c r="B62" s="34"/>
      <c r="C62" s="34"/>
      <c r="D62" s="35"/>
      <c r="E62" s="35"/>
      <c r="F62" s="35"/>
      <c r="G62" s="35"/>
    </row>
    <row r="63" spans="2:7" ht="20.100000000000001" customHeight="1" outlineLevel="1" x14ac:dyDescent="0.25">
      <c r="B63" s="34"/>
      <c r="C63" s="34"/>
      <c r="D63" s="35"/>
      <c r="E63" s="35"/>
      <c r="F63" s="35"/>
      <c r="G63" s="35"/>
    </row>
    <row r="64" spans="2:7" ht="20.100000000000001" customHeight="1" outlineLevel="1" x14ac:dyDescent="0.25">
      <c r="B64" s="34"/>
      <c r="C64" s="34"/>
      <c r="D64" s="35"/>
      <c r="E64" s="35"/>
      <c r="F64" s="35"/>
      <c r="G64" s="35"/>
    </row>
    <row r="65" spans="2:7" ht="20.100000000000001" customHeight="1" outlineLevel="1" x14ac:dyDescent="0.25">
      <c r="B65" s="34"/>
      <c r="C65" s="34"/>
      <c r="D65" s="35"/>
      <c r="E65" s="35"/>
      <c r="F65" s="35"/>
      <c r="G65" s="35"/>
    </row>
    <row r="66" spans="2:7" ht="20.100000000000001" customHeight="1" outlineLevel="1" x14ac:dyDescent="0.25">
      <c r="B66" s="34"/>
      <c r="C66" s="34"/>
      <c r="D66" s="35"/>
      <c r="E66" s="35"/>
      <c r="F66" s="35"/>
      <c r="G66" s="35"/>
    </row>
    <row r="67" spans="2:7" ht="20.100000000000001" customHeight="1" outlineLevel="1" x14ac:dyDescent="0.25">
      <c r="B67" s="34"/>
      <c r="C67" s="34"/>
      <c r="D67" s="35"/>
      <c r="E67" s="35"/>
      <c r="F67" s="35"/>
      <c r="G67" s="35"/>
    </row>
    <row r="68" spans="2:7" ht="20.100000000000001" customHeight="1" outlineLevel="1" x14ac:dyDescent="0.25">
      <c r="B68" s="34"/>
      <c r="C68" s="34"/>
      <c r="D68" s="35"/>
      <c r="E68" s="35"/>
      <c r="F68" s="35"/>
      <c r="G68" s="35"/>
    </row>
    <row r="69" spans="2:7" ht="20.100000000000001" customHeight="1" outlineLevel="1" x14ac:dyDescent="0.25">
      <c r="B69" s="34"/>
      <c r="C69" s="34"/>
      <c r="D69" s="35"/>
      <c r="E69" s="35"/>
      <c r="F69" s="35"/>
      <c r="G69" s="35"/>
    </row>
    <row r="70" spans="2:7" ht="20.100000000000001" customHeight="1" outlineLevel="1" x14ac:dyDescent="0.25">
      <c r="B70" s="34"/>
      <c r="C70" s="34"/>
      <c r="D70" s="35"/>
      <c r="E70" s="35"/>
      <c r="F70" s="35"/>
      <c r="G70" s="35"/>
    </row>
    <row r="71" spans="2:7" ht="20.100000000000001" customHeight="1" outlineLevel="1" x14ac:dyDescent="0.25">
      <c r="B71" s="34"/>
      <c r="C71" s="34"/>
      <c r="D71" s="35"/>
      <c r="E71" s="35"/>
      <c r="F71" s="35"/>
      <c r="G71" s="35"/>
    </row>
    <row r="72" spans="2:7" ht="20.100000000000001" customHeight="1" outlineLevel="1" x14ac:dyDescent="0.25">
      <c r="B72" s="34"/>
      <c r="C72" s="34"/>
      <c r="D72" s="35"/>
      <c r="E72" s="35"/>
      <c r="F72" s="35"/>
      <c r="G72" s="35"/>
    </row>
    <row r="73" spans="2:7" ht="20.100000000000001" customHeight="1" outlineLevel="1" x14ac:dyDescent="0.25"/>
    <row r="74" spans="2:7" ht="20.100000000000001" customHeight="1" outlineLevel="1" x14ac:dyDescent="0.25"/>
    <row r="75" spans="2:7" ht="20.100000000000001" customHeight="1" outlineLevel="1" x14ac:dyDescent="0.25"/>
  </sheetData>
  <mergeCells count="22">
    <mergeCell ref="C44:C52"/>
    <mergeCell ref="D44:D49"/>
    <mergeCell ref="G44:G49"/>
    <mergeCell ref="D50:D52"/>
    <mergeCell ref="G50:G52"/>
    <mergeCell ref="B24:G24"/>
    <mergeCell ref="C26:C34"/>
    <mergeCell ref="D26:D34"/>
    <mergeCell ref="G26:G34"/>
    <mergeCell ref="C35:C43"/>
    <mergeCell ref="D35:D40"/>
    <mergeCell ref="G35:G40"/>
    <mergeCell ref="D41:D43"/>
    <mergeCell ref="G41:G43"/>
    <mergeCell ref="C17:C21"/>
    <mergeCell ref="D17:D21"/>
    <mergeCell ref="G17:G21"/>
    <mergeCell ref="B3:G3"/>
    <mergeCell ref="C5:C12"/>
    <mergeCell ref="D5:D12"/>
    <mergeCell ref="G5:G12"/>
    <mergeCell ref="B15:G15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AE81-9455-4876-A92B-64BF54D10E02}">
  <dimension ref="A1:F46"/>
  <sheetViews>
    <sheetView workbookViewId="0">
      <selection activeCell="C15" sqref="C15"/>
    </sheetView>
  </sheetViews>
  <sheetFormatPr defaultRowHeight="24.95" customHeight="1" x14ac:dyDescent="0.25"/>
  <cols>
    <col min="1" max="1" width="5.7109375" style="34" customWidth="1"/>
    <col min="2" max="2" width="15.7109375" style="34" customWidth="1"/>
    <col min="3" max="3" width="55.7109375" style="35" customWidth="1"/>
    <col min="4" max="4" width="60.7109375" style="35" customWidth="1"/>
    <col min="5" max="6" width="20.7109375" style="35" customWidth="1"/>
    <col min="7" max="16384" width="9.140625" style="28"/>
  </cols>
  <sheetData>
    <row r="1" spans="1:6" ht="35.1" customHeight="1" x14ac:dyDescent="0.25">
      <c r="A1" s="63" t="s">
        <v>477</v>
      </c>
      <c r="B1" s="63"/>
      <c r="C1" s="63"/>
      <c r="D1" s="63"/>
      <c r="E1" s="63"/>
      <c r="F1" s="63"/>
    </row>
    <row r="2" spans="1:6" ht="35.1" customHeight="1" x14ac:dyDescent="0.25">
      <c r="A2" s="30" t="s">
        <v>376</v>
      </c>
      <c r="B2" s="30" t="s">
        <v>478</v>
      </c>
      <c r="C2" s="30" t="s">
        <v>479</v>
      </c>
      <c r="D2" s="30" t="s">
        <v>380</v>
      </c>
      <c r="E2" s="30" t="s">
        <v>480</v>
      </c>
      <c r="F2" s="30" t="s">
        <v>481</v>
      </c>
    </row>
    <row r="3" spans="1:6" ht="24.95" customHeight="1" x14ac:dyDescent="0.25">
      <c r="A3" s="29">
        <f>IF(C3="","",SUBTOTAL(103,C3:$C$3))</f>
        <v>1</v>
      </c>
      <c r="B3" s="29" t="s">
        <v>475</v>
      </c>
      <c r="C3" s="31" t="s">
        <v>567</v>
      </c>
      <c r="D3" s="31" t="s">
        <v>482</v>
      </c>
      <c r="E3" s="31" t="s">
        <v>476</v>
      </c>
      <c r="F3" s="31" t="s">
        <v>476</v>
      </c>
    </row>
    <row r="4" spans="1:6" ht="24.95" customHeight="1" x14ac:dyDescent="0.25">
      <c r="A4" s="29">
        <f>IF(C4="","",SUBTOTAL(103,C$3:$C4))</f>
        <v>2</v>
      </c>
      <c r="B4" s="29" t="s">
        <v>483</v>
      </c>
      <c r="C4" s="31" t="s">
        <v>568</v>
      </c>
      <c r="D4" s="31" t="s">
        <v>484</v>
      </c>
      <c r="E4" s="31" t="s">
        <v>476</v>
      </c>
      <c r="F4" s="31" t="s">
        <v>476</v>
      </c>
    </row>
    <row r="5" spans="1:6" ht="24.95" customHeight="1" x14ac:dyDescent="0.25">
      <c r="A5" s="29">
        <f>IF(C5="","",SUBTOTAL(103,C$3:$C5))</f>
        <v>3</v>
      </c>
      <c r="B5" s="64" t="s">
        <v>485</v>
      </c>
      <c r="C5" s="31" t="s">
        <v>569</v>
      </c>
      <c r="D5" s="31" t="s">
        <v>489</v>
      </c>
      <c r="E5" s="31" t="s">
        <v>486</v>
      </c>
      <c r="F5" s="36"/>
    </row>
    <row r="6" spans="1:6" ht="24.95" customHeight="1" x14ac:dyDescent="0.25">
      <c r="A6" s="29">
        <f>IF(C6="","",SUBTOTAL(103,C$3:$C6))</f>
        <v>4</v>
      </c>
      <c r="B6" s="64"/>
      <c r="C6" s="31" t="s">
        <v>570</v>
      </c>
      <c r="D6" s="31" t="s">
        <v>487</v>
      </c>
      <c r="E6" s="31" t="s">
        <v>488</v>
      </c>
      <c r="F6" s="37"/>
    </row>
    <row r="7" spans="1:6" ht="24.95" customHeight="1" x14ac:dyDescent="0.25">
      <c r="A7" s="29">
        <f>IF(C7="","",SUBTOTAL(103,C$3:$C7))</f>
        <v>5</v>
      </c>
      <c r="B7" s="64"/>
      <c r="C7" s="31" t="s">
        <v>571</v>
      </c>
      <c r="D7" s="31" t="s">
        <v>490</v>
      </c>
      <c r="E7" s="31" t="s">
        <v>476</v>
      </c>
      <c r="F7" s="31" t="s">
        <v>476</v>
      </c>
    </row>
    <row r="8" spans="1:6" ht="24.95" customHeight="1" x14ac:dyDescent="0.25">
      <c r="A8" s="29">
        <f>IF(C8="","",SUBTOTAL(103,C$3:$C8))</f>
        <v>6</v>
      </c>
      <c r="B8" s="64"/>
      <c r="C8" s="31" t="s">
        <v>572</v>
      </c>
      <c r="D8" s="31" t="s">
        <v>491</v>
      </c>
      <c r="E8" s="31" t="s">
        <v>476</v>
      </c>
      <c r="F8" s="31" t="s">
        <v>476</v>
      </c>
    </row>
    <row r="9" spans="1:6" ht="24.95" customHeight="1" x14ac:dyDescent="0.25">
      <c r="A9" s="29">
        <f>IF(C9="","",SUBTOTAL(103,C$3:$C9))</f>
        <v>7</v>
      </c>
      <c r="B9" s="64"/>
      <c r="C9" s="31" t="s">
        <v>573</v>
      </c>
      <c r="D9" s="31" t="s">
        <v>492</v>
      </c>
      <c r="E9" s="31" t="s">
        <v>476</v>
      </c>
      <c r="F9" s="31" t="s">
        <v>476</v>
      </c>
    </row>
    <row r="10" spans="1:6" ht="24.95" customHeight="1" x14ac:dyDescent="0.25">
      <c r="A10" s="29">
        <f>IF(C10="","",SUBTOTAL(103,C$3:$C10))</f>
        <v>8</v>
      </c>
      <c r="B10" s="64"/>
      <c r="C10" s="31" t="s">
        <v>574</v>
      </c>
      <c r="D10" s="31" t="s">
        <v>493</v>
      </c>
      <c r="E10" s="31" t="s">
        <v>494</v>
      </c>
      <c r="F10" s="38"/>
    </row>
    <row r="11" spans="1:6" ht="24.95" customHeight="1" x14ac:dyDescent="0.25">
      <c r="A11" s="29">
        <f>IF(C11="","",SUBTOTAL(103,C$3:$C11))</f>
        <v>9</v>
      </c>
      <c r="B11" s="64"/>
      <c r="C11" s="31" t="s">
        <v>575</v>
      </c>
      <c r="D11" s="31" t="s">
        <v>495</v>
      </c>
      <c r="E11" s="31" t="s">
        <v>496</v>
      </c>
      <c r="F11" s="41"/>
    </row>
    <row r="12" spans="1:6" ht="24.95" customHeight="1" x14ac:dyDescent="0.25">
      <c r="A12" s="29">
        <f>IF(C12="","",SUBTOTAL(103,C$3:$C12))</f>
        <v>10</v>
      </c>
      <c r="B12" s="64"/>
      <c r="C12" s="31" t="s">
        <v>576</v>
      </c>
      <c r="D12" s="31" t="s">
        <v>497</v>
      </c>
      <c r="E12" s="31" t="s">
        <v>498</v>
      </c>
      <c r="F12" s="39"/>
    </row>
    <row r="13" spans="1:6" ht="24.95" customHeight="1" x14ac:dyDescent="0.25">
      <c r="A13" s="29">
        <f>IF(C13="","",SUBTOTAL(103,C$3:$C13))</f>
        <v>11</v>
      </c>
      <c r="B13" s="64"/>
      <c r="C13" s="31" t="s">
        <v>577</v>
      </c>
      <c r="D13" s="31" t="s">
        <v>499</v>
      </c>
      <c r="E13" s="31" t="s">
        <v>500</v>
      </c>
      <c r="F13" s="40"/>
    </row>
    <row r="14" spans="1:6" ht="24.95" customHeight="1" x14ac:dyDescent="0.25">
      <c r="A14" s="29">
        <f>IF(C14="","",SUBTOTAL(103,C$3:$C14))</f>
        <v>12</v>
      </c>
      <c r="B14" s="64" t="s">
        <v>505</v>
      </c>
      <c r="C14" s="31" t="s">
        <v>578</v>
      </c>
      <c r="D14" s="31" t="s">
        <v>501</v>
      </c>
      <c r="E14" s="31" t="s">
        <v>502</v>
      </c>
      <c r="F14" s="42"/>
    </row>
    <row r="15" spans="1:6" ht="24.95" customHeight="1" x14ac:dyDescent="0.25">
      <c r="A15" s="29">
        <f>IF(C15="","",SUBTOTAL(103,C$3:$C15))</f>
        <v>13</v>
      </c>
      <c r="B15" s="64"/>
      <c r="C15" s="31" t="s">
        <v>579</v>
      </c>
      <c r="D15" s="31" t="s">
        <v>503</v>
      </c>
      <c r="E15" s="31" t="s">
        <v>504</v>
      </c>
      <c r="F15" s="43"/>
    </row>
    <row r="16" spans="1:6" ht="24.95" customHeight="1" x14ac:dyDescent="0.25">
      <c r="A16" s="29">
        <f>IF(C16="","",SUBTOTAL(103,C$3:$C16))</f>
        <v>14</v>
      </c>
      <c r="B16" s="64"/>
      <c r="C16" s="31" t="s">
        <v>580</v>
      </c>
      <c r="D16" s="31" t="s">
        <v>506</v>
      </c>
      <c r="E16" s="31" t="s">
        <v>507</v>
      </c>
      <c r="F16" s="44"/>
    </row>
    <row r="17" spans="1:6" ht="24.95" customHeight="1" x14ac:dyDescent="0.25">
      <c r="A17" s="29">
        <f>IF(C17="","",SUBTOTAL(103,C$3:$C17))</f>
        <v>15</v>
      </c>
      <c r="B17" s="64"/>
      <c r="C17" s="31" t="s">
        <v>581</v>
      </c>
      <c r="D17" s="31" t="s">
        <v>508</v>
      </c>
      <c r="E17" s="31" t="s">
        <v>509</v>
      </c>
      <c r="F17" s="45"/>
    </row>
    <row r="18" spans="1:6" ht="24.95" customHeight="1" x14ac:dyDescent="0.25">
      <c r="A18" s="29">
        <f>IF(C18="","",SUBTOTAL(103,C$3:$C18))</f>
        <v>16</v>
      </c>
      <c r="B18" s="64"/>
      <c r="C18" s="31" t="s">
        <v>582</v>
      </c>
      <c r="D18" s="31" t="s">
        <v>510</v>
      </c>
      <c r="E18" s="31" t="s">
        <v>511</v>
      </c>
      <c r="F18" s="46"/>
    </row>
    <row r="19" spans="1:6" ht="24.95" customHeight="1" x14ac:dyDescent="0.25">
      <c r="A19" s="29">
        <f>IF(C19="","",SUBTOTAL(103,C$3:$C19))</f>
        <v>17</v>
      </c>
      <c r="B19" s="64" t="s">
        <v>519</v>
      </c>
      <c r="C19" s="31" t="s">
        <v>583</v>
      </c>
      <c r="D19" s="31" t="s">
        <v>512</v>
      </c>
      <c r="E19" s="31" t="s">
        <v>496</v>
      </c>
      <c r="F19" s="41"/>
    </row>
    <row r="20" spans="1:6" ht="24.95" customHeight="1" x14ac:dyDescent="0.25">
      <c r="A20" s="29">
        <f>IF(C20="","",SUBTOTAL(103,C$3:$C20))</f>
        <v>18</v>
      </c>
      <c r="B20" s="64"/>
      <c r="C20" s="31" t="s">
        <v>584</v>
      </c>
      <c r="D20" s="31" t="s">
        <v>513</v>
      </c>
      <c r="E20" s="31" t="s">
        <v>514</v>
      </c>
      <c r="F20" s="47"/>
    </row>
    <row r="21" spans="1:6" ht="24.95" customHeight="1" x14ac:dyDescent="0.25">
      <c r="A21" s="29">
        <f>IF(C21="","",SUBTOTAL(103,C$3:$C21))</f>
        <v>19</v>
      </c>
      <c r="B21" s="64"/>
      <c r="C21" s="31" t="s">
        <v>585</v>
      </c>
      <c r="D21" s="31" t="s">
        <v>515</v>
      </c>
      <c r="E21" s="31" t="s">
        <v>494</v>
      </c>
      <c r="F21" s="38"/>
    </row>
    <row r="22" spans="1:6" ht="24.95" customHeight="1" x14ac:dyDescent="0.25">
      <c r="A22" s="29">
        <f>IF(C22="","",SUBTOTAL(103,C$3:$C22))</f>
        <v>20</v>
      </c>
      <c r="B22" s="64"/>
      <c r="C22" s="31" t="s">
        <v>586</v>
      </c>
      <c r="D22" s="31" t="s">
        <v>516</v>
      </c>
      <c r="E22" s="31" t="s">
        <v>500</v>
      </c>
      <c r="F22" s="40"/>
    </row>
    <row r="23" spans="1:6" ht="24.95" customHeight="1" x14ac:dyDescent="0.25">
      <c r="A23" s="29">
        <f>IF(C23="","",SUBTOTAL(103,C$3:$C23))</f>
        <v>21</v>
      </c>
      <c r="B23" s="64"/>
      <c r="C23" s="31" t="s">
        <v>587</v>
      </c>
      <c r="D23" s="31" t="s">
        <v>517</v>
      </c>
      <c r="E23" s="31" t="s">
        <v>518</v>
      </c>
      <c r="F23" s="48"/>
    </row>
    <row r="24" spans="1:6" ht="24.95" customHeight="1" x14ac:dyDescent="0.25">
      <c r="A24" s="29">
        <f>IF(C24="","",SUBTOTAL(103,C$3:$C24))</f>
        <v>22</v>
      </c>
      <c r="B24" s="64"/>
      <c r="C24" s="31" t="s">
        <v>588</v>
      </c>
      <c r="D24" s="31" t="s">
        <v>520</v>
      </c>
      <c r="E24" s="31" t="s">
        <v>521</v>
      </c>
      <c r="F24" s="49"/>
    </row>
    <row r="25" spans="1:6" ht="24.95" customHeight="1" x14ac:dyDescent="0.25">
      <c r="A25" s="29">
        <f>IF(C25="","",SUBTOTAL(103,C$3:$C25))</f>
        <v>23</v>
      </c>
      <c r="B25" s="64"/>
      <c r="C25" s="31" t="s">
        <v>589</v>
      </c>
      <c r="D25" s="31" t="s">
        <v>522</v>
      </c>
      <c r="E25" s="31" t="s">
        <v>523</v>
      </c>
      <c r="F25" s="50"/>
    </row>
    <row r="26" spans="1:6" ht="24.95" customHeight="1" x14ac:dyDescent="0.25">
      <c r="A26" s="29">
        <f>IF(C26="","",SUBTOTAL(103,C$3:$C26))</f>
        <v>24</v>
      </c>
      <c r="B26" s="64"/>
      <c r="C26" s="31" t="s">
        <v>590</v>
      </c>
      <c r="D26" s="31" t="s">
        <v>524</v>
      </c>
      <c r="E26" s="31" t="s">
        <v>525</v>
      </c>
      <c r="F26" s="51"/>
    </row>
    <row r="27" spans="1:6" ht="24.95" customHeight="1" x14ac:dyDescent="0.25">
      <c r="A27" s="29">
        <f>IF(C27="","",SUBTOTAL(103,C$3:$C27))</f>
        <v>25</v>
      </c>
      <c r="B27" s="64"/>
      <c r="C27" s="31" t="s">
        <v>591</v>
      </c>
      <c r="D27" s="31" t="s">
        <v>526</v>
      </c>
      <c r="E27" s="31" t="s">
        <v>498</v>
      </c>
      <c r="F27" s="39"/>
    </row>
    <row r="28" spans="1:6" ht="24.95" customHeight="1" x14ac:dyDescent="0.25">
      <c r="A28" s="29">
        <f>IF(C28="","",SUBTOTAL(103,C$3:$C28))</f>
        <v>26</v>
      </c>
      <c r="B28" s="64"/>
      <c r="C28" s="31" t="s">
        <v>592</v>
      </c>
      <c r="D28" s="31" t="s">
        <v>510</v>
      </c>
      <c r="E28" s="31" t="s">
        <v>509</v>
      </c>
      <c r="F28" s="45"/>
    </row>
    <row r="29" spans="1:6" ht="24.95" customHeight="1" x14ac:dyDescent="0.25">
      <c r="A29" s="29">
        <f>IF(C29="","",SUBTOTAL(103,C$3:$C29))</f>
        <v>27</v>
      </c>
      <c r="B29" s="64"/>
      <c r="C29" s="31" t="s">
        <v>593</v>
      </c>
      <c r="D29" s="31" t="s">
        <v>527</v>
      </c>
      <c r="E29" s="31" t="s">
        <v>509</v>
      </c>
      <c r="F29" s="45"/>
    </row>
    <row r="30" spans="1:6" ht="24.95" customHeight="1" x14ac:dyDescent="0.25">
      <c r="A30" s="29">
        <v>28</v>
      </c>
      <c r="B30" s="60" t="s">
        <v>541</v>
      </c>
      <c r="C30" s="31" t="s">
        <v>594</v>
      </c>
      <c r="D30" s="31" t="s">
        <v>528</v>
      </c>
      <c r="E30" s="31" t="s">
        <v>529</v>
      </c>
      <c r="F30" s="52"/>
    </row>
    <row r="31" spans="1:6" ht="24.95" customHeight="1" x14ac:dyDescent="0.25">
      <c r="A31" s="29">
        <v>29</v>
      </c>
      <c r="B31" s="61"/>
      <c r="C31" s="31" t="s">
        <v>595</v>
      </c>
      <c r="D31" s="31" t="s">
        <v>530</v>
      </c>
      <c r="E31" s="31" t="s">
        <v>531</v>
      </c>
      <c r="F31" s="48"/>
    </row>
    <row r="32" spans="1:6" ht="24.95" customHeight="1" x14ac:dyDescent="0.25">
      <c r="A32" s="29">
        <v>30</v>
      </c>
      <c r="B32" s="61"/>
      <c r="C32" s="31" t="s">
        <v>596</v>
      </c>
      <c r="D32" s="31" t="s">
        <v>532</v>
      </c>
      <c r="E32" s="31" t="s">
        <v>518</v>
      </c>
      <c r="F32" s="48"/>
    </row>
    <row r="33" spans="1:6" ht="24.95" customHeight="1" x14ac:dyDescent="0.25">
      <c r="A33" s="29">
        <v>31</v>
      </c>
      <c r="B33" s="61"/>
      <c r="C33" s="31" t="s">
        <v>597</v>
      </c>
      <c r="D33" s="31" t="s">
        <v>533</v>
      </c>
      <c r="E33" s="31" t="s">
        <v>534</v>
      </c>
      <c r="F33" s="53"/>
    </row>
    <row r="34" spans="1:6" ht="24.95" customHeight="1" x14ac:dyDescent="0.25">
      <c r="A34" s="29">
        <v>32</v>
      </c>
      <c r="B34" s="61"/>
      <c r="C34" s="31" t="s">
        <v>598</v>
      </c>
      <c r="D34" s="31" t="s">
        <v>535</v>
      </c>
      <c r="E34" s="31" t="s">
        <v>536</v>
      </c>
      <c r="F34" s="54"/>
    </row>
    <row r="35" spans="1:6" ht="24.95" customHeight="1" x14ac:dyDescent="0.25">
      <c r="A35" s="29">
        <v>33</v>
      </c>
      <c r="B35" s="61"/>
      <c r="C35" s="31" t="s">
        <v>599</v>
      </c>
      <c r="D35" s="31" t="s">
        <v>537</v>
      </c>
      <c r="E35" s="31" t="s">
        <v>538</v>
      </c>
      <c r="F35" s="55"/>
    </row>
    <row r="36" spans="1:6" ht="24.95" customHeight="1" x14ac:dyDescent="0.25">
      <c r="A36" s="29">
        <v>34</v>
      </c>
      <c r="B36" s="61"/>
      <c r="C36" s="31" t="s">
        <v>600</v>
      </c>
      <c r="D36" s="31" t="s">
        <v>539</v>
      </c>
      <c r="E36" s="31" t="s">
        <v>488</v>
      </c>
      <c r="F36" s="37"/>
    </row>
    <row r="37" spans="1:6" ht="24.95" customHeight="1" x14ac:dyDescent="0.25">
      <c r="A37" s="29">
        <v>35</v>
      </c>
      <c r="B37" s="61"/>
      <c r="C37" s="31" t="s">
        <v>601</v>
      </c>
      <c r="D37" s="31" t="s">
        <v>540</v>
      </c>
      <c r="E37" s="31" t="s">
        <v>496</v>
      </c>
      <c r="F37" s="41"/>
    </row>
    <row r="38" spans="1:6" ht="24.95" customHeight="1" x14ac:dyDescent="0.25">
      <c r="A38" s="29">
        <v>36</v>
      </c>
      <c r="B38" s="61"/>
      <c r="C38" s="31" t="s">
        <v>602</v>
      </c>
      <c r="D38" s="31" t="s">
        <v>542</v>
      </c>
      <c r="E38" s="31" t="s">
        <v>494</v>
      </c>
      <c r="F38" s="38"/>
    </row>
    <row r="39" spans="1:6" ht="24.95" customHeight="1" x14ac:dyDescent="0.25">
      <c r="A39" s="29">
        <v>37</v>
      </c>
      <c r="B39" s="61"/>
      <c r="C39" s="31" t="s">
        <v>603</v>
      </c>
      <c r="D39" s="31" t="s">
        <v>543</v>
      </c>
      <c r="E39" s="31" t="s">
        <v>544</v>
      </c>
      <c r="F39" s="56"/>
    </row>
    <row r="40" spans="1:6" ht="24.95" customHeight="1" x14ac:dyDescent="0.25">
      <c r="A40" s="29">
        <v>38</v>
      </c>
      <c r="B40" s="61"/>
      <c r="C40" s="31" t="s">
        <v>604</v>
      </c>
      <c r="D40" s="31" t="s">
        <v>545</v>
      </c>
      <c r="E40" s="31" t="s">
        <v>546</v>
      </c>
      <c r="F40" s="57"/>
    </row>
    <row r="41" spans="1:6" ht="24.95" customHeight="1" x14ac:dyDescent="0.25">
      <c r="A41" s="29">
        <v>39</v>
      </c>
      <c r="B41" s="61"/>
      <c r="C41" s="31" t="s">
        <v>605</v>
      </c>
      <c r="D41" s="31" t="s">
        <v>547</v>
      </c>
      <c r="E41" s="31" t="s">
        <v>548</v>
      </c>
      <c r="F41" s="58"/>
    </row>
    <row r="42" spans="1:6" ht="24.95" customHeight="1" x14ac:dyDescent="0.25">
      <c r="A42" s="29">
        <v>40</v>
      </c>
      <c r="B42" s="61"/>
      <c r="C42" s="31" t="s">
        <v>606</v>
      </c>
      <c r="D42" s="31" t="s">
        <v>549</v>
      </c>
      <c r="E42" s="31" t="s">
        <v>550</v>
      </c>
      <c r="F42" s="59"/>
    </row>
    <row r="43" spans="1:6" ht="24.95" customHeight="1" x14ac:dyDescent="0.25">
      <c r="A43" s="29">
        <v>41</v>
      </c>
      <c r="B43" s="61"/>
      <c r="C43" s="31" t="s">
        <v>607</v>
      </c>
      <c r="D43" s="31" t="s">
        <v>551</v>
      </c>
      <c r="E43" s="31" t="s">
        <v>496</v>
      </c>
      <c r="F43" s="41"/>
    </row>
    <row r="44" spans="1:6" ht="24.95" customHeight="1" x14ac:dyDescent="0.25">
      <c r="A44" s="29">
        <v>42</v>
      </c>
      <c r="B44" s="61"/>
      <c r="C44" s="31" t="s">
        <v>608</v>
      </c>
      <c r="D44" s="31" t="s">
        <v>510</v>
      </c>
      <c r="E44" s="31" t="s">
        <v>511</v>
      </c>
      <c r="F44" s="46"/>
    </row>
    <row r="45" spans="1:6" ht="24.95" customHeight="1" x14ac:dyDescent="0.25">
      <c r="A45" s="29">
        <v>43</v>
      </c>
      <c r="B45" s="61"/>
      <c r="C45" s="31" t="s">
        <v>609</v>
      </c>
      <c r="D45" s="31" t="s">
        <v>552</v>
      </c>
      <c r="E45" s="31" t="s">
        <v>548</v>
      </c>
      <c r="F45" s="58"/>
    </row>
    <row r="46" spans="1:6" ht="24.95" customHeight="1" x14ac:dyDescent="0.25">
      <c r="A46" s="29">
        <v>44</v>
      </c>
      <c r="B46" s="62"/>
      <c r="C46" s="31" t="s">
        <v>610</v>
      </c>
      <c r="D46" s="31" t="s">
        <v>553</v>
      </c>
      <c r="E46" s="31" t="s">
        <v>548</v>
      </c>
      <c r="F46" s="58"/>
    </row>
  </sheetData>
  <mergeCells count="5">
    <mergeCell ref="B30:B46"/>
    <mergeCell ref="A1:F1"/>
    <mergeCell ref="B5:B13"/>
    <mergeCell ref="B14:B18"/>
    <mergeCell ref="B19:B29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RuleClash(HP)</vt:lpstr>
      <vt:lpstr>SearchSets(HP)</vt:lpstr>
      <vt:lpstr>SearchSets(DSC)</vt:lpstr>
      <vt:lpstr>ColorSearchSet(DSC)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Truong Quang Sang</cp:lastModifiedBy>
  <cp:lastPrinted>2025-12-18T02:34:20Z</cp:lastPrinted>
  <dcterms:created xsi:type="dcterms:W3CDTF">2025-08-18T19:04:22Z</dcterms:created>
  <dcterms:modified xsi:type="dcterms:W3CDTF">2026-10-10T03:05:57Z</dcterms:modified>
</cp:coreProperties>
</file>