
<file path=[Content_Types].xml><?xml version="1.0" encoding="utf-8"?>
<Types xmlns="http://schemas.openxmlformats.org/package/2006/content-types"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ctrlProps/ctrlProp29.xml" ContentType="application/vnd.ms-excel.controlproperties+xml"/>
  <Override PartName="/xl/worksheets/sheet7.xml" ContentType="application/vnd.openxmlformats-officedocument.spreadsheetml.worksheet+xml"/>
  <Override PartName="/xl/externalLinks/externalLink7.xml" ContentType="application/vnd.openxmlformats-officedocument.spreadsheetml.externalLink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vbaProject.bin" ContentType="application/vnd.ms-office.vbaProject"/>
  <Override PartName="/xl/ctrlProps/ctrlProp27.xml" ContentType="application/vnd.ms-excel.controlproperties+xml"/>
  <Override PartName="/xl/ctrlProps/ctrlProp36.xml" ContentType="application/vnd.ms-excel.controlproperties+xml"/>
  <Override PartName="/xl/ctrlProps/ctrlProp18.xml" ContentType="application/vnd.ms-excel.controlproperties+xml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externalLinks/externalLink5.xml" ContentType="application/vnd.openxmlformats-officedocument.spreadsheetml.externalLink+xml"/>
  <Override PartName="/xl/drawings/drawing2.xml" ContentType="application/vnd.openxmlformats-officedocument.drawingml.chartshapes+xml"/>
  <Override PartName="/xl/ctrlProps/ctrlProp16.xml" ContentType="application/vnd.ms-excel.controlproperties+xml"/>
  <Override PartName="/xl/ctrlProps/ctrlProp34.xml" ContentType="application/vnd.ms-excel.controlproperties+xml"/>
  <Override PartName="/xl/ctrlProps/ctrlProp25.xml" ContentType="application/vnd.ms-excel.controlproperties+xml"/>
  <Override PartName="/xl/worksheets/sheet3.xml" ContentType="application/vnd.openxmlformats-officedocument.spreadsheetml.worksheet+xml"/>
  <Override PartName="/xl/externalLinks/externalLink3.xml" ContentType="application/vnd.openxmlformats-officedocument.spreadsheetml.externalLink+xml"/>
  <Override PartName="/xl/comments2.xml" ContentType="application/vnd.openxmlformats-officedocument.spreadsheetml.comments+xml"/>
  <Override PartName="/xl/ctrlProps/ctrlProp8.xml" ContentType="application/vnd.ms-excel.controlproperties+xml"/>
  <Override PartName="/xl/ctrlProps/ctrlProp32.xml" ContentType="application/vnd.ms-excel.controlproperties+xml"/>
  <Override PartName="/xl/ctrlProps/ctrlProp14.xml" ContentType="application/vnd.ms-excel.controlproperties+xml"/>
  <Override PartName="/xl/ctrlProps/ctrlProp23.xml" ContentType="application/vnd.ms-excel.control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30.xml" ContentType="application/vnd.ms-excel.controlproperties+xml"/>
  <Override PartName="/xl/ctrlProps/ctrlProp21.xml" ContentType="application/vnd.ms-excel.controlproperties+xml"/>
  <Override PartName="/xl/ctrlProps/ctrlProp20.xml" ContentType="application/vnd.ms-excel.controlproperties+xml"/>
  <Override PartName="/xl/ctrlProps/ctrlProp31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sharedStrings.xml" ContentType="application/vnd.openxmlformats-officedocument.spreadsheetml.sharedStrings+xml"/>
  <Override PartName="/xl/ctrlProps/ctrlProp10.xml" ContentType="application/vnd.ms-excel.controlpropertie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  <Default Extension="bin" ContentType="application/vnd.openxmlformats-officedocument.spreadsheetml.printerSettings"/>
  <Override PartName="/xl/ctrlProps/ctrlProp19.xml" ContentType="application/vnd.ms-excel.controlproperties+xml"/>
  <Override PartName="/xl/ctrlProps/ctrlProp28.xml" ContentType="application/vnd.ms-excel.controlproperties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6.xml" ContentType="application/vnd.openxmlformats-officedocument.spreadsheetml.externalLink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trlProps/ctrlProp17.xml" ContentType="application/vnd.ms-excel.controlproperties+xml"/>
  <Override PartName="/xl/ctrlProps/ctrlProp26.xml" ContentType="application/vnd.ms-excel.controlproperties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4.xml" ContentType="application/vnd.openxmlformats-officedocument.spreadsheetml.externalLink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35.xml" ContentType="application/vnd.ms-excel.controlproperties+xml"/>
  <Override PartName="/xl/ctrlProps/ctrlProp15.xml" ContentType="application/vnd.ms-excel.controlproperties+xml"/>
  <Override PartName="/xl/ctrlProps/ctrlProp24.xml" ContentType="application/vnd.ms-excel.controlproperti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externalLinks/externalLink2.xml" ContentType="application/vnd.openxmlformats-officedocument.spreadsheetml.externalLink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ctrlProps/ctrlProp7.xml" ContentType="application/vnd.ms-excel.controlproperties+xml"/>
  <Override PartName="/xl/ctrlProps/ctrlProp13.xml" ContentType="application/vnd.ms-excel.controlproperties+xml"/>
  <Override PartName="/xl/ctrlProps/ctrlProp22.xml" ContentType="application/vnd.ms-excel.controlproperties+xml"/>
  <Override PartName="/xl/ctrlProps/ctrlProp33.xml" ContentType="application/vnd.ms-excel.contro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0" windowWidth="2370" windowHeight="1185" activeTab="2"/>
  </bookViews>
  <sheets>
    <sheet name="Vach" sheetId="8" r:id="rId1"/>
    <sheet name="Cot" sheetId="1" r:id="rId2"/>
    <sheet name="Dam" sheetId="4" r:id="rId3"/>
    <sheet name="save_info" sheetId="3" r:id="rId4"/>
    <sheet name="Thong_ke" sheetId="5" r:id="rId5"/>
    <sheet name="To_hop_thep" sheetId="7" r:id="rId6"/>
    <sheet name="Kho_thep" sheetId="6" r:id="rId7"/>
    <sheet name="Kata_QS" sheetId="9" r:id="rId8"/>
    <sheet name="Contact Information" sheetId="11" r:id="rId9"/>
    <sheet name="Gan_tag_block" sheetId="10" state="hidden" r:id="rId10"/>
  </sheets>
  <functionGroups/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____________PA3" localSheetId="9" hidden="1">{"'Sheet1'!$L$16"}</definedName>
    <definedName name="_____________PA3" hidden="1">{"'Sheet1'!$L$16"}</definedName>
    <definedName name="___________PA3" localSheetId="9" hidden="1">{"'Sheet1'!$L$16"}</definedName>
    <definedName name="___________PA3" hidden="1">{"'Sheet1'!$L$16"}</definedName>
    <definedName name="_________a1" localSheetId="9" hidden="1">{"'Sheet1'!$L$16"}</definedName>
    <definedName name="_________a1" hidden="1">{"'Sheet1'!$L$16"}</definedName>
    <definedName name="_________PA3" localSheetId="9" hidden="1">{"'Sheet1'!$L$16"}</definedName>
    <definedName name="_________PA3" hidden="1">{"'Sheet1'!$L$16"}</definedName>
    <definedName name="________CN1" localSheetId="9" hidden="1">{"'Sheet1'!$L$16"}</definedName>
    <definedName name="________CN1" hidden="1">{"'Sheet1'!$L$16"}</definedName>
    <definedName name="_______a1" localSheetId="9" hidden="1">{"'Sheet1'!$L$16"}</definedName>
    <definedName name="_______a1" hidden="1">{"'Sheet1'!$L$16"}</definedName>
    <definedName name="_______BG12" localSheetId="9" hidden="1">{"'Sheet1'!$L$16"}</definedName>
    <definedName name="_______BG12" hidden="1">{"'Sheet1'!$L$16"}</definedName>
    <definedName name="_______PA3" localSheetId="9" hidden="1">{"'Sheet1'!$L$16"}</definedName>
    <definedName name="_______PA3" hidden="1">{"'Sheet1'!$L$16"}</definedName>
    <definedName name="______a1" localSheetId="9" hidden="1">{"'Sheet1'!$L$16"}</definedName>
    <definedName name="______a1" hidden="1">{"'Sheet1'!$L$16"}</definedName>
    <definedName name="______CN1" localSheetId="9" hidden="1">{"'Sheet1'!$L$16"}</definedName>
    <definedName name="______CN1" hidden="1">{"'Sheet1'!$L$16"}</definedName>
    <definedName name="______xlfn.BAHTTEXT" hidden="1">#NAME?</definedName>
    <definedName name="_____a1" localSheetId="9" hidden="1">{"'Sheet1'!$L$16"}</definedName>
    <definedName name="_____a1" hidden="1">{"'Sheet1'!$L$16"}</definedName>
    <definedName name="_____BG12" localSheetId="9" hidden="1">{"'Sheet1'!$L$16"}</definedName>
    <definedName name="_____BG12" hidden="1">{"'Sheet1'!$L$16"}</definedName>
    <definedName name="_____CN1" localSheetId="9" hidden="1">{"'Sheet1'!$L$16"}</definedName>
    <definedName name="_____CN1" hidden="1">{"'Sheet1'!$L$16"}</definedName>
    <definedName name="_____PA3" localSheetId="9" hidden="1">{"'Sheet1'!$L$16"}</definedName>
    <definedName name="_____PA3" hidden="1">{"'Sheet1'!$L$16"}</definedName>
    <definedName name="_____xlfn.BAHTTEXT" hidden="1">#NAME?</definedName>
    <definedName name="____BG12" localSheetId="9" hidden="1">{"'Sheet1'!$L$16"}</definedName>
    <definedName name="____BG12" hidden="1">{"'Sheet1'!$L$16"}</definedName>
    <definedName name="____Goi8" localSheetId="9" hidden="1">{"'Sheet1'!$L$16"}</definedName>
    <definedName name="____Goi8" hidden="1">{"'Sheet1'!$L$16"}</definedName>
    <definedName name="____xlfn.BAHTTEXT" hidden="1">#NAME?</definedName>
    <definedName name="___a1" localSheetId="9" hidden="1">{"'Sheet1'!$L$16"}</definedName>
    <definedName name="___a1" hidden="1">{"'Sheet1'!$L$16"}</definedName>
    <definedName name="___CN1" localSheetId="9" hidden="1">{"'Sheet1'!$L$16"}</definedName>
    <definedName name="___CN1" hidden="1">{"'Sheet1'!$L$16"}</definedName>
    <definedName name="___PA3" localSheetId="9" hidden="1">{"'Sheet1'!$L$16"}</definedName>
    <definedName name="___PA3" hidden="1">{"'Sheet1'!$L$16"}</definedName>
    <definedName name="___xlfn.BAHTTEXT" hidden="1">#NAME?</definedName>
    <definedName name="__123Graph_A" hidden="1">[1]Earthwork!#REF!</definedName>
    <definedName name="__123Graph_A120.CGM" hidden="1">[1]Earthwork!#REF!</definedName>
    <definedName name="__123Graph_A150.CGM" hidden="1">[1]Earthwork!#REF!</definedName>
    <definedName name="__123Graph_A180.CGM" hidden="1">[1]Earthwork!#REF!</definedName>
    <definedName name="__123Graph_A210.CGM" hidden="1">[1]Earthwork!#REF!</definedName>
    <definedName name="__123Graph_A240.CGM" hidden="1">[1]Earthwork!#REF!</definedName>
    <definedName name="__123Graph_A270.CGM" hidden="1">[1]Earthwork!#REF!</definedName>
    <definedName name="__123Graph_A300.CGM" hidden="1">[1]Earthwork!#REF!</definedName>
    <definedName name="__123Graph_A60.CGN" hidden="1">[1]Earthwork!#REF!</definedName>
    <definedName name="__123Graph_A90.CGM" hidden="1">[1]Earthwork!#REF!</definedName>
    <definedName name="__123Graph_B" hidden="1">[1]Earthwork!#REF!</definedName>
    <definedName name="__123Graph_B120.CGM" hidden="1">[1]Earthwork!#REF!</definedName>
    <definedName name="__123Graph_B150.CGM" hidden="1">[1]Earthwork!#REF!</definedName>
    <definedName name="__123Graph_B180.CGM" hidden="1">[1]Earthwork!#REF!</definedName>
    <definedName name="__123Graph_B210.CGM" hidden="1">[1]Earthwork!#REF!</definedName>
    <definedName name="__123Graph_B240.CGM" hidden="1">[1]Earthwork!#REF!</definedName>
    <definedName name="__123Graph_B270.CGM" hidden="1">[1]Earthwork!#REF!</definedName>
    <definedName name="__123Graph_B300.CGM" hidden="1">[1]Earthwork!#REF!</definedName>
    <definedName name="__123Graph_B60.CGN" hidden="1">[1]Earthwork!#REF!</definedName>
    <definedName name="__123Graph_B90.CGM" hidden="1">[1]Earthwork!#REF!</definedName>
    <definedName name="__123Graph_D" hidden="1">'[2]RAB AR&amp;STR'!#REF!</definedName>
    <definedName name="__123Graph_LBL_A" hidden="1">[1]Earthwork!#REF!</definedName>
    <definedName name="__123Graph_LBL_A120.CGM" hidden="1">[1]Earthwork!#REF!</definedName>
    <definedName name="__123Graph_LBL_A150.CGM" hidden="1">[1]Earthwork!#REF!</definedName>
    <definedName name="__123Graph_LBL_A180.CGM" hidden="1">[1]Earthwork!#REF!</definedName>
    <definedName name="__123Graph_LBL_A210.CGM" hidden="1">[1]Earthwork!#REF!</definedName>
    <definedName name="__123Graph_LBL_A240.CGM" hidden="1">[1]Earthwork!#REF!</definedName>
    <definedName name="__123Graph_LBL_A270.CGM" hidden="1">[1]Earthwork!#REF!</definedName>
    <definedName name="__123Graph_LBL_A300.CGM" hidden="1">[1]Earthwork!#REF!</definedName>
    <definedName name="__123Graph_LBL_A60.CGN" hidden="1">[1]Earthwork!#REF!</definedName>
    <definedName name="__123Graph_LBL_A90.CGM" hidden="1">[1]Earthwork!#REF!</definedName>
    <definedName name="__123Graph_X" hidden="1">[1]Earthwork!#REF!</definedName>
    <definedName name="__123Graph_X120.CGM" hidden="1">[1]Earthwork!#REF!</definedName>
    <definedName name="__123Graph_X150.CGM" hidden="1">[1]Earthwork!#REF!</definedName>
    <definedName name="__123Graph_X180.CGM" hidden="1">[1]Earthwork!#REF!</definedName>
    <definedName name="__123Graph_X210.CGM" hidden="1">[1]Earthwork!#REF!</definedName>
    <definedName name="__123Graph_X240.CGM" hidden="1">[1]Earthwork!#REF!</definedName>
    <definedName name="__123Graph_X270.CGM" hidden="1">[1]Earthwork!#REF!</definedName>
    <definedName name="__123Graph_X300.CGM" hidden="1">[1]Earthwork!#REF!</definedName>
    <definedName name="__123Graph_X60.CGN" hidden="1">[1]Earthwork!#REF!</definedName>
    <definedName name="__123Graph_X90.CGM" hidden="1">[1]Earthwork!#REF!</definedName>
    <definedName name="__BG12" localSheetId="9" hidden="1">{"'Sheet1'!$L$16"}</definedName>
    <definedName name="__BG12" hidden="1">{"'Sheet1'!$L$16"}</definedName>
    <definedName name="__CN1" localSheetId="9" hidden="1">{"'Sheet1'!$L$16"}</definedName>
    <definedName name="__CN1" hidden="1">{"'Sheet1'!$L$16"}</definedName>
    <definedName name="__Goi8" localSheetId="9" hidden="1">{"'Sheet1'!$L$16"}</definedName>
    <definedName name="__Goi8" hidden="1">{"'Sheet1'!$L$16"}</definedName>
    <definedName name="__PA3" localSheetId="9" hidden="1">{"'Sheet1'!$L$16"}</definedName>
    <definedName name="__PA3" hidden="1">{"'Sheet1'!$L$16"}</definedName>
    <definedName name="__xlfn.BAHTTEXT" hidden="1">#NAME?</definedName>
    <definedName name="_100__123Graph_Xｸﾞﾗﾌ_3" hidden="1">#REF!</definedName>
    <definedName name="_103__123Graph_X????_4" hidden="1">#REF!</definedName>
    <definedName name="_103__123Graph_Xｸﾞﾗﾌ_5" hidden="1">#REF!</definedName>
    <definedName name="_106__123Graph_Xｸﾞﾗﾌ_4" hidden="1">#REF!</definedName>
    <definedName name="_108__123Graph_X????_5" hidden="1">#REF!</definedName>
    <definedName name="_112__123Graph_Xｸﾞﾗﾌ_5" hidden="1">#REF!</definedName>
    <definedName name="_116__123Graph_Xｸﾞﾗﾌ_1" hidden="1">#REF!</definedName>
    <definedName name="_12__123Graph_A????_2" hidden="1">#REF!</definedName>
    <definedName name="_124__123Graph_Xｸﾞﾗﾌ_2" hidden="1">#REF!</definedName>
    <definedName name="_132__123Graph_Xｸﾞﾗﾌ_3" hidden="1">#REF!</definedName>
    <definedName name="_140__123Graph_Xｸﾞﾗﾌ_4" hidden="1">#REF!</definedName>
    <definedName name="_148__123Graph_Xｸﾞﾗﾌ_5" hidden="1">#REF!</definedName>
    <definedName name="_17__123Graph_A????_1" hidden="1">#REF!</definedName>
    <definedName name="_17__123Graph_A????_3" hidden="1">#REF!</definedName>
    <definedName name="_21__123Graph_A????_2" hidden="1">#REF!</definedName>
    <definedName name="_22__123Graph_A????_4" hidden="1">#REF!</definedName>
    <definedName name="_23__123Graph_A????_1" hidden="1">#REF!</definedName>
    <definedName name="_25__123Graph_A????_3" hidden="1">#REF!</definedName>
    <definedName name="_27__123Graph_A????_5" hidden="1">#REF!</definedName>
    <definedName name="_28__123Graph_A????_2" hidden="1">#REF!</definedName>
    <definedName name="_29__123Graph_A????_4" hidden="1">#REF!</definedName>
    <definedName name="_33__123Graph_A????_3" hidden="1">#REF!</definedName>
    <definedName name="_33__123Graph_A????_5" hidden="1">#REF!</definedName>
    <definedName name="_33__123Graph_Aｸﾞﾗﾌ_1" hidden="1">#REF!</definedName>
    <definedName name="_38__123Graph_A????_4" hidden="1">#REF!</definedName>
    <definedName name="_38__123Graph_Aｸﾞﾗﾌ_1" hidden="1">#REF!</definedName>
    <definedName name="_39__123Graph_Aｸﾞﾗﾌ_2" hidden="1">#REF!</definedName>
    <definedName name="_43__123Graph_A????_5" hidden="1">#REF!</definedName>
    <definedName name="_43__123Graph_Aｸﾞﾗﾌ_2" hidden="1">#REF!</definedName>
    <definedName name="_45__123Graph_Aｸﾞﾗﾌ_3" hidden="1">#REF!</definedName>
    <definedName name="_48__123Graph_Aｸﾞﾗﾌ_3" hidden="1">#REF!</definedName>
    <definedName name="_51__123Graph_Aｸﾞﾗﾌ_1" hidden="1">#REF!</definedName>
    <definedName name="_51__123Graph_Aｸﾞﾗﾌ_4" hidden="1">#REF!</definedName>
    <definedName name="_53__123Graph_Aｸﾞﾗﾌ_4" hidden="1">#REF!</definedName>
    <definedName name="_57__123Graph_Aｸﾞﾗﾌ_5" hidden="1">#REF!</definedName>
    <definedName name="_58__123Graph_Aｸﾞﾗﾌ_5" hidden="1">#REF!</definedName>
    <definedName name="_59__123Graph_Aｸﾞﾗﾌ_2" hidden="1">#REF!</definedName>
    <definedName name="_62__123Graph_X????_1" hidden="1">#REF!</definedName>
    <definedName name="_66__123Graph_X????_2" hidden="1">#REF!</definedName>
    <definedName name="_67__123Graph_Aｸﾞﾗﾌ_3" hidden="1">#REF!</definedName>
    <definedName name="_67__123Graph_X????_2" hidden="1">#REF!</definedName>
    <definedName name="_7__123Graph_A????_1" hidden="1">#REF!</definedName>
    <definedName name="_70__123Graph_X????_3" hidden="1">#REF!</definedName>
    <definedName name="_72__123Graph_X????_3" hidden="1">#REF!</definedName>
    <definedName name="_74__123Graph_X????_4" hidden="1">#REF!</definedName>
    <definedName name="_75__123Graph_Aｸﾞﾗﾌ_4" hidden="1">#REF!</definedName>
    <definedName name="_77__123Graph_X????_4" hidden="1">#REF!</definedName>
    <definedName name="_78__123Graph_X????_5" hidden="1">#REF!</definedName>
    <definedName name="_82__123Graph_X????_5" hidden="1">#REF!</definedName>
    <definedName name="_83__123Graph_Aｸﾞﾗﾌ_5" hidden="1">#REF!</definedName>
    <definedName name="_83__123Graph_Xｸﾞﾗﾌ_1" hidden="1">#REF!</definedName>
    <definedName name="_88__123Graph_X????_1" hidden="1">#REF!</definedName>
    <definedName name="_88__123Graph_Xｸﾞﾗﾌ_1" hidden="1">#REF!</definedName>
    <definedName name="_88__123Graph_Xｸﾞﾗﾌ_2" hidden="1">#REF!</definedName>
    <definedName name="_93__123Graph_X????_2" hidden="1">#REF!</definedName>
    <definedName name="_93__123Graph_Xｸﾞﾗﾌ_3" hidden="1">#REF!</definedName>
    <definedName name="_94__123Graph_Xｸﾞﾗﾌ_2" hidden="1">#REF!</definedName>
    <definedName name="_98__123Graph_X????_3" hidden="1">#REF!</definedName>
    <definedName name="_98__123Graph_Xｸﾞﾗﾌ_4" hidden="1">#REF!</definedName>
    <definedName name="_a1" localSheetId="9" hidden="1">{"'Sheet1'!$L$16"}</definedName>
    <definedName name="_a1" hidden="1">{"'Sheet1'!$L$16"}</definedName>
    <definedName name="_Builtin155" hidden="1">#N/A</definedName>
    <definedName name="_Fill" hidden="1">#REF!</definedName>
    <definedName name="_Fill1" hidden="1">#REF!</definedName>
    <definedName name="_xlnm._FilterDatabase" hidden="1">#REF!</definedName>
    <definedName name="_Key1" hidden="1">#REF!</definedName>
    <definedName name="_Key2" hidden="1">#REF!</definedName>
    <definedName name="_Order1" hidden="1">255</definedName>
    <definedName name="_Order2" hidden="1">255</definedName>
    <definedName name="_PA3" localSheetId="9" hidden="1">{"'Sheet1'!$L$16"}</definedName>
    <definedName name="_PA3" hidden="1">{"'Sheet1'!$L$16"}</definedName>
    <definedName name="_Sort" hidden="1">#REF!</definedName>
    <definedName name="_Table1_In1" hidden="1">#REF!</definedName>
    <definedName name="_Table1_Out" hidden="1">#REF!</definedName>
    <definedName name="_Table2_In1" hidden="1">#REF!</definedName>
    <definedName name="_Table2_Out" hidden="1">#REF!</definedName>
    <definedName name="AccessDatabase" hidden="1">"C:\My Documents\tippaporn\MAT PRICE.mdb"</definedName>
    <definedName name="AD" hidden="1">#REF!</definedName>
    <definedName name="adaiSlab">[3]DATA!$J$37</definedName>
    <definedName name="adsadsa" localSheetId="9" hidden="1">{#N/A,#N/A,TRUE,"CS&amp;SS(AG)";#N/A,#N/A,TRUE,"CS(UG)";#N/A,#N/A,TRUE,"CSCL(UG)";#N/A,#N/A,TRUE,"KYNAR";#N/A,#N/A,TRUE,"ALLOY904";#N/A,#N/A,TRUE,"TITANIUM";#N/A,#N/A,TRUE,"STMTRACE"}</definedName>
    <definedName name="adsadsa" hidden="1">{#N/A,#N/A,TRUE,"CS&amp;SS(AG)";#N/A,#N/A,TRUE,"CS(UG)";#N/A,#N/A,TRUE,"CSCL(UG)";#N/A,#N/A,TRUE,"KYNAR";#N/A,#N/A,TRUE,"ALLOY904";#N/A,#N/A,TRUE,"TITANIUM";#N/A,#N/A,TRUE,"STMTRACE"}</definedName>
    <definedName name="anscount" hidden="1">1</definedName>
    <definedName name="AS" hidden="1">#REF!</definedName>
    <definedName name="assss" hidden="1">[1]Earthwork!#REF!</definedName>
    <definedName name="ATGT" localSheetId="9" hidden="1">{"'Sheet1'!$L$16"}</definedName>
    <definedName name="ATGT" hidden="1">{"'Sheet1'!$L$16"}</definedName>
    <definedName name="b" localSheetId="2">[4]Cot!$AJ$2</definedName>
    <definedName name="b" localSheetId="3">[4]Cot!$AJ$2</definedName>
    <definedName name="b">[5]Cot!$AK$2</definedName>
    <definedName name="BANCHOR">[6]DATA!$I$25:$J$38</definedName>
    <definedName name="BARTIE">[6]DATA!$A$45:$A$57</definedName>
    <definedName name="BartypeSlab">[3]DATA!$B$36:$B$50</definedName>
    <definedName name="BBB" localSheetId="9" hidden="1">{"'Sheet1'!$L$16"}</definedName>
    <definedName name="BBB" hidden="1">{"'Sheet1'!$L$16"}</definedName>
    <definedName name="BETONG">[6]DATA!$C$45:$C$49</definedName>
    <definedName name="bg" localSheetId="9" hidden="1">{"'Sheet1'!$L$16"}</definedName>
    <definedName name="bg" hidden="1">{"'Sheet1'!$L$16"}</definedName>
    <definedName name="BIGC" localSheetId="9" hidden="1">{#N/A,#N/A,TRUE,"Str.";#N/A,#N/A,TRUE,"Steel &amp; Roof";#N/A,#N/A,TRUE,"Arc.";#N/A,#N/A,TRUE,"Preliminary";#N/A,#N/A,TRUE,"Sum_Prelim"}</definedName>
    <definedName name="BIGC" hidden="1">{#N/A,#N/A,TRUE,"Str.";#N/A,#N/A,TRUE,"Steel &amp; Roof";#N/A,#N/A,TRUE,"Arc.";#N/A,#N/A,TRUE,"Preliminary";#N/A,#N/A,TRUE,"Sum_Prelim"}</definedName>
    <definedName name="bt_san">[6]DATA!$E$80</definedName>
    <definedName name="BTL">[6]DATA!$E$63</definedName>
    <definedName name="CĐTN">[6]DATA!$E$61</definedName>
    <definedName name="COPPHA">[6]DATA!$E$45:$E$57</definedName>
    <definedName name="COTTHEP">[6]DATA!$G$45:$G$57</definedName>
    <definedName name="cp_day">[6]DATA!$E$79</definedName>
    <definedName name="CPQL">'[7]3. KC - PODIUM'!$I$530</definedName>
    <definedName name="CTCT1" localSheetId="9" hidden="1">{"'Sheet1'!$L$16"}</definedName>
    <definedName name="CTCT1" hidden="1">{"'Sheet1'!$L$16"}</definedName>
    <definedName name="d" localSheetId="2">[4]Cot!$AJ$21</definedName>
    <definedName name="d" localSheetId="3">[4]Cot!$AJ$21</definedName>
    <definedName name="d">[5]Cot!$AK$21</definedName>
    <definedName name="dc" localSheetId="9" hidden="1">{"'Sheet1'!$L$16"}</definedName>
    <definedName name="dc" hidden="1">{"'Sheet1'!$L$16"}</definedName>
    <definedName name="ddc">[6]DATA!$D$8</definedName>
    <definedName name="ddd" localSheetId="9" hidden="1">{"'Sheet1'!$L$16"}</definedName>
    <definedName name="ddd" hidden="1">{"'Sheet1'!$L$16"}</definedName>
    <definedName name="dddd" localSheetId="9" hidden="1">{"'Sheet1'!$L$16"}</definedName>
    <definedName name="dddd" hidden="1">{"'Sheet1'!$L$16"}</definedName>
    <definedName name="DGG">#REF!</definedName>
    <definedName name="DiaSlab">[3]DATA!$C$36:$C$50</definedName>
    <definedName name="DN1_CT5" localSheetId="9" hidden="1">{"'Sheet1'!$L$16"}</definedName>
    <definedName name="DN1_CT5" hidden="1">{"'Sheet1'!$L$16"}</definedName>
    <definedName name="duc" localSheetId="9" hidden="1">{"'Sheet1'!$L$16"}</definedName>
    <definedName name="duc" hidden="1">{"'Sheet1'!$L$16"}</definedName>
    <definedName name="ff" hidden="1">#REF!</definedName>
    <definedName name="fgff" localSheetId="9" hidden="1">{#N/A,#N/A,TRUE,"SUM";#N/A,#N/A,TRUE,"EE";#N/A,#N/A,TRUE,"AC";#N/A,#N/A,TRUE,"SN"}</definedName>
    <definedName name="fgff" hidden="1">{#N/A,#N/A,TRUE,"SUM";#N/A,#N/A,TRUE,"EE";#N/A,#N/A,TRUE,"AC";#N/A,#N/A,TRUE,"SN"}</definedName>
    <definedName name="FILLL" hidden="1">#REF!</definedName>
    <definedName name="fo">[6]DATA!$B$15</definedName>
    <definedName name="gcb">[6]DATA!$E$84</definedName>
    <definedName name="gcdai">[6]DATA!$E$82</definedName>
    <definedName name="gcg">[6]DATA!$E$83</definedName>
    <definedName name="GH" hidden="1">#REF!</definedName>
    <definedName name="h" localSheetId="2">[4]Cot!$AJ$6</definedName>
    <definedName name="h" localSheetId="7" hidden="1">{"'Sheet1'!$L$16"}</definedName>
    <definedName name="h" localSheetId="3">[4]Cot!$AJ$6</definedName>
    <definedName name="h">[5]Cot!$AK$6</definedName>
    <definedName name="hanh" localSheetId="9" hidden="1">{"'Sheet1'!$L$16"}</definedName>
    <definedName name="hanh" hidden="1">{"'Sheet1'!$L$16"}</definedName>
    <definedName name="hb" localSheetId="9" hidden="1">{"'Sheet1'!$L$16"}</definedName>
    <definedName name="hb" hidden="1">{"'Sheet1'!$L$16"}</definedName>
    <definedName name="hfgsdf" localSheetId="9" hidden="1">{"'Sheet1'!$L$16"}</definedName>
    <definedName name="hfgsdf" hidden="1">{"'Sheet1'!$L$16"}</definedName>
    <definedName name="hhb" localSheetId="9" hidden="1">{"'Sheet1'!$L$16"}</definedName>
    <definedName name="hhb" hidden="1">{"'Sheet1'!$L$16"}</definedName>
    <definedName name="HS_NTP">#REF!</definedName>
    <definedName name="hskl">#REF!</definedName>
    <definedName name="HTML_CodePage" hidden="1">950</definedName>
    <definedName name="HTML_Control" localSheetId="9" hidden="1">{"'Sheet1'!$L$16"}</definedName>
    <definedName name="HTML_Control" hidden="1">{"'Sheet1'!$L$16"}</definedName>
    <definedName name="HTML_Control1" localSheetId="9" hidden="1">{"'Sheet1'!$L$16"}</definedName>
    <definedName name="HTML_Control1" hidden="1">{"'Sheet1'!$L$16"}</definedName>
    <definedName name="HTML_Description" hidden="1">""</definedName>
    <definedName name="HTML_Email" hidden="1">""</definedName>
    <definedName name="HTML_Header" hidden="1">"Sheet1"</definedName>
    <definedName name="HTML_LastUpdate" hidden="1">"2000/9/14"</definedName>
    <definedName name="HTML_LineAfter" hidden="1">FALSE</definedName>
    <definedName name="HTML_LineBefore" hidden="1">FALSE</definedName>
    <definedName name="HTML_Name" hidden="1">"J.C.WONG"</definedName>
    <definedName name="HTML_OBDlg2" hidden="1">TRUE</definedName>
    <definedName name="HTML_OBDlg4" hidden="1">TRUE</definedName>
    <definedName name="HTML_OS" hidden="1">0</definedName>
    <definedName name="HTML_PathFile" hidden="1">"C:\2689\Q\國內\00q3961台化龍德PTA3建造\MyHTML.htm"</definedName>
    <definedName name="HTML_Title" hidden="1">"00Q3961-SUM"</definedName>
    <definedName name="huy" localSheetId="9" hidden="1">{"'Sheet1'!$L$16"}</definedName>
    <definedName name="huy" hidden="1">{"'Sheet1'!$L$16"}</definedName>
    <definedName name="HUYØ" localSheetId="9" hidden="1">{"'Sheet1'!$L$16"}</definedName>
    <definedName name="HUYØ" hidden="1">{"'Sheet1'!$L$16"}</definedName>
    <definedName name="K_Taluy">[6]DATA!$E$68</definedName>
    <definedName name="KC_BTL">[6]DATA!$E$65</definedName>
    <definedName name="KC_Dao_DK">[6]DATA!$E$67</definedName>
    <definedName name="KC_Dao_M">[6]DATA!$E$66</definedName>
    <definedName name="kcbtr">[3]DATA!$N$85</definedName>
    <definedName name="kcgt">[3]DATA!$N$86</definedName>
    <definedName name="KNDAT_CHUA_SU_DUNG" hidden="1">#REF!</definedName>
    <definedName name="kyhieu">[6]DATA!$D$9</definedName>
    <definedName name="L1LBeam">[6]DATA!$E$81</definedName>
    <definedName name="L1Lco">[6]DATA!$E$89</definedName>
    <definedName name="LAP.A">[6]DATA!$C$25:$D$38</definedName>
    <definedName name="lap11m7">[6]DATA!$F$40</definedName>
    <definedName name="lapsan">[3]DATA!$J$41</definedName>
    <definedName name="loailk">[3]DATA!$M$36:$N$50</definedName>
    <definedName name="luan" localSheetId="9" hidden="1">{"'Sheet1'!$L$16"}</definedName>
    <definedName name="luan" hidden="1">{"'Sheet1'!$L$16"}</definedName>
    <definedName name="M10." localSheetId="9" hidden="1">{"'Sheet1'!$L$16"}</definedName>
    <definedName name="M10." hidden="1">{"'Sheet1'!$L$16"}</definedName>
    <definedName name="MASS">[3]DATA!$B$16:$C$29</definedName>
    <definedName name="MAU" localSheetId="9" hidden="1">{"'Sheet1'!$L$16"}</definedName>
    <definedName name="MAU" hidden="1">{"'Sheet1'!$L$16"}</definedName>
    <definedName name="n" hidden="1">#REF!</definedName>
    <definedName name="NC">#REF!</definedName>
    <definedName name="NC_NK">#REF!</definedName>
    <definedName name="NEW" localSheetId="9" hidden="1">{#N/A,#N/A,FALSE,"Chi tiÆt"}</definedName>
    <definedName name="NEW" hidden="1">{#N/A,#N/A,FALSE,"Chi tiÆt"}</definedName>
    <definedName name="NEWNAME" localSheetId="9" hidden="1">{#N/A,#N/A,FALSE,"CCTV"}</definedName>
    <definedName name="NEWNAME" hidden="1">{#N/A,#N/A,FALSE,"CCTV"}</definedName>
    <definedName name="ng">[6]DATA!$B$16</definedName>
    <definedName name="nharac" localSheetId="9" hidden="1">{#N/A,#N/A,FALSE,"Chi tiÆt"}</definedName>
    <definedName name="nharac" hidden="1">{#N/A,#N/A,FALSE,"Chi tiÆt"}</definedName>
    <definedName name="noichong">[3]DATA!$E$14</definedName>
    <definedName name="oa" hidden="1">#REF!</definedName>
    <definedName name="PAIII_" localSheetId="9" hidden="1">{"'Sheet1'!$L$16"}</definedName>
    <definedName name="PAIII_" hidden="1">{"'Sheet1'!$L$16"}</definedName>
    <definedName name="Pipe" localSheetId="9" hidden="1">{#N/A,#N/A,FALSE,"CCTV"}</definedName>
    <definedName name="Pipe" hidden="1">{#N/A,#N/A,FALSE,"CCTV"}</definedName>
    <definedName name="PMS" localSheetId="9" hidden="1">{"'Sheet1'!$L$16"}</definedName>
    <definedName name="PMS" hidden="1">{"'Sheet1'!$L$16"}</definedName>
    <definedName name="pp" localSheetId="9" hidden="1">{#N/A,#N/A,FALSE,"OUTPUT SHEET "}</definedName>
    <definedName name="pp" hidden="1">{#N/A,#N/A,FALSE,"OUTPUT SHEET "}</definedName>
    <definedName name="PPPP" localSheetId="9" hidden="1">{"'Sheet1'!$L$16"}</definedName>
    <definedName name="PPPP" hidden="1">{"'Sheet1'!$L$16"}</definedName>
    <definedName name="_xlnm.Print_Area" localSheetId="5">To_hop_thep!$B:$E</definedName>
    <definedName name="qd10_gt" localSheetId="9" hidden="1">{"'Sheet1'!$L$16"}</definedName>
    <definedName name="qd10_gt" hidden="1">{"'Sheet1'!$L$16"}</definedName>
    <definedName name="qwwqe" localSheetId="9" hidden="1">{"'Sheet1'!$L$16"}</definedName>
    <definedName name="qwwqe" hidden="1">{"'Sheet1'!$L$16"}</definedName>
    <definedName name="RHODIA" localSheetId="9" hidden="1">{"'DocTypeCode'!$A$142:$A$226"}</definedName>
    <definedName name="RHODIA" hidden="1">{"'DocTypeCode'!$A$142:$A$226"}</definedName>
    <definedName name="rrr" localSheetId="9" hidden="1">{"'Sheet1'!$L$16"}</definedName>
    <definedName name="rrr" hidden="1">{"'Sheet1'!$L$16"}</definedName>
    <definedName name="rtyrtyt" hidden="1">#REF!</definedName>
    <definedName name="rtytry" hidden="1">#REF!</definedName>
    <definedName name="sagawa" hidden="1">#REF!</definedName>
    <definedName name="SD" localSheetId="9" hidden="1">{"'ELEC'!$A$2:$H$216","'ELEC'!$C$2:$D$2"}</definedName>
    <definedName name="SD" hidden="1">{"'ELEC'!$A$2:$H$216","'ELEC'!$C$2:$D$2"}</definedName>
    <definedName name="sdd" localSheetId="9" hidden="1">{"'Sheet1'!$L$16"}</definedName>
    <definedName name="sdd" hidden="1">{"'Sheet1'!$L$16"}</definedName>
    <definedName name="sdf" localSheetId="9" hidden="1">{"'Sheet1'!$L$16"}</definedName>
    <definedName name="sdf" hidden="1">{"'Sheet1'!$L$16"}</definedName>
    <definedName name="sdfda" localSheetId="9" hidden="1">{"'Sheet1'!$L$16"}</definedName>
    <definedName name="sdfda" hidden="1">{"'Sheet1'!$L$16"}</definedName>
    <definedName name="SGG" localSheetId="9" hidden="1">{"'Sheet1'!$L$16"}</definedName>
    <definedName name="SGG" hidden="1">{"'Sheet1'!$L$16"}</definedName>
    <definedName name="sl">[3]DATA!$C$8</definedName>
    <definedName name="Slabplus1">[3]DATA!$J$36</definedName>
    <definedName name="SpacingSlab">[3]DATA!$D$36:$D$50</definedName>
    <definedName name="ss" hidden="1">[1]Earthwork!#REF!</definedName>
    <definedName name="sssdsdsd" hidden="1">[1]Earthwork!#REF!</definedName>
    <definedName name="ssss" hidden="1">[1]Earthwork!#REF!</definedName>
    <definedName name="THDT" localSheetId="9" hidden="1">{"'Sheet1'!$L$16"}</definedName>
    <definedName name="THDT" hidden="1">{"'Sheet1'!$L$16"}</definedName>
    <definedName name="thuy" localSheetId="9" hidden="1">{"'Sheet1'!$L$16"}</definedName>
    <definedName name="thuy" hidden="1">{"'Sheet1'!$L$16"}</definedName>
    <definedName name="TLR">[6]DATA!$D$7</definedName>
    <definedName name="tttt" localSheetId="9" hidden="1">{"'Sheet1'!$L$16"}</definedName>
    <definedName name="tttt" hidden="1">{"'Sheet1'!$L$16"}</definedName>
    <definedName name="TUANKHANHTUYET45" localSheetId="9" hidden="1">{0}</definedName>
    <definedName name="TUANKHANHTUYET45" hidden="1">{0}</definedName>
    <definedName name="V8.Refresh" localSheetId="9" hidden="1">{"NGUYEN QUI THIEP - Personal View",#N/A,FALSE,"XDCB.HT.FUR."}</definedName>
    <definedName name="V8.Refresh" hidden="1">{"NGUYEN QUI THIEP - Personal View",#N/A,FALSE,"XDCB.HT.FUR."}</definedName>
    <definedName name="Viet" localSheetId="9" hidden="1">{"'Sheet1'!$L$16"}</definedName>
    <definedName name="Viet" hidden="1">{"'Sheet1'!$L$16"}</definedName>
    <definedName name="VT">#REF!</definedName>
    <definedName name="VT_NK">#REF!</definedName>
    <definedName name="wis" hidden="1">#REF!</definedName>
    <definedName name="WRITE" localSheetId="9" hidden="1">{#N/A,#N/A,FALSE,"CCTV"}</definedName>
    <definedName name="WRITE" hidden="1">{#N/A,#N/A,FALSE,"CCTV"}</definedName>
    <definedName name="wrn.A." localSheetId="9" hidden="1">{#N/A,#N/A,TRUE,"SUM";#N/A,#N/A,TRUE,"EE";#N/A,#N/A,TRUE,"AC";#N/A,#N/A,TRUE,"SN"}</definedName>
    <definedName name="wrn.A." hidden="1">{#N/A,#N/A,TRUE,"SUM";#N/A,#N/A,TRUE,"EE";#N/A,#N/A,TRUE,"AC";#N/A,#N/A,TRUE,"SN"}</definedName>
    <definedName name="wrn.Bang._.ke._.nhan._.hang." localSheetId="9" hidden="1">{#N/A,#N/A,FALSE,"Ke khai NH"}</definedName>
    <definedName name="wrn.Bang._.ke._.nhan._.hang." hidden="1">{#N/A,#N/A,FALSE,"Ke khai NH"}</definedName>
    <definedName name="wrn.BIDSUM." localSheetId="9" hidden="1">{#N/A,#N/A,TRUE,"SUMMARY";#N/A,#N/A,TRUE,"ISBL";#N/A,#N/A,TRUE,"OSBL";#N/A,#N/A,TRUE,"OFFSITE";#N/A,#N/A,TRUE,"STEAM"}</definedName>
    <definedName name="wrn.BIDSUM." hidden="1">{#N/A,#N/A,TRUE,"SUMMARY";#N/A,#N/A,TRUE,"ISBL";#N/A,#N/A,TRUE,"OSBL";#N/A,#N/A,TRUE,"OFFSITE";#N/A,#N/A,TRUE,"STEAM"}</definedName>
    <definedName name="wrn.BILLS._.OF._.QUANTITY." localSheetId="9" hidden="1">{#N/A,#N/A,TRUE,"Str.";#N/A,#N/A,TRUE,"Steel &amp; Roof";#N/A,#N/A,TRUE,"Arc.";#N/A,#N/A,TRUE,"Preliminary";#N/A,#N/A,TRUE,"Sum_Prelim"}</definedName>
    <definedName name="wrn.BILLS._.OF._.QUANTITY." hidden="1">{#N/A,#N/A,TRUE,"Str.";#N/A,#N/A,TRUE,"Steel &amp; Roof";#N/A,#N/A,TRUE,"Arc.";#N/A,#N/A,TRUE,"Preliminary";#N/A,#N/A,TRUE,"Sum_Prelim"}</definedName>
    <definedName name="wrn.BM." localSheetId="9" hidden="1">{#N/A,#N/A,FALSE,"CCTV"}</definedName>
    <definedName name="wrn.BM." hidden="1">{#N/A,#N/A,FALSE,"CCTV"}</definedName>
    <definedName name="wrn.Che._.do._.duoc._.huong." localSheetId="9" hidden="1">{#N/A,#N/A,FALSE,"BN (2)"}</definedName>
    <definedName name="wrn.Che._.do._.duoc._.huong." hidden="1">{#N/A,#N/A,FALSE,"BN (2)"}</definedName>
    <definedName name="wrn.chi._.tiÆt." localSheetId="9" hidden="1">{#N/A,#N/A,FALSE,"Chi tiÆt"}</definedName>
    <definedName name="wrn.chi._.tiÆt." hidden="1">{#N/A,#N/A,FALSE,"Chi tiÆt"}</definedName>
    <definedName name="wrn.DIRLABR." localSheetId="9" hidden="1">{#N/A,#N/A,TRUE,"CS&amp;SS(AG)";#N/A,#N/A,TRUE,"CS(UG)";#N/A,#N/A,TRUE,"CSCL(UG)";#N/A,#N/A,TRUE,"KYNAR";#N/A,#N/A,TRUE,"ALLOY904";#N/A,#N/A,TRUE,"TITANIUM";#N/A,#N/A,TRUE,"STMTRACE"}</definedName>
    <definedName name="wrn.DIRLABR." hidden="1">{#N/A,#N/A,TRUE,"CS&amp;SS(AG)";#N/A,#N/A,TRUE,"CS(UG)";#N/A,#N/A,TRUE,"CSCL(UG)";#N/A,#N/A,TRUE,"KYNAR";#N/A,#N/A,TRUE,"ALLOY904";#N/A,#N/A,TRUE,"TITANIUM";#N/A,#N/A,TRUE,"STMTRACE"}</definedName>
    <definedName name="wrn.Giáy._.bao._.no." localSheetId="9" hidden="1">{#N/A,#N/A,FALSE,"BN"}</definedName>
    <definedName name="wrn.Giáy._.bao._.no." hidden="1">{#N/A,#N/A,FALSE,"BN"}</definedName>
    <definedName name="wrn.INDIRCOS." localSheetId="9" hidden="1">{#N/A,#N/A,TRUE,"FIELDOFF";#N/A,#N/A,TRUE,"SCAFF";#N/A,#N/A,TRUE,"CONSTEQP";#N/A,#N/A,TRUE,"FUELUBE";#N/A,#N/A,TRUE,"CONSUME";#N/A,#N/A,TRUE,"FIELDEXP";#N/A,#N/A,TRUE,"MANPLAN";#N/A,#N/A,TRUE,"EQPLAN"}</definedName>
    <definedName name="wrn.INDIRCOS." hidden="1">{#N/A,#N/A,TRUE,"FIELDOFF";#N/A,#N/A,TRUE,"SCAFF";#N/A,#N/A,TRUE,"CONSTEQP";#N/A,#N/A,TRUE,"FUELUBE";#N/A,#N/A,TRUE,"CONSUME";#N/A,#N/A,TRUE,"FIELDEXP";#N/A,#N/A,TRUE,"MANPLAN";#N/A,#N/A,TRUE,"EQPLAN"}</definedName>
    <definedName name="wrn.mai._.khanh." localSheetId="9" hidden="1">{"NGUYEN QUI THIEP - Personal View",#N/A,FALSE,"XDCB.HT.FUR."}</definedName>
    <definedName name="wrn.mai._.khanh." hidden="1">{"NGUYEN QUI THIEP - Personal View",#N/A,FALSE,"XDCB.HT.FUR."}</definedName>
    <definedName name="wrn.Monthly._.Statement." localSheetId="9" hidden="1">{#N/A,#N/A,FALSE,"Tabelle2";#N/A,#N/A,FALSE,"Tabelle1"}</definedName>
    <definedName name="wrn.Monthly._.Statement." hidden="1">{#N/A,#N/A,FALSE,"Tabelle2";#N/A,#N/A,FALSE,"Tabelle1"}</definedName>
    <definedName name="wrn.Print._.Output." localSheetId="9" hidden="1">{#N/A,#N/A,FALSE,"OUTPUT SHEET "}</definedName>
    <definedName name="wrn.Print._.Output." hidden="1">{#N/A,#N/A,FALSE,"OUTPUT SHEET "}</definedName>
    <definedName name="XDKT" localSheetId="9" hidden="1">{"NGUYEN QUI THIEP - Personal View",#N/A,FALSE,"XDCB.HT.FUR."}</definedName>
    <definedName name="XDKT" hidden="1">{"NGUYEN QUI THIEP - Personal View",#N/A,FALSE,"XDCB.HT.FUR."}</definedName>
    <definedName name="XXXAAAA" localSheetId="9" hidden="1">{"'Sheet1'!$L$16"}</definedName>
    <definedName name="XXXAAAA" hidden="1">{"'Sheet1'!$L$16"}</definedName>
    <definedName name="Z_2BD578FA_E2CB_4B2F_9A88_B148DA6298A5_.wvu.Cols" hidden="1">#REF!</definedName>
    <definedName name="Z_2BD578FA_E2CB_4B2F_9A88_B148DA6298A5_.wvu.PrintArea" hidden="1">#REF!</definedName>
  </definedNames>
  <calcPr calcId="125725"/>
  <fileRecoveryPr repairLoad="1"/>
</workbook>
</file>

<file path=xl/calcChain.xml><?xml version="1.0" encoding="utf-8"?>
<calcChain xmlns="http://schemas.openxmlformats.org/spreadsheetml/2006/main">
  <c r="AF8" i="8"/>
  <c r="AE8"/>
  <c r="AF5"/>
  <c r="AE3"/>
  <c r="AF2"/>
  <c r="AF23"/>
  <c r="AF6"/>
  <c r="AF17" s="1"/>
  <c r="AE5"/>
  <c r="X2" i="5"/>
  <c r="AJ2"/>
  <c r="AB2"/>
  <c r="AC2"/>
  <c r="AF2"/>
  <c r="AG2"/>
  <c r="W2"/>
  <c r="AI2"/>
  <c r="AE2"/>
  <c r="V2"/>
  <c r="AH2"/>
  <c r="AK2"/>
  <c r="Z2"/>
  <c r="AD2"/>
  <c r="AA2"/>
  <c r="Y2"/>
  <c r="AF9" i="8" l="1"/>
  <c r="V3" i="5"/>
  <c r="AF11" i="8"/>
  <c r="AF24"/>
  <c r="AF25" s="1"/>
  <c r="AF12"/>
  <c r="AF3"/>
  <c r="AE17"/>
  <c r="AF18"/>
  <c r="AF19" s="1"/>
  <c r="AF20" s="1"/>
  <c r="AF21" s="1"/>
  <c r="AI3"/>
  <c r="AL3"/>
  <c r="AR3" s="1"/>
  <c r="AR4" s="1"/>
  <c r="AR5" s="1"/>
  <c r="AR6" s="1"/>
  <c r="AR7" s="1"/>
  <c r="AR8" s="1"/>
  <c r="AR9" s="1"/>
  <c r="AR10" s="1"/>
  <c r="AR11" s="1"/>
  <c r="AR12" s="1"/>
  <c r="AR13" s="1"/>
  <c r="AR14" s="1"/>
  <c r="AR15" s="1"/>
  <c r="AR16" s="1"/>
  <c r="AR17" s="1"/>
  <c r="AR18" s="1"/>
  <c r="AR19" s="1"/>
  <c r="AR20" s="1"/>
  <c r="AR21" s="1"/>
  <c r="AR22" s="1"/>
  <c r="AR23" s="1"/>
  <c r="AR24" s="1"/>
  <c r="AR25" s="1"/>
  <c r="AR26" s="1"/>
  <c r="AR27" s="1"/>
  <c r="AR28" s="1"/>
  <c r="AR29" s="1"/>
  <c r="AR30" s="1"/>
  <c r="AR31" s="1"/>
  <c r="AR32" s="1"/>
  <c r="AR33" s="1"/>
  <c r="AR34" s="1"/>
  <c r="AR35" s="1"/>
  <c r="AR36" s="1"/>
  <c r="AR37" s="1"/>
  <c r="AR38" s="1"/>
  <c r="AR39" s="1"/>
  <c r="AR40" s="1"/>
  <c r="AR41" s="1"/>
  <c r="AR42" s="1"/>
  <c r="AR43" s="1"/>
  <c r="AR44" s="1"/>
  <c r="AR45" s="1"/>
  <c r="AR46" s="1"/>
  <c r="AR47" s="1"/>
  <c r="AR48" s="1"/>
  <c r="AR49" s="1"/>
  <c r="AR50" s="1"/>
  <c r="AR51" s="1"/>
  <c r="AR52" s="1"/>
  <c r="AE14"/>
  <c r="F9" i="1"/>
  <c r="E9"/>
  <c r="H80" i="4"/>
  <c r="K80" s="1"/>
  <c r="L80" s="1"/>
  <c r="G80"/>
  <c r="I80" s="1"/>
  <c r="M80" s="1"/>
  <c r="H79"/>
  <c r="K79" s="1"/>
  <c r="L79" s="1"/>
  <c r="G79"/>
  <c r="I79" s="1"/>
  <c r="M79" s="1"/>
  <c r="H78"/>
  <c r="K78" s="1"/>
  <c r="L78" s="1"/>
  <c r="G78"/>
  <c r="I78" s="1"/>
  <c r="M78" s="1"/>
  <c r="H77"/>
  <c r="K77" s="1"/>
  <c r="L77" s="1"/>
  <c r="G77"/>
  <c r="I77" s="1"/>
  <c r="M77" s="1"/>
  <c r="H76"/>
  <c r="K76" s="1"/>
  <c r="L76" s="1"/>
  <c r="G76"/>
  <c r="I76" s="1"/>
  <c r="M76" s="1"/>
  <c r="H75"/>
  <c r="K75" s="1"/>
  <c r="L75" s="1"/>
  <c r="G75"/>
  <c r="I75" s="1"/>
  <c r="J75" s="1"/>
  <c r="H74"/>
  <c r="K74" s="1"/>
  <c r="L74" s="1"/>
  <c r="G74"/>
  <c r="I74" s="1"/>
  <c r="M74" s="1"/>
  <c r="H73"/>
  <c r="K73" s="1"/>
  <c r="L73" s="1"/>
  <c r="G73"/>
  <c r="I73" s="1"/>
  <c r="M73" s="1"/>
  <c r="H72"/>
  <c r="K72" s="1"/>
  <c r="L72" s="1"/>
  <c r="G72"/>
  <c r="I72" s="1"/>
  <c r="J72" s="1"/>
  <c r="H71"/>
  <c r="K71" s="1"/>
  <c r="L71" s="1"/>
  <c r="G71"/>
  <c r="I71" s="1"/>
  <c r="M71" s="1"/>
  <c r="H70"/>
  <c r="K70" s="1"/>
  <c r="L70" s="1"/>
  <c r="G70"/>
  <c r="I70" s="1"/>
  <c r="J70" s="1"/>
  <c r="H69"/>
  <c r="K69" s="1"/>
  <c r="L69" s="1"/>
  <c r="G69"/>
  <c r="I69" s="1"/>
  <c r="M69" s="1"/>
  <c r="H68"/>
  <c r="K68" s="1"/>
  <c r="L68" s="1"/>
  <c r="G68"/>
  <c r="I68" s="1"/>
  <c r="J68" s="1"/>
  <c r="H67"/>
  <c r="K67" s="1"/>
  <c r="L67" s="1"/>
  <c r="G67"/>
  <c r="I67" s="1"/>
  <c r="M67" s="1"/>
  <c r="H66"/>
  <c r="K66" s="1"/>
  <c r="L66" s="1"/>
  <c r="G66"/>
  <c r="I66" s="1"/>
  <c r="M66" s="1"/>
  <c r="H65"/>
  <c r="K65" s="1"/>
  <c r="L65" s="1"/>
  <c r="G65"/>
  <c r="I65" s="1"/>
  <c r="M65" s="1"/>
  <c r="H64"/>
  <c r="K64" s="1"/>
  <c r="L64" s="1"/>
  <c r="G64"/>
  <c r="I64" s="1"/>
  <c r="M64" s="1"/>
  <c r="H63"/>
  <c r="G63"/>
  <c r="H62"/>
  <c r="G62"/>
  <c r="B62"/>
  <c r="H61"/>
  <c r="G61"/>
  <c r="J59"/>
  <c r="J58"/>
  <c r="B57"/>
  <c r="B59" s="1"/>
  <c r="AK22" i="1"/>
  <c r="AJ8"/>
  <c r="AK8" s="1"/>
  <c r="AJ9" s="1"/>
  <c r="AK6"/>
  <c r="AK16" s="1"/>
  <c r="AJ4"/>
  <c r="AK4" s="1"/>
  <c r="AK5" s="1"/>
  <c r="AK2"/>
  <c r="V4" i="5"/>
  <c r="AB3" l="1"/>
  <c r="AF3"/>
  <c r="X3"/>
  <c r="AA3"/>
  <c r="AC3"/>
  <c r="AI3"/>
  <c r="Y3"/>
  <c r="AG3"/>
  <c r="AH3"/>
  <c r="AE3"/>
  <c r="AK3"/>
  <c r="AJ3"/>
  <c r="W3"/>
  <c r="AD3"/>
  <c r="Z3"/>
  <c r="AH3" i="8"/>
  <c r="AH4" s="1"/>
  <c r="AH5" s="1"/>
  <c r="AH6" s="1"/>
  <c r="AH7" s="1"/>
  <c r="AH8" s="1"/>
  <c r="AK3"/>
  <c r="AF10"/>
  <c r="AN3" s="1"/>
  <c r="AN4" s="1"/>
  <c r="AN5" s="1"/>
  <c r="AN6" s="1"/>
  <c r="AN7" s="1"/>
  <c r="AN8" s="1"/>
  <c r="AN9" s="1"/>
  <c r="AN10" s="1"/>
  <c r="AN11" s="1"/>
  <c r="AN12" s="1"/>
  <c r="AN13" s="1"/>
  <c r="AN14" s="1"/>
  <c r="AN15" s="1"/>
  <c r="AN16" s="1"/>
  <c r="AN17" s="1"/>
  <c r="AN18" s="1"/>
  <c r="AN19" s="1"/>
  <c r="AN20" s="1"/>
  <c r="AN21" s="1"/>
  <c r="AN22" s="1"/>
  <c r="AN23" s="1"/>
  <c r="AN24" s="1"/>
  <c r="AN25" s="1"/>
  <c r="AN26" s="1"/>
  <c r="AN27" s="1"/>
  <c r="AN28" s="1"/>
  <c r="AN29" s="1"/>
  <c r="AN30" s="1"/>
  <c r="AN31" s="1"/>
  <c r="AN32" s="1"/>
  <c r="AN33" s="1"/>
  <c r="AN34" s="1"/>
  <c r="AN35" s="1"/>
  <c r="AN36" s="1"/>
  <c r="AN37" s="1"/>
  <c r="AN38" s="1"/>
  <c r="AN39" s="1"/>
  <c r="AN40" s="1"/>
  <c r="AN41" s="1"/>
  <c r="AN42" s="1"/>
  <c r="AN43" s="1"/>
  <c r="AN44" s="1"/>
  <c r="AN45" s="1"/>
  <c r="AN46" s="1"/>
  <c r="AN47" s="1"/>
  <c r="AN48" s="1"/>
  <c r="AN49" s="1"/>
  <c r="AN50" s="1"/>
  <c r="AN51" s="1"/>
  <c r="AN52" s="1"/>
  <c r="AQ3"/>
  <c r="AJ10"/>
  <c r="AJ18"/>
  <c r="AJ26"/>
  <c r="AJ34"/>
  <c r="AJ42"/>
  <c r="AJ50"/>
  <c r="AO47"/>
  <c r="AO39"/>
  <c r="AO31"/>
  <c r="AO23"/>
  <c r="AO15"/>
  <c r="AO7"/>
  <c r="AI9"/>
  <c r="AI17"/>
  <c r="AI25"/>
  <c r="AI33"/>
  <c r="AI41"/>
  <c r="AI49"/>
  <c r="AJ11"/>
  <c r="AJ19"/>
  <c r="AJ27"/>
  <c r="AJ35"/>
  <c r="AJ43"/>
  <c r="AJ51"/>
  <c r="AO46"/>
  <c r="AO38"/>
  <c r="AO30"/>
  <c r="AO22"/>
  <c r="AO14"/>
  <c r="AO6"/>
  <c r="AI10"/>
  <c r="AI18"/>
  <c r="AI26"/>
  <c r="AI34"/>
  <c r="AI42"/>
  <c r="AI50"/>
  <c r="AO13"/>
  <c r="AI35"/>
  <c r="AJ5"/>
  <c r="AJ13"/>
  <c r="AJ21"/>
  <c r="AJ29"/>
  <c r="AJ37"/>
  <c r="AJ45"/>
  <c r="AJ4"/>
  <c r="AO52"/>
  <c r="AO44"/>
  <c r="AO36"/>
  <c r="AO28"/>
  <c r="AO20"/>
  <c r="AO12"/>
  <c r="AO4"/>
  <c r="AI12"/>
  <c r="AI20"/>
  <c r="AI28"/>
  <c r="AI36"/>
  <c r="AI44"/>
  <c r="AI52"/>
  <c r="AJ8"/>
  <c r="AJ32"/>
  <c r="AJ17"/>
  <c r="AJ49"/>
  <c r="AO40"/>
  <c r="AO32"/>
  <c r="AO8"/>
  <c r="AI16"/>
  <c r="AI32"/>
  <c r="AJ20"/>
  <c r="AJ28"/>
  <c r="AJ44"/>
  <c r="AO45"/>
  <c r="AO37"/>
  <c r="AO21"/>
  <c r="AI19"/>
  <c r="AI51"/>
  <c r="AJ6"/>
  <c r="AJ14"/>
  <c r="AJ22"/>
  <c r="AJ30"/>
  <c r="AJ38"/>
  <c r="AJ46"/>
  <c r="AJ3"/>
  <c r="AO51"/>
  <c r="AO43"/>
  <c r="AO35"/>
  <c r="AO27"/>
  <c r="AO19"/>
  <c r="AO11"/>
  <c r="AI5"/>
  <c r="AI13"/>
  <c r="AI21"/>
  <c r="AI29"/>
  <c r="AI37"/>
  <c r="AI45"/>
  <c r="AI4"/>
  <c r="AJ16"/>
  <c r="AJ40"/>
  <c r="AO41"/>
  <c r="AO25"/>
  <c r="AO9"/>
  <c r="AI15"/>
  <c r="AI39"/>
  <c r="AJ33"/>
  <c r="AO16"/>
  <c r="AI40"/>
  <c r="AJ52"/>
  <c r="AO29"/>
  <c r="AI11"/>
  <c r="AJ7"/>
  <c r="AJ15"/>
  <c r="AJ23"/>
  <c r="AJ31"/>
  <c r="AJ39"/>
  <c r="AJ47"/>
  <c r="AO50"/>
  <c r="AO42"/>
  <c r="AO34"/>
  <c r="AO26"/>
  <c r="AO18"/>
  <c r="AO10"/>
  <c r="AI6"/>
  <c r="AI14"/>
  <c r="AI22"/>
  <c r="AI30"/>
  <c r="AI38"/>
  <c r="AI46"/>
  <c r="AJ24"/>
  <c r="AJ48"/>
  <c r="AO49"/>
  <c r="AO33"/>
  <c r="AO17"/>
  <c r="AI7"/>
  <c r="AI23"/>
  <c r="AI31"/>
  <c r="AI47"/>
  <c r="AJ9"/>
  <c r="AJ25"/>
  <c r="AJ41"/>
  <c r="AO48"/>
  <c r="AO24"/>
  <c r="AI8"/>
  <c r="AI24"/>
  <c r="AI48"/>
  <c r="AJ12"/>
  <c r="AJ36"/>
  <c r="AO3"/>
  <c r="AO5"/>
  <c r="AI27"/>
  <c r="AI43"/>
  <c r="AE18"/>
  <c r="AL4"/>
  <c r="AL5" s="1"/>
  <c r="AL6" s="1"/>
  <c r="AL7" s="1"/>
  <c r="AL8" s="1"/>
  <c r="AL9" s="1"/>
  <c r="AL10" s="1"/>
  <c r="AL11" s="1"/>
  <c r="AL12" s="1"/>
  <c r="AL13" s="1"/>
  <c r="AL14" s="1"/>
  <c r="AL15" s="1"/>
  <c r="AL16" s="1"/>
  <c r="AL17" s="1"/>
  <c r="AL18" s="1"/>
  <c r="AL19" s="1"/>
  <c r="AL20" s="1"/>
  <c r="AL21" s="1"/>
  <c r="AL22" s="1"/>
  <c r="AL23" s="1"/>
  <c r="AL24" s="1"/>
  <c r="AL25" s="1"/>
  <c r="AL26" s="1"/>
  <c r="AL27" s="1"/>
  <c r="AL28" s="1"/>
  <c r="AL29" s="1"/>
  <c r="AL30" s="1"/>
  <c r="AL31" s="1"/>
  <c r="AL32" s="1"/>
  <c r="AL33" s="1"/>
  <c r="AL34" s="1"/>
  <c r="AL35" s="1"/>
  <c r="AL36" s="1"/>
  <c r="AL37" s="1"/>
  <c r="AL38" s="1"/>
  <c r="AL39" s="1"/>
  <c r="AL40" s="1"/>
  <c r="AL41" s="1"/>
  <c r="AL42" s="1"/>
  <c r="AL43" s="1"/>
  <c r="AL44" s="1"/>
  <c r="AL45" s="1"/>
  <c r="AL46" s="1"/>
  <c r="AL47" s="1"/>
  <c r="AL48" s="1"/>
  <c r="AL49" s="1"/>
  <c r="AL50" s="1"/>
  <c r="AL51" s="1"/>
  <c r="AL52" s="1"/>
  <c r="AF22"/>
  <c r="AE15"/>
  <c r="AF15" s="1"/>
  <c r="AF14"/>
  <c r="J66" i="4"/>
  <c r="J69"/>
  <c r="C57"/>
  <c r="D57" s="1"/>
  <c r="E57" s="1"/>
  <c r="F57" s="1"/>
  <c r="L57" s="1"/>
  <c r="M57" s="1"/>
  <c r="N57" s="1"/>
  <c r="O57" s="1"/>
  <c r="J65"/>
  <c r="M75"/>
  <c r="J76"/>
  <c r="J77"/>
  <c r="J78"/>
  <c r="J79"/>
  <c r="J80"/>
  <c r="J71"/>
  <c r="M68"/>
  <c r="J64"/>
  <c r="L59"/>
  <c r="M59" s="1"/>
  <c r="N59" s="1"/>
  <c r="O59" s="1"/>
  <c r="P59" s="1"/>
  <c r="Q59" s="1"/>
  <c r="R59" s="1"/>
  <c r="S59" s="1"/>
  <c r="T59" s="1"/>
  <c r="U59" s="1"/>
  <c r="V59" s="1"/>
  <c r="W59" s="1"/>
  <c r="X59" s="1"/>
  <c r="Y59" s="1"/>
  <c r="Z59" s="1"/>
  <c r="AA59" s="1"/>
  <c r="AB59" s="1"/>
  <c r="AC59" s="1"/>
  <c r="AD59" s="1"/>
  <c r="AE59" s="1"/>
  <c r="J73"/>
  <c r="A58"/>
  <c r="M70"/>
  <c r="J67"/>
  <c r="J74"/>
  <c r="M72"/>
  <c r="A59"/>
  <c r="G59"/>
  <c r="F59"/>
  <c r="C59"/>
  <c r="D59" s="1"/>
  <c r="E59" s="1"/>
  <c r="B56"/>
  <c r="AK9" i="1"/>
  <c r="AK10"/>
  <c r="AJ5"/>
  <c r="AN3"/>
  <c r="AQ3"/>
  <c r="AW3" s="1"/>
  <c r="AK17"/>
  <c r="AK18" s="1"/>
  <c r="AK19" s="1"/>
  <c r="AK20" s="1"/>
  <c r="AJ16"/>
  <c r="AM3" s="1"/>
  <c r="AJ13"/>
  <c r="AK11"/>
  <c r="AC4" i="5"/>
  <c r="AH4"/>
  <c r="W4"/>
  <c r="AK4"/>
  <c r="AD4"/>
  <c r="AI4"/>
  <c r="AF4"/>
  <c r="AB4"/>
  <c r="AE4"/>
  <c r="AA4"/>
  <c r="AG4"/>
  <c r="AJ4"/>
  <c r="X4"/>
  <c r="Y4"/>
  <c r="Z4"/>
  <c r="V7" l="1"/>
  <c r="AM12" i="8"/>
  <c r="AM6"/>
  <c r="AM38"/>
  <c r="AK15"/>
  <c r="AK34"/>
  <c r="AM11"/>
  <c r="AM43"/>
  <c r="AK17"/>
  <c r="AK39"/>
  <c r="AM14"/>
  <c r="AM46"/>
  <c r="AK18"/>
  <c r="AK41"/>
  <c r="AM19"/>
  <c r="AM51"/>
  <c r="AK23"/>
  <c r="AK42"/>
  <c r="AM35"/>
  <c r="AK10"/>
  <c r="AK33"/>
  <c r="AM22"/>
  <c r="AM3"/>
  <c r="AK25"/>
  <c r="AK47"/>
  <c r="AM27"/>
  <c r="AK7"/>
  <c r="AK26"/>
  <c r="AK49"/>
  <c r="AM30"/>
  <c r="AK9"/>
  <c r="AK31"/>
  <c r="AK50"/>
  <c r="AM42"/>
  <c r="AM49"/>
  <c r="AM50"/>
  <c r="AK12"/>
  <c r="AK6"/>
  <c r="AK11"/>
  <c r="AM45"/>
  <c r="AK40"/>
  <c r="AM28"/>
  <c r="AK45"/>
  <c r="AM33"/>
  <c r="AM10"/>
  <c r="AM40"/>
  <c r="AM18"/>
  <c r="AM39"/>
  <c r="AM29"/>
  <c r="AK24"/>
  <c r="AK5"/>
  <c r="AK48"/>
  <c r="AK4"/>
  <c r="AM41"/>
  <c r="AM26"/>
  <c r="AM48"/>
  <c r="AM34"/>
  <c r="AM47"/>
  <c r="AM37"/>
  <c r="AK32"/>
  <c r="AM20"/>
  <c r="AK20"/>
  <c r="AM36"/>
  <c r="AK37"/>
  <c r="AM25"/>
  <c r="AK52"/>
  <c r="AM32"/>
  <c r="AK51"/>
  <c r="AM31"/>
  <c r="AM21"/>
  <c r="AK16"/>
  <c r="AK38"/>
  <c r="AK46"/>
  <c r="AM8"/>
  <c r="AM7"/>
  <c r="AM44"/>
  <c r="AK22"/>
  <c r="AK14"/>
  <c r="AK30"/>
  <c r="AM4"/>
  <c r="AK29"/>
  <c r="AM17"/>
  <c r="AK44"/>
  <c r="AM24"/>
  <c r="AK43"/>
  <c r="AM23"/>
  <c r="AM13"/>
  <c r="AK8"/>
  <c r="AK21"/>
  <c r="AM9"/>
  <c r="AK36"/>
  <c r="AM16"/>
  <c r="AK35"/>
  <c r="AM15"/>
  <c r="AM5"/>
  <c r="AM52"/>
  <c r="AK13"/>
  <c r="AK28"/>
  <c r="AK27"/>
  <c r="AK19"/>
  <c r="AQ9"/>
  <c r="AQ17"/>
  <c r="AQ25"/>
  <c r="AQ33"/>
  <c r="AQ41"/>
  <c r="AQ49"/>
  <c r="AQ10"/>
  <c r="AQ18"/>
  <c r="AQ26"/>
  <c r="AQ34"/>
  <c r="AQ42"/>
  <c r="AQ50"/>
  <c r="AQ11"/>
  <c r="AQ19"/>
  <c r="AQ27"/>
  <c r="AQ35"/>
  <c r="AQ43"/>
  <c r="AQ51"/>
  <c r="AQ12"/>
  <c r="AQ20"/>
  <c r="AQ28"/>
  <c r="AQ36"/>
  <c r="AQ44"/>
  <c r="AQ52"/>
  <c r="AQ8"/>
  <c r="AQ16"/>
  <c r="AQ24"/>
  <c r="AQ32"/>
  <c r="AQ40"/>
  <c r="AQ48"/>
  <c r="AS5"/>
  <c r="AQ5"/>
  <c r="AQ13"/>
  <c r="AQ21"/>
  <c r="AQ29"/>
  <c r="AQ37"/>
  <c r="AQ45"/>
  <c r="AQ4"/>
  <c r="AQ6"/>
  <c r="AQ14"/>
  <c r="AQ22"/>
  <c r="AQ30"/>
  <c r="AQ38"/>
  <c r="AQ46"/>
  <c r="AS4"/>
  <c r="AQ7"/>
  <c r="AQ15"/>
  <c r="AQ23"/>
  <c r="AQ31"/>
  <c r="AQ39"/>
  <c r="AQ47"/>
  <c r="AS44"/>
  <c r="AS7"/>
  <c r="AS32"/>
  <c r="AS51"/>
  <c r="AS33"/>
  <c r="AS21"/>
  <c r="AS47"/>
  <c r="AS12"/>
  <c r="AS22"/>
  <c r="AS35"/>
  <c r="AS17"/>
  <c r="AS48"/>
  <c r="AS28"/>
  <c r="AS38"/>
  <c r="AS16"/>
  <c r="AS43"/>
  <c r="AS25"/>
  <c r="AS13"/>
  <c r="AS50"/>
  <c r="AS41"/>
  <c r="AS31"/>
  <c r="AS40"/>
  <c r="AS6"/>
  <c r="AS42"/>
  <c r="AS27"/>
  <c r="AS9"/>
  <c r="AS8"/>
  <c r="AS45"/>
  <c r="AS30"/>
  <c r="AS39"/>
  <c r="AS20"/>
  <c r="AS18"/>
  <c r="AS37"/>
  <c r="AS23"/>
  <c r="AS29"/>
  <c r="AS15"/>
  <c r="AS24"/>
  <c r="AS52"/>
  <c r="AS34"/>
  <c r="AS19"/>
  <c r="AS3"/>
  <c r="AS46"/>
  <c r="AS36"/>
  <c r="AS26"/>
  <c r="AS11"/>
  <c r="AS49"/>
  <c r="AS14"/>
  <c r="AS10"/>
  <c r="AE19"/>
  <c r="AE20" s="1"/>
  <c r="AE21" s="1"/>
  <c r="AH28"/>
  <c r="AH29" s="1"/>
  <c r="AH30" s="1"/>
  <c r="AH31" s="1"/>
  <c r="AH32" s="1"/>
  <c r="AH33" s="1"/>
  <c r="AH34" s="1"/>
  <c r="AH35" s="1"/>
  <c r="AH36" s="1"/>
  <c r="AH37" s="1"/>
  <c r="AH38" s="1"/>
  <c r="AH39" s="1"/>
  <c r="AH40" s="1"/>
  <c r="AH41" s="1"/>
  <c r="AH42" s="1"/>
  <c r="AH43" s="1"/>
  <c r="AH44" s="1"/>
  <c r="AH45" s="1"/>
  <c r="AH46" s="1"/>
  <c r="AH47" s="1"/>
  <c r="AH48" s="1"/>
  <c r="AH49" s="1"/>
  <c r="AH50" s="1"/>
  <c r="AH51" s="1"/>
  <c r="AH52" s="1"/>
  <c r="AP6"/>
  <c r="AP14"/>
  <c r="AP22"/>
  <c r="AP30"/>
  <c r="AP38"/>
  <c r="AP46"/>
  <c r="AP3"/>
  <c r="AP7"/>
  <c r="AP15"/>
  <c r="AP23"/>
  <c r="AP31"/>
  <c r="AP39"/>
  <c r="AP47"/>
  <c r="AP9"/>
  <c r="AP17"/>
  <c r="AP25"/>
  <c r="AP33"/>
  <c r="AP41"/>
  <c r="AP49"/>
  <c r="AP20"/>
  <c r="AP36"/>
  <c r="AP52"/>
  <c r="AP5"/>
  <c r="AP37"/>
  <c r="AP10"/>
  <c r="AP18"/>
  <c r="AP26"/>
  <c r="AP34"/>
  <c r="AP42"/>
  <c r="AP50"/>
  <c r="AP28"/>
  <c r="AP44"/>
  <c r="AP21"/>
  <c r="AP45"/>
  <c r="AP8"/>
  <c r="AP16"/>
  <c r="AP24"/>
  <c r="AP32"/>
  <c r="AP48"/>
  <c r="AP11"/>
  <c r="AP19"/>
  <c r="AP27"/>
  <c r="AP35"/>
  <c r="AP43"/>
  <c r="AP51"/>
  <c r="AP12"/>
  <c r="AP13"/>
  <c r="AP29"/>
  <c r="AP4"/>
  <c r="AP40"/>
  <c r="AH9"/>
  <c r="AH10" s="1"/>
  <c r="AH11" s="1"/>
  <c r="AH12" s="1"/>
  <c r="AH13" s="1"/>
  <c r="AH14" s="1"/>
  <c r="AH15" s="1"/>
  <c r="AH16" s="1"/>
  <c r="AH17" s="1"/>
  <c r="AH18" s="1"/>
  <c r="AH19" s="1"/>
  <c r="AH20" s="1"/>
  <c r="AH21" s="1"/>
  <c r="AH22" s="1"/>
  <c r="AH23" s="1"/>
  <c r="AH24" s="1"/>
  <c r="AH25" s="1"/>
  <c r="AH26" s="1"/>
  <c r="AH27" s="1"/>
  <c r="V5" i="5"/>
  <c r="G57" i="4"/>
  <c r="H57" s="1"/>
  <c r="I57" s="1"/>
  <c r="J57" s="1"/>
  <c r="B58"/>
  <c r="L56"/>
  <c r="C56"/>
  <c r="D56" s="1"/>
  <c r="E56" s="1"/>
  <c r="F56" s="1"/>
  <c r="N61"/>
  <c r="O61" s="1"/>
  <c r="P61" s="1"/>
  <c r="N79"/>
  <c r="N76"/>
  <c r="N74"/>
  <c r="N73"/>
  <c r="N70"/>
  <c r="N69"/>
  <c r="N67"/>
  <c r="N65"/>
  <c r="N63"/>
  <c r="O63" s="1"/>
  <c r="P63" s="1"/>
  <c r="N80"/>
  <c r="N78"/>
  <c r="N77"/>
  <c r="N75"/>
  <c r="N72"/>
  <c r="N71"/>
  <c r="N68"/>
  <c r="N66"/>
  <c r="N64"/>
  <c r="N62"/>
  <c r="O62" s="1"/>
  <c r="P62" s="1"/>
  <c r="P57"/>
  <c r="Q57" s="1"/>
  <c r="R57" s="1"/>
  <c r="S57" s="1"/>
  <c r="T57" s="1"/>
  <c r="U57" s="1"/>
  <c r="V57" s="1"/>
  <c r="W57" s="1"/>
  <c r="X57" s="1"/>
  <c r="Y57" s="1"/>
  <c r="Z57" s="1"/>
  <c r="AA57" s="1"/>
  <c r="AB57" s="1"/>
  <c r="AC57" s="1"/>
  <c r="AD57" s="1"/>
  <c r="AE57" s="1"/>
  <c r="AT4" i="1"/>
  <c r="AU4" s="1"/>
  <c r="AK23"/>
  <c r="AK24" s="1"/>
  <c r="AJ26" s="1"/>
  <c r="AM4"/>
  <c r="AS4" s="1"/>
  <c r="AS27" s="1"/>
  <c r="AS3"/>
  <c r="AQ4"/>
  <c r="AQ5" s="1"/>
  <c r="AQ6" s="1"/>
  <c r="AQ7" s="1"/>
  <c r="AQ8" s="1"/>
  <c r="AQ9" s="1"/>
  <c r="AQ10" s="1"/>
  <c r="AQ11" s="1"/>
  <c r="AQ12" s="1"/>
  <c r="AQ13" s="1"/>
  <c r="AQ14" s="1"/>
  <c r="AQ15" s="1"/>
  <c r="AQ16" s="1"/>
  <c r="AQ17" s="1"/>
  <c r="AQ18" s="1"/>
  <c r="AQ19" s="1"/>
  <c r="AQ20" s="1"/>
  <c r="AQ21" s="1"/>
  <c r="AQ22" s="1"/>
  <c r="AQ23" s="1"/>
  <c r="AQ24" s="1"/>
  <c r="AQ25" s="1"/>
  <c r="AQ26" s="1"/>
  <c r="AQ27" s="1"/>
  <c r="AQ28" s="1"/>
  <c r="AQ29" s="1"/>
  <c r="AQ30" s="1"/>
  <c r="AQ31" s="1"/>
  <c r="AQ32" s="1"/>
  <c r="AQ33" s="1"/>
  <c r="AQ34" s="1"/>
  <c r="AQ35" s="1"/>
  <c r="AQ36" s="1"/>
  <c r="AQ37" s="1"/>
  <c r="AQ38" s="1"/>
  <c r="AQ39" s="1"/>
  <c r="AQ40" s="1"/>
  <c r="AQ41" s="1"/>
  <c r="AQ42" s="1"/>
  <c r="AQ43" s="1"/>
  <c r="AQ44" s="1"/>
  <c r="AQ45" s="1"/>
  <c r="AQ46" s="1"/>
  <c r="AQ47" s="1"/>
  <c r="AQ48" s="1"/>
  <c r="AQ49" s="1"/>
  <c r="AQ50" s="1"/>
  <c r="AQ51" s="1"/>
  <c r="AQ52" s="1"/>
  <c r="AJ17"/>
  <c r="AJ18" s="1"/>
  <c r="AJ19" s="1"/>
  <c r="AJ20" s="1"/>
  <c r="AP3"/>
  <c r="AV4" s="1"/>
  <c r="AV3" s="1"/>
  <c r="AN4"/>
  <c r="AO3"/>
  <c r="AJ14"/>
  <c r="AK14" s="1"/>
  <c r="AK21"/>
  <c r="AK13"/>
  <c r="AE26" i="8" l="1"/>
  <c r="AE27"/>
  <c r="AT3" i="1"/>
  <c r="AU3" s="1"/>
  <c r="V6" i="5"/>
  <c r="O72" i="4"/>
  <c r="P72" s="1"/>
  <c r="Q72"/>
  <c r="R72"/>
  <c r="O80"/>
  <c r="P80" s="1"/>
  <c r="R80"/>
  <c r="Q80"/>
  <c r="O76"/>
  <c r="P76" s="1"/>
  <c r="Q76"/>
  <c r="R76"/>
  <c r="Q62"/>
  <c r="R62"/>
  <c r="O78"/>
  <c r="P78" s="1"/>
  <c r="R78"/>
  <c r="Q78"/>
  <c r="O67"/>
  <c r="P67" s="1"/>
  <c r="Q67"/>
  <c r="R67"/>
  <c r="G58"/>
  <c r="G56"/>
  <c r="H56" s="1"/>
  <c r="I56" s="1"/>
  <c r="J56" s="1"/>
  <c r="O66"/>
  <c r="P66" s="1"/>
  <c r="Q66"/>
  <c r="R66"/>
  <c r="O75"/>
  <c r="P75" s="1"/>
  <c r="Q75"/>
  <c r="R75"/>
  <c r="Q63"/>
  <c r="R63"/>
  <c r="O70"/>
  <c r="P70" s="1"/>
  <c r="Q70"/>
  <c r="R70"/>
  <c r="O79"/>
  <c r="P79" s="1"/>
  <c r="Q79"/>
  <c r="R79"/>
  <c r="F58"/>
  <c r="C58"/>
  <c r="D58" s="1"/>
  <c r="E58" s="1"/>
  <c r="O64"/>
  <c r="P64" s="1"/>
  <c r="Q64"/>
  <c r="R64"/>
  <c r="O69"/>
  <c r="P69" s="1"/>
  <c r="Q69"/>
  <c r="R69"/>
  <c r="AD56"/>
  <c r="Z56"/>
  <c r="V56"/>
  <c r="X56"/>
  <c r="T56"/>
  <c r="Y56"/>
  <c r="M56"/>
  <c r="L58"/>
  <c r="AB56"/>
  <c r="AD58"/>
  <c r="Z58"/>
  <c r="V58"/>
  <c r="AC56"/>
  <c r="U56"/>
  <c r="W56"/>
  <c r="T58"/>
  <c r="AE56"/>
  <c r="AC58"/>
  <c r="AA56"/>
  <c r="AB58"/>
  <c r="Y58"/>
  <c r="W58"/>
  <c r="AE58"/>
  <c r="X58"/>
  <c r="U58"/>
  <c r="S58"/>
  <c r="S56"/>
  <c r="M58"/>
  <c r="AA58"/>
  <c r="O71"/>
  <c r="P71" s="1"/>
  <c r="R71"/>
  <c r="Q71"/>
  <c r="O74"/>
  <c r="P74" s="1"/>
  <c r="Q74"/>
  <c r="R74"/>
  <c r="O68"/>
  <c r="P68" s="1"/>
  <c r="R68"/>
  <c r="Q68"/>
  <c r="O77"/>
  <c r="P77" s="1"/>
  <c r="R77"/>
  <c r="Q77"/>
  <c r="O65"/>
  <c r="P65" s="1"/>
  <c r="Q65"/>
  <c r="R65"/>
  <c r="O73"/>
  <c r="P73" s="1"/>
  <c r="Q73"/>
  <c r="R73"/>
  <c r="R61"/>
  <c r="Q61"/>
  <c r="AW4" i="1"/>
  <c r="AW27" s="1"/>
  <c r="AW50" s="1"/>
  <c r="AX3"/>
  <c r="AX4"/>
  <c r="AT5"/>
  <c r="AR3"/>
  <c r="AP4"/>
  <c r="AN5"/>
  <c r="AO4"/>
  <c r="AJ25"/>
  <c r="H59" i="4" l="1"/>
  <c r="H58"/>
  <c r="I59"/>
  <c r="I58"/>
  <c r="N56"/>
  <c r="I62"/>
  <c r="N58"/>
  <c r="AV5" i="1"/>
  <c r="AV6" s="1"/>
  <c r="AX6" s="1"/>
  <c r="AU5"/>
  <c r="AT6"/>
  <c r="AR4"/>
  <c r="AP5"/>
  <c r="AN6"/>
  <c r="AO5"/>
  <c r="AS50"/>
  <c r="AM5"/>
  <c r="AW5"/>
  <c r="M62" i="4" l="1"/>
  <c r="J62"/>
  <c r="K62" s="1"/>
  <c r="L62" s="1"/>
  <c r="O56"/>
  <c r="O58"/>
  <c r="AV7" i="1"/>
  <c r="AV8" s="1"/>
  <c r="AX5"/>
  <c r="AT7"/>
  <c r="AU6"/>
  <c r="AS5"/>
  <c r="AS28" s="1"/>
  <c r="AM6"/>
  <c r="AM7" s="1"/>
  <c r="AM8" s="1"/>
  <c r="AM9" s="1"/>
  <c r="AM10" s="1"/>
  <c r="AM11" s="1"/>
  <c r="AM12" s="1"/>
  <c r="AM13" s="1"/>
  <c r="AM14" s="1"/>
  <c r="AM15" s="1"/>
  <c r="AM16" s="1"/>
  <c r="AM17" s="1"/>
  <c r="AM18" s="1"/>
  <c r="AM19" s="1"/>
  <c r="AM20" s="1"/>
  <c r="AM21" s="1"/>
  <c r="AM22" s="1"/>
  <c r="AM23" s="1"/>
  <c r="AM24" s="1"/>
  <c r="AM25" s="1"/>
  <c r="AM26" s="1"/>
  <c r="AM27" s="1"/>
  <c r="AM28" s="1"/>
  <c r="AM29" s="1"/>
  <c r="AM30" s="1"/>
  <c r="AM31" s="1"/>
  <c r="AM32" s="1"/>
  <c r="AM33" s="1"/>
  <c r="AM34" s="1"/>
  <c r="AM35" s="1"/>
  <c r="AM36" s="1"/>
  <c r="AM37" s="1"/>
  <c r="AM38" s="1"/>
  <c r="AM39" s="1"/>
  <c r="AM40" s="1"/>
  <c r="AM41" s="1"/>
  <c r="AM42" s="1"/>
  <c r="AM43" s="1"/>
  <c r="AM44" s="1"/>
  <c r="AM45" s="1"/>
  <c r="AM46" s="1"/>
  <c r="AM47" s="1"/>
  <c r="AM48" s="1"/>
  <c r="AM49" s="1"/>
  <c r="AM50" s="1"/>
  <c r="AM51" s="1"/>
  <c r="AM52" s="1"/>
  <c r="AR5"/>
  <c r="AP6"/>
  <c r="AW28"/>
  <c r="AW51" s="1"/>
  <c r="AW6"/>
  <c r="AN7"/>
  <c r="AO6"/>
  <c r="P56" i="4" l="1"/>
  <c r="P58"/>
  <c r="I61"/>
  <c r="AX7" i="1"/>
  <c r="AV9"/>
  <c r="AX8"/>
  <c r="AU7"/>
  <c r="AT8"/>
  <c r="AW29"/>
  <c r="AW52" s="1"/>
  <c r="AW7"/>
  <c r="AP7"/>
  <c r="AR6"/>
  <c r="AN8"/>
  <c r="AO7"/>
  <c r="AS51"/>
  <c r="AS6"/>
  <c r="J61" i="4" l="1"/>
  <c r="K61" s="1"/>
  <c r="L61" s="1"/>
  <c r="M61" s="1"/>
  <c r="I63"/>
  <c r="Q56"/>
  <c r="Q58"/>
  <c r="AV10" i="1"/>
  <c r="AX9"/>
  <c r="AU8"/>
  <c r="AT9"/>
  <c r="AS29"/>
  <c r="AS52" s="1"/>
  <c r="AS7"/>
  <c r="AN9"/>
  <c r="AO8"/>
  <c r="AR7"/>
  <c r="AP8"/>
  <c r="AW30"/>
  <c r="AW8"/>
  <c r="J63" i="4" l="1"/>
  <c r="M63"/>
  <c r="R56"/>
  <c r="R58"/>
  <c r="K63"/>
  <c r="L63" s="1"/>
  <c r="AV11" i="1"/>
  <c r="AX10"/>
  <c r="AU9"/>
  <c r="AT10"/>
  <c r="AW31"/>
  <c r="AW9"/>
  <c r="AR8"/>
  <c r="AP9"/>
  <c r="AS30"/>
  <c r="AS8"/>
  <c r="AN10"/>
  <c r="AO9"/>
  <c r="AV12" l="1"/>
  <c r="AX11"/>
  <c r="AU10"/>
  <c r="AT11"/>
  <c r="AS31"/>
  <c r="AS9"/>
  <c r="AW32"/>
  <c r="AW10"/>
  <c r="AN11"/>
  <c r="AO10"/>
  <c r="AP10"/>
  <c r="AR9"/>
  <c r="AV13" l="1"/>
  <c r="AX12"/>
  <c r="AU11"/>
  <c r="AT12"/>
  <c r="AR10"/>
  <c r="AP11"/>
  <c r="AN12"/>
  <c r="AO11"/>
  <c r="AS32"/>
  <c r="AS10"/>
  <c r="AW33"/>
  <c r="AW11"/>
  <c r="AV14" l="1"/>
  <c r="AX13"/>
  <c r="AU12"/>
  <c r="AT13"/>
  <c r="AS33"/>
  <c r="AS11"/>
  <c r="AP12"/>
  <c r="AR11"/>
  <c r="AN13"/>
  <c r="AO12"/>
  <c r="AW34"/>
  <c r="AW12"/>
  <c r="AV15" l="1"/>
  <c r="AX14"/>
  <c r="AU13"/>
  <c r="AT14"/>
  <c r="AS34"/>
  <c r="AS12"/>
  <c r="AR12"/>
  <c r="AP13"/>
  <c r="AW35"/>
  <c r="AW13"/>
  <c r="AO13"/>
  <c r="AN14"/>
  <c r="AX15" l="1"/>
  <c r="AV16"/>
  <c r="AU14"/>
  <c r="AT15"/>
  <c r="AS35"/>
  <c r="AS13"/>
  <c r="AN15"/>
  <c r="AO14"/>
  <c r="AP14"/>
  <c r="AR13"/>
  <c r="AW36"/>
  <c r="AW14"/>
  <c r="AX16" l="1"/>
  <c r="AV17"/>
  <c r="AU15"/>
  <c r="AT16"/>
  <c r="AW37"/>
  <c r="AW15"/>
  <c r="AS36"/>
  <c r="AS14"/>
  <c r="AP15"/>
  <c r="AR14"/>
  <c r="AO15"/>
  <c r="AN16"/>
  <c r="AX17" l="1"/>
  <c r="AV18"/>
  <c r="AU16"/>
  <c r="AT17"/>
  <c r="AW38"/>
  <c r="AW16"/>
  <c r="AO16"/>
  <c r="AN17"/>
  <c r="AS37"/>
  <c r="AS15"/>
  <c r="AR15"/>
  <c r="AP16"/>
  <c r="AX18" l="1"/>
  <c r="AV19"/>
  <c r="AT18"/>
  <c r="AU17"/>
  <c r="AR16"/>
  <c r="AP17"/>
  <c r="AO17"/>
  <c r="AN18"/>
  <c r="AW39"/>
  <c r="AW17"/>
  <c r="AS38"/>
  <c r="AS16"/>
  <c r="AX19" l="1"/>
  <c r="AV20"/>
  <c r="AU18"/>
  <c r="AT19"/>
  <c r="AW40"/>
  <c r="AW18"/>
  <c r="AS39"/>
  <c r="AS17"/>
  <c r="AO18"/>
  <c r="AN19"/>
  <c r="AP18"/>
  <c r="AR17"/>
  <c r="AV21" l="1"/>
  <c r="AX20"/>
  <c r="AU19"/>
  <c r="AT20"/>
  <c r="AS40"/>
  <c r="AS18"/>
  <c r="AW41"/>
  <c r="AW19"/>
  <c r="AN20"/>
  <c r="AO19"/>
  <c r="AR18"/>
  <c r="AP19"/>
  <c r="AV22" l="1"/>
  <c r="AX21"/>
  <c r="AU20"/>
  <c r="AT21"/>
  <c r="AS41"/>
  <c r="AS19"/>
  <c r="AP20"/>
  <c r="AR19"/>
  <c r="AW42"/>
  <c r="AW20"/>
  <c r="AN21"/>
  <c r="AO20"/>
  <c r="AX22" l="1"/>
  <c r="AV23"/>
  <c r="AT22"/>
  <c r="AU21"/>
  <c r="AW43"/>
  <c r="AW21"/>
  <c r="AN22"/>
  <c r="AO21"/>
  <c r="AP21"/>
  <c r="AR20"/>
  <c r="AS42"/>
  <c r="AS20"/>
  <c r="AX23" l="1"/>
  <c r="AV24"/>
  <c r="AT23"/>
  <c r="AU22"/>
  <c r="AW44"/>
  <c r="AW22"/>
  <c r="AN23"/>
  <c r="AO22"/>
  <c r="AS43"/>
  <c r="AS21"/>
  <c r="AP22"/>
  <c r="AR21"/>
  <c r="AV25" l="1"/>
  <c r="AX24"/>
  <c r="AT24"/>
  <c r="AU23"/>
  <c r="AP23"/>
  <c r="AR22"/>
  <c r="AO23"/>
  <c r="AN24"/>
  <c r="AW45"/>
  <c r="AW23"/>
  <c r="AS44"/>
  <c r="AS22"/>
  <c r="AV26" l="1"/>
  <c r="AX25"/>
  <c r="AT25"/>
  <c r="AU24"/>
  <c r="AP24"/>
  <c r="AR23"/>
  <c r="AW46"/>
  <c r="AW24"/>
  <c r="AS45"/>
  <c r="AS23"/>
  <c r="AN25"/>
  <c r="AO24"/>
  <c r="AV27" l="1"/>
  <c r="AX26"/>
  <c r="AT26"/>
  <c r="AU25"/>
  <c r="AN26"/>
  <c r="AO25"/>
  <c r="AP25"/>
  <c r="AR24"/>
  <c r="AS46"/>
  <c r="AS24"/>
  <c r="AW47"/>
  <c r="AW25"/>
  <c r="AX27" l="1"/>
  <c r="AV28"/>
  <c r="AU26"/>
  <c r="AT27"/>
  <c r="AS47"/>
  <c r="AS25"/>
  <c r="AR25"/>
  <c r="AP26"/>
  <c r="AN27"/>
  <c r="AO26"/>
  <c r="AW48"/>
  <c r="AW26"/>
  <c r="AW49" s="1"/>
  <c r="AV29" l="1"/>
  <c r="AX28"/>
  <c r="AU27"/>
  <c r="AT28"/>
  <c r="AR26"/>
  <c r="AP27"/>
  <c r="AN28"/>
  <c r="AO27"/>
  <c r="AS48"/>
  <c r="AS26"/>
  <c r="AS49" s="1"/>
  <c r="AX29" l="1"/>
  <c r="AV30"/>
  <c r="AU28"/>
  <c r="AT29"/>
  <c r="AR27"/>
  <c r="AP28"/>
  <c r="AN29"/>
  <c r="AO28"/>
  <c r="AV31" l="1"/>
  <c r="AX30"/>
  <c r="AU29"/>
  <c r="AT30"/>
  <c r="AR28"/>
  <c r="AP29"/>
  <c r="AN30"/>
  <c r="AO29"/>
  <c r="AV32" l="1"/>
  <c r="AX31"/>
  <c r="AU30"/>
  <c r="AT31"/>
  <c r="AR29"/>
  <c r="AP30"/>
  <c r="AN31"/>
  <c r="AO30"/>
  <c r="AV33" l="1"/>
  <c r="AX32"/>
  <c r="AU31"/>
  <c r="AT32"/>
  <c r="AN32"/>
  <c r="AO31"/>
  <c r="AR30"/>
  <c r="AP31"/>
  <c r="AV34" l="1"/>
  <c r="AX33"/>
  <c r="AU32"/>
  <c r="AT33"/>
  <c r="AN33"/>
  <c r="AO32"/>
  <c r="AR31"/>
  <c r="AP32"/>
  <c r="AV35" l="1"/>
  <c r="AX34"/>
  <c r="AU33"/>
  <c r="AT34"/>
  <c r="AN34"/>
  <c r="AO33"/>
  <c r="AR32"/>
  <c r="AP33"/>
  <c r="AV36" l="1"/>
  <c r="AX35"/>
  <c r="AU34"/>
  <c r="AT35"/>
  <c r="AN35"/>
  <c r="AO34"/>
  <c r="AR33"/>
  <c r="AP34"/>
  <c r="AV37" l="1"/>
  <c r="AX36"/>
  <c r="AU35"/>
  <c r="AT36"/>
  <c r="AR34"/>
  <c r="AP35"/>
  <c r="AN36"/>
  <c r="AO35"/>
  <c r="AV38" l="1"/>
  <c r="AX37"/>
  <c r="AU36"/>
  <c r="AT37"/>
  <c r="AN37"/>
  <c r="AO36"/>
  <c r="AR35"/>
  <c r="AP36"/>
  <c r="AV39" l="1"/>
  <c r="AX38"/>
  <c r="AU37"/>
  <c r="AT38"/>
  <c r="AN38"/>
  <c r="AO37"/>
  <c r="AR36"/>
  <c r="AP37"/>
  <c r="AV40" l="1"/>
  <c r="AX39"/>
  <c r="AU38"/>
  <c r="AT39"/>
  <c r="AN39"/>
  <c r="AO38"/>
  <c r="AR37"/>
  <c r="AP38"/>
  <c r="AV41" l="1"/>
  <c r="AX40"/>
  <c r="AU39"/>
  <c r="AT40"/>
  <c r="AR38"/>
  <c r="AP39"/>
  <c r="AN40"/>
  <c r="AO39"/>
  <c r="AX41" l="1"/>
  <c r="AV42"/>
  <c r="AU40"/>
  <c r="AT41"/>
  <c r="AN41"/>
  <c r="AO40"/>
  <c r="AR39"/>
  <c r="AP40"/>
  <c r="AV43" l="1"/>
  <c r="AX42"/>
  <c r="AU41"/>
  <c r="AT42"/>
  <c r="AR40"/>
  <c r="AP41"/>
  <c r="AN42"/>
  <c r="AO41"/>
  <c r="AV44" l="1"/>
  <c r="AX43"/>
  <c r="AU42"/>
  <c r="AT43"/>
  <c r="AR41"/>
  <c r="AP42"/>
  <c r="AN43"/>
  <c r="AO42"/>
  <c r="AV45" l="1"/>
  <c r="AX44"/>
  <c r="AU43"/>
  <c r="AT44"/>
  <c r="AN44"/>
  <c r="AO43"/>
  <c r="AR42"/>
  <c r="AP43"/>
  <c r="AV46" l="1"/>
  <c r="AX45"/>
  <c r="AU44"/>
  <c r="AT45"/>
  <c r="AN45"/>
  <c r="AO44"/>
  <c r="AR43"/>
  <c r="AP44"/>
  <c r="AV47" l="1"/>
  <c r="AX46"/>
  <c r="AU45"/>
  <c r="AT46"/>
  <c r="AN46"/>
  <c r="AO45"/>
  <c r="AR44"/>
  <c r="AP45"/>
  <c r="AV48" l="1"/>
  <c r="AX47"/>
  <c r="AU46"/>
  <c r="AT47"/>
  <c r="AN47"/>
  <c r="AO46"/>
  <c r="AR45"/>
  <c r="AP46"/>
  <c r="AV49" l="1"/>
  <c r="AX48"/>
  <c r="AU47"/>
  <c r="AT48"/>
  <c r="AN48"/>
  <c r="AO47"/>
  <c r="AR46"/>
  <c r="AP47"/>
  <c r="AV50" l="1"/>
  <c r="AX49"/>
  <c r="AU48"/>
  <c r="AT49"/>
  <c r="AN49"/>
  <c r="AO48"/>
  <c r="AR47"/>
  <c r="AP48"/>
  <c r="AV51" l="1"/>
  <c r="AX50"/>
  <c r="AU49"/>
  <c r="AT50"/>
  <c r="AN50"/>
  <c r="AO49"/>
  <c r="AR48"/>
  <c r="AP49"/>
  <c r="AV52" l="1"/>
  <c r="AX52" s="1"/>
  <c r="AX51"/>
  <c r="AU50"/>
  <c r="AT51"/>
  <c r="AN51"/>
  <c r="AO50"/>
  <c r="AR49"/>
  <c r="AP50"/>
  <c r="AU51" l="1"/>
  <c r="AT52"/>
  <c r="AU52" s="1"/>
  <c r="AN52"/>
  <c r="AO52" s="1"/>
  <c r="AO51"/>
  <c r="AR50"/>
  <c r="AP51"/>
  <c r="AR51" l="1"/>
  <c r="AP52"/>
  <c r="AR52" s="1"/>
</calcChain>
</file>

<file path=xl/comments1.xml><?xml version="1.0" encoding="utf-8"?>
<comments xmlns="http://schemas.openxmlformats.org/spreadsheetml/2006/main">
  <authors>
    <author>khatam</author>
    <author>Pavilion</author>
    <author>Kata</author>
  </authors>
  <commentList>
    <comment ref="F1" authorId="0">
      <text>
        <r>
          <rPr>
            <b/>
            <sz val="9"/>
            <color indexed="81"/>
            <rFont val="Tahoma"/>
            <family val="2"/>
          </rPr>
          <t>nhập 0.2 = L/5
nhập &gt;1 đơn vị tính mm</t>
        </r>
      </text>
    </comment>
    <comment ref="F2" authorId="1">
      <text>
        <r>
          <rPr>
            <b/>
            <sz val="8"/>
            <color indexed="81"/>
            <rFont val="Tahoma"/>
            <family val="2"/>
          </rPr>
          <t>In layout</t>
        </r>
      </text>
    </comment>
    <comment ref="F3" authorId="1">
      <text>
        <r>
          <rPr>
            <b/>
            <sz val="8"/>
            <color indexed="81"/>
            <rFont val="Tahoma"/>
            <family val="2"/>
          </rPr>
          <t>In layout</t>
        </r>
      </text>
    </comment>
    <comment ref="E8" authorId="1">
      <text>
        <r>
          <rPr>
            <b/>
            <sz val="8"/>
            <color indexed="81"/>
            <rFont val="Tahoma"/>
            <family val="2"/>
          </rPr>
          <t>Hướng dẫn nhập:</t>
        </r>
        <r>
          <rPr>
            <sz val="8"/>
            <color indexed="81"/>
            <rFont val="Tahoma"/>
            <family val="2"/>
          </rPr>
          <t xml:space="preserve">
  "20f30": 20 cây phi 30</t>
        </r>
      </text>
    </comment>
    <comment ref="G8" authorId="1">
      <text>
        <r>
          <rPr>
            <b/>
            <sz val="8"/>
            <color indexed="81"/>
            <rFont val="Tahoma"/>
            <family val="2"/>
          </rPr>
          <t>Hướng dẫn nhập:</t>
        </r>
        <r>
          <rPr>
            <sz val="8"/>
            <color indexed="81"/>
            <rFont val="Tahoma"/>
            <family val="2"/>
          </rPr>
          <t xml:space="preserve">
  "20f30": 20 cây phi 30</t>
        </r>
      </text>
    </comment>
    <comment ref="C11" authorId="2">
      <text>
        <r>
          <rPr>
            <b/>
            <sz val="9"/>
            <color indexed="81"/>
            <rFont val="Tahoma"/>
            <family val="2"/>
          </rPr>
          <t>Kata:</t>
        </r>
        <r>
          <rPr>
            <sz val="9"/>
            <color indexed="81"/>
            <rFont val="Tahoma"/>
            <family val="2"/>
          </rPr>
          <t xml:space="preserve">
Nhập âm bóp 1 bên cho cột biên
Dương bóp đều 2 bên cho cột giữa</t>
        </r>
      </text>
    </comment>
  </commentList>
</comments>
</file>

<file path=xl/comments2.xml><?xml version="1.0" encoding="utf-8"?>
<comments xmlns="http://schemas.openxmlformats.org/spreadsheetml/2006/main">
  <authors>
    <author>Pavilion</author>
    <author>Kata</author>
  </authors>
  <commentList>
    <comment ref="F2" authorId="0">
      <text>
        <r>
          <rPr>
            <b/>
            <sz val="8"/>
            <color indexed="81"/>
            <rFont val="Tahoma"/>
            <family val="2"/>
          </rPr>
          <t>In layout</t>
        </r>
      </text>
    </comment>
    <comment ref="F3" authorId="0">
      <text>
        <r>
          <rPr>
            <b/>
            <sz val="8"/>
            <color indexed="81"/>
            <rFont val="Tahoma"/>
            <family val="2"/>
          </rPr>
          <t>In layout</t>
        </r>
      </text>
    </comment>
    <comment ref="E8" authorId="0">
      <text>
        <r>
          <rPr>
            <b/>
            <sz val="8"/>
            <color indexed="81"/>
            <rFont val="Tahoma"/>
            <family val="2"/>
          </rPr>
          <t>Hướng dẫn nhập:</t>
        </r>
        <r>
          <rPr>
            <sz val="8"/>
            <color indexed="81"/>
            <rFont val="Tahoma"/>
            <family val="2"/>
          </rPr>
          <t xml:space="preserve">
  "20f30": 20 cây phi 30</t>
        </r>
      </text>
    </comment>
    <comment ref="G8" authorId="0">
      <text>
        <r>
          <rPr>
            <b/>
            <sz val="8"/>
            <color indexed="81"/>
            <rFont val="Tahoma"/>
            <family val="2"/>
          </rPr>
          <t>Hướng dẫn nhập:</t>
        </r>
        <r>
          <rPr>
            <sz val="8"/>
            <color indexed="81"/>
            <rFont val="Tahoma"/>
            <family val="2"/>
          </rPr>
          <t xml:space="preserve">
  "20f30": 20 cây phi 30</t>
        </r>
      </text>
    </comment>
    <comment ref="C11" authorId="1">
      <text>
        <r>
          <rPr>
            <b/>
            <sz val="9"/>
            <color indexed="81"/>
            <rFont val="Tahoma"/>
            <family val="2"/>
          </rPr>
          <t>Kata:</t>
        </r>
        <r>
          <rPr>
            <sz val="9"/>
            <color indexed="81"/>
            <rFont val="Tahoma"/>
            <family val="2"/>
          </rPr>
          <t xml:space="preserve">
Nhập âm bóp 1 bên cho cột biên
Dương bóp đều 2 bên cho cột giữa</t>
        </r>
      </text>
    </comment>
  </commentList>
</comments>
</file>

<file path=xl/comments3.xml><?xml version="1.0" encoding="utf-8"?>
<comments xmlns="http://schemas.openxmlformats.org/spreadsheetml/2006/main">
  <authors>
    <author>Pavilion</author>
    <author>KhaTam</author>
    <author>Kata</author>
    <author>Admin</author>
    <author>a Tam dai ca</author>
  </authors>
  <commentList>
    <comment ref="B1" authorId="0">
      <text>
        <r>
          <rPr>
            <b/>
            <sz val="8"/>
            <color indexed="81"/>
            <rFont val="Tahoma"/>
            <family val="2"/>
          </rPr>
          <t>In layout</t>
        </r>
      </text>
    </comment>
    <comment ref="G1" authorId="1">
      <text>
        <r>
          <rPr>
            <b/>
            <sz val="9"/>
            <color indexed="81"/>
            <rFont val="Tahoma"/>
            <family val="2"/>
          </rPr>
          <t xml:space="preserve">Length of additional bar on 2 layer
</t>
        </r>
      </text>
    </comment>
    <comment ref="B2" authorId="0">
      <text>
        <r>
          <rPr>
            <b/>
            <sz val="8"/>
            <color indexed="81"/>
            <rFont val="Tahoma"/>
            <family val="2"/>
          </rPr>
          <t>In layout</t>
        </r>
      </text>
    </comment>
    <comment ref="G5" authorId="2">
      <text>
        <r>
          <rPr>
            <sz val="9"/>
            <color indexed="81"/>
            <rFont val="Tahoma"/>
            <family val="2"/>
          </rPr>
          <t>put "-" is not bar side</t>
        </r>
      </text>
    </comment>
    <comment ref="H6" authorId="1">
      <text>
        <r>
          <rPr>
            <b/>
            <sz val="9"/>
            <color indexed="81"/>
            <rFont val="Tahoma"/>
            <family val="2"/>
          </rPr>
          <t>Thép kê nếu nhập
25: thép kê 25@2000</t>
        </r>
      </text>
    </comment>
    <comment ref="J9" authorId="1">
      <text>
        <r>
          <rPr>
            <b/>
            <sz val="9"/>
            <color indexed="81"/>
            <rFont val="Tahoma"/>
            <family val="2"/>
          </rPr>
          <t>Ex: cover of bar/stirrup
30: bar cover=30, stirrup=30-cd/2
30/20: Bar=30, Stirrup=20</t>
        </r>
      </text>
    </comment>
    <comment ref="F19" authorId="3">
      <text>
        <r>
          <rPr>
            <b/>
            <sz val="9"/>
            <color indexed="81"/>
            <rFont val="Tahoma"/>
            <family val="2"/>
          </rPr>
          <t>100;5f25 
top edge raise up 100 
mainbar 5f25</t>
        </r>
      </text>
    </comment>
    <comment ref="H19" authorId="3">
      <text>
        <r>
          <rPr>
            <b/>
            <sz val="9"/>
            <color indexed="81"/>
            <rFont val="Tahoma"/>
            <family val="2"/>
          </rPr>
          <t xml:space="preserve">100
top edge raise up 100 </t>
        </r>
      </text>
    </comment>
    <comment ref="F20" authorId="3">
      <text>
        <r>
          <rPr>
            <b/>
            <sz val="9"/>
            <color indexed="81"/>
            <rFont val="Tahoma"/>
            <family val="2"/>
          </rPr>
          <t>2f12 
side bar change to 2f12</t>
        </r>
      </text>
    </comment>
    <comment ref="H20" authorId="3">
      <text>
        <r>
          <rPr>
            <b/>
            <sz val="9"/>
            <color indexed="81"/>
            <rFont val="Tahoma"/>
            <family val="2"/>
          </rPr>
          <t>0 
not side bar</t>
        </r>
      </text>
    </comment>
    <comment ref="A21" authorId="4">
      <text>
        <r>
          <rPr>
            <b/>
            <sz val="8"/>
            <color indexed="81"/>
            <rFont val="Tahoma"/>
            <family val="2"/>
          </rPr>
          <t>&lt; Column width/2</t>
        </r>
      </text>
    </comment>
    <comment ref="F21" authorId="3">
      <text>
        <r>
          <rPr>
            <b/>
            <sz val="9"/>
            <color indexed="81"/>
            <rFont val="Tahoma"/>
            <family val="2"/>
          </rPr>
          <t>-100;5f20 
Bottom edge down 100 
bottom bar: 5f20</t>
        </r>
      </text>
    </comment>
    <comment ref="H21" authorId="3">
      <text>
        <r>
          <rPr>
            <b/>
            <sz val="9"/>
            <color indexed="81"/>
            <rFont val="Tahoma"/>
            <family val="2"/>
          </rPr>
          <t>100;5f20 
bottom edge raise up 100 
bottom bar 5f20</t>
        </r>
      </text>
    </comment>
    <comment ref="F22" authorId="3">
      <text>
        <r>
          <rPr>
            <b/>
            <sz val="9"/>
            <color indexed="81"/>
            <rFont val="Tahoma"/>
            <family val="2"/>
          </rPr>
          <t>a100/200/50
Normal stirrup
left support 100
span 200
right support 50</t>
        </r>
      </text>
    </comment>
    <comment ref="H22" authorId="3">
      <text>
        <r>
          <rPr>
            <b/>
            <sz val="9"/>
            <color indexed="81"/>
            <rFont val="Tahoma"/>
            <family val="2"/>
          </rPr>
          <t>a100/200
left support 100
span 200
right support 100</t>
        </r>
      </text>
    </comment>
    <comment ref="A23" authorId="4">
      <text>
        <r>
          <rPr>
            <b/>
            <sz val="8"/>
            <color indexed="81"/>
            <rFont val="Tahoma"/>
            <family val="2"/>
          </rPr>
          <t>&lt; Column width/2</t>
        </r>
      </text>
    </comment>
    <comment ref="F23" authorId="3">
      <text>
        <r>
          <rPr>
            <b/>
            <sz val="9"/>
            <color indexed="81"/>
            <rFont val="Tahoma"/>
            <family val="2"/>
          </rPr>
          <t>a100/200/50
Additional stirrup: 
Left support 100
Span 200
Right support 50</t>
        </r>
      </text>
    </comment>
    <comment ref="H23" authorId="3">
      <text>
        <r>
          <rPr>
            <b/>
            <sz val="9"/>
            <color indexed="81"/>
            <rFont val="Tahoma"/>
            <family val="2"/>
          </rPr>
          <t>ví dụ a100/200
a100/200
Additional stirrup: 
Left support 100
Span 200
Right support 100</t>
        </r>
      </text>
    </comment>
  </commentList>
</comments>
</file>

<file path=xl/sharedStrings.xml><?xml version="1.0" encoding="utf-8"?>
<sst xmlns="http://schemas.openxmlformats.org/spreadsheetml/2006/main" count="557" uniqueCount="264">
  <si>
    <t>1:40</t>
  </si>
  <si>
    <t>1:50</t>
  </si>
  <si>
    <t>1:70</t>
  </si>
  <si>
    <t>1:100</t>
  </si>
  <si>
    <t>1:20</t>
  </si>
  <si>
    <t>1:25</t>
  </si>
  <si>
    <t>1:30</t>
  </si>
  <si>
    <t>Cạnh b</t>
  </si>
  <si>
    <t>Số thứ tự</t>
  </si>
  <si>
    <t>Tọa độ thép b1</t>
  </si>
  <si>
    <t>Tọa độ thép h1</t>
  </si>
  <si>
    <t>Tọa độ thép b2</t>
  </si>
  <si>
    <t>Tọa độ thép h2</t>
  </si>
  <si>
    <t>Lớp 1</t>
  </si>
  <si>
    <t>Lớp 2</t>
  </si>
  <si>
    <t>Cạnh h</t>
  </si>
  <si>
    <t>a150</t>
  </si>
  <si>
    <t>a200</t>
  </si>
  <si>
    <t>PILECAPS</t>
  </si>
  <si>
    <t>S1</t>
  </si>
  <si>
    <t>S2</t>
  </si>
  <si>
    <t>m</t>
  </si>
  <si>
    <t>Fix</t>
  </si>
  <si>
    <t>mm</t>
  </si>
  <si>
    <t>BASEMENT</t>
  </si>
  <si>
    <t>FLOOR 1</t>
  </si>
  <si>
    <t>Bao ngoai</t>
  </si>
  <si>
    <t>FLOOR 2</t>
  </si>
  <si>
    <t>FLOOR 3</t>
  </si>
  <si>
    <t>FLOOR 4</t>
  </si>
  <si>
    <t>FLOOR 5</t>
  </si>
  <si>
    <t>d=</t>
  </si>
  <si>
    <t>fi thép</t>
  </si>
  <si>
    <t>Tổng thép</t>
  </si>
  <si>
    <t>Hàm lượng</t>
  </si>
  <si>
    <t>Ø</t>
  </si>
  <si>
    <t>µ=</t>
  </si>
  <si>
    <t xml:space="preserve">Info Author: </t>
  </si>
  <si>
    <t>Tam, Nguyen Kha</t>
  </si>
  <si>
    <t>Civil Engineer</t>
  </si>
  <si>
    <t>h dầm (mm)</t>
  </si>
  <si>
    <r>
      <rPr>
        <u/>
        <sz val="11"/>
        <color rgb="FF002060"/>
        <rFont val="Arial"/>
        <family val="2"/>
      </rPr>
      <t>Phone</t>
    </r>
    <r>
      <rPr>
        <sz val="11"/>
        <color rgb="FF002060"/>
        <rFont val="Arial"/>
        <family val="2"/>
      </rPr>
      <t>: 0985373800</t>
    </r>
  </si>
  <si>
    <t>b dầm (mm)</t>
  </si>
  <si>
    <r>
      <rPr>
        <u/>
        <sz val="11"/>
        <color rgb="FF002060"/>
        <rFont val="Arial"/>
        <family val="2"/>
      </rPr>
      <t>Email</t>
    </r>
    <r>
      <rPr>
        <sz val="11"/>
        <color rgb="FF002060"/>
        <rFont val="Arial"/>
        <family val="2"/>
      </rPr>
      <t>: khatamxd@gmail.com</t>
    </r>
  </si>
  <si>
    <r>
      <rPr>
        <u/>
        <sz val="11"/>
        <color rgb="FF002060"/>
        <rFont val="Arial"/>
        <family val="2"/>
      </rPr>
      <t>Work</t>
    </r>
    <r>
      <rPr>
        <sz val="11"/>
        <color rgb="FF002060"/>
        <rFont val="Arial"/>
        <family val="2"/>
      </rPr>
      <t xml:space="preserve">: Designing structure buildings and </t>
    </r>
  </si>
  <si>
    <t>a500</t>
  </si>
  <si>
    <t>design spreadsheets link Excel with Autocad</t>
  </si>
  <si>
    <t>Thép chịu lực trên</t>
  </si>
  <si>
    <t>Thép chịu lực dưới</t>
  </si>
  <si>
    <t>Đai C</t>
  </si>
  <si>
    <t>Bao</t>
  </si>
  <si>
    <t>x</t>
  </si>
  <si>
    <t>y</t>
  </si>
  <si>
    <t>y1</t>
  </si>
  <si>
    <t>x1</t>
  </si>
  <si>
    <t>x2</t>
  </si>
  <si>
    <t>y2</t>
  </si>
  <si>
    <t>4f20</t>
  </si>
  <si>
    <t>Thép trên</t>
  </si>
  <si>
    <t>Thép dưới</t>
  </si>
  <si>
    <t>đk+kc</t>
  </si>
  <si>
    <t>Số lượng</t>
  </si>
  <si>
    <t>d10a100/200</t>
  </si>
  <si>
    <t>d10a400</t>
  </si>
  <si>
    <t>Đai gia cường tự bố trí</t>
  </si>
  <si>
    <t>d8a400</t>
  </si>
  <si>
    <t>Ø (mm)</t>
  </si>
  <si>
    <t>(m)</t>
  </si>
  <si>
    <t>(kg)</t>
  </si>
  <si>
    <t>(mm)</t>
  </si>
  <si>
    <t>L1</t>
  </si>
  <si>
    <t>L2</t>
  </si>
  <si>
    <t>L3</t>
  </si>
  <si>
    <t>L4</t>
  </si>
  <si>
    <t>L5</t>
  </si>
  <si>
    <t>Chiều dài 1 thanh ko kể nối thép</t>
  </si>
  <si>
    <t>L6</t>
  </si>
  <si>
    <t>+3.300</t>
  </si>
  <si>
    <t>25/20</t>
  </si>
  <si>
    <t>Ø10</t>
  </si>
  <si>
    <t>Ø12</t>
  </si>
  <si>
    <t>Ø14</t>
  </si>
  <si>
    <t>Ø16</t>
  </si>
  <si>
    <t>Ø18</t>
  </si>
  <si>
    <t>Ø20</t>
  </si>
  <si>
    <t>Ø22</t>
  </si>
  <si>
    <t>Ø25</t>
  </si>
  <si>
    <t>Ø28</t>
  </si>
  <si>
    <t>Ø32</t>
  </si>
  <si>
    <t>Ø36</t>
  </si>
  <si>
    <t>Ø40</t>
  </si>
  <si>
    <t>2</t>
  </si>
  <si>
    <t>3</t>
  </si>
  <si>
    <t>Ghi chú</t>
  </si>
  <si>
    <t>Kho thép đã cắt lẻ cần tận dụng</t>
  </si>
  <si>
    <t>Xét với 1 loại đường kính thép</t>
  </si>
  <si>
    <r>
      <t xml:space="preserve">* Lệnh vẽ dầm shop và lệnh cắt thép sẽ tính toán vị trí cắt để cho ra nhiều nhất các thanh </t>
    </r>
    <r>
      <rPr>
        <sz val="11"/>
        <color rgb="FFFF0000"/>
        <rFont val="Arial"/>
        <family val="2"/>
      </rPr>
      <t>Yi=Li</t>
    </r>
    <r>
      <rPr>
        <sz val="11"/>
        <color theme="1"/>
        <rFont val="Arial"/>
        <family val="2"/>
      </rPr>
      <t xml:space="preserve"> hoặc </t>
    </r>
    <r>
      <rPr>
        <sz val="11"/>
        <color rgb="FFFF0000"/>
        <rFont val="Arial"/>
        <family val="2"/>
      </rPr>
      <t xml:space="preserve">Yi=Li-Xi. </t>
    </r>
    <r>
      <rPr>
        <sz val="11"/>
        <rFont val="Arial"/>
        <family val="2"/>
      </rPr>
      <t xml:space="preserve">Còn lại là các thanh </t>
    </r>
    <r>
      <rPr>
        <sz val="11"/>
        <color rgb="FFFF0000"/>
        <rFont val="Arial"/>
        <family val="2"/>
      </rPr>
      <t>Zi</t>
    </r>
  </si>
  <si>
    <t>* Đánh lệnh tổ hợp thép chọn các thanh thép Yi và Zi trên bản vẽ:</t>
  </si>
  <si>
    <r>
      <t xml:space="preserve">     - Các thanh Yi sẽ được đưa vào table bên phải. Cột chiều dài =</t>
    </r>
    <r>
      <rPr>
        <sz val="11"/>
        <color rgb="FFFF0000"/>
        <rFont val="Arial"/>
        <family val="2"/>
      </rPr>
      <t>Li</t>
    </r>
    <r>
      <rPr>
        <sz val="11"/>
        <color theme="1"/>
        <rFont val="Arial"/>
        <family val="2"/>
      </rPr>
      <t>, cột mô tả cách cắt thép =</t>
    </r>
    <r>
      <rPr>
        <sz val="11"/>
        <color rgb="FFFF0000"/>
        <rFont val="Arial"/>
        <family val="2"/>
      </rPr>
      <t>(Yi+Xi)</t>
    </r>
    <r>
      <rPr>
        <sz val="11"/>
        <color theme="1"/>
        <rFont val="Arial"/>
        <family val="2"/>
      </rPr>
      <t xml:space="preserve">. Loại bỏ các thanh </t>
    </r>
    <r>
      <rPr>
        <sz val="11"/>
        <color rgb="FFFF0000"/>
        <rFont val="Arial"/>
        <family val="2"/>
      </rPr>
      <t>Li</t>
    </r>
    <r>
      <rPr>
        <sz val="11"/>
        <color theme="1"/>
        <rFont val="Arial"/>
        <family val="2"/>
      </rPr>
      <t xml:space="preserve"> ra khỏi sheet kho_thep, các thanh </t>
    </r>
    <r>
      <rPr>
        <sz val="11"/>
        <color rgb="FFFF0000"/>
        <rFont val="Arial"/>
        <family val="2"/>
      </rPr>
      <t>Xi</t>
    </r>
    <r>
      <rPr>
        <sz val="11"/>
        <color theme="1"/>
        <rFont val="Arial"/>
        <family val="2"/>
      </rPr>
      <t xml:space="preserve"> ra khỏi table bên phải</t>
    </r>
  </si>
  <si>
    <r>
      <t xml:space="preserve">     - Các thanh </t>
    </r>
    <r>
      <rPr>
        <sz val="11"/>
        <color rgb="FFFF0000"/>
        <rFont val="Arial"/>
        <family val="2"/>
      </rPr>
      <t>Zi</t>
    </r>
    <r>
      <rPr>
        <sz val="11"/>
        <color theme="1"/>
        <rFont val="Arial"/>
        <family val="2"/>
      </rPr>
      <t xml:space="preserve"> sẽ được đưa vào table bên trái gia nhập vào tập các thanh </t>
    </r>
    <r>
      <rPr>
        <sz val="11"/>
        <color rgb="FFFF0000"/>
        <rFont val="Arial"/>
        <family val="2"/>
      </rPr>
      <t>Xi</t>
    </r>
    <r>
      <rPr>
        <sz val="11"/>
        <color theme="1"/>
        <rFont val="Arial"/>
        <family val="2"/>
      </rPr>
      <t xml:space="preserve"> cho lần tổ hợp thép sau</t>
    </r>
  </si>
  <si>
    <t>Quy trình tổ hợp thép</t>
  </si>
  <si>
    <t>* Kata lấy dữ liệu từ sheet Kho_thep và table bên phải như sau:</t>
  </si>
  <si>
    <r>
      <t xml:space="preserve">     - Ở sheet Kho_thep ta có được các thanh có chiều dài L0=11700, L1, L2... gọi tắc là </t>
    </r>
    <r>
      <rPr>
        <sz val="11"/>
        <color rgb="FFFF0000"/>
        <rFont val="Arial"/>
        <family val="2"/>
      </rPr>
      <t>Li</t>
    </r>
  </si>
  <si>
    <r>
      <t xml:space="preserve">     - Ở table bên phải ta có được các thanh có chiều dài X1, X2…Các thanh này sinh ra các thanh X11 (=X1+X1), X12 (=X1+X2)…Cuối cùng ta có được tập hợp các thanh gọi tắc là </t>
    </r>
    <r>
      <rPr>
        <sz val="11"/>
        <color rgb="FFFF0000"/>
        <rFont val="Arial"/>
        <family val="2"/>
      </rPr>
      <t>Xi</t>
    </r>
  </si>
  <si>
    <t xml:space="preserve">* Cuối cùng ta sẽ có 2 tables với các thanh thép nằm ở table bên phải thì lượng hao hụt thép xem như bằng 0. Các thanh thép nằm ở table bên phải chúng ta có thể tự phối hợp thép vì số lượng của nó khá nhỏ. </t>
  </si>
  <si>
    <t>Nếu làm theo cách truyền thống, thép không được tính toán vị trí cắt ở bước triển khai bản vẽ shop ta chỉ được các thanh thép ở table bên phải nhưng với số lượng rất lớn dẫn đến khó phối hợp thép. Phát sinh hao hụt lớn</t>
  </si>
  <si>
    <t>2/3</t>
  </si>
  <si>
    <t>V1</t>
  </si>
  <si>
    <t>C1</t>
  </si>
  <si>
    <t>Đai tự bố trí</t>
  </si>
  <si>
    <t>biên</t>
  </si>
  <si>
    <t>giữa</t>
  </si>
  <si>
    <t>S biên</t>
  </si>
  <si>
    <t>S giữa</t>
  </si>
  <si>
    <t>Hạng mục</t>
  </si>
  <si>
    <t>(0)</t>
  </si>
  <si>
    <t>(1)</t>
  </si>
  <si>
    <t>(2)</t>
  </si>
  <si>
    <t>(3)</t>
  </si>
  <si>
    <t>(4)</t>
  </si>
  <si>
    <t>(5)</t>
  </si>
  <si>
    <t>(6) = (3)x(2)</t>
  </si>
  <si>
    <t>(7)=(4)x(2)</t>
  </si>
  <si>
    <t>(8)=(3)x(5)</t>
  </si>
  <si>
    <t>(9)=(4)x(5)</t>
  </si>
  <si>
    <t>B01</t>
  </si>
  <si>
    <t>50/25</t>
  </si>
  <si>
    <t>2f20</t>
  </si>
  <si>
    <t>Tên block</t>
  </si>
  <si>
    <t>kata_block_Ten</t>
  </si>
  <si>
    <r>
      <t xml:space="preserve">Lệnh </t>
    </r>
    <r>
      <rPr>
        <sz val="11"/>
        <color rgb="FFFF0000"/>
        <rFont val="Calibri"/>
        <family val="2"/>
        <scheme val="minor"/>
      </rPr>
      <t>"ganblock"</t>
    </r>
  </si>
  <si>
    <t>KEY</t>
  </si>
  <si>
    <t>COLOR</t>
  </si>
  <si>
    <t>TAG PHỤ</t>
  </si>
  <si>
    <t>TEN</t>
  </si>
  <si>
    <t>MÀU</t>
  </si>
  <si>
    <t>CHU_THICH</t>
  </si>
  <si>
    <t>Cross section scale</t>
  </si>
  <si>
    <t>Beam Mark</t>
  </si>
  <si>
    <t>Beam Width (mm)</t>
  </si>
  <si>
    <t>Beam Depth (mm)</t>
  </si>
  <si>
    <t>Axis</t>
  </si>
  <si>
    <t>Elevation</t>
  </si>
  <si>
    <t>Additional top bars</t>
  </si>
  <si>
    <t>Additional bottom bars</t>
  </si>
  <si>
    <t>Bottom main Bar</t>
  </si>
  <si>
    <t>Top main Bar</t>
  </si>
  <si>
    <t>Slab thickness (mm)</t>
  </si>
  <si>
    <t>Beam raise up; main bars</t>
  </si>
  <si>
    <t>Beam width at gridline</t>
  </si>
  <si>
    <t>Column axis name</t>
  </si>
  <si>
    <t>Top bar length to support (d)</t>
  </si>
  <si>
    <t>Bottom bar length to support (d)</t>
  </si>
  <si>
    <t>Side bar diameter</t>
  </si>
  <si>
    <t>No of side bar</t>
  </si>
  <si>
    <t>Stirrup bar diameter (mm)</t>
  </si>
  <si>
    <t>Support</t>
  </si>
  <si>
    <t>Span</t>
  </si>
  <si>
    <t>Cantilever</t>
  </si>
  <si>
    <t>Longitudinal section scale</t>
  </si>
  <si>
    <t>4f16</t>
  </si>
  <si>
    <t>L from central of support, from edge of support</t>
  </si>
  <si>
    <t>L from edge of support</t>
  </si>
  <si>
    <t>L from edge of flat beam</t>
  </si>
  <si>
    <t>Length of between additional bar on 2 layer</t>
  </si>
  <si>
    <t>Eccentric axis</t>
  </si>
  <si>
    <t>Eccentricity of axis to column centroid</t>
  </si>
  <si>
    <t>Main stirrup spacing</t>
  </si>
  <si>
    <t>Cover mainbars/ stirrup</t>
  </si>
  <si>
    <t>Stirrup □</t>
  </si>
  <si>
    <t>Stirrup U</t>
  </si>
  <si>
    <t>Stirrup C</t>
  </si>
  <si>
    <t>Beam width (mm)</t>
  </si>
  <si>
    <t>Wall mark</t>
  </si>
  <si>
    <t>No of wall</t>
  </si>
  <si>
    <t>Foundation elevation (m)</t>
  </si>
  <si>
    <t>Width of edge zone</t>
  </si>
  <si>
    <t>Column scale</t>
  </si>
  <si>
    <t>Bar cover (mm)</t>
  </si>
  <si>
    <t>Main stirrup</t>
  </si>
  <si>
    <t>main stirrup</t>
  </si>
  <si>
    <t>add stirrup</t>
  </si>
  <si>
    <t>Level</t>
  </si>
  <si>
    <t>Heigh</t>
  </si>
  <si>
    <t>Wall geometry</t>
  </si>
  <si>
    <t>Length</t>
  </si>
  <si>
    <t>Width</t>
  </si>
  <si>
    <t>No of main bar</t>
  </si>
  <si>
    <t>Bar Diameter</t>
  </si>
  <si>
    <t>Lap position</t>
  </si>
  <si>
    <t>Beam depth</t>
  </si>
  <si>
    <t>Edge</t>
  </si>
  <si>
    <t>Layer 1</t>
  </si>
  <si>
    <t>Layer 2</t>
  </si>
  <si>
    <t>Middle</t>
  </si>
  <si>
    <t>End bar (d)</t>
  </si>
  <si>
    <t>Main bar cross section at level:</t>
  </si>
  <si>
    <t>BAR BENDING SCHEDULE</t>
  </si>
  <si>
    <t>ITEMS</t>
  </si>
  <si>
    <t>BAR MARK</t>
  </si>
  <si>
    <t>BAR SHAPE (mm)</t>
  </si>
  <si>
    <t>TYPE</t>
  </si>
  <si>
    <t>LENGTH</t>
  </si>
  <si>
    <t>1 BAR</t>
  </si>
  <si>
    <t>NO OF ITEMS</t>
  </si>
  <si>
    <t>NO OF BAR</t>
  </si>
  <si>
    <t>1 ITEM</t>
  </si>
  <si>
    <t>TOTAL</t>
  </si>
  <si>
    <t>WEIGHT</t>
  </si>
  <si>
    <t>TOTAL/ITEMS</t>
  </si>
  <si>
    <t>BAR SUMARY</t>
  </si>
  <si>
    <t>DIAMETER</t>
  </si>
  <si>
    <t>Ø&lt;=10</t>
  </si>
  <si>
    <t>10&lt;Ø&lt;=18</t>
  </si>
  <si>
    <t>18&lt;Ø</t>
  </si>
  <si>
    <t>Drawing nae</t>
  </si>
  <si>
    <t>Quantity</t>
  </si>
  <si>
    <t>Area (m2)
-A-</t>
  </si>
  <si>
    <t>Length (m)
-L-</t>
  </si>
  <si>
    <t>Heigh (m)
-H-</t>
  </si>
  <si>
    <t>Area total (m2)</t>
  </si>
  <si>
    <t>Total length (m)</t>
  </si>
  <si>
    <t>Total volume(m3)</t>
  </si>
  <si>
    <t>Perimeter (m2)</t>
  </si>
  <si>
    <t>Bar guidline table</t>
  </si>
  <si>
    <t>Excess of bar</t>
  </si>
  <si>
    <t>Production</t>
  </si>
  <si>
    <t>Cutting bar table guidline</t>
  </si>
  <si>
    <t>Quatity</t>
  </si>
  <si>
    <t>Cutting bar describe (Coordinated)</t>
  </si>
  <si>
    <t>Cutting bar describe (waiting for coordinating)</t>
  </si>
  <si>
    <t>items</t>
  </si>
  <si>
    <t>bar mark</t>
  </si>
  <si>
    <t>length</t>
  </si>
  <si>
    <t>quantity</t>
  </si>
  <si>
    <t>Cutting bar sumary</t>
  </si>
  <si>
    <t>http://katapro.net</t>
  </si>
  <si>
    <t>Website</t>
  </si>
  <si>
    <t xml:space="preserve">Contact: </t>
  </si>
  <si>
    <t>katapro.kinhdoanh@gmail.com</t>
  </si>
  <si>
    <t>+8490800054</t>
  </si>
  <si>
    <t>phone:</t>
  </si>
  <si>
    <t>Layer 3</t>
  </si>
  <si>
    <t>Eccentricity between intersected beam and column centroid</t>
  </si>
  <si>
    <t>Móng M1</t>
  </si>
  <si>
    <t>-</t>
  </si>
  <si>
    <t>2f20;2f25</t>
  </si>
  <si>
    <t>100;5f25</t>
  </si>
  <si>
    <t>2f12</t>
  </si>
  <si>
    <t>-100;5f20</t>
  </si>
  <si>
    <t>a100/200/50</t>
  </si>
  <si>
    <t>500;100</t>
  </si>
  <si>
    <t>3x4</t>
  </si>
  <si>
    <t>Main Stirrup</t>
  </si>
  <si>
    <t>Diameter/spacing</t>
  </si>
  <si>
    <t>Square stirrup veritcal</t>
  </si>
  <si>
    <t>Square stirrup horizontal</t>
  </si>
  <si>
    <t>scale</t>
  </si>
  <si>
    <t>Stirrup C Ver</t>
  </si>
  <si>
    <t>Stirrup C Hor</t>
  </si>
  <si>
    <t>Edge stirrup</t>
  </si>
  <si>
    <t>Stirrup C horizontal</t>
  </si>
  <si>
    <t>Stirrup C vertical</t>
  </si>
  <si>
    <t xml:space="preserve"> </t>
  </si>
</sst>
</file>

<file path=xl/styles.xml><?xml version="1.0" encoding="utf-8"?>
<styleSheet xmlns="http://schemas.openxmlformats.org/spreadsheetml/2006/main">
  <numFmts count="118">
    <numFmt numFmtId="6" formatCode="&quot;$&quot;#,##0_);[Red]\(&quot;$&quot;#,##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"/>
    <numFmt numFmtId="165" formatCode="0.0"/>
    <numFmt numFmtId="166" formatCode="#,##0.00;\-#,##0.00;"/>
    <numFmt numFmtId="167" formatCode="\Ø0;;"/>
    <numFmt numFmtId="168" formatCode="_-&quot;$&quot;* #,##0_-;\-&quot;$&quot;* #,##0_-;_-&quot;$&quot;* &quot;-&quot;_-;_-@_-"/>
    <numFmt numFmtId="169" formatCode="&quot;\&quot;#,##0.00;[Red]&quot;\&quot;&quot;\&quot;&quot;\&quot;&quot;\&quot;&quot;\&quot;&quot;\&quot;\-#,##0.00"/>
    <numFmt numFmtId="170" formatCode="&quot;\&quot;#,##0;[Red]&quot;\&quot;&quot;\&quot;\-#,##0"/>
    <numFmt numFmtId="171" formatCode="_(\$* #,##0.0000_);_(\$* \(#,##0.0000\);_(\$* \-??_);_(@_)"/>
    <numFmt numFmtId="172" formatCode="_ * #,##0_ ;_ * \-#,##0_ ;_ * \-_ ;_ @_ "/>
    <numFmt numFmtId="173" formatCode="_-* #,##0_-;\-* #,##0_-;_-* &quot;-&quot;_-;_-@_-"/>
    <numFmt numFmtId="174" formatCode="_-* #,##0.00_-;\-* #,##0.00_-;_-* &quot;-&quot;??_-;_-@_-"/>
    <numFmt numFmtId="175" formatCode="\$#,##0_);[Red]&quot;($&quot;#,##0\)"/>
    <numFmt numFmtId="176" formatCode="_-* #,##0_-;\-* #,##0_-;_-* \-_-;_-@_-"/>
    <numFmt numFmtId="177" formatCode="_(\$* #,##0_);_(\$* \(#,##0\);_(\$* \-_);_(@_)"/>
    <numFmt numFmtId="178" formatCode="_-* #,##0\ _F_-;\-* #,##0\ _F_-;_-* &quot;- &quot;_F_-;_-@_-"/>
    <numFmt numFmtId="179" formatCode="_-* #,##0&quot; F&quot;_-;\-* #,##0&quot; F&quot;_-;_-* &quot;- F&quot;_-;_-@_-"/>
    <numFmt numFmtId="180" formatCode="_-* #,##0&quot; $&quot;_-;\-* #,##0&quot; $&quot;_-;_-* &quot;- $&quot;_-;_-@_-"/>
    <numFmt numFmtId="181" formatCode="_-* #,##0&quot; $&quot;_-;_-* #,##0&quot; $-&quot;;_-* &quot;- $&quot;_-;_-@_-"/>
    <numFmt numFmtId="182" formatCode="_-* #,##0\$_-;_-* #,##0&quot;$-&quot;;_-* &quot;-$&quot;_-;_-@_-"/>
    <numFmt numFmtId="183" formatCode="_-\$* #,##0_-;&quot;-$&quot;* #,##0_-;_-\$* \-_-;_-@_-"/>
    <numFmt numFmtId="184" formatCode="_-\ñ* #,##0_-;&quot;-ñ&quot;* #,##0_-;_-\ñ* \-_-;_-@_-"/>
    <numFmt numFmtId="185" formatCode="_ * #,##0.00_ ;_ * \-#,##0.00_ ;_ * \-??_ ;_ @_ "/>
    <numFmt numFmtId="186" formatCode="_-* #,##0.00\ _V_N_D_-;\-* #,##0.00\ _V_N_D_-;_-* \-??\ _V_N_D_-;_-@_-"/>
    <numFmt numFmtId="187" formatCode="_-* #,##0.00\ _F_-;\-* #,##0.00\ _F_-;_-* \-??\ _F_-;_-@_-"/>
    <numFmt numFmtId="188" formatCode="_-* #,##0.00_-;\-* #,##0.00_-;_-* \-??_-;_-@_-"/>
    <numFmt numFmtId="189" formatCode="_-* #,##0.00\ _V_N_Ñ_-;_-* #,##0.00\ _V_N_Ñ\-;_-* \-??\ _V_N_Ñ_-;_-@_-"/>
    <numFmt numFmtId="190" formatCode="_(* #,##0.00_);_(* \(#,##0.00\);_(* \-??_);_(@_)"/>
    <numFmt numFmtId="191" formatCode="_-* #,##0.00_$_-;_-* #,##0.00_$\-;_-* \-??_$_-;_-@_-"/>
    <numFmt numFmtId="192" formatCode="_-* #,##0.00\ _$_-;_-* #,##0.00\ _$\-;_-* \-??\ _$_-;_-@_-"/>
    <numFmt numFmtId="193" formatCode="_-* #,##0.00\ _ñ_-;\-* #,##0.00\ _ñ_-;_-* \-??\ _ñ_-;_-@_-"/>
    <numFmt numFmtId="194" formatCode="_(&quot;$ &quot;* #,##0_);_(&quot;$ &quot;* \(#,##0\);_(&quot;$ &quot;* \-_);_(@_)"/>
    <numFmt numFmtId="195" formatCode="_-* #,##0&quot; ñ&quot;_-;\-* #,##0&quot; ñ&quot;_-;_-* &quot;- ñ&quot;_-;_-@_-"/>
    <numFmt numFmtId="196" formatCode="_-* #,##0\ _V_N_D_-;\-* #,##0\ _V_N_D_-;_-* &quot;- &quot;_V_N_D_-;_-@_-"/>
    <numFmt numFmtId="197" formatCode="_-* #,##0\ _V_N_Ñ_-;_-* #,##0\ _V_N_Ñ\-;_-* &quot;- &quot;_V_N_Ñ_-;_-@_-"/>
    <numFmt numFmtId="198" formatCode="_-* #,##0\ _$_-;\-* #,##0\ _$_-;_-* &quot;- &quot;_$_-;_-@_-"/>
    <numFmt numFmtId="199" formatCode="_(* #,##0_);_(* \(#,##0\);_(* \-_);_(@_)"/>
    <numFmt numFmtId="200" formatCode="_-* #,##0_$_-;_-* #,##0_$\-;_-* \-_$_-;_-@_-"/>
    <numFmt numFmtId="201" formatCode="_-* #,##0\ _$_-;_-* #,##0\ _$\-;_-* &quot;- &quot;_$_-;_-@_-"/>
    <numFmt numFmtId="202" formatCode="_-* #,##0\ _ñ_-;\-* #,##0\ _ñ_-;_-* &quot;- &quot;_ñ_-;_-@_-"/>
    <numFmt numFmtId="203" formatCode="_ \\* #,##0_ ;_ \\* \-#,##0_ ;_ \\* \-_ ;_ @_ "/>
    <numFmt numFmtId="204" formatCode="_(* #,##0.00_);_(* &quot;\\\(&quot;#,##0.00&quot;\\\)&quot;;_(* \-??_);_(@_)"/>
    <numFmt numFmtId="205" formatCode="_(* #,##0_);_(* &quot;\\\(&quot;#,##0&quot;\\\)&quot;;_(* \-_);_(@_)"/>
    <numFmt numFmtId="206" formatCode="\\#,##0.00;[Red]&quot;\\-&quot;#,##0.00"/>
    <numFmt numFmtId="207" formatCode="\\#,##0;[Red]&quot;\\-&quot;#,##0"/>
    <numFmt numFmtId="208" formatCode="#,##0.0;[Red]#,##0.0"/>
    <numFmt numFmtId="209" formatCode="&quot;SFr.&quot;\ #,##0.00;[Red]&quot;SFr.&quot;\ \-#,##0.00"/>
    <numFmt numFmtId="210" formatCode="&quot;SFr. &quot;#,##0.00;&quot;SFr. -&quot;#,##0.00"/>
    <numFmt numFmtId="211" formatCode="_ &quot;SFr.&quot;\ * #,##0_ ;_ &quot;SFr.&quot;\ * \-#,##0_ ;_ &quot;SFr.&quot;\ * &quot;-&quot;_ ;_ @_ "/>
    <numFmt numFmtId="212" formatCode="_ * #,##0_ ;_ * \-#,##0_ ;_ * &quot;-&quot;_ ;_ @_ "/>
    <numFmt numFmtId="213" formatCode="_ * #,##0.00_ ;_ * \-#,##0.00_ ;_ * &quot;-&quot;??_ ;_ @_ "/>
    <numFmt numFmtId="214" formatCode="ddd\ mmm\ d"/>
    <numFmt numFmtId="215" formatCode="_ \\* ###,0\.00_ ;_ \\* &quot;\\\\\\\\\\\\-&quot;###,0\.00_ ;_ \\* \-??_ ;_ @_ "/>
    <numFmt numFmtId="216" formatCode="_ * ###,0\.00_ ;_ * &quot;\\\\\\\\\\\\-&quot;###,0\.00_ ;_ * \-??_ ;_ @_ "/>
    <numFmt numFmtId="217" formatCode="\\#,##0;&quot;\\\\\\\\\\\\\\-&quot;#,##0"/>
    <numFmt numFmtId="218" formatCode="\\#,##0;[Red]&quot;\\\\\\\\\\\\\\-&quot;#,##0"/>
    <numFmt numFmtId="219" formatCode="_ * #,##0_ ;_ * &quot;\\\\\\\\\\\\-&quot;#,##0_ ;_ * \-_ ;_ @_ "/>
    <numFmt numFmtId="220" formatCode="\\###,0\.00;&quot;\\\\\\\\\\\\\\-&quot;###,0\.00"/>
    <numFmt numFmtId="221" formatCode="_-* #,##0.00\ &quot;F&quot;_-;\-* #,##0.00\ &quot;F&quot;_-;_-* &quot;-&quot;??\ &quot;F&quot;_-;_-@_-"/>
    <numFmt numFmtId="222" formatCode="#,##0.00_);\-#,##0.00_)"/>
    <numFmt numFmtId="223" formatCode="&quot;\&quot;#,##0.00;[Red]\-&quot;\&quot;#,##0.00"/>
    <numFmt numFmtId="224" formatCode="\$#,##0\ ;\(\$#,##0\)"/>
    <numFmt numFmtId="225" formatCode="_(* #,##0.00_);_(* \(#,##0.00\);_(* &quot;-&quot;_);_(@_)"/>
    <numFmt numFmtId="226" formatCode="&quot;\&quot;#,##0;\-&quot;\&quot;#,##0"/>
    <numFmt numFmtId="227" formatCode="_(\$* #,##0.00_);_(\$* \(#,##0.00\);_(\$* \-??_);_(@_)"/>
    <numFmt numFmtId="228" formatCode="0.0000%"/>
    <numFmt numFmtId="229" formatCode="_ * #,##0_)_$_ ;_ * \(#,##0\)_$_ ;_ * \-_)_$_ ;_ @_ "/>
    <numFmt numFmtId="230" formatCode="#,##0;[Red]#,##0"/>
    <numFmt numFmtId="231" formatCode="_-* #,##0\ _?_-;\-* #,##0\ _?_-;_-* &quot;- &quot;_?_-;_-@_-"/>
    <numFmt numFmtId="232" formatCode="_-* #,##0.00\ _?_-;\-* #,##0.00\ _?_-;_-* \-??\ _?_-;_-@_-"/>
    <numFmt numFmtId="233" formatCode="_-* #,##0\ _₫_-;\-* #,##0\ _₫_-;_-* &quot;- &quot;_₫_-;_-@_-"/>
    <numFmt numFmtId="234" formatCode="_-&quot;VND&quot;* #,##0_-;&quot;-VND&quot;* #,##0_-;_-&quot;VND&quot;* \-_-;_-@_-"/>
    <numFmt numFmtId="235" formatCode="_(&quot;Rp&quot;* #,##0.00_);_(&quot;Rp&quot;* \(#,##0.00\);_(&quot;Rp&quot;* \-??_);_(@_)"/>
    <numFmt numFmtId="236" formatCode="#,##0.00&quot; FB&quot;;[Red]\-#,##0.00&quot; FB&quot;"/>
    <numFmt numFmtId="237" formatCode="_-* #,##0.00\ _₫_-;\-* #,##0.00\ _₫_-;_-* \-??\ _₫_-;_-@_-"/>
    <numFmt numFmtId="238" formatCode="#,##0&quot; $&quot;;\-#,##0&quot; $&quot;"/>
    <numFmt numFmtId="239" formatCode="\$#,##0;&quot;-$&quot;#,##0"/>
    <numFmt numFmtId="240" formatCode="_-* #,##0\ _F_B_-;\-* #,##0\ _F_B_-;_-* &quot;- &quot;_F_B_-;_-@_-"/>
    <numFmt numFmtId="241" formatCode="#,##0_);\-#,##0_)"/>
    <numFmt numFmtId="242" formatCode="#."/>
    <numFmt numFmtId="243" formatCode="_(* #,##0.000000_);_(* \(#,##0.000000\);_(* \-??_);_(@_)"/>
    <numFmt numFmtId="244" formatCode="#,##0&quot; $&quot;_);\(#,##0&quot; $)&quot;"/>
    <numFmt numFmtId="245" formatCode="_ * #,##0.00_)\$_ ;_ * \(#,##0.00&quot;)$&quot;_ ;_ * \-??_)\$_ ;_ @_ "/>
    <numFmt numFmtId="246" formatCode="ddd\ dd\ mmm"/>
    <numFmt numFmtId="247" formatCode="_ * #,##0.00_)_$_ ;_ * \(#,##0.00\)_$_ ;_ * \-??_)_$_ ;_ @_ "/>
    <numFmt numFmtId="248" formatCode="#,##0&quot; $&quot;_);[Red]\(#,##0&quot; $)&quot;"/>
    <numFmt numFmtId="249" formatCode="\$###,0\.00_);[Red]&quot;($&quot;###,0\.00\)"/>
    <numFmt numFmtId="250" formatCode="0.000%"/>
    <numFmt numFmtId="251" formatCode="0.00_)"/>
    <numFmt numFmtId="252" formatCode="#,##0&quot; ₫&quot;;\-#,##0&quot; ₫&quot;"/>
    <numFmt numFmtId="253" formatCode="_ \\* #,##0_ ;_ \\* &quot;\\\\\\\\\\\\\\-&quot;#,##0_ ;_ \\* \-_ ;_ @_ "/>
    <numFmt numFmtId="254" formatCode="#,##0.00\ \ "/>
    <numFmt numFmtId="255" formatCode="\$#,##0;[Red]&quot;-$&quot;#,##0"/>
    <numFmt numFmtId="256" formatCode="_-\£* #,##0_-;&quot;-£&quot;* #,##0_-;_-\£* \-_-;_-@_-"/>
    <numFmt numFmtId="257" formatCode="_ * #,##0_ ;_ * \-#,##0_ ;_ * &quot;-&quot;??_ ;_ @_ "/>
    <numFmt numFmtId="258" formatCode="#,##0.00&quot;  &quot;"/>
    <numFmt numFmtId="259" formatCode="0.00000"/>
    <numFmt numFmtId="260" formatCode="#,##0.00\ &quot;F&quot;;[Red]\-#,##0.00\ &quot;F&quot;"/>
    <numFmt numFmtId="261" formatCode="#,##0.00&quot; F&quot;;[Red]\-#,##0.00&quot; F&quot;"/>
    <numFmt numFmtId="262" formatCode="_ * #,##0_ ;_ * \-#,##0_ ;_ * \-??_ ;_ @_ "/>
    <numFmt numFmtId="263" formatCode="\\###,0\.00;[Red]&quot;\\\\\\\\\\\\\\-&quot;###,0\.00"/>
    <numFmt numFmtId="264" formatCode="_ \\* #,##0_ ;_ \\* &quot;\\\\\\\\\\\\\-&quot;#,##0_ ;_ \\* \-_ ;_ @_ "/>
    <numFmt numFmtId="265" formatCode="#,##0.00\ "/>
    <numFmt numFmtId="266" formatCode="_-* ###,0\.00_-;\-* ###,0\.00_-;_-* \-??_-;_-@_-"/>
    <numFmt numFmtId="267" formatCode="_-\$* ###,0\.00_-;&quot;-$&quot;* ###,0\.00_-;_-\$* \-??_-;_-@_-"/>
    <numFmt numFmtId="268" formatCode="0\ \ \ \ "/>
    <numFmt numFmtId="269" formatCode="#,##0.00\ \ \ "/>
    <numFmt numFmtId="270" formatCode="\$#,##0_);&quot;($&quot;#,##0\)"/>
    <numFmt numFmtId="271" formatCode="_ * #,##0_)\$_ ;_ * \(#,##0&quot;)$&quot;_ ;_ * \-_)\$_ ;_ @_ "/>
    <numFmt numFmtId="272" formatCode="\\#,##0;&quot;\\\\\\\-&quot;#,##0"/>
    <numFmt numFmtId="273" formatCode="_-* #,##0_-;&quot;\&quot;\!\-* #,##0_-;_-* &quot;-&quot;_-;_-@_-"/>
    <numFmt numFmtId="274" formatCode="_-* #,##0.00\ _k_r_._-;\-* #,##0.00\ _k_r_._-;_-* &quot;-&quot;??\ _k_r_._-;_-@_-"/>
    <numFmt numFmtId="275" formatCode="_ \\* #,##0.00_ ;_ \\* \-#,##0.00_ ;_ \\* \-??_ ;_ @_ "/>
    <numFmt numFmtId="276" formatCode="_-&quot;$&quot;* #,##0.00_-;\-&quot;$&quot;* #,##0.00_-;_-&quot;$&quot;* &quot;-&quot;??_-;_-@_-"/>
  </numFmts>
  <fonts count="150">
    <font>
      <sz val="11"/>
      <color theme="1"/>
      <name val="Calibri"/>
      <family val="2"/>
      <scheme val="minor"/>
    </font>
    <font>
      <sz val="10"/>
      <color theme="0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9"/>
      <color theme="1"/>
      <name val="VNI-Helve-Condense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VNI-Helve-Condense"/>
    </font>
    <font>
      <sz val="11"/>
      <color theme="1"/>
      <name val="VNI-Helve-Condense"/>
    </font>
    <font>
      <sz val="10"/>
      <color theme="0"/>
      <name val="Calibri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11"/>
      <color rgb="FF002060"/>
      <name val="Arial"/>
      <family val="2"/>
    </font>
    <font>
      <sz val="11"/>
      <color rgb="FF002060"/>
      <name val="Arial"/>
      <family val="2"/>
    </font>
    <font>
      <u/>
      <sz val="11"/>
      <color rgb="FF002060"/>
      <name val="Arial"/>
      <family val="2"/>
    </font>
    <font>
      <sz val="9"/>
      <color rgb="FFFF0000"/>
      <name val="Arial"/>
      <family val="2"/>
    </font>
    <font>
      <b/>
      <sz val="10"/>
      <name val="Arial"/>
      <family val="2"/>
    </font>
    <font>
      <sz val="11"/>
      <color theme="1"/>
      <name val="Arial"/>
      <family val="2"/>
    </font>
    <font>
      <sz val="10"/>
      <color theme="5" tint="-0.249977111117893"/>
      <name val="Arial"/>
      <family val="2"/>
    </font>
    <font>
      <sz val="9"/>
      <name val="Arial"/>
      <family val="2"/>
    </font>
    <font>
      <b/>
      <sz val="11"/>
      <color theme="1"/>
      <name val="Arial"/>
      <family val="2"/>
    </font>
    <font>
      <sz val="11"/>
      <color theme="0"/>
      <name val="Arial"/>
      <family val="2"/>
    </font>
    <font>
      <sz val="11"/>
      <name val="Arial"/>
      <family val="2"/>
    </font>
    <font>
      <b/>
      <sz val="9"/>
      <color indexed="81"/>
      <name val="Tahoma"/>
      <family val="2"/>
    </font>
    <font>
      <sz val="9"/>
      <color theme="1"/>
      <name val="Arial"/>
      <family val="2"/>
    </font>
    <font>
      <sz val="11"/>
      <color rgb="FFFF0000"/>
      <name val="Arial"/>
      <family val="2"/>
    </font>
    <font>
      <sz val="9"/>
      <color indexed="81"/>
      <name val="Tahoma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2"/>
      <color theme="0"/>
      <name val="Calibri"/>
      <family val="2"/>
    </font>
    <font>
      <b/>
      <sz val="9"/>
      <color theme="0"/>
      <name val="Arial"/>
      <family val="2"/>
    </font>
    <font>
      <sz val="12"/>
      <name val="VNI-Times"/>
    </font>
    <font>
      <sz val="10"/>
      <name val="VNI-Helve"/>
    </font>
    <font>
      <sz val="12"/>
      <name val="바탕체"/>
      <family val="1"/>
    </font>
    <font>
      <sz val="12"/>
      <name val="????"/>
      <family val="1"/>
      <charset val="136"/>
    </font>
    <font>
      <sz val="12"/>
      <name val="???"/>
      <family val="1"/>
      <charset val="129"/>
    </font>
    <font>
      <sz val="12"/>
      <name val="|??¢¥¢¬¨Ï"/>
      <family val="1"/>
      <charset val="129"/>
    </font>
    <font>
      <sz val="12"/>
      <name val="|??´¸ⓒ"/>
      <family val="1"/>
      <charset val="129"/>
    </font>
    <font>
      <sz val="10"/>
      <name val="MS Sans Serif"/>
      <family val="2"/>
    </font>
    <font>
      <sz val="10"/>
      <name val="VNI-Times"/>
    </font>
    <font>
      <sz val="10"/>
      <name val=".VnTime"/>
      <family val="2"/>
    </font>
    <font>
      <sz val="11"/>
      <name val="–¾’©"/>
      <family val="1"/>
      <charset val="128"/>
    </font>
    <font>
      <u/>
      <sz val="11"/>
      <color indexed="20"/>
      <name val="lr oSVbN"/>
      <family val="3"/>
    </font>
    <font>
      <u/>
      <sz val="11"/>
      <color indexed="12"/>
      <name val="lr oSVbN"/>
      <family val="3"/>
    </font>
    <font>
      <sz val="11"/>
      <name val="?? ?????"/>
      <family val="3"/>
    </font>
    <font>
      <b/>
      <u/>
      <sz val="14"/>
      <color indexed="8"/>
      <name val=".VnBook-AntiquaH"/>
      <family val="2"/>
    </font>
    <font>
      <sz val="12"/>
      <color indexed="8"/>
      <name val="¹ÙÅÁÃ¼"/>
      <family val="1"/>
      <charset val="129"/>
    </font>
    <font>
      <i/>
      <sz val="12"/>
      <color indexed="8"/>
      <name val=".VnBook-AntiquaH"/>
      <family val="2"/>
    </font>
    <font>
      <sz val="12"/>
      <color indexed="8"/>
      <name val="新細明體"/>
      <family val="1"/>
      <charset val="136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1"/>
      <color theme="0"/>
      <name val="Calibri"/>
      <family val="2"/>
      <charset val="163"/>
      <scheme val="minor"/>
    </font>
    <font>
      <sz val="12"/>
      <color indexed="9"/>
      <name val="新細明體"/>
      <family val="1"/>
      <charset val="136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2"/>
      <name val="¹UAAA¼"/>
      <family val="3"/>
      <charset val="129"/>
    </font>
    <font>
      <sz val="8"/>
      <name val="Times New Roman"/>
      <family val="1"/>
    </font>
    <font>
      <sz val="12"/>
      <name val="¹ÙÅÁÃ¼"/>
      <charset val="129"/>
    </font>
    <font>
      <sz val="12"/>
      <name val="Times New Roman"/>
      <family val="1"/>
    </font>
    <font>
      <sz val="10"/>
      <name val="Times New Roman"/>
      <family val="1"/>
    </font>
    <font>
      <sz val="11"/>
      <name val="µ¸¿ò"/>
      <charset val="129"/>
    </font>
    <font>
      <b/>
      <sz val="10"/>
      <name val="Helv"/>
    </font>
    <font>
      <sz val="10"/>
      <name val="VNI-Aptima"/>
    </font>
    <font>
      <b/>
      <sz val="11"/>
      <name val="Times New Roman"/>
      <family val="1"/>
    </font>
    <font>
      <sz val="10"/>
      <name val="Arial"/>
      <family val="2"/>
      <charset val="1"/>
    </font>
    <font>
      <sz val="10"/>
      <name val="Arial"/>
      <family val="2"/>
      <charset val="163"/>
    </font>
    <font>
      <sz val="12"/>
      <name val="細明體"/>
      <family val="3"/>
      <charset val="136"/>
    </font>
    <font>
      <sz val="10"/>
      <name val="MS Serif"/>
      <family val="1"/>
    </font>
    <font>
      <sz val="10"/>
      <name val="Courier New"/>
      <family val="3"/>
    </font>
    <font>
      <sz val="12"/>
      <name val="???"/>
    </font>
    <font>
      <sz val="12"/>
      <name val="바탕체"/>
      <family val="1"/>
      <charset val="129"/>
    </font>
    <font>
      <sz val="10"/>
      <color indexed="8"/>
      <name val="Arial"/>
      <family val="2"/>
    </font>
    <font>
      <sz val="1"/>
      <color indexed="8"/>
      <name val="Courier New"/>
      <family val="3"/>
    </font>
    <font>
      <b/>
      <sz val="11"/>
      <color indexed="8"/>
      <name val="Calibri"/>
      <family val="2"/>
    </font>
    <font>
      <sz val="10"/>
      <color indexed="16"/>
      <name val="MS Serif"/>
      <family val="1"/>
    </font>
    <font>
      <sz val="10"/>
      <name val="VNI-Helve-Condense"/>
    </font>
    <font>
      <sz val="8"/>
      <name val="Arial"/>
      <family val="2"/>
    </font>
    <font>
      <b/>
      <sz val="12"/>
      <name val="Helv"/>
    </font>
    <font>
      <b/>
      <sz val="12"/>
      <name val="Arial"/>
      <family val="2"/>
    </font>
    <font>
      <b/>
      <sz val="1"/>
      <color indexed="8"/>
      <name val="Courier"/>
      <family val="3"/>
    </font>
    <font>
      <sz val="12"/>
      <name val=".VnTime"/>
      <family val="2"/>
    </font>
    <font>
      <sz val="11"/>
      <name val="VNI-Times"/>
    </font>
    <font>
      <b/>
      <sz val="11"/>
      <name val="Helv"/>
    </font>
    <font>
      <sz val="12"/>
      <name val="Arial"/>
      <family val="2"/>
    </font>
    <font>
      <sz val="7"/>
      <name val="Small Fonts"/>
      <family val="2"/>
    </font>
    <font>
      <b/>
      <sz val="12"/>
      <name val="VN-NTime"/>
    </font>
    <font>
      <b/>
      <i/>
      <sz val="16"/>
      <name val="Helv"/>
    </font>
    <font>
      <sz val="10"/>
      <name val="Arial CE"/>
      <family val="2"/>
      <charset val="238"/>
    </font>
    <font>
      <b/>
      <sz val="11"/>
      <color rgb="FF3F3F3F"/>
      <name val="Calibri"/>
      <family val="2"/>
      <charset val="163"/>
      <scheme val="minor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b/>
      <sz val="18"/>
      <color indexed="62"/>
      <name val="Cambria"/>
      <family val="2"/>
    </font>
    <font>
      <u/>
      <sz val="12"/>
      <color indexed="12"/>
      <name val="VNI-Times"/>
    </font>
    <font>
      <sz val="10"/>
      <name val="Helv"/>
      <family val="2"/>
    </font>
    <font>
      <sz val="10"/>
      <name val="VNbook-Antiqua"/>
      <family val="2"/>
    </font>
    <font>
      <b/>
      <sz val="8"/>
      <color indexed="8"/>
      <name val="Arial"/>
      <family val="2"/>
    </font>
    <font>
      <sz val="10"/>
      <name val="Symbol"/>
      <family val="1"/>
      <charset val="2"/>
    </font>
    <font>
      <sz val="13"/>
      <name val=".VnArial"/>
      <family val="2"/>
    </font>
    <font>
      <sz val="13"/>
      <name val=".VnTime"/>
      <family val="2"/>
    </font>
    <font>
      <sz val="10"/>
      <name val="VNI-Centur"/>
      <family val="2"/>
    </font>
    <font>
      <sz val="10"/>
      <name val="VNI-Univer"/>
    </font>
    <font>
      <sz val="8"/>
      <name val="VNI-Helve"/>
    </font>
    <font>
      <sz val="10"/>
      <name val=".VnArial Narrow"/>
      <family val="2"/>
    </font>
    <font>
      <sz val="10"/>
      <name val="VNtimes new roman"/>
      <family val="2"/>
    </font>
    <font>
      <sz val="10"/>
      <color indexed="8"/>
      <name val="MS Sans Serif"/>
      <family val="2"/>
    </font>
    <font>
      <b/>
      <sz val="12"/>
      <name val=".VnTime"/>
      <family val="2"/>
    </font>
    <font>
      <b/>
      <sz val="10"/>
      <name val=".VnTime"/>
      <family val="2"/>
    </font>
    <font>
      <sz val="9"/>
      <name val=".VnTime"/>
      <family val="2"/>
    </font>
    <font>
      <sz val="14"/>
      <name val=".VnArial"/>
      <family val="2"/>
    </font>
    <font>
      <sz val="16"/>
      <name val="AngsanaUPC"/>
      <family val="3"/>
    </font>
    <font>
      <sz val="10"/>
      <name val=" "/>
      <family val="1"/>
      <charset val="136"/>
    </font>
    <font>
      <sz val="14"/>
      <name val="뼻뮝"/>
      <family val="3"/>
      <charset val="129"/>
    </font>
    <font>
      <sz val="12"/>
      <name val="바탕체"/>
      <family val="3"/>
    </font>
    <font>
      <sz val="12"/>
      <name val="뼻뮝"/>
      <family val="1"/>
      <charset val="129"/>
    </font>
    <font>
      <sz val="11"/>
      <name val="돋움"/>
      <family val="3"/>
      <charset val="129"/>
    </font>
    <font>
      <sz val="10"/>
      <name val=".VnArial"/>
      <family val="2"/>
    </font>
    <font>
      <sz val="10"/>
      <name val="돋움체"/>
      <family val="3"/>
      <charset val="129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2"/>
      <color indexed="10"/>
      <name val="新細明體"/>
      <family val="1"/>
      <charset val="136"/>
    </font>
    <font>
      <sz val="12"/>
      <name val="Courier"/>
      <family val="3"/>
    </font>
    <font>
      <u/>
      <sz val="11"/>
      <color indexed="12"/>
      <name val=".VnTime"/>
      <family val="2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sz val="12"/>
      <color indexed="52"/>
      <name val="新細明體"/>
      <family val="1"/>
      <charset val="136"/>
    </font>
    <font>
      <u/>
      <sz val="11"/>
      <color indexed="20"/>
      <name val=".VnTime"/>
      <family val="2"/>
    </font>
    <font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3"/>
      <color theme="10"/>
      <name val="Calibri"/>
      <family val="2"/>
      <scheme val="minor"/>
    </font>
    <font>
      <sz val="20"/>
      <color theme="1"/>
      <name val="Calibri"/>
      <family val="2"/>
      <scheme val="minor"/>
    </font>
    <font>
      <u/>
      <sz val="20"/>
      <color theme="10"/>
      <name val="Calibri"/>
      <family val="2"/>
      <scheme val="minor"/>
    </font>
    <font>
      <b/>
      <sz val="10"/>
      <name val="Arial"/>
      <family val="2"/>
      <charset val="163"/>
    </font>
    <font>
      <sz val="10"/>
      <color theme="7" tint="0.79998168889431442"/>
      <name val="Arial"/>
      <family val="2"/>
    </font>
    <font>
      <sz val="8"/>
      <color rgb="FF000000"/>
      <name val="Tahoma"/>
      <family val="2"/>
    </font>
  </fonts>
  <fills count="5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rgb="FF2B4C73"/>
        <bgColor indexed="64"/>
      </patternFill>
    </fill>
    <fill>
      <patternFill patternType="solid">
        <fgColor indexed="22"/>
        <bgColor indexed="31"/>
      </patternFill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45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24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solid">
        <fgColor indexed="55"/>
        <bgColor indexed="23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9"/>
        <bgColor indexed="64"/>
      </patternFill>
    </fill>
    <fill>
      <patternFill patternType="solid">
        <fgColor indexed="15"/>
        <bgColor indexed="35"/>
      </patternFill>
    </fill>
    <fill>
      <patternFill patternType="solid">
        <fgColor indexed="12"/>
        <bgColor indexed="39"/>
      </patternFill>
    </fill>
    <fill>
      <patternFill patternType="solid">
        <fgColor indexed="43"/>
        <bgColor indexed="26"/>
      </patternFill>
    </fill>
    <fill>
      <patternFill patternType="solid">
        <fgColor indexed="54"/>
        <bgColor indexed="23"/>
      </patternFill>
    </fill>
    <fill>
      <patternFill patternType="solid">
        <fgColor indexed="10"/>
        <bgColor indexed="60"/>
      </patternFill>
    </fill>
    <fill>
      <patternFill patternType="solid">
        <fgColor indexed="50"/>
        <bgColor indexed="51"/>
      </patternFill>
    </fill>
    <fill>
      <patternFill patternType="solid">
        <fgColor indexed="57"/>
        <bgColor indexed="21"/>
      </patternFill>
    </fill>
    <fill>
      <patternFill patternType="solid">
        <fgColor indexed="21"/>
        <bgColor indexed="38"/>
      </patternFill>
    </fill>
    <fill>
      <patternFill patternType="solid">
        <fgColor indexed="24"/>
        <bgColor indexed="44"/>
      </patternFill>
    </fill>
    <fill>
      <patternFill patternType="solid">
        <fgColor indexed="40"/>
        <bgColor indexed="49"/>
      </patternFill>
    </fill>
    <fill>
      <patternFill patternType="solid">
        <fgColor indexed="41"/>
        <bgColor indexed="27"/>
      </patternFill>
    </fill>
    <fill>
      <patternFill patternType="solid">
        <fgColor indexed="26"/>
        <bgColor indexed="9"/>
      </patternFill>
    </fill>
    <fill>
      <patternFill patternType="solid">
        <fgColor indexed="62"/>
        <bgColor indexed="56"/>
      </patternFill>
    </fill>
    <fill>
      <patternFill patternType="solid">
        <fgColor indexed="53"/>
        <bgColor indexed="52"/>
      </patternFill>
    </fill>
    <fill>
      <patternFill patternType="solid">
        <fgColor theme="4" tint="0.79998168889431442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rgb="FFFF0000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rgb="FFFF0000"/>
      </top>
      <bottom/>
      <diagonal/>
    </border>
    <border>
      <left/>
      <right/>
      <top style="double">
        <color rgb="FFFF0000"/>
      </top>
      <bottom/>
      <diagonal/>
    </border>
    <border>
      <left style="thin">
        <color indexed="64"/>
      </left>
      <right/>
      <top/>
      <bottom style="thin">
        <color rgb="FFFF0000"/>
      </bottom>
      <diagonal/>
    </border>
    <border>
      <left style="thin">
        <color indexed="64"/>
      </left>
      <right style="thin">
        <color indexed="64"/>
      </right>
      <top style="double">
        <color rgb="FFFF0000"/>
      </top>
      <bottom/>
      <diagonal/>
    </border>
    <border>
      <left style="thin">
        <color indexed="64"/>
      </left>
      <right style="thin">
        <color indexed="64"/>
      </right>
      <top style="thin">
        <color rgb="FFFF0000"/>
      </top>
      <bottom/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/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 style="dashed">
        <color indexed="64"/>
      </left>
      <right/>
      <top style="dashed">
        <color indexed="64"/>
      </top>
      <bottom/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27"/>
      </left>
      <right style="thin">
        <color indexed="48"/>
      </right>
      <top style="medium">
        <color indexed="27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double">
        <color indexed="52"/>
      </bottom>
      <diagonal/>
    </border>
  </borders>
  <cellStyleXfs count="1309">
    <xf numFmtId="0" fontId="0" fillId="0" borderId="0"/>
    <xf numFmtId="0" fontId="32" fillId="9" borderId="0" applyNumberFormat="0" applyBorder="0" applyAlignment="0" applyProtection="0"/>
    <xf numFmtId="168" fontId="34" fillId="0" borderId="0" applyFont="0" applyFill="0" applyBorder="0" applyAlignment="0" applyProtection="0"/>
    <xf numFmtId="0" fontId="3" fillId="0" borderId="0"/>
    <xf numFmtId="0" fontId="3" fillId="0" borderId="0"/>
    <xf numFmtId="169" fontId="3" fillId="0" borderId="0" applyFont="0" applyFill="0" applyBorder="0" applyAlignment="0" applyProtection="0"/>
    <xf numFmtId="0" fontId="35" fillId="0" borderId="0" applyFill="0" applyBorder="0" applyAlignment="0" applyProtection="0"/>
    <xf numFmtId="170" fontId="3" fillId="0" borderId="0" applyFont="0" applyFill="0" applyBorder="0" applyAlignment="0" applyProtection="0"/>
    <xf numFmtId="0" fontId="36" fillId="0" borderId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171" fontId="35" fillId="0" borderId="0" applyFill="0" applyBorder="0" applyAlignment="0" applyProtection="0"/>
    <xf numFmtId="172" fontId="35" fillId="0" borderId="0" applyFill="0" applyBorder="0" applyAlignment="0" applyProtection="0"/>
    <xf numFmtId="173" fontId="37" fillId="0" borderId="0" applyFont="0" applyFill="0" applyBorder="0" applyAlignment="0" applyProtection="0"/>
    <xf numFmtId="174" fontId="37" fillId="0" borderId="0" applyFont="0" applyFill="0" applyBorder="0" applyAlignment="0" applyProtection="0"/>
    <xf numFmtId="175" fontId="35" fillId="0" borderId="0" applyFill="0" applyBorder="0" applyAlignment="0" applyProtection="0"/>
    <xf numFmtId="0" fontId="38" fillId="0" borderId="0" applyFont="0" applyFill="0" applyBorder="0" applyAlignment="0" applyProtection="0"/>
    <xf numFmtId="0" fontId="35" fillId="0" borderId="0" applyFill="0" applyBorder="0" applyAlignment="0" applyProtection="0"/>
    <xf numFmtId="0" fontId="35" fillId="0" borderId="0" applyFill="0" applyBorder="0" applyAlignment="0" applyProtection="0"/>
    <xf numFmtId="0" fontId="39" fillId="0" borderId="0"/>
    <xf numFmtId="0" fontId="40" fillId="0" borderId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176" fontId="35" fillId="0" borderId="0" applyFill="0" applyBorder="0" applyAlignment="0" applyProtection="0"/>
    <xf numFmtId="0" fontId="41" fillId="0" borderId="0"/>
    <xf numFmtId="177" fontId="35" fillId="0" borderId="0" applyFill="0" applyBorder="0" applyAlignment="0" applyProtection="0"/>
    <xf numFmtId="178" fontId="35" fillId="0" borderId="0" applyFill="0" applyBorder="0" applyAlignment="0" applyProtection="0"/>
    <xf numFmtId="42" fontId="42" fillId="0" borderId="0" applyFont="0" applyFill="0" applyBorder="0" applyAlignment="0" applyProtection="0"/>
    <xf numFmtId="177" fontId="35" fillId="0" borderId="0" applyFill="0" applyBorder="0" applyAlignment="0" applyProtection="0"/>
    <xf numFmtId="177" fontId="35" fillId="0" borderId="0" applyFill="0" applyBorder="0" applyAlignment="0" applyProtection="0"/>
    <xf numFmtId="179" fontId="35" fillId="0" borderId="0" applyFill="0" applyBorder="0" applyAlignment="0" applyProtection="0"/>
    <xf numFmtId="0" fontId="3" fillId="0" borderId="0"/>
    <xf numFmtId="180" fontId="35" fillId="0" borderId="0" applyFill="0" applyBorder="0" applyAlignment="0" applyProtection="0"/>
    <xf numFmtId="177" fontId="35" fillId="0" borderId="0" applyFill="0" applyBorder="0" applyAlignment="0" applyProtection="0"/>
    <xf numFmtId="181" fontId="35" fillId="0" borderId="0" applyFill="0" applyBorder="0" applyAlignment="0" applyProtection="0"/>
    <xf numFmtId="182" fontId="35" fillId="0" borderId="0" applyFill="0" applyBorder="0" applyAlignment="0" applyProtection="0"/>
    <xf numFmtId="177" fontId="35" fillId="0" borderId="0" applyFill="0" applyBorder="0" applyAlignment="0" applyProtection="0"/>
    <xf numFmtId="0" fontId="41" fillId="0" borderId="0"/>
    <xf numFmtId="0" fontId="41" fillId="0" borderId="0"/>
    <xf numFmtId="0" fontId="41" fillId="0" borderId="0"/>
    <xf numFmtId="0" fontId="3" fillId="0" borderId="0"/>
    <xf numFmtId="0" fontId="41" fillId="0" borderId="0"/>
    <xf numFmtId="177" fontId="35" fillId="0" borderId="0" applyFill="0" applyBorder="0" applyAlignment="0" applyProtection="0"/>
    <xf numFmtId="0" fontId="3" fillId="0" borderId="0"/>
    <xf numFmtId="0" fontId="3" fillId="0" borderId="0"/>
    <xf numFmtId="0" fontId="3" fillId="0" borderId="0"/>
    <xf numFmtId="183" fontId="35" fillId="0" borderId="0" applyFill="0" applyBorder="0" applyAlignment="0" applyProtection="0"/>
    <xf numFmtId="183" fontId="35" fillId="0" borderId="0" applyFill="0" applyBorder="0" applyAlignment="0" applyProtection="0"/>
    <xf numFmtId="0" fontId="3" fillId="0" borderId="0"/>
    <xf numFmtId="0" fontId="3" fillId="0" borderId="0"/>
    <xf numFmtId="0" fontId="41" fillId="0" borderId="0"/>
    <xf numFmtId="184" fontId="35" fillId="0" borderId="0" applyFill="0" applyBorder="0" applyAlignment="0" applyProtection="0"/>
    <xf numFmtId="177" fontId="35" fillId="0" borderId="0" applyFill="0" applyBorder="0" applyAlignment="0" applyProtection="0"/>
    <xf numFmtId="0" fontId="41" fillId="0" borderId="0"/>
    <xf numFmtId="0" fontId="43" fillId="0" borderId="0" applyNumberFormat="0" applyFill="0" applyBorder="0" applyAlignment="0" applyProtection="0"/>
    <xf numFmtId="0" fontId="3" fillId="0" borderId="0"/>
    <xf numFmtId="42" fontId="42" fillId="0" borderId="0" applyFont="0" applyFill="0" applyBorder="0" applyAlignment="0" applyProtection="0"/>
    <xf numFmtId="168" fontId="34" fillId="0" borderId="0" applyFont="0" applyFill="0" applyBorder="0" applyAlignment="0" applyProtection="0"/>
    <xf numFmtId="183" fontId="35" fillId="0" borderId="0" applyFill="0" applyBorder="0" applyAlignment="0" applyProtection="0"/>
    <xf numFmtId="184" fontId="35" fillId="0" borderId="0" applyFill="0" applyBorder="0" applyAlignment="0" applyProtection="0"/>
    <xf numFmtId="174" fontId="34" fillId="0" borderId="0" applyFont="0" applyFill="0" applyBorder="0" applyAlignment="0" applyProtection="0"/>
    <xf numFmtId="174" fontId="42" fillId="0" borderId="0" applyFont="0" applyFill="0" applyBorder="0" applyAlignment="0" applyProtection="0"/>
    <xf numFmtId="185" fontId="35" fillId="0" borderId="0" applyFill="0" applyBorder="0" applyAlignment="0" applyProtection="0"/>
    <xf numFmtId="186" fontId="35" fillId="0" borderId="0" applyFill="0" applyBorder="0" applyAlignment="0" applyProtection="0"/>
    <xf numFmtId="187" fontId="35" fillId="0" borderId="0" applyFill="0" applyBorder="0" applyAlignment="0" applyProtection="0"/>
    <xf numFmtId="186" fontId="35" fillId="0" borderId="0" applyFill="0" applyBorder="0" applyAlignment="0" applyProtection="0"/>
    <xf numFmtId="187" fontId="35" fillId="0" borderId="0" applyFill="0" applyBorder="0" applyAlignment="0" applyProtection="0"/>
    <xf numFmtId="188" fontId="35" fillId="0" borderId="0" applyFill="0" applyBorder="0" applyAlignment="0" applyProtection="0"/>
    <xf numFmtId="187" fontId="35" fillId="0" borderId="0" applyFill="0" applyBorder="0" applyAlignment="0" applyProtection="0"/>
    <xf numFmtId="189" fontId="35" fillId="0" borderId="0" applyFill="0" applyBorder="0" applyAlignment="0" applyProtection="0"/>
    <xf numFmtId="186" fontId="35" fillId="0" borderId="0" applyFill="0" applyBorder="0" applyAlignment="0" applyProtection="0"/>
    <xf numFmtId="188" fontId="35" fillId="0" borderId="0" applyFill="0" applyBorder="0" applyAlignment="0" applyProtection="0"/>
    <xf numFmtId="185" fontId="35" fillId="0" borderId="0" applyFill="0" applyBorder="0" applyAlignment="0" applyProtection="0"/>
    <xf numFmtId="0" fontId="35" fillId="0" borderId="0" applyFill="0" applyBorder="0" applyAlignment="0" applyProtection="0"/>
    <xf numFmtId="190" fontId="35" fillId="0" borderId="0" applyFill="0" applyBorder="0" applyAlignment="0" applyProtection="0"/>
    <xf numFmtId="190" fontId="35" fillId="0" borderId="0" applyFill="0" applyBorder="0" applyAlignment="0" applyProtection="0"/>
    <xf numFmtId="190" fontId="35" fillId="0" borderId="0" applyFill="0" applyBorder="0" applyAlignment="0" applyProtection="0"/>
    <xf numFmtId="190" fontId="35" fillId="0" borderId="0" applyFill="0" applyBorder="0" applyAlignment="0" applyProtection="0"/>
    <xf numFmtId="191" fontId="35" fillId="0" borderId="0" applyFill="0" applyBorder="0" applyAlignment="0" applyProtection="0"/>
    <xf numFmtId="187" fontId="35" fillId="0" borderId="0" applyFill="0" applyBorder="0" applyAlignment="0" applyProtection="0"/>
    <xf numFmtId="187" fontId="35" fillId="0" borderId="0" applyFill="0" applyBorder="0" applyAlignment="0" applyProtection="0"/>
    <xf numFmtId="187" fontId="35" fillId="0" borderId="0" applyFill="0" applyBorder="0" applyAlignment="0" applyProtection="0"/>
    <xf numFmtId="190" fontId="35" fillId="0" borderId="0" applyFill="0" applyBorder="0" applyAlignment="0" applyProtection="0"/>
    <xf numFmtId="192" fontId="35" fillId="0" borderId="0" applyFill="0" applyBorder="0" applyAlignment="0" applyProtection="0"/>
    <xf numFmtId="192" fontId="35" fillId="0" borderId="0" applyFill="0" applyBorder="0" applyAlignment="0" applyProtection="0"/>
    <xf numFmtId="192" fontId="35" fillId="0" borderId="0" applyFill="0" applyBorder="0" applyAlignment="0" applyProtection="0"/>
    <xf numFmtId="192" fontId="35" fillId="0" borderId="0" applyFill="0" applyBorder="0" applyAlignment="0" applyProtection="0"/>
    <xf numFmtId="191" fontId="35" fillId="0" borderId="0" applyFill="0" applyBorder="0" applyAlignment="0" applyProtection="0"/>
    <xf numFmtId="190" fontId="35" fillId="0" borderId="0" applyFill="0" applyBorder="0" applyAlignment="0" applyProtection="0"/>
    <xf numFmtId="190" fontId="35" fillId="0" borderId="0" applyFill="0" applyBorder="0" applyAlignment="0" applyProtection="0"/>
    <xf numFmtId="190" fontId="35" fillId="0" borderId="0" applyFill="0" applyBorder="0" applyAlignment="0" applyProtection="0"/>
    <xf numFmtId="188" fontId="35" fillId="0" borderId="0" applyFill="0" applyBorder="0" applyAlignment="0" applyProtection="0"/>
    <xf numFmtId="192" fontId="35" fillId="0" borderId="0" applyFill="0" applyBorder="0" applyAlignment="0" applyProtection="0"/>
    <xf numFmtId="190" fontId="35" fillId="0" borderId="0" applyFill="0" applyBorder="0" applyAlignment="0" applyProtection="0"/>
    <xf numFmtId="190" fontId="35" fillId="0" borderId="0" applyFill="0" applyBorder="0" applyAlignment="0" applyProtection="0"/>
    <xf numFmtId="187" fontId="35" fillId="0" borderId="0" applyFill="0" applyBorder="0" applyAlignment="0" applyProtection="0"/>
    <xf numFmtId="190" fontId="35" fillId="0" borderId="0" applyFill="0" applyBorder="0" applyAlignment="0" applyProtection="0"/>
    <xf numFmtId="190" fontId="35" fillId="0" borderId="0" applyFill="0" applyBorder="0" applyAlignment="0" applyProtection="0"/>
    <xf numFmtId="190" fontId="35" fillId="0" borderId="0" applyFill="0" applyBorder="0" applyAlignment="0" applyProtection="0"/>
    <xf numFmtId="187" fontId="35" fillId="0" borderId="0" applyFill="0" applyBorder="0" applyAlignment="0" applyProtection="0"/>
    <xf numFmtId="186" fontId="35" fillId="0" borderId="0" applyFill="0" applyBorder="0" applyAlignment="0" applyProtection="0"/>
    <xf numFmtId="186" fontId="35" fillId="0" borderId="0" applyFill="0" applyBorder="0" applyAlignment="0" applyProtection="0"/>
    <xf numFmtId="187" fontId="35" fillId="0" borderId="0" applyFill="0" applyBorder="0" applyAlignment="0" applyProtection="0"/>
    <xf numFmtId="186" fontId="35" fillId="0" borderId="0" applyFill="0" applyBorder="0" applyAlignment="0" applyProtection="0"/>
    <xf numFmtId="187" fontId="35" fillId="0" borderId="0" applyFill="0" applyBorder="0" applyAlignment="0" applyProtection="0"/>
    <xf numFmtId="193" fontId="35" fillId="0" borderId="0" applyFill="0" applyBorder="0" applyAlignment="0" applyProtection="0"/>
    <xf numFmtId="173" fontId="34" fillId="0" borderId="0" applyFont="0" applyFill="0" applyBorder="0" applyAlignment="0" applyProtection="0"/>
    <xf numFmtId="42" fontId="42" fillId="0" borderId="0" applyFont="0" applyFill="0" applyBorder="0" applyAlignment="0" applyProtection="0"/>
    <xf numFmtId="177" fontId="35" fillId="0" borderId="0" applyFill="0" applyBorder="0" applyAlignment="0" applyProtection="0"/>
    <xf numFmtId="179" fontId="35" fillId="0" borderId="0" applyFill="0" applyBorder="0" applyAlignment="0" applyProtection="0"/>
    <xf numFmtId="180" fontId="35" fillId="0" borderId="0" applyFill="0" applyBorder="0" applyAlignment="0" applyProtection="0"/>
    <xf numFmtId="177" fontId="35" fillId="0" borderId="0" applyFill="0" applyBorder="0" applyAlignment="0" applyProtection="0"/>
    <xf numFmtId="182" fontId="35" fillId="0" borderId="0" applyFill="0" applyBorder="0" applyAlignment="0" applyProtection="0"/>
    <xf numFmtId="181" fontId="35" fillId="0" borderId="0" applyFill="0" applyBorder="0" applyAlignment="0" applyProtection="0"/>
    <xf numFmtId="181" fontId="35" fillId="0" borderId="0" applyFill="0" applyBorder="0" applyAlignment="0" applyProtection="0"/>
    <xf numFmtId="181" fontId="35" fillId="0" borderId="0" applyFill="0" applyBorder="0" applyAlignment="0" applyProtection="0"/>
    <xf numFmtId="181" fontId="35" fillId="0" borderId="0" applyFill="0" applyBorder="0" applyAlignment="0" applyProtection="0"/>
    <xf numFmtId="182" fontId="35" fillId="0" borderId="0" applyFill="0" applyBorder="0" applyAlignment="0" applyProtection="0"/>
    <xf numFmtId="177" fontId="35" fillId="0" borderId="0" applyFill="0" applyBorder="0" applyAlignment="0" applyProtection="0"/>
    <xf numFmtId="177" fontId="35" fillId="0" borderId="0" applyFill="0" applyBorder="0" applyAlignment="0" applyProtection="0"/>
    <xf numFmtId="177" fontId="35" fillId="0" borderId="0" applyFill="0" applyBorder="0" applyAlignment="0" applyProtection="0"/>
    <xf numFmtId="181" fontId="35" fillId="0" borderId="0" applyFill="0" applyBorder="0" applyAlignment="0" applyProtection="0"/>
    <xf numFmtId="182" fontId="35" fillId="0" borderId="0" applyFill="0" applyBorder="0" applyAlignment="0" applyProtection="0"/>
    <xf numFmtId="194" fontId="35" fillId="0" borderId="0" applyFill="0" applyBorder="0" applyAlignment="0" applyProtection="0"/>
    <xf numFmtId="179" fontId="35" fillId="0" borderId="0" applyFill="0" applyBorder="0" applyAlignment="0" applyProtection="0"/>
    <xf numFmtId="194" fontId="35" fillId="0" borderId="0" applyFill="0" applyBorder="0" applyAlignment="0" applyProtection="0"/>
    <xf numFmtId="179" fontId="35" fillId="0" borderId="0" applyFill="0" applyBorder="0" applyAlignment="0" applyProtection="0"/>
    <xf numFmtId="194" fontId="35" fillId="0" borderId="0" applyFill="0" applyBorder="0" applyAlignment="0" applyProtection="0"/>
    <xf numFmtId="194" fontId="35" fillId="0" borderId="0" applyFill="0" applyBorder="0" applyAlignment="0" applyProtection="0"/>
    <xf numFmtId="179" fontId="35" fillId="0" borderId="0" applyFill="0" applyBorder="0" applyAlignment="0" applyProtection="0"/>
    <xf numFmtId="195" fontId="35" fillId="0" borderId="0" applyFill="0" applyBorder="0" applyAlignment="0" applyProtection="0"/>
    <xf numFmtId="174" fontId="42" fillId="0" borderId="0" applyFont="0" applyFill="0" applyBorder="0" applyAlignment="0" applyProtection="0"/>
    <xf numFmtId="185" fontId="35" fillId="0" borderId="0" applyFill="0" applyBorder="0" applyAlignment="0" applyProtection="0"/>
    <xf numFmtId="186" fontId="35" fillId="0" borderId="0" applyFill="0" applyBorder="0" applyAlignment="0" applyProtection="0"/>
    <xf numFmtId="187" fontId="35" fillId="0" borderId="0" applyFill="0" applyBorder="0" applyAlignment="0" applyProtection="0"/>
    <xf numFmtId="186" fontId="35" fillId="0" borderId="0" applyFill="0" applyBorder="0" applyAlignment="0" applyProtection="0"/>
    <xf numFmtId="187" fontId="35" fillId="0" borderId="0" applyFill="0" applyBorder="0" applyAlignment="0" applyProtection="0"/>
    <xf numFmtId="188" fontId="35" fillId="0" borderId="0" applyFill="0" applyBorder="0" applyAlignment="0" applyProtection="0"/>
    <xf numFmtId="187" fontId="35" fillId="0" borderId="0" applyFill="0" applyBorder="0" applyAlignment="0" applyProtection="0"/>
    <xf numFmtId="189" fontId="35" fillId="0" borderId="0" applyFill="0" applyBorder="0" applyAlignment="0" applyProtection="0"/>
    <xf numFmtId="186" fontId="35" fillId="0" borderId="0" applyFill="0" applyBorder="0" applyAlignment="0" applyProtection="0"/>
    <xf numFmtId="188" fontId="35" fillId="0" borderId="0" applyFill="0" applyBorder="0" applyAlignment="0" applyProtection="0"/>
    <xf numFmtId="185" fontId="35" fillId="0" borderId="0" applyFill="0" applyBorder="0" applyAlignment="0" applyProtection="0"/>
    <xf numFmtId="0" fontId="35" fillId="0" borderId="0" applyFill="0" applyBorder="0" applyAlignment="0" applyProtection="0"/>
    <xf numFmtId="190" fontId="35" fillId="0" borderId="0" applyFill="0" applyBorder="0" applyAlignment="0" applyProtection="0"/>
    <xf numFmtId="190" fontId="35" fillId="0" borderId="0" applyFill="0" applyBorder="0" applyAlignment="0" applyProtection="0"/>
    <xf numFmtId="190" fontId="35" fillId="0" borderId="0" applyFill="0" applyBorder="0" applyAlignment="0" applyProtection="0"/>
    <xf numFmtId="190" fontId="35" fillId="0" borderId="0" applyFill="0" applyBorder="0" applyAlignment="0" applyProtection="0"/>
    <xf numFmtId="191" fontId="35" fillId="0" borderId="0" applyFill="0" applyBorder="0" applyAlignment="0" applyProtection="0"/>
    <xf numFmtId="187" fontId="35" fillId="0" borderId="0" applyFill="0" applyBorder="0" applyAlignment="0" applyProtection="0"/>
    <xf numFmtId="187" fontId="35" fillId="0" borderId="0" applyFill="0" applyBorder="0" applyAlignment="0" applyProtection="0"/>
    <xf numFmtId="187" fontId="35" fillId="0" borderId="0" applyFill="0" applyBorder="0" applyAlignment="0" applyProtection="0"/>
    <xf numFmtId="190" fontId="35" fillId="0" borderId="0" applyFill="0" applyBorder="0" applyAlignment="0" applyProtection="0"/>
    <xf numFmtId="192" fontId="35" fillId="0" borderId="0" applyFill="0" applyBorder="0" applyAlignment="0" applyProtection="0"/>
    <xf numFmtId="192" fontId="35" fillId="0" borderId="0" applyFill="0" applyBorder="0" applyAlignment="0" applyProtection="0"/>
    <xf numFmtId="192" fontId="35" fillId="0" borderId="0" applyFill="0" applyBorder="0" applyAlignment="0" applyProtection="0"/>
    <xf numFmtId="192" fontId="35" fillId="0" borderId="0" applyFill="0" applyBorder="0" applyAlignment="0" applyProtection="0"/>
    <xf numFmtId="191" fontId="35" fillId="0" borderId="0" applyFill="0" applyBorder="0" applyAlignment="0" applyProtection="0"/>
    <xf numFmtId="190" fontId="35" fillId="0" borderId="0" applyFill="0" applyBorder="0" applyAlignment="0" applyProtection="0"/>
    <xf numFmtId="190" fontId="35" fillId="0" borderId="0" applyFill="0" applyBorder="0" applyAlignment="0" applyProtection="0"/>
    <xf numFmtId="190" fontId="35" fillId="0" borderId="0" applyFill="0" applyBorder="0" applyAlignment="0" applyProtection="0"/>
    <xf numFmtId="188" fontId="35" fillId="0" borderId="0" applyFill="0" applyBorder="0" applyAlignment="0" applyProtection="0"/>
    <xf numFmtId="192" fontId="35" fillId="0" borderId="0" applyFill="0" applyBorder="0" applyAlignment="0" applyProtection="0"/>
    <xf numFmtId="190" fontId="35" fillId="0" borderId="0" applyFill="0" applyBorder="0" applyAlignment="0" applyProtection="0"/>
    <xf numFmtId="190" fontId="35" fillId="0" borderId="0" applyFill="0" applyBorder="0" applyAlignment="0" applyProtection="0"/>
    <xf numFmtId="187" fontId="35" fillId="0" borderId="0" applyFill="0" applyBorder="0" applyAlignment="0" applyProtection="0"/>
    <xf numFmtId="190" fontId="35" fillId="0" borderId="0" applyFill="0" applyBorder="0" applyAlignment="0" applyProtection="0"/>
    <xf numFmtId="190" fontId="35" fillId="0" borderId="0" applyFill="0" applyBorder="0" applyAlignment="0" applyProtection="0"/>
    <xf numFmtId="190" fontId="35" fillId="0" borderId="0" applyFill="0" applyBorder="0" applyAlignment="0" applyProtection="0"/>
    <xf numFmtId="187" fontId="35" fillId="0" borderId="0" applyFill="0" applyBorder="0" applyAlignment="0" applyProtection="0"/>
    <xf numFmtId="186" fontId="35" fillId="0" borderId="0" applyFill="0" applyBorder="0" applyAlignment="0" applyProtection="0"/>
    <xf numFmtId="186" fontId="35" fillId="0" borderId="0" applyFill="0" applyBorder="0" applyAlignment="0" applyProtection="0"/>
    <xf numFmtId="187" fontId="35" fillId="0" borderId="0" applyFill="0" applyBorder="0" applyAlignment="0" applyProtection="0"/>
    <xf numFmtId="186" fontId="35" fillId="0" borderId="0" applyFill="0" applyBorder="0" applyAlignment="0" applyProtection="0"/>
    <xf numFmtId="187" fontId="35" fillId="0" borderId="0" applyFill="0" applyBorder="0" applyAlignment="0" applyProtection="0"/>
    <xf numFmtId="193" fontId="35" fillId="0" borderId="0" applyFill="0" applyBorder="0" applyAlignment="0" applyProtection="0"/>
    <xf numFmtId="174" fontId="34" fillId="0" borderId="0" applyFont="0" applyFill="0" applyBorder="0" applyAlignment="0" applyProtection="0"/>
    <xf numFmtId="173" fontId="42" fillId="0" borderId="0" applyFont="0" applyFill="0" applyBorder="0" applyAlignment="0" applyProtection="0"/>
    <xf numFmtId="172" fontId="35" fillId="0" borderId="0" applyFill="0" applyBorder="0" applyAlignment="0" applyProtection="0"/>
    <xf numFmtId="196" fontId="35" fillId="0" borderId="0" applyFill="0" applyBorder="0" applyAlignment="0" applyProtection="0"/>
    <xf numFmtId="178" fontId="35" fillId="0" borderId="0" applyFill="0" applyBorder="0" applyAlignment="0" applyProtection="0"/>
    <xf numFmtId="196" fontId="35" fillId="0" borderId="0" applyFill="0" applyBorder="0" applyAlignment="0" applyProtection="0"/>
    <xf numFmtId="178" fontId="35" fillId="0" borderId="0" applyFill="0" applyBorder="0" applyAlignment="0" applyProtection="0"/>
    <xf numFmtId="176" fontId="35" fillId="0" borderId="0" applyFill="0" applyBorder="0" applyAlignment="0" applyProtection="0"/>
    <xf numFmtId="178" fontId="35" fillId="0" borderId="0" applyFill="0" applyBorder="0" applyAlignment="0" applyProtection="0"/>
    <xf numFmtId="197" fontId="35" fillId="0" borderId="0" applyFill="0" applyBorder="0" applyAlignment="0" applyProtection="0"/>
    <xf numFmtId="196" fontId="35" fillId="0" borderId="0" applyFill="0" applyBorder="0" applyAlignment="0" applyProtection="0"/>
    <xf numFmtId="176" fontId="35" fillId="0" borderId="0" applyFill="0" applyBorder="0" applyAlignment="0" applyProtection="0"/>
    <xf numFmtId="172" fontId="35" fillId="0" borderId="0" applyFill="0" applyBorder="0" applyAlignment="0" applyProtection="0"/>
    <xf numFmtId="178" fontId="35" fillId="0" borderId="0" applyFill="0" applyBorder="0" applyAlignment="0" applyProtection="0"/>
    <xf numFmtId="198" fontId="35" fillId="0" borderId="0" applyFill="0" applyBorder="0" applyAlignment="0" applyProtection="0"/>
    <xf numFmtId="199" fontId="35" fillId="0" borderId="0" applyFill="0" applyBorder="0" applyAlignment="0" applyProtection="0"/>
    <xf numFmtId="199" fontId="35" fillId="0" borderId="0" applyFill="0" applyBorder="0" applyAlignment="0" applyProtection="0"/>
    <xf numFmtId="199" fontId="35" fillId="0" borderId="0" applyFill="0" applyBorder="0" applyAlignment="0" applyProtection="0"/>
    <xf numFmtId="199" fontId="35" fillId="0" borderId="0" applyFill="0" applyBorder="0" applyAlignment="0" applyProtection="0"/>
    <xf numFmtId="200" fontId="35" fillId="0" borderId="0" applyFill="0" applyBorder="0" applyAlignment="0" applyProtection="0"/>
    <xf numFmtId="178" fontId="35" fillId="0" borderId="0" applyFill="0" applyBorder="0" applyAlignment="0" applyProtection="0"/>
    <xf numFmtId="178" fontId="35" fillId="0" borderId="0" applyFill="0" applyBorder="0" applyAlignment="0" applyProtection="0"/>
    <xf numFmtId="178" fontId="35" fillId="0" borderId="0" applyFill="0" applyBorder="0" applyAlignment="0" applyProtection="0"/>
    <xf numFmtId="199" fontId="35" fillId="0" borderId="0" applyFill="0" applyBorder="0" applyAlignment="0" applyProtection="0"/>
    <xf numFmtId="201" fontId="35" fillId="0" borderId="0" applyFill="0" applyBorder="0" applyAlignment="0" applyProtection="0"/>
    <xf numFmtId="201" fontId="35" fillId="0" borderId="0" applyFill="0" applyBorder="0" applyAlignment="0" applyProtection="0"/>
    <xf numFmtId="201" fontId="35" fillId="0" borderId="0" applyFill="0" applyBorder="0" applyAlignment="0" applyProtection="0"/>
    <xf numFmtId="201" fontId="35" fillId="0" borderId="0" applyFill="0" applyBorder="0" applyAlignment="0" applyProtection="0"/>
    <xf numFmtId="200" fontId="35" fillId="0" borderId="0" applyFill="0" applyBorder="0" applyAlignment="0" applyProtection="0"/>
    <xf numFmtId="199" fontId="35" fillId="0" borderId="0" applyFill="0" applyBorder="0" applyAlignment="0" applyProtection="0"/>
    <xf numFmtId="199" fontId="35" fillId="0" borderId="0" applyFill="0" applyBorder="0" applyAlignment="0" applyProtection="0"/>
    <xf numFmtId="199" fontId="35" fillId="0" borderId="0" applyFill="0" applyBorder="0" applyAlignment="0" applyProtection="0"/>
    <xf numFmtId="176" fontId="35" fillId="0" borderId="0" applyFill="0" applyBorder="0" applyAlignment="0" applyProtection="0"/>
    <xf numFmtId="201" fontId="35" fillId="0" borderId="0" applyFill="0" applyBorder="0" applyAlignment="0" applyProtection="0"/>
    <xf numFmtId="199" fontId="35" fillId="0" borderId="0" applyFill="0" applyBorder="0" applyAlignment="0" applyProtection="0"/>
    <xf numFmtId="199" fontId="35" fillId="0" borderId="0" applyFill="0" applyBorder="0" applyAlignment="0" applyProtection="0"/>
    <xf numFmtId="178" fontId="35" fillId="0" borderId="0" applyFill="0" applyBorder="0" applyAlignment="0" applyProtection="0"/>
    <xf numFmtId="199" fontId="35" fillId="0" borderId="0" applyFill="0" applyBorder="0" applyAlignment="0" applyProtection="0"/>
    <xf numFmtId="199" fontId="35" fillId="0" borderId="0" applyFill="0" applyBorder="0" applyAlignment="0" applyProtection="0"/>
    <xf numFmtId="199" fontId="35" fillId="0" borderId="0" applyFill="0" applyBorder="0" applyAlignment="0" applyProtection="0"/>
    <xf numFmtId="178" fontId="35" fillId="0" borderId="0" applyFill="0" applyBorder="0" applyAlignment="0" applyProtection="0"/>
    <xf numFmtId="196" fontId="35" fillId="0" borderId="0" applyFill="0" applyBorder="0" applyAlignment="0" applyProtection="0"/>
    <xf numFmtId="196" fontId="35" fillId="0" borderId="0" applyFill="0" applyBorder="0" applyAlignment="0" applyProtection="0"/>
    <xf numFmtId="178" fontId="35" fillId="0" borderId="0" applyFill="0" applyBorder="0" applyAlignment="0" applyProtection="0"/>
    <xf numFmtId="196" fontId="35" fillId="0" borderId="0" applyFill="0" applyBorder="0" applyAlignment="0" applyProtection="0"/>
    <xf numFmtId="178" fontId="35" fillId="0" borderId="0" applyFill="0" applyBorder="0" applyAlignment="0" applyProtection="0"/>
    <xf numFmtId="202" fontId="35" fillId="0" borderId="0" applyFill="0" applyBorder="0" applyAlignment="0" applyProtection="0"/>
    <xf numFmtId="177" fontId="35" fillId="0" borderId="0" applyFill="0" applyBorder="0" applyAlignment="0" applyProtection="0"/>
    <xf numFmtId="179" fontId="35" fillId="0" borderId="0" applyFill="0" applyBorder="0" applyAlignment="0" applyProtection="0"/>
    <xf numFmtId="180" fontId="35" fillId="0" borderId="0" applyFill="0" applyBorder="0" applyAlignment="0" applyProtection="0"/>
    <xf numFmtId="177" fontId="35" fillId="0" borderId="0" applyFill="0" applyBorder="0" applyAlignment="0" applyProtection="0"/>
    <xf numFmtId="182" fontId="35" fillId="0" borderId="0" applyFill="0" applyBorder="0" applyAlignment="0" applyProtection="0"/>
    <xf numFmtId="181" fontId="35" fillId="0" borderId="0" applyFill="0" applyBorder="0" applyAlignment="0" applyProtection="0"/>
    <xf numFmtId="181" fontId="35" fillId="0" borderId="0" applyFill="0" applyBorder="0" applyAlignment="0" applyProtection="0"/>
    <xf numFmtId="181" fontId="35" fillId="0" borderId="0" applyFill="0" applyBorder="0" applyAlignment="0" applyProtection="0"/>
    <xf numFmtId="181" fontId="35" fillId="0" borderId="0" applyFill="0" applyBorder="0" applyAlignment="0" applyProtection="0"/>
    <xf numFmtId="182" fontId="35" fillId="0" borderId="0" applyFill="0" applyBorder="0" applyAlignment="0" applyProtection="0"/>
    <xf numFmtId="177" fontId="35" fillId="0" borderId="0" applyFill="0" applyBorder="0" applyAlignment="0" applyProtection="0"/>
    <xf numFmtId="177" fontId="35" fillId="0" borderId="0" applyFill="0" applyBorder="0" applyAlignment="0" applyProtection="0"/>
    <xf numFmtId="177" fontId="35" fillId="0" borderId="0" applyFill="0" applyBorder="0" applyAlignment="0" applyProtection="0"/>
    <xf numFmtId="181" fontId="35" fillId="0" borderId="0" applyFill="0" applyBorder="0" applyAlignment="0" applyProtection="0"/>
    <xf numFmtId="182" fontId="35" fillId="0" borderId="0" applyFill="0" applyBorder="0" applyAlignment="0" applyProtection="0"/>
    <xf numFmtId="194" fontId="35" fillId="0" borderId="0" applyFill="0" applyBorder="0" applyAlignment="0" applyProtection="0"/>
    <xf numFmtId="179" fontId="35" fillId="0" borderId="0" applyFill="0" applyBorder="0" applyAlignment="0" applyProtection="0"/>
    <xf numFmtId="194" fontId="35" fillId="0" borderId="0" applyFill="0" applyBorder="0" applyAlignment="0" applyProtection="0"/>
    <xf numFmtId="179" fontId="35" fillId="0" borderId="0" applyFill="0" applyBorder="0" applyAlignment="0" applyProtection="0"/>
    <xf numFmtId="194" fontId="35" fillId="0" borderId="0" applyFill="0" applyBorder="0" applyAlignment="0" applyProtection="0"/>
    <xf numFmtId="194" fontId="35" fillId="0" borderId="0" applyFill="0" applyBorder="0" applyAlignment="0" applyProtection="0"/>
    <xf numFmtId="179" fontId="35" fillId="0" borderId="0" applyFill="0" applyBorder="0" applyAlignment="0" applyProtection="0"/>
    <xf numFmtId="195" fontId="35" fillId="0" borderId="0" applyFill="0" applyBorder="0" applyAlignment="0" applyProtection="0"/>
    <xf numFmtId="173" fontId="34" fillId="0" borderId="0" applyFont="0" applyFill="0" applyBorder="0" applyAlignment="0" applyProtection="0"/>
    <xf numFmtId="174" fontId="34" fillId="0" borderId="0" applyFont="0" applyFill="0" applyBorder="0" applyAlignment="0" applyProtection="0"/>
    <xf numFmtId="173" fontId="42" fillId="0" borderId="0" applyFont="0" applyFill="0" applyBorder="0" applyAlignment="0" applyProtection="0"/>
    <xf numFmtId="172" fontId="35" fillId="0" borderId="0" applyFill="0" applyBorder="0" applyAlignment="0" applyProtection="0"/>
    <xf numFmtId="196" fontId="35" fillId="0" borderId="0" applyFill="0" applyBorder="0" applyAlignment="0" applyProtection="0"/>
    <xf numFmtId="178" fontId="35" fillId="0" borderId="0" applyFill="0" applyBorder="0" applyAlignment="0" applyProtection="0"/>
    <xf numFmtId="196" fontId="35" fillId="0" borderId="0" applyFill="0" applyBorder="0" applyAlignment="0" applyProtection="0"/>
    <xf numFmtId="178" fontId="35" fillId="0" borderId="0" applyFill="0" applyBorder="0" applyAlignment="0" applyProtection="0"/>
    <xf numFmtId="176" fontId="35" fillId="0" borderId="0" applyFill="0" applyBorder="0" applyAlignment="0" applyProtection="0"/>
    <xf numFmtId="178" fontId="35" fillId="0" borderId="0" applyFill="0" applyBorder="0" applyAlignment="0" applyProtection="0"/>
    <xf numFmtId="197" fontId="35" fillId="0" borderId="0" applyFill="0" applyBorder="0" applyAlignment="0" applyProtection="0"/>
    <xf numFmtId="196" fontId="35" fillId="0" borderId="0" applyFill="0" applyBorder="0" applyAlignment="0" applyProtection="0"/>
    <xf numFmtId="176" fontId="35" fillId="0" borderId="0" applyFill="0" applyBorder="0" applyAlignment="0" applyProtection="0"/>
    <xf numFmtId="172" fontId="35" fillId="0" borderId="0" applyFill="0" applyBorder="0" applyAlignment="0" applyProtection="0"/>
    <xf numFmtId="178" fontId="35" fillId="0" borderId="0" applyFill="0" applyBorder="0" applyAlignment="0" applyProtection="0"/>
    <xf numFmtId="198" fontId="35" fillId="0" borderId="0" applyFill="0" applyBorder="0" applyAlignment="0" applyProtection="0"/>
    <xf numFmtId="199" fontId="35" fillId="0" borderId="0" applyFill="0" applyBorder="0" applyAlignment="0" applyProtection="0"/>
    <xf numFmtId="199" fontId="35" fillId="0" borderId="0" applyFill="0" applyBorder="0" applyAlignment="0" applyProtection="0"/>
    <xf numFmtId="199" fontId="35" fillId="0" borderId="0" applyFill="0" applyBorder="0" applyAlignment="0" applyProtection="0"/>
    <xf numFmtId="199" fontId="35" fillId="0" borderId="0" applyFill="0" applyBorder="0" applyAlignment="0" applyProtection="0"/>
    <xf numFmtId="200" fontId="35" fillId="0" borderId="0" applyFill="0" applyBorder="0" applyAlignment="0" applyProtection="0"/>
    <xf numFmtId="178" fontId="35" fillId="0" borderId="0" applyFill="0" applyBorder="0" applyAlignment="0" applyProtection="0"/>
    <xf numFmtId="178" fontId="35" fillId="0" borderId="0" applyFill="0" applyBorder="0" applyAlignment="0" applyProtection="0"/>
    <xf numFmtId="178" fontId="35" fillId="0" borderId="0" applyFill="0" applyBorder="0" applyAlignment="0" applyProtection="0"/>
    <xf numFmtId="199" fontId="35" fillId="0" borderId="0" applyFill="0" applyBorder="0" applyAlignment="0" applyProtection="0"/>
    <xf numFmtId="201" fontId="35" fillId="0" borderId="0" applyFill="0" applyBorder="0" applyAlignment="0" applyProtection="0"/>
    <xf numFmtId="201" fontId="35" fillId="0" borderId="0" applyFill="0" applyBorder="0" applyAlignment="0" applyProtection="0"/>
    <xf numFmtId="201" fontId="35" fillId="0" borderId="0" applyFill="0" applyBorder="0" applyAlignment="0" applyProtection="0"/>
    <xf numFmtId="201" fontId="35" fillId="0" borderId="0" applyFill="0" applyBorder="0" applyAlignment="0" applyProtection="0"/>
    <xf numFmtId="200" fontId="35" fillId="0" borderId="0" applyFill="0" applyBorder="0" applyAlignment="0" applyProtection="0"/>
    <xf numFmtId="199" fontId="35" fillId="0" borderId="0" applyFill="0" applyBorder="0" applyAlignment="0" applyProtection="0"/>
    <xf numFmtId="199" fontId="35" fillId="0" borderId="0" applyFill="0" applyBorder="0" applyAlignment="0" applyProtection="0"/>
    <xf numFmtId="199" fontId="35" fillId="0" borderId="0" applyFill="0" applyBorder="0" applyAlignment="0" applyProtection="0"/>
    <xf numFmtId="176" fontId="35" fillId="0" borderId="0" applyFill="0" applyBorder="0" applyAlignment="0" applyProtection="0"/>
    <xf numFmtId="201" fontId="35" fillId="0" borderId="0" applyFill="0" applyBorder="0" applyAlignment="0" applyProtection="0"/>
    <xf numFmtId="199" fontId="35" fillId="0" borderId="0" applyFill="0" applyBorder="0" applyAlignment="0" applyProtection="0"/>
    <xf numFmtId="199" fontId="35" fillId="0" borderId="0" applyFill="0" applyBorder="0" applyAlignment="0" applyProtection="0"/>
    <xf numFmtId="178" fontId="35" fillId="0" borderId="0" applyFill="0" applyBorder="0" applyAlignment="0" applyProtection="0"/>
    <xf numFmtId="199" fontId="35" fillId="0" borderId="0" applyFill="0" applyBorder="0" applyAlignment="0" applyProtection="0"/>
    <xf numFmtId="199" fontId="35" fillId="0" borderId="0" applyFill="0" applyBorder="0" applyAlignment="0" applyProtection="0"/>
    <xf numFmtId="199" fontId="35" fillId="0" borderId="0" applyFill="0" applyBorder="0" applyAlignment="0" applyProtection="0"/>
    <xf numFmtId="178" fontId="35" fillId="0" borderId="0" applyFill="0" applyBorder="0" applyAlignment="0" applyProtection="0"/>
    <xf numFmtId="196" fontId="35" fillId="0" borderId="0" applyFill="0" applyBorder="0" applyAlignment="0" applyProtection="0"/>
    <xf numFmtId="196" fontId="35" fillId="0" borderId="0" applyFill="0" applyBorder="0" applyAlignment="0" applyProtection="0"/>
    <xf numFmtId="178" fontId="35" fillId="0" borderId="0" applyFill="0" applyBorder="0" applyAlignment="0" applyProtection="0"/>
    <xf numFmtId="196" fontId="35" fillId="0" borderId="0" applyFill="0" applyBorder="0" applyAlignment="0" applyProtection="0"/>
    <xf numFmtId="178" fontId="35" fillId="0" borderId="0" applyFill="0" applyBorder="0" applyAlignment="0" applyProtection="0"/>
    <xf numFmtId="202" fontId="35" fillId="0" borderId="0" applyFill="0" applyBorder="0" applyAlignment="0" applyProtection="0"/>
    <xf numFmtId="174" fontId="42" fillId="0" borderId="0" applyFont="0" applyFill="0" applyBorder="0" applyAlignment="0" applyProtection="0"/>
    <xf numFmtId="185" fontId="35" fillId="0" borderId="0" applyFill="0" applyBorder="0" applyAlignment="0" applyProtection="0"/>
    <xf numFmtId="186" fontId="35" fillId="0" borderId="0" applyFill="0" applyBorder="0" applyAlignment="0" applyProtection="0"/>
    <xf numFmtId="187" fontId="35" fillId="0" borderId="0" applyFill="0" applyBorder="0" applyAlignment="0" applyProtection="0"/>
    <xf numFmtId="186" fontId="35" fillId="0" borderId="0" applyFill="0" applyBorder="0" applyAlignment="0" applyProtection="0"/>
    <xf numFmtId="187" fontId="35" fillId="0" borderId="0" applyFill="0" applyBorder="0" applyAlignment="0" applyProtection="0"/>
    <xf numFmtId="188" fontId="35" fillId="0" borderId="0" applyFill="0" applyBorder="0" applyAlignment="0" applyProtection="0"/>
    <xf numFmtId="187" fontId="35" fillId="0" borderId="0" applyFill="0" applyBorder="0" applyAlignment="0" applyProtection="0"/>
    <xf numFmtId="189" fontId="35" fillId="0" borderId="0" applyFill="0" applyBorder="0" applyAlignment="0" applyProtection="0"/>
    <xf numFmtId="186" fontId="35" fillId="0" borderId="0" applyFill="0" applyBorder="0" applyAlignment="0" applyProtection="0"/>
    <xf numFmtId="188" fontId="35" fillId="0" borderId="0" applyFill="0" applyBorder="0" applyAlignment="0" applyProtection="0"/>
    <xf numFmtId="185" fontId="35" fillId="0" borderId="0" applyFill="0" applyBorder="0" applyAlignment="0" applyProtection="0"/>
    <xf numFmtId="0" fontId="35" fillId="0" borderId="0" applyFill="0" applyBorder="0" applyAlignment="0" applyProtection="0"/>
    <xf numFmtId="190" fontId="35" fillId="0" borderId="0" applyFill="0" applyBorder="0" applyAlignment="0" applyProtection="0"/>
    <xf numFmtId="190" fontId="35" fillId="0" borderId="0" applyFill="0" applyBorder="0" applyAlignment="0" applyProtection="0"/>
    <xf numFmtId="190" fontId="35" fillId="0" borderId="0" applyFill="0" applyBorder="0" applyAlignment="0" applyProtection="0"/>
    <xf numFmtId="190" fontId="35" fillId="0" borderId="0" applyFill="0" applyBorder="0" applyAlignment="0" applyProtection="0"/>
    <xf numFmtId="191" fontId="35" fillId="0" borderId="0" applyFill="0" applyBorder="0" applyAlignment="0" applyProtection="0"/>
    <xf numFmtId="187" fontId="35" fillId="0" borderId="0" applyFill="0" applyBorder="0" applyAlignment="0" applyProtection="0"/>
    <xf numFmtId="187" fontId="35" fillId="0" borderId="0" applyFill="0" applyBorder="0" applyAlignment="0" applyProtection="0"/>
    <xf numFmtId="187" fontId="35" fillId="0" borderId="0" applyFill="0" applyBorder="0" applyAlignment="0" applyProtection="0"/>
    <xf numFmtId="190" fontId="35" fillId="0" borderId="0" applyFill="0" applyBorder="0" applyAlignment="0" applyProtection="0"/>
    <xf numFmtId="192" fontId="35" fillId="0" borderId="0" applyFill="0" applyBorder="0" applyAlignment="0" applyProtection="0"/>
    <xf numFmtId="192" fontId="35" fillId="0" borderId="0" applyFill="0" applyBorder="0" applyAlignment="0" applyProtection="0"/>
    <xf numFmtId="192" fontId="35" fillId="0" borderId="0" applyFill="0" applyBorder="0" applyAlignment="0" applyProtection="0"/>
    <xf numFmtId="192" fontId="35" fillId="0" borderId="0" applyFill="0" applyBorder="0" applyAlignment="0" applyProtection="0"/>
    <xf numFmtId="191" fontId="35" fillId="0" borderId="0" applyFill="0" applyBorder="0" applyAlignment="0" applyProtection="0"/>
    <xf numFmtId="190" fontId="35" fillId="0" borderId="0" applyFill="0" applyBorder="0" applyAlignment="0" applyProtection="0"/>
    <xf numFmtId="190" fontId="35" fillId="0" borderId="0" applyFill="0" applyBorder="0" applyAlignment="0" applyProtection="0"/>
    <xf numFmtId="190" fontId="35" fillId="0" borderId="0" applyFill="0" applyBorder="0" applyAlignment="0" applyProtection="0"/>
    <xf numFmtId="188" fontId="35" fillId="0" borderId="0" applyFill="0" applyBorder="0" applyAlignment="0" applyProtection="0"/>
    <xf numFmtId="192" fontId="35" fillId="0" borderId="0" applyFill="0" applyBorder="0" applyAlignment="0" applyProtection="0"/>
    <xf numFmtId="190" fontId="35" fillId="0" borderId="0" applyFill="0" applyBorder="0" applyAlignment="0" applyProtection="0"/>
    <xf numFmtId="190" fontId="35" fillId="0" borderId="0" applyFill="0" applyBorder="0" applyAlignment="0" applyProtection="0"/>
    <xf numFmtId="187" fontId="35" fillId="0" borderId="0" applyFill="0" applyBorder="0" applyAlignment="0" applyProtection="0"/>
    <xf numFmtId="190" fontId="35" fillId="0" borderId="0" applyFill="0" applyBorder="0" applyAlignment="0" applyProtection="0"/>
    <xf numFmtId="190" fontId="35" fillId="0" borderId="0" applyFill="0" applyBorder="0" applyAlignment="0" applyProtection="0"/>
    <xf numFmtId="190" fontId="35" fillId="0" borderId="0" applyFill="0" applyBorder="0" applyAlignment="0" applyProtection="0"/>
    <xf numFmtId="187" fontId="35" fillId="0" borderId="0" applyFill="0" applyBorder="0" applyAlignment="0" applyProtection="0"/>
    <xf numFmtId="186" fontId="35" fillId="0" borderId="0" applyFill="0" applyBorder="0" applyAlignment="0" applyProtection="0"/>
    <xf numFmtId="186" fontId="35" fillId="0" borderId="0" applyFill="0" applyBorder="0" applyAlignment="0" applyProtection="0"/>
    <xf numFmtId="187" fontId="35" fillId="0" borderId="0" applyFill="0" applyBorder="0" applyAlignment="0" applyProtection="0"/>
    <xf numFmtId="186" fontId="35" fillId="0" borderId="0" applyFill="0" applyBorder="0" applyAlignment="0" applyProtection="0"/>
    <xf numFmtId="187" fontId="35" fillId="0" borderId="0" applyFill="0" applyBorder="0" applyAlignment="0" applyProtection="0"/>
    <xf numFmtId="193" fontId="35" fillId="0" borderId="0" applyFill="0" applyBorder="0" applyAlignment="0" applyProtection="0"/>
    <xf numFmtId="173" fontId="34" fillId="0" borderId="0" applyFont="0" applyFill="0" applyBorder="0" applyAlignment="0" applyProtection="0"/>
    <xf numFmtId="168" fontId="34" fillId="0" borderId="0" applyFont="0" applyFill="0" applyBorder="0" applyAlignment="0" applyProtection="0"/>
    <xf numFmtId="183" fontId="35" fillId="0" borderId="0" applyFill="0" applyBorder="0" applyAlignment="0" applyProtection="0"/>
    <xf numFmtId="184" fontId="35" fillId="0" borderId="0" applyFill="0" applyBorder="0" applyAlignment="0" applyProtection="0"/>
    <xf numFmtId="182" fontId="35" fillId="0" borderId="0" applyFill="0" applyBorder="0" applyAlignment="0" applyProtection="0"/>
    <xf numFmtId="0" fontId="35" fillId="0" borderId="0"/>
    <xf numFmtId="194" fontId="35" fillId="0" borderId="0" applyFill="0" applyBorder="0" applyAlignment="0" applyProtection="0"/>
    <xf numFmtId="179" fontId="35" fillId="0" borderId="0" applyFill="0" applyBorder="0" applyAlignment="0" applyProtection="0"/>
    <xf numFmtId="194" fontId="35" fillId="0" borderId="0" applyFill="0" applyBorder="0" applyAlignment="0" applyProtection="0"/>
    <xf numFmtId="179" fontId="35" fillId="0" borderId="0" applyFill="0" applyBorder="0" applyAlignment="0" applyProtection="0"/>
    <xf numFmtId="194" fontId="35" fillId="0" borderId="0" applyFill="0" applyBorder="0" applyAlignment="0" applyProtection="0"/>
    <xf numFmtId="194" fontId="35" fillId="0" borderId="0" applyFill="0" applyBorder="0" applyAlignment="0" applyProtection="0"/>
    <xf numFmtId="179" fontId="35" fillId="0" borderId="0" applyFill="0" applyBorder="0" applyAlignment="0" applyProtection="0"/>
    <xf numFmtId="195" fontId="35" fillId="0" borderId="0" applyFill="0" applyBorder="0" applyAlignment="0" applyProtection="0"/>
    <xf numFmtId="0" fontId="41" fillId="0" borderId="0"/>
    <xf numFmtId="173" fontId="34" fillId="0" borderId="0" applyFont="0" applyFill="0" applyBorder="0" applyAlignment="0" applyProtection="0"/>
    <xf numFmtId="173" fontId="42" fillId="0" borderId="0" applyFont="0" applyFill="0" applyBorder="0" applyAlignment="0" applyProtection="0"/>
    <xf numFmtId="172" fontId="35" fillId="0" borderId="0" applyFill="0" applyBorder="0" applyAlignment="0" applyProtection="0"/>
    <xf numFmtId="196" fontId="35" fillId="0" borderId="0" applyFill="0" applyBorder="0" applyAlignment="0" applyProtection="0"/>
    <xf numFmtId="178" fontId="35" fillId="0" borderId="0" applyFill="0" applyBorder="0" applyAlignment="0" applyProtection="0"/>
    <xf numFmtId="196" fontId="35" fillId="0" borderId="0" applyFill="0" applyBorder="0" applyAlignment="0" applyProtection="0"/>
    <xf numFmtId="178" fontId="35" fillId="0" borderId="0" applyFill="0" applyBorder="0" applyAlignment="0" applyProtection="0"/>
    <xf numFmtId="176" fontId="35" fillId="0" borderId="0" applyFill="0" applyBorder="0" applyAlignment="0" applyProtection="0"/>
    <xf numFmtId="178" fontId="35" fillId="0" borderId="0" applyFill="0" applyBorder="0" applyAlignment="0" applyProtection="0"/>
    <xf numFmtId="197" fontId="35" fillId="0" borderId="0" applyFill="0" applyBorder="0" applyAlignment="0" applyProtection="0"/>
    <xf numFmtId="196" fontId="35" fillId="0" borderId="0" applyFill="0" applyBorder="0" applyAlignment="0" applyProtection="0"/>
    <xf numFmtId="176" fontId="35" fillId="0" borderId="0" applyFill="0" applyBorder="0" applyAlignment="0" applyProtection="0"/>
    <xf numFmtId="172" fontId="35" fillId="0" borderId="0" applyFill="0" applyBorder="0" applyAlignment="0" applyProtection="0"/>
    <xf numFmtId="178" fontId="35" fillId="0" borderId="0" applyFill="0" applyBorder="0" applyAlignment="0" applyProtection="0"/>
    <xf numFmtId="198" fontId="35" fillId="0" borderId="0" applyFill="0" applyBorder="0" applyAlignment="0" applyProtection="0"/>
    <xf numFmtId="199" fontId="35" fillId="0" borderId="0" applyFill="0" applyBorder="0" applyAlignment="0" applyProtection="0"/>
    <xf numFmtId="199" fontId="35" fillId="0" borderId="0" applyFill="0" applyBorder="0" applyAlignment="0" applyProtection="0"/>
    <xf numFmtId="199" fontId="35" fillId="0" borderId="0" applyFill="0" applyBorder="0" applyAlignment="0" applyProtection="0"/>
    <xf numFmtId="199" fontId="35" fillId="0" borderId="0" applyFill="0" applyBorder="0" applyAlignment="0" applyProtection="0"/>
    <xf numFmtId="200" fontId="35" fillId="0" borderId="0" applyFill="0" applyBorder="0" applyAlignment="0" applyProtection="0"/>
    <xf numFmtId="178" fontId="35" fillId="0" borderId="0" applyFill="0" applyBorder="0" applyAlignment="0" applyProtection="0"/>
    <xf numFmtId="178" fontId="35" fillId="0" borderId="0" applyFill="0" applyBorder="0" applyAlignment="0" applyProtection="0"/>
    <xf numFmtId="178" fontId="35" fillId="0" borderId="0" applyFill="0" applyBorder="0" applyAlignment="0" applyProtection="0"/>
    <xf numFmtId="199" fontId="35" fillId="0" borderId="0" applyFill="0" applyBorder="0" applyAlignment="0" applyProtection="0"/>
    <xf numFmtId="201" fontId="35" fillId="0" borderId="0" applyFill="0" applyBorder="0" applyAlignment="0" applyProtection="0"/>
    <xf numFmtId="201" fontId="35" fillId="0" borderId="0" applyFill="0" applyBorder="0" applyAlignment="0" applyProtection="0"/>
    <xf numFmtId="201" fontId="35" fillId="0" borderId="0" applyFill="0" applyBorder="0" applyAlignment="0" applyProtection="0"/>
    <xf numFmtId="201" fontId="35" fillId="0" borderId="0" applyFill="0" applyBorder="0" applyAlignment="0" applyProtection="0"/>
    <xf numFmtId="200" fontId="35" fillId="0" borderId="0" applyFill="0" applyBorder="0" applyAlignment="0" applyProtection="0"/>
    <xf numFmtId="199" fontId="35" fillId="0" borderId="0" applyFill="0" applyBorder="0" applyAlignment="0" applyProtection="0"/>
    <xf numFmtId="199" fontId="35" fillId="0" borderId="0" applyFill="0" applyBorder="0" applyAlignment="0" applyProtection="0"/>
    <xf numFmtId="199" fontId="35" fillId="0" borderId="0" applyFill="0" applyBorder="0" applyAlignment="0" applyProtection="0"/>
    <xf numFmtId="176" fontId="35" fillId="0" borderId="0" applyFill="0" applyBorder="0" applyAlignment="0" applyProtection="0"/>
    <xf numFmtId="201" fontId="35" fillId="0" borderId="0" applyFill="0" applyBorder="0" applyAlignment="0" applyProtection="0"/>
    <xf numFmtId="199" fontId="35" fillId="0" borderId="0" applyFill="0" applyBorder="0" applyAlignment="0" applyProtection="0"/>
    <xf numFmtId="199" fontId="35" fillId="0" borderId="0" applyFill="0" applyBorder="0" applyAlignment="0" applyProtection="0"/>
    <xf numFmtId="178" fontId="35" fillId="0" borderId="0" applyFill="0" applyBorder="0" applyAlignment="0" applyProtection="0"/>
    <xf numFmtId="199" fontId="35" fillId="0" borderId="0" applyFill="0" applyBorder="0" applyAlignment="0" applyProtection="0"/>
    <xf numFmtId="199" fontId="35" fillId="0" borderId="0" applyFill="0" applyBorder="0" applyAlignment="0" applyProtection="0"/>
    <xf numFmtId="199" fontId="35" fillId="0" borderId="0" applyFill="0" applyBorder="0" applyAlignment="0" applyProtection="0"/>
    <xf numFmtId="178" fontId="35" fillId="0" borderId="0" applyFill="0" applyBorder="0" applyAlignment="0" applyProtection="0"/>
    <xf numFmtId="196" fontId="35" fillId="0" borderId="0" applyFill="0" applyBorder="0" applyAlignment="0" applyProtection="0"/>
    <xf numFmtId="196" fontId="35" fillId="0" borderId="0" applyFill="0" applyBorder="0" applyAlignment="0" applyProtection="0"/>
    <xf numFmtId="178" fontId="35" fillId="0" borderId="0" applyFill="0" applyBorder="0" applyAlignment="0" applyProtection="0"/>
    <xf numFmtId="196" fontId="35" fillId="0" borderId="0" applyFill="0" applyBorder="0" applyAlignment="0" applyProtection="0"/>
    <xf numFmtId="178" fontId="35" fillId="0" borderId="0" applyFill="0" applyBorder="0" applyAlignment="0" applyProtection="0"/>
    <xf numFmtId="202" fontId="35" fillId="0" borderId="0" applyFill="0" applyBorder="0" applyAlignment="0" applyProtection="0"/>
    <xf numFmtId="174" fontId="42" fillId="0" borderId="0" applyFont="0" applyFill="0" applyBorder="0" applyAlignment="0" applyProtection="0"/>
    <xf numFmtId="185" fontId="35" fillId="0" borderId="0" applyFill="0" applyBorder="0" applyAlignment="0" applyProtection="0"/>
    <xf numFmtId="186" fontId="35" fillId="0" borderId="0" applyFill="0" applyBorder="0" applyAlignment="0" applyProtection="0"/>
    <xf numFmtId="187" fontId="35" fillId="0" borderId="0" applyFill="0" applyBorder="0" applyAlignment="0" applyProtection="0"/>
    <xf numFmtId="186" fontId="35" fillId="0" borderId="0" applyFill="0" applyBorder="0" applyAlignment="0" applyProtection="0"/>
    <xf numFmtId="187" fontId="35" fillId="0" borderId="0" applyFill="0" applyBorder="0" applyAlignment="0" applyProtection="0"/>
    <xf numFmtId="188" fontId="35" fillId="0" borderId="0" applyFill="0" applyBorder="0" applyAlignment="0" applyProtection="0"/>
    <xf numFmtId="187" fontId="35" fillId="0" borderId="0" applyFill="0" applyBorder="0" applyAlignment="0" applyProtection="0"/>
    <xf numFmtId="189" fontId="35" fillId="0" borderId="0" applyFill="0" applyBorder="0" applyAlignment="0" applyProtection="0"/>
    <xf numFmtId="186" fontId="35" fillId="0" borderId="0" applyFill="0" applyBorder="0" applyAlignment="0" applyProtection="0"/>
    <xf numFmtId="188" fontId="35" fillId="0" borderId="0" applyFill="0" applyBorder="0" applyAlignment="0" applyProtection="0"/>
    <xf numFmtId="185" fontId="35" fillId="0" borderId="0" applyFill="0" applyBorder="0" applyAlignment="0" applyProtection="0"/>
    <xf numFmtId="0" fontId="35" fillId="0" borderId="0" applyFill="0" applyBorder="0" applyAlignment="0" applyProtection="0"/>
    <xf numFmtId="190" fontId="35" fillId="0" borderId="0" applyFill="0" applyBorder="0" applyAlignment="0" applyProtection="0"/>
    <xf numFmtId="190" fontId="35" fillId="0" borderId="0" applyFill="0" applyBorder="0" applyAlignment="0" applyProtection="0"/>
    <xf numFmtId="190" fontId="35" fillId="0" borderId="0" applyFill="0" applyBorder="0" applyAlignment="0" applyProtection="0"/>
    <xf numFmtId="190" fontId="35" fillId="0" borderId="0" applyFill="0" applyBorder="0" applyAlignment="0" applyProtection="0"/>
    <xf numFmtId="191" fontId="35" fillId="0" borderId="0" applyFill="0" applyBorder="0" applyAlignment="0" applyProtection="0"/>
    <xf numFmtId="187" fontId="35" fillId="0" borderId="0" applyFill="0" applyBorder="0" applyAlignment="0" applyProtection="0"/>
    <xf numFmtId="187" fontId="35" fillId="0" borderId="0" applyFill="0" applyBorder="0" applyAlignment="0" applyProtection="0"/>
    <xf numFmtId="187" fontId="35" fillId="0" borderId="0" applyFill="0" applyBorder="0" applyAlignment="0" applyProtection="0"/>
    <xf numFmtId="190" fontId="35" fillId="0" borderId="0" applyFill="0" applyBorder="0" applyAlignment="0" applyProtection="0"/>
    <xf numFmtId="192" fontId="35" fillId="0" borderId="0" applyFill="0" applyBorder="0" applyAlignment="0" applyProtection="0"/>
    <xf numFmtId="192" fontId="35" fillId="0" borderId="0" applyFill="0" applyBorder="0" applyAlignment="0" applyProtection="0"/>
    <xf numFmtId="192" fontId="35" fillId="0" borderId="0" applyFill="0" applyBorder="0" applyAlignment="0" applyProtection="0"/>
    <xf numFmtId="192" fontId="35" fillId="0" borderId="0" applyFill="0" applyBorder="0" applyAlignment="0" applyProtection="0"/>
    <xf numFmtId="191" fontId="35" fillId="0" borderId="0" applyFill="0" applyBorder="0" applyAlignment="0" applyProtection="0"/>
    <xf numFmtId="190" fontId="35" fillId="0" borderId="0" applyFill="0" applyBorder="0" applyAlignment="0" applyProtection="0"/>
    <xf numFmtId="190" fontId="35" fillId="0" borderId="0" applyFill="0" applyBorder="0" applyAlignment="0" applyProtection="0"/>
    <xf numFmtId="190" fontId="35" fillId="0" borderId="0" applyFill="0" applyBorder="0" applyAlignment="0" applyProtection="0"/>
    <xf numFmtId="188" fontId="35" fillId="0" borderId="0" applyFill="0" applyBorder="0" applyAlignment="0" applyProtection="0"/>
    <xf numFmtId="192" fontId="35" fillId="0" borderId="0" applyFill="0" applyBorder="0" applyAlignment="0" applyProtection="0"/>
    <xf numFmtId="190" fontId="35" fillId="0" borderId="0" applyFill="0" applyBorder="0" applyAlignment="0" applyProtection="0"/>
    <xf numFmtId="190" fontId="35" fillId="0" borderId="0" applyFill="0" applyBorder="0" applyAlignment="0" applyProtection="0"/>
    <xf numFmtId="187" fontId="35" fillId="0" borderId="0" applyFill="0" applyBorder="0" applyAlignment="0" applyProtection="0"/>
    <xf numFmtId="190" fontId="35" fillId="0" borderId="0" applyFill="0" applyBorder="0" applyAlignment="0" applyProtection="0"/>
    <xf numFmtId="190" fontId="35" fillId="0" borderId="0" applyFill="0" applyBorder="0" applyAlignment="0" applyProtection="0"/>
    <xf numFmtId="190" fontId="35" fillId="0" borderId="0" applyFill="0" applyBorder="0" applyAlignment="0" applyProtection="0"/>
    <xf numFmtId="187" fontId="35" fillId="0" borderId="0" applyFill="0" applyBorder="0" applyAlignment="0" applyProtection="0"/>
    <xf numFmtId="186" fontId="35" fillId="0" borderId="0" applyFill="0" applyBorder="0" applyAlignment="0" applyProtection="0"/>
    <xf numFmtId="186" fontId="35" fillId="0" borderId="0" applyFill="0" applyBorder="0" applyAlignment="0" applyProtection="0"/>
    <xf numFmtId="187" fontId="35" fillId="0" borderId="0" applyFill="0" applyBorder="0" applyAlignment="0" applyProtection="0"/>
    <xf numFmtId="186" fontId="35" fillId="0" borderId="0" applyFill="0" applyBorder="0" applyAlignment="0" applyProtection="0"/>
    <xf numFmtId="187" fontId="35" fillId="0" borderId="0" applyFill="0" applyBorder="0" applyAlignment="0" applyProtection="0"/>
    <xf numFmtId="193" fontId="35" fillId="0" borderId="0" applyFill="0" applyBorder="0" applyAlignment="0" applyProtection="0"/>
    <xf numFmtId="168" fontId="34" fillId="0" borderId="0" applyFont="0" applyFill="0" applyBorder="0" applyAlignment="0" applyProtection="0"/>
    <xf numFmtId="183" fontId="35" fillId="0" borderId="0" applyFill="0" applyBorder="0" applyAlignment="0" applyProtection="0"/>
    <xf numFmtId="184" fontId="35" fillId="0" borderId="0" applyFill="0" applyBorder="0" applyAlignment="0" applyProtection="0"/>
    <xf numFmtId="174" fontId="34" fillId="0" borderId="0" applyFont="0" applyFill="0" applyBorder="0" applyAlignment="0" applyProtection="0"/>
    <xf numFmtId="177" fontId="35" fillId="0" borderId="0" applyFill="0" applyBorder="0" applyAlignment="0" applyProtection="0"/>
    <xf numFmtId="0" fontId="3" fillId="0" borderId="0"/>
    <xf numFmtId="0" fontId="3" fillId="0" borderId="0"/>
    <xf numFmtId="0" fontId="41" fillId="0" borderId="0"/>
    <xf numFmtId="177" fontId="35" fillId="0" borderId="0" applyFill="0" applyBorder="0" applyAlignment="0" applyProtection="0"/>
    <xf numFmtId="0" fontId="3" fillId="0" borderId="0"/>
    <xf numFmtId="0" fontId="3" fillId="0" borderId="0" applyNumberFormat="0" applyFill="0" applyBorder="0" applyAlignment="0" applyProtection="0"/>
    <xf numFmtId="0" fontId="3" fillId="0" borderId="0"/>
    <xf numFmtId="0" fontId="3" fillId="0" borderId="0"/>
    <xf numFmtId="0" fontId="29" fillId="0" borderId="0"/>
    <xf numFmtId="203" fontId="35" fillId="0" borderId="0" applyFill="0" applyBorder="0" applyAlignment="0" applyProtection="0"/>
    <xf numFmtId="0" fontId="44" fillId="0" borderId="0"/>
    <xf numFmtId="0" fontId="44" fillId="0" borderId="0"/>
    <xf numFmtId="0" fontId="44" fillId="0" borderId="0"/>
    <xf numFmtId="0" fontId="45" fillId="0" borderId="0" applyNumberFormat="0" applyFill="0" applyBorder="0" applyAlignment="0" applyProtection="0"/>
    <xf numFmtId="204" fontId="35" fillId="0" borderId="0" applyFill="0" applyBorder="0" applyAlignment="0" applyProtection="0"/>
    <xf numFmtId="205" fontId="35" fillId="0" borderId="0" applyFill="0" applyBorder="0" applyAlignment="0" applyProtection="0"/>
    <xf numFmtId="206" fontId="35" fillId="0" borderId="0" applyFill="0" applyBorder="0" applyAlignment="0" applyProtection="0"/>
    <xf numFmtId="207" fontId="35" fillId="0" borderId="0" applyFill="0" applyBorder="0" applyAlignment="0" applyProtection="0"/>
    <xf numFmtId="0" fontId="46" fillId="0" borderId="0" applyNumberFormat="0" applyFill="0" applyBorder="0" applyAlignment="0" applyProtection="0"/>
    <xf numFmtId="0" fontId="47" fillId="0" borderId="0"/>
    <xf numFmtId="208" fontId="42" fillId="0" borderId="53" applyNumberFormat="0" applyFont="0" applyAlignment="0"/>
    <xf numFmtId="0" fontId="48" fillId="12" borderId="0"/>
    <xf numFmtId="9" fontId="49" fillId="0" borderId="0" applyBorder="0" applyAlignment="0" applyProtection="0"/>
    <xf numFmtId="0" fontId="50" fillId="12" borderId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6" borderId="0" applyNumberFormat="0" applyBorder="0" applyAlignment="0" applyProtection="0"/>
    <xf numFmtId="0" fontId="51" fillId="17" borderId="0" applyNumberFormat="0" applyBorder="0" applyAlignment="0" applyProtection="0"/>
    <xf numFmtId="0" fontId="51" fillId="18" borderId="0" applyNumberFormat="0" applyBorder="0" applyAlignment="0" applyProtection="0"/>
    <xf numFmtId="0" fontId="52" fillId="12" borderId="0"/>
    <xf numFmtId="0" fontId="53" fillId="0" borderId="0">
      <alignment wrapText="1"/>
    </xf>
    <xf numFmtId="0" fontId="51" fillId="19" borderId="0" applyNumberFormat="0" applyBorder="0" applyAlignment="0" applyProtection="0"/>
    <xf numFmtId="0" fontId="51" fillId="20" borderId="0" applyNumberFormat="0" applyBorder="0" applyAlignment="0" applyProtection="0"/>
    <xf numFmtId="0" fontId="51" fillId="21" borderId="0" applyNumberFormat="0" applyBorder="0" applyAlignment="0" applyProtection="0"/>
    <xf numFmtId="0" fontId="51" fillId="16" borderId="0" applyNumberFormat="0" applyBorder="0" applyAlignment="0" applyProtection="0"/>
    <xf numFmtId="0" fontId="51" fillId="19" borderId="0" applyNumberFormat="0" applyBorder="0" applyAlignment="0" applyProtection="0"/>
    <xf numFmtId="0" fontId="51" fillId="22" borderId="0" applyNumberFormat="0" applyBorder="0" applyAlignment="0" applyProtection="0"/>
    <xf numFmtId="0" fontId="54" fillId="10" borderId="0" applyNumberFormat="0" applyBorder="0" applyAlignment="0" applyProtection="0"/>
    <xf numFmtId="0" fontId="55" fillId="23" borderId="0" applyNumberFormat="0" applyBorder="0" applyAlignment="0" applyProtection="0"/>
    <xf numFmtId="0" fontId="55" fillId="20" borderId="0" applyNumberFormat="0" applyBorder="0" applyAlignment="0" applyProtection="0"/>
    <xf numFmtId="0" fontId="55" fillId="21" borderId="0" applyNumberFormat="0" applyBorder="0" applyAlignment="0" applyProtection="0"/>
    <xf numFmtId="0" fontId="55" fillId="24" borderId="0" applyNumberFormat="0" applyBorder="0" applyAlignment="0" applyProtection="0"/>
    <xf numFmtId="0" fontId="55" fillId="25" borderId="0" applyNumberFormat="0" applyBorder="0" applyAlignment="0" applyProtection="0"/>
    <xf numFmtId="0" fontId="55" fillId="26" borderId="0" applyNumberFormat="0" applyBorder="0" applyAlignment="0" applyProtection="0"/>
    <xf numFmtId="0" fontId="56" fillId="27" borderId="0" applyNumberFormat="0" applyBorder="0" applyAlignment="0" applyProtection="0"/>
    <xf numFmtId="0" fontId="56" fillId="27" borderId="0" applyNumberFormat="0" applyBorder="0" applyAlignment="0" applyProtection="0"/>
    <xf numFmtId="0" fontId="57" fillId="28" borderId="0" applyNumberFormat="0" applyBorder="0" applyAlignment="0" applyProtection="0"/>
    <xf numFmtId="0" fontId="56" fillId="29" borderId="0" applyNumberFormat="0" applyBorder="0" applyAlignment="0" applyProtection="0"/>
    <xf numFmtId="0" fontId="56" fillId="30" borderId="0" applyNumberFormat="0" applyBorder="0" applyAlignment="0" applyProtection="0"/>
    <xf numFmtId="0" fontId="57" fillId="31" borderId="0" applyNumberFormat="0" applyBorder="0" applyAlignment="0" applyProtection="0"/>
    <xf numFmtId="0" fontId="56" fillId="29" borderId="0" applyNumberFormat="0" applyBorder="0" applyAlignment="0" applyProtection="0"/>
    <xf numFmtId="0" fontId="56" fillId="32" borderId="0" applyNumberFormat="0" applyBorder="0" applyAlignment="0" applyProtection="0"/>
    <xf numFmtId="0" fontId="57" fillId="30" borderId="0" applyNumberFormat="0" applyBorder="0" applyAlignment="0" applyProtection="0"/>
    <xf numFmtId="0" fontId="56" fillId="27" borderId="0" applyNumberFormat="0" applyBorder="0" applyAlignment="0" applyProtection="0"/>
    <xf numFmtId="0" fontId="56" fillId="30" borderId="0" applyNumberFormat="0" applyBorder="0" applyAlignment="0" applyProtection="0"/>
    <xf numFmtId="0" fontId="57" fillId="30" borderId="0" applyNumberFormat="0" applyBorder="0" applyAlignment="0" applyProtection="0"/>
    <xf numFmtId="0" fontId="56" fillId="33" borderId="0" applyNumberFormat="0" applyBorder="0" applyAlignment="0" applyProtection="0"/>
    <xf numFmtId="0" fontId="56" fillId="27" borderId="0" applyNumberFormat="0" applyBorder="0" applyAlignment="0" applyProtection="0"/>
    <xf numFmtId="0" fontId="57" fillId="28" borderId="0" applyNumberFormat="0" applyBorder="0" applyAlignment="0" applyProtection="0"/>
    <xf numFmtId="0" fontId="56" fillId="29" borderId="0" applyNumberFormat="0" applyBorder="0" applyAlignment="0" applyProtection="0"/>
    <xf numFmtId="0" fontId="56" fillId="34" borderId="0" applyNumberFormat="0" applyBorder="0" applyAlignment="0" applyProtection="0"/>
    <xf numFmtId="0" fontId="57" fillId="34" borderId="0" applyNumberFormat="0" applyBorder="0" applyAlignment="0" applyProtection="0"/>
    <xf numFmtId="209" fontId="3" fillId="0" borderId="0" applyFont="0" applyFill="0" applyBorder="0" applyAlignment="0" applyProtection="0"/>
    <xf numFmtId="0" fontId="58" fillId="0" borderId="0" applyFont="0" applyFill="0" applyBorder="0" applyAlignment="0" applyProtection="0"/>
    <xf numFmtId="210" fontId="35" fillId="0" borderId="0" applyFill="0" applyBorder="0" applyAlignment="0" applyProtection="0"/>
    <xf numFmtId="211" fontId="3" fillId="0" borderId="0" applyFont="0" applyFill="0" applyBorder="0" applyAlignment="0" applyProtection="0"/>
    <xf numFmtId="0" fontId="58" fillId="0" borderId="0" applyFont="0" applyFill="0" applyBorder="0" applyAlignment="0" applyProtection="0"/>
    <xf numFmtId="211" fontId="3" fillId="0" borderId="0" applyFont="0" applyFill="0" applyBorder="0" applyAlignment="0" applyProtection="0"/>
    <xf numFmtId="0" fontId="59" fillId="0" borderId="0">
      <alignment horizontal="center" wrapText="1"/>
      <protection locked="0"/>
    </xf>
    <xf numFmtId="212" fontId="60" fillId="0" borderId="0" applyFont="0" applyFill="0" applyBorder="0" applyAlignment="0" applyProtection="0"/>
    <xf numFmtId="0" fontId="58" fillId="0" borderId="0" applyFont="0" applyFill="0" applyBorder="0" applyAlignment="0" applyProtection="0"/>
    <xf numFmtId="212" fontId="60" fillId="0" borderId="0" applyFont="0" applyFill="0" applyBorder="0" applyAlignment="0" applyProtection="0"/>
    <xf numFmtId="213" fontId="60" fillId="0" borderId="0" applyFont="0" applyFill="0" applyBorder="0" applyAlignment="0" applyProtection="0"/>
    <xf numFmtId="0" fontId="58" fillId="0" borderId="0" applyFont="0" applyFill="0" applyBorder="0" applyAlignment="0" applyProtection="0"/>
    <xf numFmtId="213" fontId="60" fillId="0" borderId="0" applyFont="0" applyFill="0" applyBorder="0" applyAlignment="0" applyProtection="0"/>
    <xf numFmtId="168" fontId="34" fillId="0" borderId="0" applyFont="0" applyFill="0" applyBorder="0" applyAlignment="0" applyProtection="0"/>
    <xf numFmtId="0" fontId="61" fillId="0" borderId="0" applyNumberFormat="0" applyFill="0" applyBorder="0" applyAlignment="0" applyProtection="0"/>
    <xf numFmtId="0" fontId="58" fillId="0" borderId="0"/>
    <xf numFmtId="0" fontId="62" fillId="0" borderId="0"/>
    <xf numFmtId="0" fontId="58" fillId="0" borderId="0"/>
    <xf numFmtId="0" fontId="63" fillId="0" borderId="0"/>
    <xf numFmtId="214" fontId="3" fillId="0" borderId="0" applyFill="0" applyBorder="0" applyAlignment="0"/>
    <xf numFmtId="215" fontId="3" fillId="0" borderId="0" applyFill="0" applyBorder="0" applyAlignment="0"/>
    <xf numFmtId="216" fontId="3" fillId="0" borderId="0" applyFill="0" applyBorder="0" applyAlignment="0"/>
    <xf numFmtId="217" fontId="3" fillId="0" borderId="0" applyFill="0" applyBorder="0" applyAlignment="0"/>
    <xf numFmtId="218" fontId="3" fillId="0" borderId="0" applyFill="0" applyBorder="0" applyAlignment="0"/>
    <xf numFmtId="219" fontId="3" fillId="0" borderId="0" applyFill="0" applyBorder="0" applyAlignment="0"/>
    <xf numFmtId="220" fontId="3" fillId="0" borderId="0" applyFill="0" applyBorder="0" applyAlignment="0"/>
    <xf numFmtId="215" fontId="3" fillId="0" borderId="0" applyFill="0" applyBorder="0" applyAlignment="0"/>
    <xf numFmtId="0" fontId="64" fillId="0" borderId="0"/>
    <xf numFmtId="221" fontId="42" fillId="0" borderId="0" applyFont="0" applyFill="0" applyBorder="0" applyAlignment="0" applyProtection="0"/>
    <xf numFmtId="176" fontId="35" fillId="0" borderId="0" applyFill="0" applyBorder="0" applyAlignment="0" applyProtection="0"/>
    <xf numFmtId="1" fontId="65" fillId="0" borderId="7" applyBorder="0"/>
    <xf numFmtId="222" fontId="66" fillId="35" borderId="54">
      <alignment horizontal="center" vertical="center"/>
    </xf>
    <xf numFmtId="41" fontId="3" fillId="0" borderId="0" applyFont="0" applyFill="0" applyBorder="0" applyAlignment="0" applyProtection="0"/>
    <xf numFmtId="219" fontId="35" fillId="0" borderId="0" applyFill="0" applyBorder="0" applyAlignment="0" applyProtection="0"/>
    <xf numFmtId="43" fontId="56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29" fillId="0" borderId="0" applyFont="0" applyFill="0" applyBorder="0" applyAlignment="0" applyProtection="0"/>
    <xf numFmtId="190" fontId="67" fillId="0" borderId="0" applyFill="0" applyBorder="0" applyAlignment="0" applyProtection="0"/>
    <xf numFmtId="190" fontId="67" fillId="0" borderId="0" applyFill="0" applyBorder="0" applyAlignment="0" applyProtection="0"/>
    <xf numFmtId="43" fontId="3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3" fillId="0" borderId="0" applyFont="0" applyFill="0" applyBorder="0" applyAlignment="0" applyProtection="0"/>
    <xf numFmtId="223" fontId="35" fillId="0" borderId="0" applyFill="0" applyBorder="0" applyAlignment="0" applyProtection="0"/>
    <xf numFmtId="224" fontId="35" fillId="0" borderId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0" fontId="35" fillId="0" borderId="0" applyFill="0" applyBorder="0" applyAlignment="0" applyProtection="0"/>
    <xf numFmtId="43" fontId="3" fillId="0" borderId="0" applyFont="0" applyFill="0" applyBorder="0" applyAlignment="0" applyProtection="0"/>
    <xf numFmtId="43" fontId="29" fillId="0" borderId="0" applyFont="0" applyFill="0" applyBorder="0" applyAlignment="0" applyProtection="0"/>
    <xf numFmtId="0" fontId="69" fillId="0" borderId="0" applyFont="0" applyFill="0" applyBorder="0" applyAlignment="0" applyProtection="0"/>
    <xf numFmtId="0" fontId="69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69" fillId="0" borderId="0" applyFont="0" applyFill="0" applyBorder="0" applyAlignment="0" applyProtection="0"/>
    <xf numFmtId="0" fontId="69" fillId="0" borderId="0" applyFont="0" applyFill="0" applyBorder="0" applyAlignment="0" applyProtection="0"/>
    <xf numFmtId="0" fontId="69" fillId="0" borderId="0" applyFont="0" applyFill="0" applyBorder="0" applyAlignment="0" applyProtection="0"/>
    <xf numFmtId="0" fontId="69" fillId="0" borderId="0" applyFont="0" applyFill="0" applyBorder="0" applyAlignment="0" applyProtection="0"/>
    <xf numFmtId="0" fontId="69" fillId="0" borderId="0" applyFont="0" applyFill="0" applyBorder="0" applyAlignment="0" applyProtection="0"/>
    <xf numFmtId="0" fontId="69" fillId="0" borderId="0" applyFont="0" applyFill="0" applyBorder="0" applyAlignment="0" applyProtection="0"/>
    <xf numFmtId="0" fontId="69" fillId="0" borderId="0" applyFont="0" applyFill="0" applyBorder="0" applyAlignment="0" applyProtection="0"/>
    <xf numFmtId="225" fontId="3" fillId="0" borderId="0" applyFont="0" applyFill="0" applyBorder="0" applyAlignment="0" applyProtection="0"/>
    <xf numFmtId="0" fontId="69" fillId="0" borderId="0" applyFont="0" applyFill="0" applyBorder="0" applyAlignment="0" applyProtection="0"/>
    <xf numFmtId="0" fontId="69" fillId="0" borderId="0" applyFont="0" applyFill="0" applyBorder="0" applyAlignment="0" applyProtection="0"/>
    <xf numFmtId="0" fontId="69" fillId="0" borderId="0" applyFont="0" applyFill="0" applyBorder="0" applyAlignment="0" applyProtection="0"/>
    <xf numFmtId="0" fontId="69" fillId="0" borderId="0" applyFont="0" applyFill="0" applyBorder="0" applyAlignment="0" applyProtection="0"/>
    <xf numFmtId="0" fontId="69" fillId="0" borderId="0" applyFont="0" applyFill="0" applyBorder="0" applyAlignment="0" applyProtection="0"/>
    <xf numFmtId="0" fontId="69" fillId="0" borderId="0" applyFont="0" applyFill="0" applyBorder="0" applyAlignment="0" applyProtection="0"/>
    <xf numFmtId="0" fontId="69" fillId="0" borderId="0" applyFont="0" applyFill="0" applyBorder="0" applyAlignment="0" applyProtection="0"/>
    <xf numFmtId="0" fontId="69" fillId="0" borderId="0" applyFont="0" applyFill="0" applyBorder="0" applyAlignment="0" applyProtection="0"/>
    <xf numFmtId="0" fontId="69" fillId="0" borderId="0" applyFont="0" applyFill="0" applyBorder="0" applyAlignment="0" applyProtection="0"/>
    <xf numFmtId="0" fontId="69" fillId="0" borderId="0" applyFont="0" applyFill="0" applyBorder="0" applyAlignment="0" applyProtection="0"/>
    <xf numFmtId="0" fontId="69" fillId="0" borderId="0" applyFont="0" applyFill="0" applyBorder="0" applyAlignment="0" applyProtection="0"/>
    <xf numFmtId="0" fontId="69" fillId="0" borderId="0" applyFont="0" applyFill="0" applyBorder="0" applyAlignment="0" applyProtection="0"/>
    <xf numFmtId="0" fontId="69" fillId="0" borderId="0" applyFont="0" applyFill="0" applyBorder="0" applyAlignment="0" applyProtection="0"/>
    <xf numFmtId="0" fontId="69" fillId="0" borderId="0" applyFont="0" applyFill="0" applyBorder="0" applyAlignment="0" applyProtection="0"/>
    <xf numFmtId="0" fontId="69" fillId="0" borderId="0" applyFont="0" applyFill="0" applyBorder="0" applyAlignment="0" applyProtection="0"/>
    <xf numFmtId="0" fontId="69" fillId="0" borderId="0" applyFont="0" applyFill="0" applyBorder="0" applyAlignment="0" applyProtection="0"/>
    <xf numFmtId="0" fontId="69" fillId="0" borderId="0" applyFont="0" applyFill="0" applyBorder="0" applyAlignment="0" applyProtection="0"/>
    <xf numFmtId="0" fontId="69" fillId="0" borderId="0" applyFont="0" applyFill="0" applyBorder="0" applyAlignment="0" applyProtection="0"/>
    <xf numFmtId="0" fontId="69" fillId="0" borderId="0" applyFont="0" applyFill="0" applyBorder="0" applyAlignment="0" applyProtection="0"/>
    <xf numFmtId="0" fontId="69" fillId="0" borderId="0" applyFont="0" applyFill="0" applyBorder="0" applyAlignment="0" applyProtection="0"/>
    <xf numFmtId="0" fontId="69" fillId="0" borderId="0" applyFont="0" applyFill="0" applyBorder="0" applyAlignment="0" applyProtection="0"/>
    <xf numFmtId="0" fontId="69" fillId="0" borderId="0" applyFont="0" applyFill="0" applyBorder="0" applyAlignment="0" applyProtection="0"/>
    <xf numFmtId="0" fontId="69" fillId="0" borderId="0" applyFont="0" applyFill="0" applyBorder="0" applyAlignment="0" applyProtection="0"/>
    <xf numFmtId="0" fontId="69" fillId="0" borderId="0" applyFont="0" applyFill="0" applyBorder="0" applyAlignment="0" applyProtection="0"/>
    <xf numFmtId="0" fontId="69" fillId="0" borderId="0" applyFont="0" applyFill="0" applyBorder="0" applyAlignment="0" applyProtection="0"/>
    <xf numFmtId="0" fontId="69" fillId="0" borderId="0" applyFont="0" applyFill="0" applyBorder="0" applyAlignment="0" applyProtection="0"/>
    <xf numFmtId="0" fontId="69" fillId="0" borderId="0" applyFont="0" applyFill="0" applyBorder="0" applyAlignment="0" applyProtection="0"/>
    <xf numFmtId="0" fontId="69" fillId="0" borderId="0" applyFont="0" applyFill="0" applyBorder="0" applyAlignment="0" applyProtection="0"/>
    <xf numFmtId="0" fontId="69" fillId="0" borderId="0" applyFont="0" applyFill="0" applyBorder="0" applyAlignment="0" applyProtection="0"/>
    <xf numFmtId="0" fontId="69" fillId="0" borderId="0" applyFont="0" applyFill="0" applyBorder="0" applyAlignment="0" applyProtection="0"/>
    <xf numFmtId="226" fontId="67" fillId="0" borderId="0" applyFill="0" applyBorder="0" applyAlignment="0" applyProtection="0"/>
    <xf numFmtId="43" fontId="3" fillId="0" borderId="0" applyFont="0" applyFill="0" applyBorder="0" applyAlignment="0" applyProtection="0"/>
    <xf numFmtId="223" fontId="67" fillId="0" borderId="0" applyFill="0" applyBorder="0" applyAlignment="0" applyProtection="0"/>
    <xf numFmtId="43" fontId="29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5" fillId="0" borderId="0" applyFill="0" applyBorder="0" applyAlignment="0" applyProtection="0"/>
    <xf numFmtId="171" fontId="35" fillId="0" borderId="0" applyFill="0" applyBorder="0" applyAlignment="0" applyProtection="0"/>
    <xf numFmtId="43" fontId="43" fillId="0" borderId="0" applyFont="0" applyFill="0" applyBorder="0" applyAlignment="0" applyProtection="0"/>
    <xf numFmtId="183" fontId="3" fillId="0" borderId="0"/>
    <xf numFmtId="3" fontId="3" fillId="0" borderId="0" applyFont="0" applyFill="0" applyBorder="0" applyAlignment="0" applyProtection="0"/>
    <xf numFmtId="0" fontId="70" fillId="0" borderId="0" applyNumberFormat="0" applyAlignment="0"/>
    <xf numFmtId="0" fontId="71" fillId="0" borderId="0" applyNumberFormat="0" applyAlignment="0"/>
    <xf numFmtId="215" fontId="35" fillId="0" borderId="0" applyFill="0" applyBorder="0" applyAlignment="0" applyProtection="0"/>
    <xf numFmtId="227" fontId="67" fillId="0" borderId="0" applyFill="0" applyBorder="0" applyAlignment="0" applyProtection="0"/>
    <xf numFmtId="224" fontId="3" fillId="0" borderId="0" applyFont="0" applyFill="0" applyBorder="0" applyAlignment="0" applyProtection="0"/>
    <xf numFmtId="228" fontId="3" fillId="0" borderId="0"/>
    <xf numFmtId="212" fontId="72" fillId="0" borderId="0" applyFont="0" applyFill="0" applyBorder="0" applyAlignment="0" applyProtection="0"/>
    <xf numFmtId="212" fontId="73" fillId="0" borderId="0" applyFont="0" applyFill="0" applyBorder="0" applyAlignment="0" applyProtection="0"/>
    <xf numFmtId="0" fontId="3" fillId="0" borderId="0" applyFont="0" applyFill="0" applyBorder="0" applyAlignment="0" applyProtection="0"/>
    <xf numFmtId="14" fontId="74" fillId="0" borderId="0" applyFill="0" applyBorder="0" applyAlignment="0"/>
    <xf numFmtId="0" fontId="75" fillId="0" borderId="0">
      <protection locked="0"/>
    </xf>
    <xf numFmtId="229" fontId="35" fillId="0" borderId="0" applyFill="0" applyBorder="0" applyAlignment="0" applyProtection="0"/>
    <xf numFmtId="4" fontId="35" fillId="0" borderId="0" applyFill="0" applyBorder="0" applyAlignment="0" applyProtection="0"/>
    <xf numFmtId="230" fontId="3" fillId="0" borderId="0"/>
    <xf numFmtId="231" fontId="35" fillId="0" borderId="0" applyFill="0" applyBorder="0" applyAlignment="0" applyProtection="0"/>
    <xf numFmtId="232" fontId="35" fillId="0" borderId="0" applyFill="0" applyBorder="0" applyAlignment="0" applyProtection="0"/>
    <xf numFmtId="231" fontId="35" fillId="0" borderId="0" applyFill="0" applyBorder="0" applyAlignment="0" applyProtection="0"/>
    <xf numFmtId="233" fontId="35" fillId="0" borderId="0" applyFill="0" applyBorder="0" applyAlignment="0" applyProtection="0"/>
    <xf numFmtId="234" fontId="35" fillId="0" borderId="0" applyFill="0" applyBorder="0" applyAlignment="0" applyProtection="0"/>
    <xf numFmtId="234" fontId="35" fillId="0" borderId="0" applyFill="0" applyBorder="0" applyAlignment="0" applyProtection="0"/>
    <xf numFmtId="234" fontId="35" fillId="0" borderId="0" applyFill="0" applyBorder="0" applyAlignment="0" applyProtection="0"/>
    <xf numFmtId="234" fontId="35" fillId="0" borderId="0" applyFill="0" applyBorder="0" applyAlignment="0" applyProtection="0"/>
    <xf numFmtId="231" fontId="35" fillId="0" borderId="0" applyFill="0" applyBorder="0" applyAlignment="0" applyProtection="0"/>
    <xf numFmtId="233" fontId="35" fillId="0" borderId="0" applyFill="0" applyBorder="0" applyAlignment="0" applyProtection="0"/>
    <xf numFmtId="199" fontId="35" fillId="0" borderId="0" applyFill="0" applyBorder="0" applyAlignment="0" applyProtection="0"/>
    <xf numFmtId="199" fontId="35" fillId="0" borderId="0" applyFill="0" applyBorder="0" applyAlignment="0" applyProtection="0"/>
    <xf numFmtId="234" fontId="35" fillId="0" borderId="0" applyFill="0" applyBorder="0" applyAlignment="0" applyProtection="0"/>
    <xf numFmtId="234" fontId="35" fillId="0" borderId="0" applyFill="0" applyBorder="0" applyAlignment="0" applyProtection="0"/>
    <xf numFmtId="235" fontId="35" fillId="0" borderId="0" applyFill="0" applyBorder="0" applyAlignment="0" applyProtection="0"/>
    <xf numFmtId="235" fontId="35" fillId="0" borderId="0" applyFill="0" applyBorder="0" applyAlignment="0" applyProtection="0"/>
    <xf numFmtId="236" fontId="35" fillId="0" borderId="0" applyFill="0" applyBorder="0" applyAlignment="0" applyProtection="0"/>
    <xf numFmtId="236" fontId="35" fillId="0" borderId="0" applyFill="0" applyBorder="0" applyAlignment="0" applyProtection="0"/>
    <xf numFmtId="233" fontId="35" fillId="0" borderId="0" applyFill="0" applyBorder="0" applyAlignment="0" applyProtection="0"/>
    <xf numFmtId="199" fontId="35" fillId="0" borderId="0" applyFill="0" applyBorder="0" applyAlignment="0" applyProtection="0"/>
    <xf numFmtId="199" fontId="35" fillId="0" borderId="0" applyFill="0" applyBorder="0" applyAlignment="0" applyProtection="0"/>
    <xf numFmtId="199" fontId="35" fillId="0" borderId="0" applyFill="0" applyBorder="0" applyAlignment="0" applyProtection="0"/>
    <xf numFmtId="233" fontId="35" fillId="0" borderId="0" applyFill="0" applyBorder="0" applyAlignment="0" applyProtection="0"/>
    <xf numFmtId="233" fontId="35" fillId="0" borderId="0" applyFill="0" applyBorder="0" applyAlignment="0" applyProtection="0"/>
    <xf numFmtId="199" fontId="35" fillId="0" borderId="0" applyFill="0" applyBorder="0" applyAlignment="0" applyProtection="0"/>
    <xf numFmtId="199" fontId="35" fillId="0" borderId="0" applyFill="0" applyBorder="0" applyAlignment="0" applyProtection="0"/>
    <xf numFmtId="233" fontId="35" fillId="0" borderId="0" applyFill="0" applyBorder="0" applyAlignment="0" applyProtection="0"/>
    <xf numFmtId="199" fontId="35" fillId="0" borderId="0" applyFill="0" applyBorder="0" applyAlignment="0" applyProtection="0"/>
    <xf numFmtId="232" fontId="35" fillId="0" borderId="0" applyFill="0" applyBorder="0" applyAlignment="0" applyProtection="0"/>
    <xf numFmtId="237" fontId="35" fillId="0" borderId="0" applyFill="0" applyBorder="0" applyAlignment="0" applyProtection="0"/>
    <xf numFmtId="238" fontId="35" fillId="0" borderId="0" applyFill="0" applyBorder="0" applyAlignment="0" applyProtection="0"/>
    <xf numFmtId="238" fontId="35" fillId="0" borderId="0" applyFill="0" applyBorder="0" applyAlignment="0" applyProtection="0"/>
    <xf numFmtId="238" fontId="35" fillId="0" borderId="0" applyFill="0" applyBorder="0" applyAlignment="0" applyProtection="0"/>
    <xf numFmtId="238" fontId="35" fillId="0" borderId="0" applyFill="0" applyBorder="0" applyAlignment="0" applyProtection="0"/>
    <xf numFmtId="232" fontId="35" fillId="0" borderId="0" applyFill="0" applyBorder="0" applyAlignment="0" applyProtection="0"/>
    <xf numFmtId="237" fontId="35" fillId="0" borderId="0" applyFill="0" applyBorder="0" applyAlignment="0" applyProtection="0"/>
    <xf numFmtId="190" fontId="35" fillId="0" borderId="0" applyFill="0" applyBorder="0" applyAlignment="0" applyProtection="0"/>
    <xf numFmtId="190" fontId="35" fillId="0" borderId="0" applyFill="0" applyBorder="0" applyAlignment="0" applyProtection="0"/>
    <xf numFmtId="238" fontId="35" fillId="0" borderId="0" applyFill="0" applyBorder="0" applyAlignment="0" applyProtection="0"/>
    <xf numFmtId="238" fontId="35" fillId="0" borderId="0" applyFill="0" applyBorder="0" applyAlignment="0" applyProtection="0"/>
    <xf numFmtId="239" fontId="35" fillId="0" borderId="0" applyFill="0" applyBorder="0" applyAlignment="0" applyProtection="0"/>
    <xf numFmtId="239" fontId="35" fillId="0" borderId="0" applyFill="0" applyBorder="0" applyAlignment="0" applyProtection="0"/>
    <xf numFmtId="240" fontId="35" fillId="0" borderId="0" applyFill="0" applyBorder="0" applyAlignment="0" applyProtection="0"/>
    <xf numFmtId="240" fontId="35" fillId="0" borderId="0" applyFill="0" applyBorder="0" applyAlignment="0" applyProtection="0"/>
    <xf numFmtId="237" fontId="35" fillId="0" borderId="0" applyFill="0" applyBorder="0" applyAlignment="0" applyProtection="0"/>
    <xf numFmtId="190" fontId="35" fillId="0" borderId="0" applyFill="0" applyBorder="0" applyAlignment="0" applyProtection="0"/>
    <xf numFmtId="190" fontId="35" fillId="0" borderId="0" applyFill="0" applyBorder="0" applyAlignment="0" applyProtection="0"/>
    <xf numFmtId="190" fontId="35" fillId="0" borderId="0" applyFill="0" applyBorder="0" applyAlignment="0" applyProtection="0"/>
    <xf numFmtId="237" fontId="35" fillId="0" borderId="0" applyFill="0" applyBorder="0" applyAlignment="0" applyProtection="0"/>
    <xf numFmtId="237" fontId="35" fillId="0" borderId="0" applyFill="0" applyBorder="0" applyAlignment="0" applyProtection="0"/>
    <xf numFmtId="190" fontId="35" fillId="0" borderId="0" applyFill="0" applyBorder="0" applyAlignment="0" applyProtection="0"/>
    <xf numFmtId="190" fontId="35" fillId="0" borderId="0" applyFill="0" applyBorder="0" applyAlignment="0" applyProtection="0"/>
    <xf numFmtId="237" fontId="35" fillId="0" borderId="0" applyFill="0" applyBorder="0" applyAlignment="0" applyProtection="0"/>
    <xf numFmtId="190" fontId="35" fillId="0" borderId="0" applyFill="0" applyBorder="0" applyAlignment="0" applyProtection="0"/>
    <xf numFmtId="0" fontId="76" fillId="36" borderId="0" applyNumberFormat="0" applyBorder="0" applyAlignment="0" applyProtection="0"/>
    <xf numFmtId="0" fontId="76" fillId="37" borderId="0" applyNumberFormat="0" applyBorder="0" applyAlignment="0" applyProtection="0"/>
    <xf numFmtId="0" fontId="76" fillId="38" borderId="0" applyNumberFormat="0" applyBorder="0" applyAlignment="0" applyProtection="0"/>
    <xf numFmtId="219" fontId="3" fillId="0" borderId="0" applyFill="0" applyBorder="0" applyAlignment="0"/>
    <xf numFmtId="215" fontId="3" fillId="0" borderId="0" applyFill="0" applyBorder="0" applyAlignment="0"/>
    <xf numFmtId="219" fontId="3" fillId="0" borderId="0" applyFill="0" applyBorder="0" applyAlignment="0"/>
    <xf numFmtId="220" fontId="3" fillId="0" borderId="0" applyFill="0" applyBorder="0" applyAlignment="0"/>
    <xf numFmtId="215" fontId="3" fillId="0" borderId="0" applyFill="0" applyBorder="0" applyAlignment="0"/>
    <xf numFmtId="0" fontId="77" fillId="0" borderId="0" applyNumberFormat="0" applyAlignment="0"/>
    <xf numFmtId="0" fontId="78" fillId="0" borderId="0"/>
    <xf numFmtId="0" fontId="31" fillId="0" borderId="0" applyNumberFormat="0" applyFill="0" applyBorder="0" applyAlignment="0" applyProtection="0"/>
    <xf numFmtId="2" fontId="3" fillId="0" borderId="0" applyFont="0" applyFill="0" applyBorder="0" applyAlignment="0" applyProtection="0"/>
    <xf numFmtId="38" fontId="79" fillId="39" borderId="0" applyNumberFormat="0" applyBorder="0" applyAlignment="0" applyProtection="0"/>
    <xf numFmtId="241" fontId="66" fillId="12" borderId="0" applyBorder="0" applyProtection="0"/>
    <xf numFmtId="0" fontId="35" fillId="0" borderId="0" applyNumberFormat="0" applyBorder="0" applyAlignment="0"/>
    <xf numFmtId="0" fontId="80" fillId="0" borderId="0">
      <alignment horizontal="left"/>
    </xf>
    <xf numFmtId="0" fontId="81" fillId="0" borderId="55" applyNumberFormat="0" applyAlignment="0" applyProtection="0">
      <alignment horizontal="left" vertical="center"/>
    </xf>
    <xf numFmtId="0" fontId="81" fillId="0" borderId="4">
      <alignment horizontal="left" vertical="center"/>
    </xf>
    <xf numFmtId="242" fontId="82" fillId="0" borderId="0">
      <protection locked="0"/>
    </xf>
    <xf numFmtId="243" fontId="34" fillId="0" borderId="0">
      <protection locked="0"/>
    </xf>
    <xf numFmtId="242" fontId="82" fillId="0" borderId="0">
      <protection locked="0"/>
    </xf>
    <xf numFmtId="0" fontId="62" fillId="0" borderId="0"/>
    <xf numFmtId="176" fontId="35" fillId="0" borderId="0" applyFill="0" applyBorder="0" applyAlignment="0" applyProtection="0"/>
    <xf numFmtId="38" fontId="35" fillId="0" borderId="0" applyFill="0" applyBorder="0" applyAlignment="0" applyProtection="0"/>
    <xf numFmtId="178" fontId="35" fillId="0" borderId="0" applyFill="0" applyBorder="0" applyAlignment="0" applyProtection="0"/>
    <xf numFmtId="244" fontId="35" fillId="0" borderId="0" applyFill="0" applyBorder="0" applyAlignment="0" applyProtection="0"/>
    <xf numFmtId="10" fontId="79" fillId="39" borderId="1" applyNumberFormat="0" applyBorder="0" applyAlignment="0" applyProtection="0"/>
    <xf numFmtId="0" fontId="30" fillId="6" borderId="49" applyNumberFormat="0" applyAlignment="0" applyProtection="0"/>
    <xf numFmtId="214" fontId="3" fillId="40" borderId="0"/>
    <xf numFmtId="176" fontId="35" fillId="0" borderId="0" applyFill="0" applyBorder="0" applyAlignment="0" applyProtection="0"/>
    <xf numFmtId="0" fontId="83" fillId="0" borderId="0"/>
    <xf numFmtId="0" fontId="3" fillId="0" borderId="0"/>
    <xf numFmtId="3" fontId="84" fillId="0" borderId="56">
      <alignment horizontal="center"/>
    </xf>
    <xf numFmtId="219" fontId="3" fillId="0" borderId="0" applyFill="0" applyBorder="0" applyAlignment="0"/>
    <xf numFmtId="215" fontId="3" fillId="0" borderId="0" applyFill="0" applyBorder="0" applyAlignment="0"/>
    <xf numFmtId="219" fontId="3" fillId="0" borderId="0" applyFill="0" applyBorder="0" applyAlignment="0"/>
    <xf numFmtId="220" fontId="3" fillId="0" borderId="0" applyFill="0" applyBorder="0" applyAlignment="0"/>
    <xf numFmtId="215" fontId="3" fillId="0" borderId="0" applyFill="0" applyBorder="0" applyAlignment="0"/>
    <xf numFmtId="214" fontId="3" fillId="41" borderId="0"/>
    <xf numFmtId="38" fontId="35" fillId="0" borderId="0" applyFill="0" applyBorder="0" applyAlignment="0" applyProtection="0"/>
    <xf numFmtId="40" fontId="35" fillId="0" borderId="0" applyFill="0" applyBorder="0" applyAlignment="0" applyProtection="0"/>
    <xf numFmtId="245" fontId="35" fillId="0" borderId="0" applyFill="0" applyBorder="0" applyAlignment="0" applyProtection="0"/>
    <xf numFmtId="246" fontId="35" fillId="0" borderId="0" applyFill="0" applyBorder="0" applyAlignment="0" applyProtection="0"/>
    <xf numFmtId="0" fontId="85" fillId="0" borderId="48"/>
    <xf numFmtId="0" fontId="35" fillId="0" borderId="0" applyFill="0" applyBorder="0" applyAlignment="0" applyProtection="0"/>
    <xf numFmtId="247" fontId="35" fillId="0" borderId="0" applyFill="0" applyBorder="0" applyAlignment="0" applyProtection="0"/>
    <xf numFmtId="248" fontId="35" fillId="0" borderId="0" applyFill="0" applyBorder="0" applyAlignment="0" applyProtection="0"/>
    <xf numFmtId="249" fontId="35" fillId="0" borderId="0" applyFill="0" applyBorder="0" applyAlignment="0" applyProtection="0"/>
    <xf numFmtId="14" fontId="35" fillId="0" borderId="0" applyFill="0" applyBorder="0" applyAlignment="0" applyProtection="0"/>
    <xf numFmtId="250" fontId="35" fillId="0" borderId="0" applyFill="0" applyBorder="0" applyAlignment="0" applyProtection="0"/>
    <xf numFmtId="0" fontId="86" fillId="0" borderId="0" applyNumberFormat="0" applyFont="0" applyFill="0" applyAlignment="0"/>
    <xf numFmtId="0" fontId="35" fillId="0" borderId="0" applyNumberFormat="0" applyFill="0" applyAlignment="0"/>
    <xf numFmtId="0" fontId="62" fillId="0" borderId="0"/>
    <xf numFmtId="37" fontId="87" fillId="0" borderId="0"/>
    <xf numFmtId="0" fontId="71" fillId="0" borderId="0"/>
    <xf numFmtId="0" fontId="88" fillId="0" borderId="1" applyNumberFormat="0" applyFont="0" applyFill="0" applyBorder="0" applyAlignment="0">
      <alignment horizontal="center"/>
    </xf>
    <xf numFmtId="251" fontId="89" fillId="0" borderId="0"/>
    <xf numFmtId="0" fontId="62" fillId="0" borderId="0"/>
    <xf numFmtId="0" fontId="62" fillId="0" borderId="0"/>
    <xf numFmtId="0" fontId="62" fillId="0" borderId="0"/>
    <xf numFmtId="0" fontId="62" fillId="0" borderId="0"/>
    <xf numFmtId="0" fontId="62" fillId="0" borderId="0"/>
    <xf numFmtId="0" fontId="62" fillId="0" borderId="0"/>
    <xf numFmtId="0" fontId="62" fillId="0" borderId="0"/>
    <xf numFmtId="0" fontId="7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68" fillId="0" borderId="0"/>
    <xf numFmtId="0" fontId="68" fillId="0" borderId="0"/>
    <xf numFmtId="0" fontId="3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3" fillId="0" borderId="0"/>
    <xf numFmtId="0" fontId="3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3" fillId="0" borderId="0"/>
    <xf numFmtId="0" fontId="3" fillId="0" borderId="0"/>
    <xf numFmtId="0" fontId="3" fillId="0" borderId="0"/>
    <xf numFmtId="252" fontId="67" fillId="0" borderId="0"/>
    <xf numFmtId="0" fontId="3" fillId="0" borderId="0"/>
    <xf numFmtId="0" fontId="3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8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3" fillId="0" borderId="0" applyNumberFormat="0" applyFont="0" applyFill="0" applyBorder="0" applyAlignment="0" applyProtection="0">
      <alignment vertical="top"/>
    </xf>
    <xf numFmtId="0" fontId="3" fillId="0" borderId="0"/>
    <xf numFmtId="0" fontId="83" fillId="0" borderId="0"/>
    <xf numFmtId="0" fontId="90" fillId="0" borderId="0"/>
    <xf numFmtId="0" fontId="3" fillId="8" borderId="51" applyNumberFormat="0" applyFont="0" applyAlignment="0" applyProtection="0"/>
    <xf numFmtId="222" fontId="35" fillId="0" borderId="0" applyFill="0" applyBorder="0" applyProtection="0">
      <alignment vertical="top" wrapText="1"/>
    </xf>
    <xf numFmtId="0" fontId="3" fillId="0" borderId="0" applyFont="0" applyFill="0" applyBorder="0" applyAlignment="0" applyProtection="0"/>
    <xf numFmtId="0" fontId="62" fillId="0" borderId="0"/>
    <xf numFmtId="0" fontId="91" fillId="7" borderId="50" applyNumberFormat="0" applyAlignment="0" applyProtection="0"/>
    <xf numFmtId="14" fontId="59" fillId="0" borderId="0">
      <alignment horizontal="center" wrapText="1"/>
      <protection locked="0"/>
    </xf>
    <xf numFmtId="218" fontId="35" fillId="0" borderId="0" applyFill="0" applyBorder="0" applyAlignment="0" applyProtection="0"/>
    <xf numFmtId="253" fontId="35" fillId="0" borderId="0" applyFill="0" applyBorder="0" applyAlignment="0" applyProtection="0"/>
    <xf numFmtId="10" fontId="3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69" fillId="0" borderId="0" applyFont="0" applyFill="0" applyBorder="0" applyAlignment="0" applyProtection="0"/>
    <xf numFmtId="9" fontId="69" fillId="0" borderId="0" applyFont="0" applyFill="0" applyBorder="0" applyAlignment="0" applyProtection="0"/>
    <xf numFmtId="9" fontId="35" fillId="0" borderId="0" applyFill="0" applyBorder="0" applyAlignment="0" applyProtection="0"/>
    <xf numFmtId="9" fontId="69" fillId="0" borderId="0" applyFont="0" applyFill="0" applyBorder="0" applyAlignment="0" applyProtection="0"/>
    <xf numFmtId="9" fontId="69" fillId="0" borderId="0" applyFont="0" applyFill="0" applyBorder="0" applyAlignment="0" applyProtection="0"/>
    <xf numFmtId="9" fontId="69" fillId="0" borderId="0" applyFont="0" applyFill="0" applyBorder="0" applyAlignment="0" applyProtection="0"/>
    <xf numFmtId="9" fontId="69" fillId="0" borderId="0" applyFont="0" applyFill="0" applyBorder="0" applyAlignment="0" applyProtection="0"/>
    <xf numFmtId="9" fontId="69" fillId="0" borderId="0" applyFont="0" applyFill="0" applyBorder="0" applyAlignment="0" applyProtection="0"/>
    <xf numFmtId="9" fontId="69" fillId="0" borderId="0" applyFont="0" applyFill="0" applyBorder="0" applyAlignment="0" applyProtection="0"/>
    <xf numFmtId="9" fontId="69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78" fillId="0" borderId="0" applyFont="0" applyFill="0" applyBorder="0" applyAlignment="0" applyProtection="0"/>
    <xf numFmtId="9" fontId="35" fillId="0" borderId="0" applyFill="0" applyBorder="0" applyAlignment="0" applyProtection="0"/>
    <xf numFmtId="9" fontId="29" fillId="0" borderId="0" applyFont="0" applyFill="0" applyBorder="0" applyAlignment="0" applyProtection="0"/>
    <xf numFmtId="0" fontId="41" fillId="0" borderId="0" applyNumberFormat="0" applyBorder="0"/>
    <xf numFmtId="219" fontId="3" fillId="0" borderId="0" applyFill="0" applyBorder="0" applyAlignment="0"/>
    <xf numFmtId="215" fontId="3" fillId="0" borderId="0" applyFill="0" applyBorder="0" applyAlignment="0"/>
    <xf numFmtId="219" fontId="3" fillId="0" borderId="0" applyFill="0" applyBorder="0" applyAlignment="0"/>
    <xf numFmtId="220" fontId="3" fillId="0" borderId="0" applyFill="0" applyBorder="0" applyAlignment="0"/>
    <xf numFmtId="215" fontId="3" fillId="0" borderId="0" applyFill="0" applyBorder="0" applyAlignment="0"/>
    <xf numFmtId="239" fontId="62" fillId="0" borderId="0"/>
    <xf numFmtId="0" fontId="35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178" fontId="35" fillId="0" borderId="0" applyFill="0" applyBorder="0" applyAlignment="0" applyProtection="0"/>
    <xf numFmtId="3" fontId="42" fillId="0" borderId="57">
      <alignment horizontal="right" wrapText="1"/>
    </xf>
    <xf numFmtId="0" fontId="92" fillId="42" borderId="58" applyNumberFormat="0" applyProtection="0">
      <alignment vertical="center"/>
    </xf>
    <xf numFmtId="0" fontId="93" fillId="42" borderId="58" applyNumberFormat="0" applyProtection="0">
      <alignment vertical="center"/>
    </xf>
    <xf numFmtId="0" fontId="94" fillId="42" borderId="58" applyNumberFormat="0" applyProtection="0">
      <alignment horizontal="left" vertical="center"/>
    </xf>
    <xf numFmtId="0" fontId="94" fillId="43" borderId="0" applyNumberFormat="0" applyProtection="0">
      <alignment horizontal="left" vertical="center"/>
    </xf>
    <xf numFmtId="0" fontId="94" fillId="44" borderId="58" applyNumberFormat="0" applyProtection="0">
      <alignment horizontal="right" vertical="center"/>
    </xf>
    <xf numFmtId="0" fontId="94" fillId="14" borderId="58" applyNumberFormat="0" applyProtection="0">
      <alignment horizontal="right" vertical="center"/>
    </xf>
    <xf numFmtId="0" fontId="94" fillId="20" borderId="58" applyNumberFormat="0" applyProtection="0">
      <alignment horizontal="right" vertical="center"/>
    </xf>
    <xf numFmtId="0" fontId="94" fillId="15" borderId="58" applyNumberFormat="0" applyProtection="0">
      <alignment horizontal="right" vertical="center"/>
    </xf>
    <xf numFmtId="0" fontId="94" fillId="22" borderId="58" applyNumberFormat="0" applyProtection="0">
      <alignment horizontal="right" vertical="center"/>
    </xf>
    <xf numFmtId="0" fontId="94" fillId="12" borderId="58" applyNumberFormat="0" applyProtection="0">
      <alignment horizontal="right" vertical="center"/>
    </xf>
    <xf numFmtId="0" fontId="94" fillId="45" borderId="58" applyNumberFormat="0" applyProtection="0">
      <alignment horizontal="right" vertical="center"/>
    </xf>
    <xf numFmtId="0" fontId="94" fillId="46" borderId="58" applyNumberFormat="0" applyProtection="0">
      <alignment horizontal="right" vertical="center"/>
    </xf>
    <xf numFmtId="0" fontId="94" fillId="47" borderId="58" applyNumberFormat="0" applyProtection="0">
      <alignment horizontal="right" vertical="center"/>
    </xf>
    <xf numFmtId="0" fontId="92" fillId="48" borderId="59" applyNumberFormat="0" applyProtection="0">
      <alignment horizontal="left" vertical="center"/>
    </xf>
    <xf numFmtId="0" fontId="92" fillId="19" borderId="0" applyNumberFormat="0" applyProtection="0">
      <alignment horizontal="left" vertical="center"/>
    </xf>
    <xf numFmtId="0" fontId="92" fillId="43" borderId="0" applyNumberFormat="0" applyProtection="0">
      <alignment horizontal="left" vertical="center"/>
    </xf>
    <xf numFmtId="0" fontId="94" fillId="19" borderId="58" applyNumberFormat="0" applyProtection="0">
      <alignment horizontal="right" vertical="center"/>
    </xf>
    <xf numFmtId="0" fontId="74" fillId="19" borderId="0" applyNumberFormat="0" applyProtection="0">
      <alignment horizontal="left" vertical="center"/>
    </xf>
    <xf numFmtId="0" fontId="74" fillId="43" borderId="0" applyNumberFormat="0" applyProtection="0">
      <alignment horizontal="left" vertical="center"/>
    </xf>
    <xf numFmtId="0" fontId="94" fillId="17" borderId="58" applyNumberFormat="0" applyProtection="0">
      <alignment vertical="center"/>
    </xf>
    <xf numFmtId="0" fontId="95" fillId="17" borderId="58" applyNumberFormat="0" applyProtection="0">
      <alignment vertical="center"/>
    </xf>
    <xf numFmtId="0" fontId="92" fillId="19" borderId="60" applyNumberFormat="0" applyProtection="0">
      <alignment horizontal="left" vertical="center"/>
    </xf>
    <xf numFmtId="0" fontId="94" fillId="17" borderId="58" applyNumberFormat="0" applyProtection="0">
      <alignment horizontal="right" vertical="center"/>
    </xf>
    <xf numFmtId="0" fontId="95" fillId="17" borderId="58" applyNumberFormat="0" applyProtection="0">
      <alignment horizontal="right" vertical="center"/>
    </xf>
    <xf numFmtId="0" fontId="92" fillId="19" borderId="58" applyNumberFormat="0" applyProtection="0">
      <alignment horizontal="left" vertical="center"/>
    </xf>
    <xf numFmtId="0" fontId="96" fillId="49" borderId="60" applyNumberFormat="0" applyProtection="0">
      <alignment horizontal="left" vertical="center"/>
    </xf>
    <xf numFmtId="0" fontId="97" fillId="17" borderId="58" applyNumberFormat="0" applyProtection="0">
      <alignment horizontal="right" vertical="center"/>
    </xf>
    <xf numFmtId="0" fontId="98" fillId="0" borderId="0" applyNumberFormat="0" applyFill="0" applyBorder="0" applyAlignment="0" applyProtection="0"/>
    <xf numFmtId="0" fontId="99" fillId="0" borderId="0" applyNumberFormat="0" applyFill="0" applyBorder="0" applyAlignment="0" applyProtection="0"/>
    <xf numFmtId="0" fontId="29" fillId="0" borderId="0"/>
    <xf numFmtId="0" fontId="3" fillId="0" borderId="0"/>
    <xf numFmtId="0" fontId="100" fillId="0" borderId="0"/>
    <xf numFmtId="0" fontId="100" fillId="0" borderId="0"/>
    <xf numFmtId="0" fontId="100" fillId="0" borderId="0"/>
    <xf numFmtId="0" fontId="100" fillId="0" borderId="0"/>
    <xf numFmtId="165" fontId="67" fillId="0" borderId="0"/>
    <xf numFmtId="0" fontId="100" fillId="0" borderId="0"/>
    <xf numFmtId="0" fontId="100" fillId="0" borderId="0"/>
    <xf numFmtId="0" fontId="100" fillId="0" borderId="0"/>
    <xf numFmtId="0" fontId="100" fillId="0" borderId="0"/>
    <xf numFmtId="0" fontId="100" fillId="0" borderId="0"/>
    <xf numFmtId="0" fontId="100" fillId="0" borderId="0"/>
    <xf numFmtId="177" fontId="35" fillId="0" borderId="0" applyFill="0" applyBorder="0" applyAlignment="0" applyProtection="0"/>
    <xf numFmtId="194" fontId="35" fillId="0" borderId="0" applyFill="0" applyBorder="0" applyAlignment="0" applyProtection="0"/>
    <xf numFmtId="179" fontId="35" fillId="0" borderId="0" applyFill="0" applyBorder="0" applyAlignment="0" applyProtection="0"/>
    <xf numFmtId="179" fontId="35" fillId="0" borderId="0" applyFill="0" applyBorder="0" applyAlignment="0" applyProtection="0"/>
    <xf numFmtId="178" fontId="35" fillId="0" borderId="0" applyFill="0" applyBorder="0" applyAlignment="0" applyProtection="0"/>
    <xf numFmtId="176" fontId="35" fillId="0" borderId="0" applyFill="0" applyBorder="0" applyAlignment="0" applyProtection="0"/>
    <xf numFmtId="199" fontId="35" fillId="0" borderId="0" applyFill="0" applyBorder="0" applyAlignment="0" applyProtection="0"/>
    <xf numFmtId="199" fontId="35" fillId="0" borderId="0" applyFill="0" applyBorder="0" applyAlignment="0" applyProtection="0"/>
    <xf numFmtId="199" fontId="35" fillId="0" borderId="0" applyFill="0" applyBorder="0" applyAlignment="0" applyProtection="0"/>
    <xf numFmtId="199" fontId="35" fillId="0" borderId="0" applyFill="0" applyBorder="0" applyAlignment="0" applyProtection="0"/>
    <xf numFmtId="173" fontId="42" fillId="0" borderId="0" applyFont="0" applyFill="0" applyBorder="0" applyAlignment="0" applyProtection="0"/>
    <xf numFmtId="199" fontId="35" fillId="0" borderId="0" applyFill="0" applyBorder="0" applyAlignment="0" applyProtection="0"/>
    <xf numFmtId="177" fontId="35" fillId="0" borderId="0" applyFill="0" applyBorder="0" applyAlignment="0" applyProtection="0"/>
    <xf numFmtId="194" fontId="35" fillId="0" borderId="0" applyFill="0" applyBorder="0" applyAlignment="0" applyProtection="0"/>
    <xf numFmtId="179" fontId="35" fillId="0" borderId="0" applyFill="0" applyBorder="0" applyAlignment="0" applyProtection="0"/>
    <xf numFmtId="179" fontId="35" fillId="0" borderId="0" applyFill="0" applyBorder="0" applyAlignment="0" applyProtection="0"/>
    <xf numFmtId="196" fontId="35" fillId="0" borderId="0" applyFill="0" applyBorder="0" applyAlignment="0" applyProtection="0"/>
    <xf numFmtId="200" fontId="35" fillId="0" borderId="0" applyFill="0" applyBorder="0" applyAlignment="0" applyProtection="0"/>
    <xf numFmtId="197" fontId="35" fillId="0" borderId="0" applyFill="0" applyBorder="0" applyAlignment="0" applyProtection="0"/>
    <xf numFmtId="196" fontId="35" fillId="0" borderId="0" applyFill="0" applyBorder="0" applyAlignment="0" applyProtection="0"/>
    <xf numFmtId="172" fontId="35" fillId="0" borderId="0" applyFill="0" applyBorder="0" applyAlignment="0" applyProtection="0"/>
    <xf numFmtId="173" fontId="42" fillId="0" borderId="0" applyFont="0" applyFill="0" applyBorder="0" applyAlignment="0" applyProtection="0"/>
    <xf numFmtId="178" fontId="35" fillId="0" borderId="0" applyFill="0" applyBorder="0" applyAlignment="0" applyProtection="0"/>
    <xf numFmtId="198" fontId="35" fillId="0" borderId="0" applyFill="0" applyBorder="0" applyAlignment="0" applyProtection="0"/>
    <xf numFmtId="178" fontId="35" fillId="0" borderId="0" applyFill="0" applyBorder="0" applyAlignment="0" applyProtection="0"/>
    <xf numFmtId="178" fontId="35" fillId="0" borderId="0" applyFill="0" applyBorder="0" applyAlignment="0" applyProtection="0"/>
    <xf numFmtId="196" fontId="35" fillId="0" borderId="0" applyFill="0" applyBorder="0" applyAlignment="0" applyProtection="0"/>
    <xf numFmtId="196" fontId="35" fillId="0" borderId="0" applyFill="0" applyBorder="0" applyAlignment="0" applyProtection="0"/>
    <xf numFmtId="178" fontId="35" fillId="0" borderId="0" applyFill="0" applyBorder="0" applyAlignment="0" applyProtection="0"/>
    <xf numFmtId="196" fontId="35" fillId="0" borderId="0" applyFill="0" applyBorder="0" applyAlignment="0" applyProtection="0"/>
    <xf numFmtId="178" fontId="35" fillId="0" borderId="0" applyFill="0" applyBorder="0" applyAlignment="0" applyProtection="0"/>
    <xf numFmtId="202" fontId="35" fillId="0" borderId="0" applyFill="0" applyBorder="0" applyAlignment="0" applyProtection="0"/>
    <xf numFmtId="42" fontId="42" fillId="0" borderId="0" applyFont="0" applyFill="0" applyBorder="0" applyAlignment="0" applyProtection="0"/>
    <xf numFmtId="182" fontId="35" fillId="0" borderId="0" applyFill="0" applyBorder="0" applyAlignment="0" applyProtection="0"/>
    <xf numFmtId="182" fontId="35" fillId="0" borderId="0" applyFill="0" applyBorder="0" applyAlignment="0" applyProtection="0"/>
    <xf numFmtId="179" fontId="35" fillId="0" borderId="0" applyFill="0" applyBorder="0" applyAlignment="0" applyProtection="0"/>
    <xf numFmtId="180" fontId="35" fillId="0" borderId="0" applyFill="0" applyBorder="0" applyAlignment="0" applyProtection="0"/>
    <xf numFmtId="182" fontId="35" fillId="0" borderId="0" applyFill="0" applyBorder="0" applyAlignment="0" applyProtection="0"/>
    <xf numFmtId="179" fontId="35" fillId="0" borderId="0" applyFill="0" applyBorder="0" applyAlignment="0" applyProtection="0"/>
    <xf numFmtId="194" fontId="35" fillId="0" borderId="0" applyFill="0" applyBorder="0" applyAlignment="0" applyProtection="0"/>
    <xf numFmtId="179" fontId="35" fillId="0" borderId="0" applyFill="0" applyBorder="0" applyAlignment="0" applyProtection="0"/>
    <xf numFmtId="195" fontId="35" fillId="0" borderId="0" applyFill="0" applyBorder="0" applyAlignment="0" applyProtection="0"/>
    <xf numFmtId="182" fontId="35" fillId="0" borderId="0" applyFill="0" applyBorder="0" applyAlignment="0" applyProtection="0"/>
    <xf numFmtId="178" fontId="35" fillId="0" borderId="0" applyFill="0" applyBorder="0" applyAlignment="0" applyProtection="0"/>
    <xf numFmtId="182" fontId="35" fillId="0" borderId="0" applyFill="0" applyBorder="0" applyAlignment="0" applyProtection="0"/>
    <xf numFmtId="179" fontId="35" fillId="0" borderId="0" applyFill="0" applyBorder="0" applyAlignment="0" applyProtection="0"/>
    <xf numFmtId="180" fontId="35" fillId="0" borderId="0" applyFill="0" applyBorder="0" applyAlignment="0" applyProtection="0"/>
    <xf numFmtId="182" fontId="35" fillId="0" borderId="0" applyFill="0" applyBorder="0" applyAlignment="0" applyProtection="0"/>
    <xf numFmtId="179" fontId="35" fillId="0" borderId="0" applyFill="0" applyBorder="0" applyAlignment="0" applyProtection="0"/>
    <xf numFmtId="194" fontId="35" fillId="0" borderId="0" applyFill="0" applyBorder="0" applyAlignment="0" applyProtection="0"/>
    <xf numFmtId="179" fontId="35" fillId="0" borderId="0" applyFill="0" applyBorder="0" applyAlignment="0" applyProtection="0"/>
    <xf numFmtId="195" fontId="35" fillId="0" borderId="0" applyFill="0" applyBorder="0" applyAlignment="0" applyProtection="0"/>
    <xf numFmtId="182" fontId="35" fillId="0" borderId="0" applyFill="0" applyBorder="0" applyAlignment="0" applyProtection="0"/>
    <xf numFmtId="182" fontId="35" fillId="0" borderId="0" applyFill="0" applyBorder="0" applyAlignment="0" applyProtection="0"/>
    <xf numFmtId="177" fontId="35" fillId="0" borderId="0" applyFill="0" applyBorder="0" applyAlignment="0" applyProtection="0"/>
    <xf numFmtId="179" fontId="35" fillId="0" borderId="0" applyFill="0" applyBorder="0" applyAlignment="0" applyProtection="0"/>
    <xf numFmtId="180" fontId="35" fillId="0" borderId="0" applyFill="0" applyBorder="0" applyAlignment="0" applyProtection="0"/>
    <xf numFmtId="182" fontId="35" fillId="0" borderId="0" applyFill="0" applyBorder="0" applyAlignment="0" applyProtection="0"/>
    <xf numFmtId="179" fontId="35" fillId="0" borderId="0" applyFill="0" applyBorder="0" applyAlignment="0" applyProtection="0"/>
    <xf numFmtId="194" fontId="35" fillId="0" borderId="0" applyFill="0" applyBorder="0" applyAlignment="0" applyProtection="0"/>
    <xf numFmtId="179" fontId="35" fillId="0" borderId="0" applyFill="0" applyBorder="0" applyAlignment="0" applyProtection="0"/>
    <xf numFmtId="195" fontId="35" fillId="0" borderId="0" applyFill="0" applyBorder="0" applyAlignment="0" applyProtection="0"/>
    <xf numFmtId="181" fontId="35" fillId="0" borderId="0" applyFill="0" applyBorder="0" applyAlignment="0" applyProtection="0"/>
    <xf numFmtId="177" fontId="35" fillId="0" borderId="0" applyFill="0" applyBorder="0" applyAlignment="0" applyProtection="0"/>
    <xf numFmtId="181" fontId="35" fillId="0" borderId="0" applyFill="0" applyBorder="0" applyAlignment="0" applyProtection="0"/>
    <xf numFmtId="194" fontId="35" fillId="0" borderId="0" applyFill="0" applyBorder="0" applyAlignment="0" applyProtection="0"/>
    <xf numFmtId="177" fontId="35" fillId="0" borderId="0" applyFill="0" applyBorder="0" applyAlignment="0" applyProtection="0"/>
    <xf numFmtId="177" fontId="35" fillId="0" borderId="0" applyFill="0" applyBorder="0" applyAlignment="0" applyProtection="0"/>
    <xf numFmtId="194" fontId="35" fillId="0" borderId="0" applyFill="0" applyBorder="0" applyAlignment="0" applyProtection="0"/>
    <xf numFmtId="179" fontId="35" fillId="0" borderId="0" applyFill="0" applyBorder="0" applyAlignment="0" applyProtection="0"/>
    <xf numFmtId="179" fontId="35" fillId="0" borderId="0" applyFill="0" applyBorder="0" applyAlignment="0" applyProtection="0"/>
    <xf numFmtId="181" fontId="35" fillId="0" borderId="0" applyFill="0" applyBorder="0" applyAlignment="0" applyProtection="0"/>
    <xf numFmtId="177" fontId="35" fillId="0" borderId="0" applyFill="0" applyBorder="0" applyAlignment="0" applyProtection="0"/>
    <xf numFmtId="181" fontId="35" fillId="0" borderId="0" applyFill="0" applyBorder="0" applyAlignment="0" applyProtection="0"/>
    <xf numFmtId="177" fontId="35" fillId="0" borderId="0" applyFill="0" applyBorder="0" applyAlignment="0" applyProtection="0"/>
    <xf numFmtId="177" fontId="35" fillId="0" borderId="0" applyFill="0" applyBorder="0" applyAlignment="0" applyProtection="0"/>
    <xf numFmtId="179" fontId="35" fillId="0" borderId="0" applyFill="0" applyBorder="0" applyAlignment="0" applyProtection="0"/>
    <xf numFmtId="194" fontId="35" fillId="0" borderId="0" applyFill="0" applyBorder="0" applyAlignment="0" applyProtection="0"/>
    <xf numFmtId="179" fontId="35" fillId="0" borderId="0" applyFill="0" applyBorder="0" applyAlignment="0" applyProtection="0"/>
    <xf numFmtId="179" fontId="35" fillId="0" borderId="0" applyFill="0" applyBorder="0" applyAlignment="0" applyProtection="0"/>
    <xf numFmtId="177" fontId="35" fillId="0" borderId="0" applyFill="0" applyBorder="0" applyAlignment="0" applyProtection="0"/>
    <xf numFmtId="179" fontId="35" fillId="0" borderId="0" applyFill="0" applyBorder="0" applyAlignment="0" applyProtection="0"/>
    <xf numFmtId="14" fontId="101" fillId="0" borderId="0"/>
    <xf numFmtId="0" fontId="85" fillId="0" borderId="0"/>
    <xf numFmtId="222" fontId="66" fillId="12" borderId="56" applyProtection="0">
      <alignment vertical="center"/>
    </xf>
    <xf numFmtId="40" fontId="102" fillId="0" borderId="0" applyBorder="0">
      <alignment horizontal="right"/>
    </xf>
    <xf numFmtId="0" fontId="103" fillId="0" borderId="0"/>
    <xf numFmtId="254" fontId="42" fillId="0" borderId="2">
      <alignment horizontal="right" vertical="center"/>
    </xf>
    <xf numFmtId="255" fontId="83" fillId="0" borderId="61">
      <alignment horizontal="right" vertical="center"/>
    </xf>
    <xf numFmtId="256" fontId="104" fillId="0" borderId="61">
      <alignment horizontal="right" vertical="center"/>
    </xf>
    <xf numFmtId="256" fontId="104" fillId="0" borderId="61">
      <alignment horizontal="right" vertical="center"/>
    </xf>
    <xf numFmtId="256" fontId="104" fillId="0" borderId="61">
      <alignment horizontal="right" vertical="center"/>
    </xf>
    <xf numFmtId="256" fontId="104" fillId="0" borderId="61">
      <alignment horizontal="right" vertical="center"/>
    </xf>
    <xf numFmtId="256" fontId="104" fillId="0" borderId="61">
      <alignment horizontal="right" vertical="center"/>
    </xf>
    <xf numFmtId="256" fontId="104" fillId="0" borderId="61">
      <alignment horizontal="right" vertical="center"/>
    </xf>
    <xf numFmtId="257" fontId="3" fillId="0" borderId="2">
      <alignment horizontal="right" vertical="center"/>
    </xf>
    <xf numFmtId="258" fontId="42" fillId="0" borderId="61">
      <alignment horizontal="right" vertical="center"/>
    </xf>
    <xf numFmtId="259" fontId="83" fillId="0" borderId="61">
      <alignment horizontal="right" vertical="center"/>
    </xf>
    <xf numFmtId="259" fontId="83" fillId="0" borderId="61">
      <alignment horizontal="right" vertical="center"/>
    </xf>
    <xf numFmtId="259" fontId="83" fillId="0" borderId="61">
      <alignment horizontal="right" vertical="center"/>
    </xf>
    <xf numFmtId="259" fontId="83" fillId="0" borderId="61">
      <alignment horizontal="right" vertical="center"/>
    </xf>
    <xf numFmtId="259" fontId="83" fillId="0" borderId="61">
      <alignment horizontal="right" vertical="center"/>
    </xf>
    <xf numFmtId="260" fontId="105" fillId="0" borderId="2">
      <alignment horizontal="right" vertical="center"/>
    </xf>
    <xf numFmtId="259" fontId="83" fillId="0" borderId="61">
      <alignment horizontal="right" vertical="center"/>
    </xf>
    <xf numFmtId="258" fontId="42" fillId="0" borderId="61">
      <alignment horizontal="right" vertical="center"/>
    </xf>
    <xf numFmtId="259" fontId="83" fillId="0" borderId="61">
      <alignment horizontal="right" vertical="center"/>
    </xf>
    <xf numFmtId="261" fontId="105" fillId="0" borderId="61">
      <alignment horizontal="right" vertical="center"/>
    </xf>
    <xf numFmtId="259" fontId="83" fillId="0" borderId="61">
      <alignment horizontal="right" vertical="center"/>
    </xf>
    <xf numFmtId="256" fontId="104" fillId="0" borderId="61">
      <alignment horizontal="right" vertical="center"/>
    </xf>
    <xf numFmtId="259" fontId="83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2" fontId="3" fillId="0" borderId="61">
      <alignment horizontal="right" vertical="center"/>
    </xf>
    <xf numFmtId="262" fontId="3" fillId="0" borderId="61">
      <alignment horizontal="right" vertical="center"/>
    </xf>
    <xf numFmtId="262" fontId="3" fillId="0" borderId="61">
      <alignment horizontal="right" vertical="center"/>
    </xf>
    <xf numFmtId="261" fontId="105" fillId="0" borderId="61">
      <alignment horizontal="right" vertical="center"/>
    </xf>
    <xf numFmtId="262" fontId="3" fillId="0" borderId="61">
      <alignment horizontal="right" vertical="center"/>
    </xf>
    <xf numFmtId="262" fontId="3" fillId="0" borderId="61">
      <alignment horizontal="right" vertical="center"/>
    </xf>
    <xf numFmtId="262" fontId="3" fillId="0" borderId="61">
      <alignment horizontal="right" vertical="center"/>
    </xf>
    <xf numFmtId="262" fontId="3" fillId="0" borderId="61">
      <alignment horizontal="right" vertical="center"/>
    </xf>
    <xf numFmtId="262" fontId="3" fillId="0" borderId="61">
      <alignment horizontal="right" vertical="center"/>
    </xf>
    <xf numFmtId="262" fontId="3" fillId="0" borderId="61">
      <alignment horizontal="right" vertical="center"/>
    </xf>
    <xf numFmtId="262" fontId="3" fillId="0" borderId="61">
      <alignment horizontal="right" vertical="center"/>
    </xf>
    <xf numFmtId="262" fontId="3" fillId="0" borderId="61">
      <alignment horizontal="right" vertical="center"/>
    </xf>
    <xf numFmtId="262" fontId="3" fillId="0" borderId="61">
      <alignment horizontal="right" vertical="center"/>
    </xf>
    <xf numFmtId="258" fontId="42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2" fontId="3" fillId="0" borderId="61">
      <alignment horizontal="right" vertical="center"/>
    </xf>
    <xf numFmtId="258" fontId="42" fillId="0" borderId="61">
      <alignment horizontal="right" vertical="center"/>
    </xf>
    <xf numFmtId="262" fontId="3" fillId="0" borderId="61">
      <alignment horizontal="right" vertical="center"/>
    </xf>
    <xf numFmtId="261" fontId="105" fillId="0" borderId="61">
      <alignment horizontal="right" vertical="center"/>
    </xf>
    <xf numFmtId="259" fontId="83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58" fontId="42" fillId="0" borderId="61">
      <alignment horizontal="right" vertical="center"/>
    </xf>
    <xf numFmtId="258" fontId="42" fillId="0" borderId="61">
      <alignment horizontal="right" vertical="center"/>
    </xf>
    <xf numFmtId="261" fontId="105" fillId="0" borderId="61">
      <alignment horizontal="right" vertical="center"/>
    </xf>
    <xf numFmtId="258" fontId="42" fillId="0" borderId="61">
      <alignment horizontal="right" vertical="center"/>
    </xf>
    <xf numFmtId="258" fontId="42" fillId="0" borderId="61">
      <alignment horizontal="right" vertical="center"/>
    </xf>
    <xf numFmtId="258" fontId="42" fillId="0" borderId="61">
      <alignment horizontal="right" vertical="center"/>
    </xf>
    <xf numFmtId="258" fontId="42" fillId="0" borderId="61">
      <alignment horizontal="right" vertical="center"/>
    </xf>
    <xf numFmtId="258" fontId="42" fillId="0" borderId="61">
      <alignment horizontal="right" vertical="center"/>
    </xf>
    <xf numFmtId="258" fontId="42" fillId="0" borderId="61">
      <alignment horizontal="right" vertical="center"/>
    </xf>
    <xf numFmtId="258" fontId="42" fillId="0" borderId="61">
      <alignment horizontal="right" vertical="center"/>
    </xf>
    <xf numFmtId="255" fontId="83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56" fontId="104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61" fontId="105" fillId="0" borderId="61">
      <alignment horizontal="right" vertical="center"/>
    </xf>
    <xf numFmtId="255" fontId="83" fillId="0" borderId="61">
      <alignment horizontal="right" vertical="center"/>
    </xf>
    <xf numFmtId="258" fontId="42" fillId="0" borderId="61">
      <alignment horizontal="right" vertical="center"/>
    </xf>
    <xf numFmtId="261" fontId="105" fillId="0" borderId="61">
      <alignment horizontal="right" vertical="center"/>
    </xf>
    <xf numFmtId="3" fontId="106" fillId="0" borderId="54" applyFill="0" applyAlignment="0" applyProtection="0"/>
    <xf numFmtId="49" fontId="74" fillId="0" borderId="0" applyFill="0" applyBorder="0" applyAlignment="0"/>
    <xf numFmtId="263" fontId="3" fillId="0" borderId="0" applyFill="0" applyBorder="0" applyAlignment="0"/>
    <xf numFmtId="264" fontId="3" fillId="0" borderId="0" applyFill="0" applyBorder="0" applyAlignment="0"/>
    <xf numFmtId="265" fontId="107" fillId="0" borderId="2">
      <alignment horizontal="center"/>
    </xf>
    <xf numFmtId="40" fontId="66" fillId="0" borderId="0"/>
    <xf numFmtId="4" fontId="108" fillId="0" borderId="0">
      <alignment horizontal="left" indent="1"/>
    </xf>
    <xf numFmtId="0" fontId="109" fillId="0" borderId="62">
      <alignment horizontal="center"/>
    </xf>
    <xf numFmtId="176" fontId="35" fillId="0" borderId="0" applyFill="0" applyBorder="0" applyAlignment="0" applyProtection="0"/>
    <xf numFmtId="266" fontId="35" fillId="0" borderId="0" applyFill="0" applyBorder="0" applyAlignment="0" applyProtection="0"/>
    <xf numFmtId="239" fontId="35" fillId="0" borderId="0" applyFill="0" applyBorder="0" applyAlignment="0" applyProtection="0"/>
    <xf numFmtId="183" fontId="35" fillId="0" borderId="0" applyFill="0" applyBorder="0" applyAlignment="0" applyProtection="0"/>
    <xf numFmtId="267" fontId="35" fillId="0" borderId="0" applyFill="0" applyBorder="0" applyAlignment="0" applyProtection="0"/>
    <xf numFmtId="268" fontId="78" fillId="0" borderId="0"/>
    <xf numFmtId="269" fontId="78" fillId="0" borderId="1"/>
    <xf numFmtId="0" fontId="108" fillId="0" borderId="0"/>
    <xf numFmtId="0" fontId="110" fillId="0" borderId="0"/>
    <xf numFmtId="0" fontId="111" fillId="0" borderId="0"/>
    <xf numFmtId="0" fontId="110" fillId="0" borderId="0"/>
    <xf numFmtId="0" fontId="112" fillId="50" borderId="54">
      <alignment horizontal="left" vertical="center"/>
    </xf>
    <xf numFmtId="270" fontId="113" fillId="0" borderId="63">
      <alignment horizontal="left" vertical="top"/>
    </xf>
    <xf numFmtId="270" fontId="43" fillId="0" borderId="64">
      <alignment horizontal="left" vertical="top"/>
    </xf>
    <xf numFmtId="0" fontId="114" fillId="0" borderId="64">
      <alignment horizontal="left" vertical="center"/>
    </xf>
    <xf numFmtId="271" fontId="35" fillId="0" borderId="0" applyFill="0" applyBorder="0" applyAlignment="0" applyProtection="0"/>
    <xf numFmtId="272" fontId="35" fillId="0" borderId="0" applyFill="0" applyBorder="0" applyAlignment="0" applyProtection="0"/>
    <xf numFmtId="177" fontId="35" fillId="0" borderId="0" applyFill="0" applyBorder="0" applyAlignment="0" applyProtection="0"/>
    <xf numFmtId="227" fontId="35" fillId="0" borderId="0" applyFill="0" applyBorder="0" applyAlignment="0" applyProtection="0"/>
    <xf numFmtId="0" fontId="115" fillId="0" borderId="0" applyNumberFormat="0" applyFill="0" applyBorder="0" applyAlignment="0" applyProtection="0"/>
    <xf numFmtId="176" fontId="35" fillId="0" borderId="0" applyFill="0" applyBorder="0" applyAlignment="0" applyProtection="0"/>
    <xf numFmtId="0" fontId="100" fillId="0" borderId="0"/>
    <xf numFmtId="42" fontId="116" fillId="0" borderId="0" applyFont="0" applyFill="0" applyBorder="0" applyAlignment="0" applyProtection="0"/>
    <xf numFmtId="44" fontId="116" fillId="0" borderId="0" applyFont="0" applyFill="0" applyBorder="0" applyAlignment="0" applyProtection="0"/>
    <xf numFmtId="0" fontId="116" fillId="0" borderId="0"/>
    <xf numFmtId="0" fontId="117" fillId="0" borderId="0" applyFont="0" applyFill="0" applyBorder="0" applyAlignment="0" applyProtection="0"/>
    <xf numFmtId="0" fontId="117" fillId="0" borderId="0" applyFont="0" applyFill="0" applyBorder="0" applyAlignment="0" applyProtection="0"/>
    <xf numFmtId="0" fontId="61" fillId="0" borderId="0">
      <alignment vertical="center"/>
    </xf>
    <xf numFmtId="40" fontId="118" fillId="0" borderId="0" applyFont="0" applyFill="0" applyBorder="0" applyAlignment="0" applyProtection="0"/>
    <xf numFmtId="38" fontId="118" fillId="0" borderId="0" applyFont="0" applyFill="0" applyBorder="0" applyAlignment="0" applyProtection="0"/>
    <xf numFmtId="0" fontId="118" fillId="0" borderId="0" applyFont="0" applyFill="0" applyBorder="0" applyAlignment="0" applyProtection="0"/>
    <xf numFmtId="0" fontId="118" fillId="0" borderId="0" applyFont="0" applyFill="0" applyBorder="0" applyAlignment="0" applyProtection="0"/>
    <xf numFmtId="9" fontId="119" fillId="0" borderId="0" applyFont="0" applyFill="0" applyBorder="0" applyAlignment="0" applyProtection="0"/>
    <xf numFmtId="0" fontId="120" fillId="0" borderId="0"/>
    <xf numFmtId="273" fontId="121" fillId="0" borderId="0" applyFont="0" applyFill="0" applyBorder="0" applyAlignment="0" applyProtection="0"/>
    <xf numFmtId="27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6" fillId="0" borderId="0" applyFont="0" applyFill="0" applyBorder="0" applyAlignment="0" applyProtection="0"/>
    <xf numFmtId="0" fontId="36" fillId="0" borderId="0" applyFont="0" applyFill="0" applyBorder="0" applyAlignment="0" applyProtection="0"/>
    <xf numFmtId="203" fontId="35" fillId="0" borderId="0" applyFill="0" applyBorder="0" applyAlignment="0" applyProtection="0"/>
    <xf numFmtId="275" fontId="35" fillId="0" borderId="0" applyFill="0" applyBorder="0" applyAlignment="0" applyProtection="0"/>
    <xf numFmtId="0" fontId="122" fillId="0" borderId="0"/>
    <xf numFmtId="0" fontId="73" fillId="0" borderId="0"/>
    <xf numFmtId="0" fontId="123" fillId="0" borderId="0"/>
    <xf numFmtId="0" fontId="86" fillId="0" borderId="0"/>
    <xf numFmtId="0" fontId="124" fillId="42" borderId="0" applyNumberFormat="0" applyBorder="0" applyAlignment="0" applyProtection="0"/>
    <xf numFmtId="0" fontId="35" fillId="51" borderId="65" applyNumberFormat="0" applyAlignment="0" applyProtection="0"/>
    <xf numFmtId="173" fontId="20" fillId="0" borderId="0" applyFont="0" applyFill="0" applyBorder="0" applyAlignment="0" applyProtection="0"/>
    <xf numFmtId="174" fontId="20" fillId="0" borderId="0" applyFont="0" applyFill="0" applyBorder="0" applyAlignment="0" applyProtection="0"/>
    <xf numFmtId="0" fontId="125" fillId="0" borderId="66" applyNumberFormat="0" applyFill="0" applyAlignment="0" applyProtection="0"/>
    <xf numFmtId="0" fontId="126" fillId="14" borderId="0" applyNumberFormat="0" applyBorder="0" applyAlignment="0" applyProtection="0"/>
    <xf numFmtId="0" fontId="127" fillId="15" borderId="0" applyNumberFormat="0" applyBorder="0" applyAlignment="0" applyProtection="0"/>
    <xf numFmtId="0" fontId="3" fillId="0" borderId="0"/>
    <xf numFmtId="190" fontId="35" fillId="0" borderId="0" applyFill="0" applyBorder="0" applyAlignment="0" applyProtection="0"/>
    <xf numFmtId="199" fontId="35" fillId="0" borderId="0" applyFill="0" applyBorder="0" applyAlignment="0" applyProtection="0"/>
    <xf numFmtId="204" fontId="35" fillId="0" borderId="0" applyFill="0" applyBorder="0" applyAlignment="0" applyProtection="0"/>
    <xf numFmtId="205" fontId="35" fillId="0" borderId="0" applyFill="0" applyBorder="0" applyAlignment="0" applyProtection="0"/>
    <xf numFmtId="0" fontId="3" fillId="0" borderId="0"/>
    <xf numFmtId="0" fontId="128" fillId="0" borderId="0" applyNumberFormat="0" applyFill="0" applyBorder="0" applyAlignment="0" applyProtection="0"/>
    <xf numFmtId="0" fontId="129" fillId="0" borderId="67" applyNumberFormat="0" applyFill="0" applyAlignment="0" applyProtection="0"/>
    <xf numFmtId="0" fontId="130" fillId="0" borderId="68" applyNumberFormat="0" applyFill="0" applyAlignment="0" applyProtection="0"/>
    <xf numFmtId="0" fontId="131" fillId="0" borderId="69" applyNumberFormat="0" applyFill="0" applyAlignment="0" applyProtection="0"/>
    <xf numFmtId="0" fontId="131" fillId="0" borderId="0" applyNumberFormat="0" applyFill="0" applyBorder="0" applyAlignment="0" applyProtection="0"/>
    <xf numFmtId="0" fontId="132" fillId="35" borderId="70" applyNumberFormat="0" applyAlignment="0" applyProtection="0"/>
    <xf numFmtId="206" fontId="35" fillId="0" borderId="0" applyFill="0" applyBorder="0" applyAlignment="0" applyProtection="0"/>
    <xf numFmtId="207" fontId="35" fillId="0" borderId="0" applyFill="0" applyBorder="0" applyAlignment="0" applyProtection="0"/>
    <xf numFmtId="0" fontId="133" fillId="12" borderId="71" applyNumberFormat="0" applyAlignment="0" applyProtection="0"/>
    <xf numFmtId="0" fontId="134" fillId="0" borderId="0" applyNumberFormat="0" applyFill="0" applyBorder="0" applyAlignment="0" applyProtection="0"/>
    <xf numFmtId="0" fontId="135" fillId="0" borderId="0" applyNumberFormat="0" applyFill="0" applyBorder="0" applyAlignment="0" applyProtection="0"/>
    <xf numFmtId="168" fontId="20" fillId="0" borderId="0" applyFont="0" applyFill="0" applyBorder="0" applyAlignment="0" applyProtection="0"/>
    <xf numFmtId="6" fontId="136" fillId="0" borderId="0" applyFont="0" applyFill="0" applyBorder="0" applyAlignment="0" applyProtection="0"/>
    <xf numFmtId="276" fontId="20" fillId="0" borderId="0" applyFont="0" applyFill="0" applyBorder="0" applyAlignment="0" applyProtection="0"/>
    <xf numFmtId="0" fontId="137" fillId="0" borderId="0" applyNumberFormat="0" applyFill="0" applyBorder="0" applyAlignment="0" applyProtection="0"/>
    <xf numFmtId="0" fontId="55" fillId="52" borderId="0" applyNumberFormat="0" applyBorder="0" applyAlignment="0" applyProtection="0"/>
    <xf numFmtId="0" fontId="55" fillId="44" borderId="0" applyNumberFormat="0" applyBorder="0" applyAlignment="0" applyProtection="0"/>
    <xf numFmtId="0" fontId="55" fillId="46" borderId="0" applyNumberFormat="0" applyBorder="0" applyAlignment="0" applyProtection="0"/>
    <xf numFmtId="0" fontId="55" fillId="24" borderId="0" applyNumberFormat="0" applyBorder="0" applyAlignment="0" applyProtection="0"/>
    <xf numFmtId="0" fontId="55" fillId="25" borderId="0" applyNumberFormat="0" applyBorder="0" applyAlignment="0" applyProtection="0"/>
    <xf numFmtId="0" fontId="55" fillId="53" borderId="0" applyNumberFormat="0" applyBorder="0" applyAlignment="0" applyProtection="0"/>
    <xf numFmtId="0" fontId="138" fillId="18" borderId="71" applyNumberFormat="0" applyAlignment="0" applyProtection="0"/>
    <xf numFmtId="0" fontId="139" fillId="12" borderId="72" applyNumberFormat="0" applyAlignment="0" applyProtection="0"/>
    <xf numFmtId="227" fontId="35" fillId="0" borderId="0" applyFill="0" applyBorder="0" applyAlignment="0" applyProtection="0"/>
    <xf numFmtId="177" fontId="35" fillId="0" borderId="0" applyFill="0" applyBorder="0" applyAlignment="0" applyProtection="0"/>
    <xf numFmtId="0" fontId="140" fillId="0" borderId="73" applyNumberFormat="0" applyFill="0" applyAlignment="0" applyProtection="0"/>
    <xf numFmtId="0" fontId="141" fillId="0" borderId="0" applyNumberFormat="0" applyFill="0" applyBorder="0" applyAlignment="0" applyProtection="0"/>
    <xf numFmtId="0" fontId="143" fillId="0" borderId="0" applyNumberFormat="0" applyFill="0" applyBorder="0" applyAlignment="0" applyProtection="0"/>
  </cellStyleXfs>
  <cellXfs count="309">
    <xf numFmtId="0" fontId="0" fillId="0" borderId="0" xfId="0"/>
    <xf numFmtId="0" fontId="2" fillId="2" borderId="1" xfId="0" applyFont="1" applyFill="1" applyBorder="1" applyAlignment="1" applyProtection="1">
      <alignment horizontal="left" vertical="center"/>
    </xf>
    <xf numFmtId="0" fontId="3" fillId="3" borderId="1" xfId="0" applyFont="1" applyFill="1" applyBorder="1" applyAlignment="1" applyProtection="1">
      <alignment horizontal="center" vertical="center"/>
      <protection locked="0"/>
    </xf>
    <xf numFmtId="49" fontId="1" fillId="2" borderId="0" xfId="0" applyNumberFormat="1" applyFont="1" applyFill="1" applyAlignment="1" applyProtection="1">
      <alignment horizontal="center"/>
    </xf>
    <xf numFmtId="0" fontId="2" fillId="2" borderId="0" xfId="0" applyFont="1" applyFill="1" applyProtection="1"/>
    <xf numFmtId="0" fontId="1" fillId="2" borderId="0" xfId="0" applyFont="1" applyFill="1" applyProtection="1"/>
    <xf numFmtId="0" fontId="2" fillId="3" borderId="1" xfId="0" applyFont="1" applyFill="1" applyBorder="1" applyAlignment="1" applyProtection="1">
      <alignment horizontal="center"/>
      <protection locked="0"/>
    </xf>
    <xf numFmtId="0" fontId="1" fillId="2" borderId="0" xfId="0" applyFont="1" applyFill="1" applyProtection="1">
      <protection locked="0"/>
    </xf>
    <xf numFmtId="0" fontId="1" fillId="2" borderId="0" xfId="0" applyFont="1" applyFill="1" applyBorder="1" applyProtection="1">
      <protection hidden="1"/>
    </xf>
    <xf numFmtId="0" fontId="2" fillId="2" borderId="5" xfId="0" applyFont="1" applyFill="1" applyBorder="1" applyAlignment="1" applyProtection="1">
      <alignment horizontal="left" vertical="center"/>
    </xf>
    <xf numFmtId="0" fontId="2" fillId="2" borderId="6" xfId="0" applyFont="1" applyFill="1" applyBorder="1" applyAlignment="1" applyProtection="1">
      <alignment horizontal="left" vertical="center"/>
    </xf>
    <xf numFmtId="0" fontId="4" fillId="3" borderId="7" xfId="0" applyFont="1" applyFill="1" applyBorder="1" applyAlignment="1" applyProtection="1">
      <alignment horizontal="center" vertical="center"/>
      <protection locked="0"/>
    </xf>
    <xf numFmtId="0" fontId="2" fillId="2" borderId="0" xfId="0" applyFont="1" applyFill="1" applyAlignment="1" applyProtection="1">
      <alignment horizontal="center" vertical="center"/>
    </xf>
    <xf numFmtId="0" fontId="2" fillId="2" borderId="0" xfId="0" applyFont="1" applyFill="1" applyProtection="1"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164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6" fillId="2" borderId="1" xfId="0" applyNumberFormat="1" applyFont="1" applyFill="1" applyBorder="1" applyAlignment="1" applyProtection="1">
      <alignment horizontal="center" vertical="center"/>
    </xf>
    <xf numFmtId="0" fontId="6" fillId="2" borderId="0" xfId="0" applyFont="1" applyFill="1" applyAlignment="1" applyProtection="1">
      <alignment horizontal="center" vertical="center"/>
    </xf>
    <xf numFmtId="164" fontId="2" fillId="2" borderId="1" xfId="0" applyNumberFormat="1" applyFont="1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8" fillId="3" borderId="7" xfId="0" applyFont="1" applyFill="1" applyBorder="1" applyAlignment="1" applyProtection="1">
      <alignment horizontal="left" vertical="center"/>
      <protection locked="0"/>
    </xf>
    <xf numFmtId="0" fontId="2" fillId="2" borderId="1" xfId="0" applyFont="1" applyFill="1" applyBorder="1" applyAlignment="1" applyProtection="1">
      <alignment horizontal="center" vertical="center" wrapText="1"/>
    </xf>
    <xf numFmtId="164" fontId="2" fillId="2" borderId="0" xfId="0" applyNumberFormat="1" applyFont="1" applyFill="1" applyProtection="1"/>
    <xf numFmtId="0" fontId="8" fillId="3" borderId="1" xfId="0" applyFont="1" applyFill="1" applyBorder="1" applyProtection="1">
      <protection locked="0"/>
    </xf>
    <xf numFmtId="164" fontId="4" fillId="3" borderId="1" xfId="0" applyNumberFormat="1" applyFont="1" applyFill="1" applyBorder="1" applyAlignment="1" applyProtection="1">
      <alignment horizontal="center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/>
      <protection locked="0"/>
    </xf>
    <xf numFmtId="0" fontId="3" fillId="2" borderId="0" xfId="0" applyFont="1" applyFill="1" applyProtection="1"/>
    <xf numFmtId="164" fontId="2" fillId="2" borderId="0" xfId="0" applyNumberFormat="1" applyFont="1" applyFill="1" applyAlignment="1" applyProtection="1">
      <alignment horizontal="center"/>
    </xf>
    <xf numFmtId="0" fontId="2" fillId="2" borderId="10" xfId="0" applyFont="1" applyFill="1" applyBorder="1" applyAlignment="1" applyProtection="1"/>
    <xf numFmtId="0" fontId="2" fillId="3" borderId="8" xfId="0" applyFont="1" applyFill="1" applyBorder="1" applyAlignment="1" applyProtection="1">
      <alignment horizontal="center"/>
      <protection locked="0"/>
    </xf>
    <xf numFmtId="0" fontId="2" fillId="2" borderId="0" xfId="0" applyFont="1" applyFill="1" applyAlignment="1" applyProtection="1">
      <alignment horizontal="center"/>
      <protection locked="0"/>
    </xf>
    <xf numFmtId="0" fontId="2" fillId="2" borderId="0" xfId="0" applyFont="1" applyFill="1" applyBorder="1" applyAlignment="1" applyProtection="1">
      <alignment horizontal="center"/>
      <protection locked="0"/>
    </xf>
    <xf numFmtId="49" fontId="1" fillId="2" borderId="0" xfId="0" applyNumberFormat="1" applyFont="1" applyFill="1" applyAlignment="1" applyProtection="1">
      <alignment horizontal="center"/>
      <protection hidden="1"/>
    </xf>
    <xf numFmtId="0" fontId="2" fillId="2" borderId="5" xfId="0" applyFont="1" applyFill="1" applyBorder="1" applyAlignment="1" applyProtection="1"/>
    <xf numFmtId="0" fontId="2" fillId="3" borderId="11" xfId="0" applyFont="1" applyFill="1" applyBorder="1" applyAlignment="1" applyProtection="1">
      <alignment horizontal="center"/>
      <protection locked="0"/>
    </xf>
    <xf numFmtId="0" fontId="2" fillId="2" borderId="0" xfId="0" applyFont="1" applyFill="1" applyBorder="1" applyAlignment="1">
      <alignment horizontal="center"/>
    </xf>
    <xf numFmtId="0" fontId="2" fillId="2" borderId="0" xfId="0" applyFont="1" applyFill="1" applyBorder="1" applyAlignment="1" applyProtection="1"/>
    <xf numFmtId="0" fontId="14" fillId="2" borderId="0" xfId="0" applyFont="1" applyFill="1" applyAlignment="1" applyProtection="1">
      <alignment vertical="center"/>
    </xf>
    <xf numFmtId="0" fontId="4" fillId="3" borderId="10" xfId="0" applyFont="1" applyFill="1" applyBorder="1" applyAlignment="1" applyProtection="1">
      <alignment horizontal="center" vertical="center"/>
      <protection locked="0"/>
    </xf>
    <xf numFmtId="0" fontId="4" fillId="3" borderId="10" xfId="0" applyNumberFormat="1" applyFont="1" applyFill="1" applyBorder="1" applyAlignment="1" applyProtection="1">
      <alignment horizontal="center"/>
      <protection locked="0"/>
    </xf>
    <xf numFmtId="0" fontId="4" fillId="3" borderId="7" xfId="0" applyFont="1" applyFill="1" applyBorder="1" applyAlignment="1" applyProtection="1">
      <alignment horizontal="center"/>
      <protection locked="0"/>
    </xf>
    <xf numFmtId="0" fontId="2" fillId="2" borderId="1" xfId="0" applyFont="1" applyFill="1" applyBorder="1" applyAlignment="1" applyProtection="1">
      <alignment horizontal="center"/>
    </xf>
    <xf numFmtId="0" fontId="1" fillId="2" borderId="0" xfId="0" applyFont="1" applyFill="1" applyAlignment="1" applyProtection="1">
      <alignment horizontal="center"/>
      <protection locked="0"/>
    </xf>
    <xf numFmtId="0" fontId="4" fillId="3" borderId="10" xfId="0" applyFont="1" applyFill="1" applyBorder="1" applyAlignment="1" applyProtection="1">
      <alignment horizontal="center"/>
      <protection locked="0"/>
    </xf>
    <xf numFmtId="49" fontId="4" fillId="3" borderId="1" xfId="0" applyNumberFormat="1" applyFont="1" applyFill="1" applyBorder="1" applyAlignment="1" applyProtection="1">
      <alignment horizontal="center"/>
      <protection locked="0"/>
    </xf>
    <xf numFmtId="0" fontId="3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Alignment="1" applyProtection="1">
      <alignment horizontal="center" vertical="center"/>
      <protection locked="0"/>
    </xf>
    <xf numFmtId="0" fontId="17" fillId="3" borderId="0" xfId="0" applyFont="1" applyFill="1" applyAlignment="1" applyProtection="1">
      <alignment horizontal="center" vertical="center"/>
      <protection locked="0"/>
    </xf>
    <xf numFmtId="0" fontId="4" fillId="3" borderId="0" xfId="0" applyFont="1" applyFill="1" applyAlignment="1" applyProtection="1">
      <alignment horizontal="center" vertical="center"/>
      <protection locked="0"/>
    </xf>
    <xf numFmtId="0" fontId="2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1" fillId="2" borderId="0" xfId="0" applyFont="1" applyFill="1" applyBorder="1" applyAlignment="1" applyProtection="1">
      <alignment horizontal="center"/>
    </xf>
    <xf numFmtId="0" fontId="3" fillId="2" borderId="0" xfId="0" applyFont="1" applyFill="1" applyAlignment="1">
      <alignment horizontal="center"/>
    </xf>
    <xf numFmtId="0" fontId="18" fillId="0" borderId="0" xfId="0" applyFont="1"/>
    <xf numFmtId="0" fontId="17" fillId="2" borderId="0" xfId="0" applyFont="1" applyFill="1" applyAlignment="1" applyProtection="1">
      <alignment horizontal="center" vertical="center"/>
    </xf>
    <xf numFmtId="164" fontId="3" fillId="2" borderId="0" xfId="0" applyNumberFormat="1" applyFont="1" applyFill="1" applyProtection="1"/>
    <xf numFmtId="0" fontId="3" fillId="2" borderId="0" xfId="0" applyFont="1" applyFill="1" applyAlignment="1" applyProtection="1">
      <alignment horizontal="center" vertical="center"/>
    </xf>
    <xf numFmtId="0" fontId="1" fillId="2" borderId="0" xfId="0" applyFont="1" applyFill="1" applyBorder="1" applyAlignment="1" applyProtection="1">
      <alignment horizontal="center" vertical="center"/>
      <protection hidden="1"/>
    </xf>
    <xf numFmtId="0" fontId="1" fillId="2" borderId="0" xfId="0" applyFont="1" applyFill="1" applyBorder="1" applyAlignment="1" applyProtection="1">
      <alignment horizontal="center"/>
      <protection hidden="1"/>
    </xf>
    <xf numFmtId="2" fontId="1" fillId="2" borderId="0" xfId="0" applyNumberFormat="1" applyFont="1" applyFill="1" applyBorder="1" applyProtection="1">
      <protection hidden="1"/>
    </xf>
    <xf numFmtId="0" fontId="10" fillId="2" borderId="0" xfId="0" applyFont="1" applyFill="1" applyBorder="1" applyProtection="1">
      <protection hidden="1"/>
    </xf>
    <xf numFmtId="165" fontId="1" fillId="2" borderId="0" xfId="0" applyNumberFormat="1" applyFont="1" applyFill="1" applyAlignment="1">
      <alignment horizontal="center"/>
    </xf>
    <xf numFmtId="0" fontId="1" fillId="2" borderId="0" xfId="0" applyFont="1" applyFill="1" applyAlignment="1" applyProtection="1">
      <alignment horizontal="center"/>
    </xf>
    <xf numFmtId="0" fontId="3" fillId="2" borderId="13" xfId="0" applyFont="1" applyFill="1" applyBorder="1" applyAlignment="1" applyProtection="1">
      <alignment horizontal="center" vertical="center"/>
    </xf>
    <xf numFmtId="49" fontId="16" fillId="5" borderId="22" xfId="0" applyNumberFormat="1" applyFont="1" applyFill="1" applyBorder="1" applyAlignment="1" applyProtection="1">
      <alignment horizontal="center" vertical="center"/>
      <protection locked="0"/>
    </xf>
    <xf numFmtId="49" fontId="20" fillId="2" borderId="21" xfId="0" applyNumberFormat="1" applyFont="1" applyFill="1" applyBorder="1" applyAlignment="1" applyProtection="1">
      <alignment horizontal="center" vertical="center"/>
      <protection locked="0"/>
    </xf>
    <xf numFmtId="49" fontId="16" fillId="5" borderId="0" xfId="0" applyNumberFormat="1" applyFont="1" applyFill="1" applyBorder="1" applyAlignment="1" applyProtection="1">
      <alignment horizontal="center" vertical="center"/>
      <protection locked="0"/>
    </xf>
    <xf numFmtId="0" fontId="3" fillId="2" borderId="31" xfId="0" applyFont="1" applyFill="1" applyBorder="1" applyAlignment="1" applyProtection="1">
      <alignment horizontal="center" vertical="center"/>
    </xf>
    <xf numFmtId="49" fontId="16" fillId="5" borderId="23" xfId="0" applyNumberFormat="1" applyFont="1" applyFill="1" applyBorder="1" applyAlignment="1" applyProtection="1">
      <alignment horizontal="center" vertical="center"/>
      <protection locked="0"/>
    </xf>
    <xf numFmtId="49" fontId="20" fillId="5" borderId="24" xfId="0" applyNumberFormat="1" applyFont="1" applyFill="1" applyBorder="1" applyAlignment="1" applyProtection="1">
      <alignment horizontal="center" vertical="center"/>
      <protection locked="0"/>
    </xf>
    <xf numFmtId="49" fontId="20" fillId="5" borderId="0" xfId="0" applyNumberFormat="1" applyFont="1" applyFill="1" applyBorder="1" applyAlignment="1" applyProtection="1">
      <alignment horizontal="center" vertical="center"/>
      <protection locked="0"/>
    </xf>
    <xf numFmtId="49" fontId="16" fillId="5" borderId="25" xfId="0" applyNumberFormat="1" applyFont="1" applyFill="1" applyBorder="1" applyAlignment="1" applyProtection="1">
      <alignment horizontal="center" vertical="center"/>
      <protection locked="0"/>
    </xf>
    <xf numFmtId="49" fontId="20" fillId="5" borderId="23" xfId="0" applyNumberFormat="1" applyFont="1" applyFill="1" applyBorder="1" applyAlignment="1" applyProtection="1">
      <alignment horizontal="center" vertical="center"/>
      <protection locked="0"/>
    </xf>
    <xf numFmtId="49" fontId="20" fillId="5" borderId="26" xfId="0" applyNumberFormat="1" applyFont="1" applyFill="1" applyBorder="1" applyAlignment="1" applyProtection="1">
      <alignment horizontal="center" vertical="center"/>
      <protection locked="0"/>
    </xf>
    <xf numFmtId="49" fontId="20" fillId="5" borderId="28" xfId="0" applyNumberFormat="1" applyFont="1" applyFill="1" applyBorder="1" applyAlignment="1" applyProtection="1">
      <alignment horizontal="center" vertical="center"/>
      <protection locked="0"/>
    </xf>
    <xf numFmtId="49" fontId="16" fillId="3" borderId="27" xfId="0" applyNumberFormat="1" applyFont="1" applyFill="1" applyBorder="1" applyAlignment="1" applyProtection="1">
      <alignment horizontal="center" vertical="center"/>
      <protection locked="0"/>
    </xf>
    <xf numFmtId="0" fontId="3" fillId="2" borderId="0" xfId="0" applyNumberFormat="1" applyFont="1" applyFill="1" applyBorder="1" applyAlignment="1" applyProtection="1">
      <alignment horizontal="center" vertical="center"/>
    </xf>
    <xf numFmtId="0" fontId="3" fillId="2" borderId="9" xfId="0" applyFont="1" applyFill="1" applyBorder="1" applyAlignment="1" applyProtection="1">
      <alignment horizontal="center" vertical="center"/>
      <protection locked="0"/>
    </xf>
    <xf numFmtId="0" fontId="3" fillId="2" borderId="29" xfId="0" applyFont="1" applyFill="1" applyBorder="1" applyAlignment="1" applyProtection="1">
      <alignment horizontal="center" vertical="center"/>
      <protection locked="0"/>
    </xf>
    <xf numFmtId="0" fontId="3" fillId="2" borderId="35" xfId="0" applyFont="1" applyFill="1" applyBorder="1" applyAlignment="1" applyProtection="1">
      <alignment horizontal="center" vertical="center"/>
      <protection locked="0"/>
    </xf>
    <xf numFmtId="0" fontId="3" fillId="2" borderId="37" xfId="0" applyFont="1" applyFill="1" applyBorder="1" applyAlignment="1" applyProtection="1">
      <alignment horizontal="center" vertical="center"/>
      <protection locked="0"/>
    </xf>
    <xf numFmtId="0" fontId="7" fillId="2" borderId="0" xfId="0" applyFont="1" applyFill="1" applyAlignment="1" applyProtection="1">
      <alignment horizontal="center" vertical="center"/>
      <protection locked="0"/>
    </xf>
    <xf numFmtId="0" fontId="2" fillId="2" borderId="0" xfId="0" applyFont="1" applyFill="1" applyBorder="1" applyAlignment="1">
      <alignment horizontal="center" vertical="center"/>
    </xf>
    <xf numFmtId="0" fontId="4" fillId="3" borderId="38" xfId="0" applyFont="1" applyFill="1" applyBorder="1" applyAlignment="1" applyProtection="1">
      <alignment horizontal="center" vertical="center"/>
      <protection locked="0"/>
    </xf>
    <xf numFmtId="49" fontId="4" fillId="2" borderId="39" xfId="0" applyNumberFormat="1" applyFont="1" applyFill="1" applyBorder="1" applyAlignment="1" applyProtection="1">
      <alignment horizontal="center"/>
      <protection locked="0"/>
    </xf>
    <xf numFmtId="0" fontId="4" fillId="3" borderId="40" xfId="0" applyFont="1" applyFill="1" applyBorder="1" applyAlignment="1" applyProtection="1">
      <alignment horizontal="center" vertical="center"/>
      <protection locked="0"/>
    </xf>
    <xf numFmtId="49" fontId="4" fillId="2" borderId="41" xfId="0" applyNumberFormat="1" applyFont="1" applyFill="1" applyBorder="1" applyAlignment="1" applyProtection="1">
      <alignment horizontal="center"/>
      <protection locked="0"/>
    </xf>
    <xf numFmtId="165" fontId="3" fillId="2" borderId="0" xfId="0" applyNumberFormat="1" applyFont="1" applyFill="1" applyBorder="1" applyAlignment="1">
      <alignment vertical="center"/>
    </xf>
    <xf numFmtId="165" fontId="3" fillId="2" borderId="0" xfId="0" applyNumberFormat="1" applyFont="1" applyFill="1" applyAlignment="1">
      <alignment horizontal="center"/>
    </xf>
    <xf numFmtId="0" fontId="4" fillId="3" borderId="42" xfId="0" applyFont="1" applyFill="1" applyBorder="1" applyAlignment="1" applyProtection="1">
      <alignment horizontal="center" vertical="center"/>
      <protection locked="0"/>
    </xf>
    <xf numFmtId="49" fontId="4" fillId="2" borderId="43" xfId="0" applyNumberFormat="1" applyFont="1" applyFill="1" applyBorder="1" applyAlignment="1" applyProtection="1">
      <alignment horizontal="center"/>
      <protection locked="0"/>
    </xf>
    <xf numFmtId="49" fontId="4" fillId="2" borderId="0" xfId="0" applyNumberFormat="1" applyFont="1" applyFill="1" applyBorder="1" applyAlignment="1" applyProtection="1">
      <alignment horizontal="center"/>
      <protection locked="0"/>
    </xf>
    <xf numFmtId="0" fontId="1" fillId="2" borderId="0" xfId="0" applyFont="1" applyFill="1" applyBorder="1" applyAlignment="1">
      <alignment horizontal="center"/>
    </xf>
    <xf numFmtId="0" fontId="1" fillId="2" borderId="0" xfId="0" applyNumberFormat="1" applyFont="1" applyFill="1" applyBorder="1" applyAlignment="1" applyProtection="1">
      <alignment horizontal="center"/>
      <protection locked="0"/>
    </xf>
    <xf numFmtId="0" fontId="1" fillId="2" borderId="0" xfId="0" applyFont="1" applyFill="1" applyBorder="1" applyAlignment="1" applyProtection="1">
      <alignment horizontal="center" vertical="center"/>
      <protection locked="0"/>
    </xf>
    <xf numFmtId="49" fontId="1" fillId="2" borderId="0" xfId="0" applyNumberFormat="1" applyFont="1" applyFill="1" applyBorder="1" applyAlignment="1" applyProtection="1">
      <alignment horizontal="center"/>
      <protection locked="0"/>
    </xf>
    <xf numFmtId="0" fontId="1" fillId="2" borderId="0" xfId="0" applyFont="1" applyFill="1" applyBorder="1" applyAlignment="1" applyProtection="1">
      <alignment horizontal="center"/>
      <protection locked="0"/>
    </xf>
    <xf numFmtId="0" fontId="2" fillId="2" borderId="1" xfId="0" applyFont="1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/>
      <protection locked="0"/>
    </xf>
    <xf numFmtId="0" fontId="3" fillId="2" borderId="0" xfId="0" applyFont="1" applyFill="1" applyAlignment="1" applyProtection="1">
      <alignment horizontal="center" vertical="center"/>
      <protection locked="0"/>
    </xf>
    <xf numFmtId="0" fontId="17" fillId="2" borderId="0" xfId="0" applyFont="1" applyFill="1" applyAlignment="1" applyProtection="1">
      <alignment horizontal="center" vertical="center"/>
      <protection locked="0"/>
    </xf>
    <xf numFmtId="0" fontId="3" fillId="2" borderId="9" xfId="0" applyFont="1" applyFill="1" applyBorder="1" applyAlignment="1" applyProtection="1">
      <alignment horizontal="left" vertical="center"/>
    </xf>
    <xf numFmtId="0" fontId="4" fillId="3" borderId="12" xfId="0" applyFont="1" applyFill="1" applyBorder="1" applyAlignment="1" applyProtection="1">
      <alignment horizontal="center" vertical="center"/>
      <protection locked="0"/>
    </xf>
    <xf numFmtId="0" fontId="4" fillId="3" borderId="9" xfId="0" applyFont="1" applyFill="1" applyBorder="1" applyAlignment="1" applyProtection="1">
      <alignment horizontal="center" vertical="center"/>
      <protection locked="0"/>
    </xf>
    <xf numFmtId="0" fontId="2" fillId="2" borderId="0" xfId="0" applyFont="1" applyFill="1" applyAlignment="1" applyProtection="1">
      <alignment horizontal="center" vertical="center"/>
      <protection locked="0"/>
    </xf>
    <xf numFmtId="0" fontId="4" fillId="3" borderId="32" xfId="0" applyFont="1" applyFill="1" applyBorder="1" applyAlignment="1" applyProtection="1">
      <alignment horizontal="center" vertical="center"/>
      <protection locked="0"/>
    </xf>
    <xf numFmtId="0" fontId="4" fillId="3" borderId="34" xfId="0" applyFont="1" applyFill="1" applyBorder="1" applyAlignment="1" applyProtection="1">
      <alignment horizontal="center" vertical="center"/>
      <protection locked="0"/>
    </xf>
    <xf numFmtId="0" fontId="4" fillId="3" borderId="36" xfId="0" applyFont="1" applyFill="1" applyBorder="1" applyAlignment="1" applyProtection="1">
      <alignment horizontal="center" vertical="center"/>
      <protection locked="0"/>
    </xf>
    <xf numFmtId="0" fontId="3" fillId="2" borderId="33" xfId="0" applyFont="1" applyFill="1" applyBorder="1" applyAlignment="1" applyProtection="1">
      <alignment horizontal="center" vertical="center"/>
      <protection locked="0"/>
    </xf>
    <xf numFmtId="0" fontId="3" fillId="2" borderId="12" xfId="0" applyFont="1" applyFill="1" applyBorder="1" applyAlignment="1" applyProtection="1">
      <alignment vertical="center"/>
    </xf>
    <xf numFmtId="0" fontId="4" fillId="3" borderId="0" xfId="0" applyFont="1" applyFill="1" applyBorder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center" vertical="center"/>
    </xf>
    <xf numFmtId="0" fontId="3" fillId="2" borderId="0" xfId="0" applyNumberFormat="1" applyFont="1" applyFill="1" applyAlignment="1" applyProtection="1">
      <alignment horizontal="center" vertical="center"/>
    </xf>
    <xf numFmtId="0" fontId="2" fillId="2" borderId="1" xfId="0" applyFont="1" applyFill="1" applyBorder="1" applyAlignment="1" applyProtection="1">
      <alignment vertical="center"/>
    </xf>
    <xf numFmtId="0" fontId="2" fillId="2" borderId="8" xfId="0" applyFont="1" applyFill="1" applyBorder="1" applyAlignment="1" applyProtection="1">
      <alignment vertical="center"/>
    </xf>
    <xf numFmtId="0" fontId="2" fillId="2" borderId="11" xfId="0" applyFont="1" applyFill="1" applyBorder="1" applyAlignment="1" applyProtection="1">
      <alignment vertical="center"/>
    </xf>
    <xf numFmtId="0" fontId="2" fillId="2" borderId="10" xfId="0" applyFont="1" applyFill="1" applyBorder="1" applyAlignment="1" applyProtection="1">
      <alignment vertical="center"/>
    </xf>
    <xf numFmtId="0" fontId="2" fillId="2" borderId="7" xfId="0" applyFont="1" applyFill="1" applyBorder="1" applyAlignment="1" applyProtection="1">
      <alignment vertical="center"/>
    </xf>
    <xf numFmtId="0" fontId="2" fillId="2" borderId="21" xfId="0" applyFont="1" applyFill="1" applyBorder="1" applyAlignment="1" applyProtection="1">
      <alignment vertical="center"/>
    </xf>
    <xf numFmtId="0" fontId="3" fillId="0" borderId="21" xfId="0" applyFont="1" applyBorder="1" applyAlignment="1" applyProtection="1">
      <alignment vertical="center"/>
    </xf>
    <xf numFmtId="0" fontId="3" fillId="0" borderId="8" xfId="0" applyFont="1" applyBorder="1" applyAlignment="1" applyProtection="1">
      <alignment vertical="center"/>
    </xf>
    <xf numFmtId="0" fontId="2" fillId="2" borderId="0" xfId="0" applyFont="1" applyFill="1" applyBorder="1" applyAlignment="1">
      <alignment vertical="center"/>
    </xf>
    <xf numFmtId="0" fontId="2" fillId="2" borderId="0" xfId="0" applyFont="1" applyFill="1" applyAlignment="1" applyProtection="1">
      <protection locked="0"/>
    </xf>
    <xf numFmtId="0" fontId="2" fillId="2" borderId="0" xfId="0" applyFont="1" applyFill="1" applyAlignment="1"/>
    <xf numFmtId="0" fontId="3" fillId="2" borderId="0" xfId="0" applyFont="1" applyFill="1" applyAlignment="1"/>
    <xf numFmtId="0" fontId="1" fillId="2" borderId="0" xfId="0" applyFont="1" applyFill="1" applyAlignment="1"/>
    <xf numFmtId="0" fontId="1" fillId="2" borderId="0" xfId="0" applyFont="1" applyFill="1" applyBorder="1" applyAlignment="1"/>
    <xf numFmtId="0" fontId="1" fillId="2" borderId="0" xfId="0" applyFont="1" applyFill="1" applyBorder="1" applyAlignment="1">
      <alignment vertical="center"/>
    </xf>
    <xf numFmtId="0" fontId="1" fillId="2" borderId="0" xfId="0" applyFont="1" applyFill="1" applyBorder="1" applyAlignment="1" applyProtection="1">
      <alignment vertical="center"/>
    </xf>
    <xf numFmtId="0" fontId="18" fillId="0" borderId="4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40" xfId="0" applyFont="1" applyBorder="1"/>
    <xf numFmtId="0" fontId="18" fillId="0" borderId="41" xfId="0" applyFont="1" applyBorder="1"/>
    <xf numFmtId="0" fontId="18" fillId="0" borderId="2" xfId="0" applyFont="1" applyBorder="1"/>
    <xf numFmtId="0" fontId="18" fillId="0" borderId="44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8" fillId="0" borderId="44" xfId="0" applyFont="1" applyBorder="1"/>
    <xf numFmtId="0" fontId="18" fillId="0" borderId="5" xfId="0" applyFont="1" applyBorder="1"/>
    <xf numFmtId="0" fontId="18" fillId="0" borderId="45" xfId="0" applyFont="1" applyBorder="1"/>
    <xf numFmtId="0" fontId="18" fillId="0" borderId="46" xfId="0" applyFont="1" applyBorder="1"/>
    <xf numFmtId="0" fontId="18" fillId="0" borderId="48" xfId="0" applyFont="1" applyBorder="1"/>
    <xf numFmtId="0" fontId="1" fillId="2" borderId="0" xfId="0" applyFont="1" applyFill="1" applyAlignment="1" applyProtection="1">
      <alignment horizontal="left"/>
      <protection locked="0"/>
    </xf>
    <xf numFmtId="0" fontId="18" fillId="2" borderId="0" xfId="0" applyFont="1" applyFill="1" applyAlignment="1">
      <alignment vertical="center"/>
    </xf>
    <xf numFmtId="0" fontId="18" fillId="2" borderId="1" xfId="0" applyFont="1" applyFill="1" applyBorder="1" applyAlignment="1">
      <alignment horizontal="center" vertical="center" wrapText="1"/>
    </xf>
    <xf numFmtId="2" fontId="18" fillId="2" borderId="1" xfId="0" applyNumberFormat="1" applyFont="1" applyFill="1" applyBorder="1" applyAlignment="1">
      <alignment horizontal="center" vertical="center" wrapText="1"/>
    </xf>
    <xf numFmtId="0" fontId="18" fillId="2" borderId="0" xfId="0" applyFont="1" applyFill="1" applyAlignment="1">
      <alignment horizontal="center" vertical="center" wrapText="1"/>
    </xf>
    <xf numFmtId="0" fontId="18" fillId="2" borderId="1" xfId="0" applyFont="1" applyFill="1" applyBorder="1" applyAlignment="1">
      <alignment horizontal="left" vertical="center" wrapText="1"/>
    </xf>
    <xf numFmtId="167" fontId="18" fillId="2" borderId="1" xfId="0" applyNumberFormat="1" applyFont="1" applyFill="1" applyBorder="1" applyAlignment="1">
      <alignment horizontal="center" vertical="center"/>
    </xf>
    <xf numFmtId="49" fontId="23" fillId="2" borderId="1" xfId="0" applyNumberFormat="1" applyFont="1" applyFill="1" applyBorder="1" applyAlignment="1">
      <alignment horizontal="center" vertical="center" wrapText="1"/>
    </xf>
    <xf numFmtId="0" fontId="18" fillId="2" borderId="1" xfId="0" applyFont="1" applyFill="1" applyBorder="1" applyAlignment="1">
      <alignment horizontal="center" vertical="center"/>
    </xf>
    <xf numFmtId="2" fontId="18" fillId="2" borderId="1" xfId="0" applyNumberFormat="1" applyFont="1" applyFill="1" applyBorder="1" applyAlignment="1">
      <alignment horizontal="center" vertical="center"/>
    </xf>
    <xf numFmtId="0" fontId="18" fillId="2" borderId="0" xfId="0" applyFont="1" applyFill="1" applyAlignment="1">
      <alignment horizontal="center" vertical="center"/>
    </xf>
    <xf numFmtId="0" fontId="18" fillId="2" borderId="1" xfId="0" applyFont="1" applyFill="1" applyBorder="1" applyAlignment="1">
      <alignment horizontal="left" vertical="center"/>
    </xf>
    <xf numFmtId="166" fontId="18" fillId="2" borderId="1" xfId="0" applyNumberFormat="1" applyFont="1" applyFill="1" applyBorder="1" applyAlignment="1">
      <alignment horizontal="center" vertical="center"/>
    </xf>
    <xf numFmtId="49" fontId="22" fillId="2" borderId="1" xfId="0" applyNumberFormat="1" applyFont="1" applyFill="1" applyBorder="1" applyAlignment="1">
      <alignment horizontal="center" vertical="center"/>
    </xf>
    <xf numFmtId="0" fontId="18" fillId="2" borderId="1" xfId="0" applyFont="1" applyFill="1" applyBorder="1" applyAlignment="1">
      <alignment vertical="center"/>
    </xf>
    <xf numFmtId="0" fontId="25" fillId="2" borderId="1" xfId="0" applyFont="1" applyFill="1" applyBorder="1" applyAlignment="1">
      <alignment vertical="center"/>
    </xf>
    <xf numFmtId="2" fontId="18" fillId="2" borderId="1" xfId="0" applyNumberFormat="1" applyFont="1" applyFill="1" applyBorder="1" applyAlignment="1">
      <alignment vertical="center"/>
    </xf>
    <xf numFmtId="166" fontId="18" fillId="2" borderId="1" xfId="0" applyNumberFormat="1" applyFont="1" applyFill="1" applyBorder="1" applyAlignment="1">
      <alignment vertical="center"/>
    </xf>
    <xf numFmtId="0" fontId="18" fillId="2" borderId="0" xfId="0" applyFont="1" applyFill="1" applyBorder="1" applyAlignment="1">
      <alignment horizontal="left" vertical="center"/>
    </xf>
    <xf numFmtId="0" fontId="21" fillId="2" borderId="0" xfId="0" applyFont="1" applyFill="1" applyBorder="1" applyAlignment="1">
      <alignment horizontal="center" vertical="center" wrapText="1"/>
    </xf>
    <xf numFmtId="0" fontId="21" fillId="2" borderId="1" xfId="0" applyFont="1" applyFill="1" applyBorder="1" applyAlignment="1">
      <alignment horizontal="center" vertical="center" wrapText="1"/>
    </xf>
    <xf numFmtId="0" fontId="21" fillId="2" borderId="8" xfId="0" applyFont="1" applyFill="1" applyBorder="1" applyAlignment="1">
      <alignment horizontal="center" vertical="center" wrapText="1"/>
    </xf>
    <xf numFmtId="0" fontId="21" fillId="2" borderId="0" xfId="0" applyFont="1" applyFill="1" applyAlignment="1">
      <alignment horizontal="center" vertical="center" wrapText="1"/>
    </xf>
    <xf numFmtId="0" fontId="2" fillId="2" borderId="42" xfId="0" applyFont="1" applyFill="1" applyBorder="1" applyAlignment="1">
      <alignment horizontal="center" vertical="center"/>
    </xf>
    <xf numFmtId="0" fontId="2" fillId="2" borderId="47" xfId="0" applyFont="1" applyFill="1" applyBorder="1" applyAlignment="1">
      <alignment horizontal="center" vertical="center"/>
    </xf>
    <xf numFmtId="0" fontId="21" fillId="2" borderId="0" xfId="0" applyFont="1" applyFill="1" applyBorder="1" applyAlignment="1">
      <alignment horizontal="center" vertical="center"/>
    </xf>
    <xf numFmtId="0" fontId="18" fillId="2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 applyProtection="1">
      <alignment horizontal="center" vertical="center" wrapText="1"/>
    </xf>
    <xf numFmtId="49" fontId="2" fillId="2" borderId="0" xfId="0" applyNumberFormat="1" applyFont="1" applyFill="1" applyProtection="1"/>
    <xf numFmtId="49" fontId="2" fillId="2" borderId="1" xfId="0" applyNumberFormat="1" applyFont="1" applyFill="1" applyBorder="1" applyAlignment="1" applyProtection="1">
      <alignment horizontal="center" vertical="center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0" fontId="2" fillId="2" borderId="1" xfId="0" applyFont="1" applyFill="1" applyBorder="1" applyAlignment="1" applyProtection="1">
      <alignment horizontal="center" vertical="center" wrapText="1"/>
    </xf>
    <xf numFmtId="0" fontId="2" fillId="2" borderId="1" xfId="0" applyFont="1" applyFill="1" applyBorder="1" applyAlignment="1" applyProtection="1">
      <alignment horizontal="center" vertical="center"/>
    </xf>
    <xf numFmtId="0" fontId="1" fillId="2" borderId="0" xfId="0" applyFont="1" applyFill="1" applyBorder="1" applyAlignment="1" applyProtection="1">
      <alignment horizontal="center" vertical="center"/>
      <protection hidden="1"/>
    </xf>
    <xf numFmtId="0" fontId="2" fillId="2" borderId="8" xfId="0" applyFont="1" applyFill="1" applyBorder="1" applyAlignment="1" applyProtection="1">
      <alignment horizontal="center" vertical="center" wrapText="1"/>
    </xf>
    <xf numFmtId="0" fontId="2" fillId="2" borderId="7" xfId="0" applyFont="1" applyFill="1" applyBorder="1" applyAlignment="1" applyProtection="1">
      <alignment horizontal="center" vertical="center" wrapText="1"/>
    </xf>
    <xf numFmtId="0" fontId="4" fillId="2" borderId="0" xfId="0" applyFont="1" applyFill="1" applyProtection="1"/>
    <xf numFmtId="0" fontId="7" fillId="2" borderId="0" xfId="0" applyFont="1" applyFill="1" applyAlignment="1" applyProtection="1">
      <alignment horizontal="center" vertical="center"/>
    </xf>
    <xf numFmtId="164" fontId="4" fillId="2" borderId="0" xfId="0" applyNumberFormat="1" applyFont="1" applyFill="1" applyProtection="1"/>
    <xf numFmtId="0" fontId="28" fillId="2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33" fillId="11" borderId="52" xfId="1" applyFont="1" applyFill="1" applyBorder="1" applyAlignment="1">
      <alignment horizontal="center" vertical="center" wrapText="1"/>
    </xf>
    <xf numFmtId="43" fontId="33" fillId="11" borderId="52" xfId="1" applyNumberFormat="1" applyFont="1" applyFill="1" applyBorder="1" applyAlignment="1">
      <alignment horizontal="center" vertical="center" wrapText="1"/>
    </xf>
    <xf numFmtId="0" fontId="25" fillId="0" borderId="0" xfId="0" applyFont="1"/>
    <xf numFmtId="49" fontId="33" fillId="11" borderId="52" xfId="1" quotePrefix="1" applyNumberFormat="1" applyFont="1" applyFill="1" applyBorder="1" applyAlignment="1">
      <alignment horizontal="center" vertical="center" wrapText="1"/>
    </xf>
    <xf numFmtId="49" fontId="33" fillId="11" borderId="52" xfId="1" applyNumberFormat="1" applyFont="1" applyFill="1" applyBorder="1" applyAlignment="1">
      <alignment horizontal="center" vertical="center" wrapText="1"/>
    </xf>
    <xf numFmtId="49" fontId="25" fillId="0" borderId="0" xfId="0" applyNumberFormat="1" applyFont="1"/>
    <xf numFmtId="43" fontId="25" fillId="0" borderId="0" xfId="0" applyNumberFormat="1" applyFont="1"/>
    <xf numFmtId="166" fontId="18" fillId="2" borderId="1" xfId="0" applyNumberFormat="1" applyFont="1" applyFill="1" applyBorder="1" applyAlignment="1">
      <alignment horizontal="center" vertical="center" wrapText="1"/>
    </xf>
    <xf numFmtId="0" fontId="21" fillId="2" borderId="1" xfId="0" applyFont="1" applyFill="1" applyBorder="1" applyAlignment="1">
      <alignment horizontal="center" vertical="center" wrapText="1"/>
    </xf>
    <xf numFmtId="0" fontId="21" fillId="2" borderId="1" xfId="0" applyFont="1" applyFill="1" applyBorder="1" applyAlignment="1">
      <alignment horizontal="center" vertical="center" wrapText="1"/>
    </xf>
    <xf numFmtId="0" fontId="18" fillId="2" borderId="0" xfId="0" applyFont="1" applyFill="1" applyBorder="1" applyAlignment="1">
      <alignment vertical="center"/>
    </xf>
    <xf numFmtId="49" fontId="21" fillId="2" borderId="1" xfId="0" applyNumberFormat="1" applyFont="1" applyFill="1" applyBorder="1" applyAlignment="1">
      <alignment horizontal="center" vertical="center" wrapText="1"/>
    </xf>
    <xf numFmtId="49" fontId="18" fillId="2" borderId="1" xfId="0" applyNumberFormat="1" applyFont="1" applyFill="1" applyBorder="1" applyAlignment="1">
      <alignment horizontal="center" vertical="center"/>
    </xf>
    <xf numFmtId="0" fontId="23" fillId="2" borderId="0" xfId="0" applyFont="1" applyFill="1" applyBorder="1" applyAlignment="1">
      <alignment horizontal="left" vertical="center"/>
    </xf>
    <xf numFmtId="0" fontId="23" fillId="2" borderId="1" xfId="0" applyFont="1" applyFill="1" applyBorder="1" applyAlignment="1">
      <alignment vertical="center"/>
    </xf>
    <xf numFmtId="0" fontId="26" fillId="2" borderId="1" xfId="0" applyFont="1" applyFill="1" applyBorder="1" applyAlignment="1">
      <alignment horizontal="center" vertical="center"/>
    </xf>
    <xf numFmtId="0" fontId="0" fillId="0" borderId="1" xfId="0" applyBorder="1"/>
    <xf numFmtId="0" fontId="2" fillId="2" borderId="1" xfId="0" applyFont="1" applyFill="1" applyBorder="1" applyAlignment="1" applyProtection="1">
      <alignment horizontal="center" vertical="center"/>
    </xf>
    <xf numFmtId="0" fontId="4" fillId="2" borderId="0" xfId="0" applyFont="1" applyFill="1" applyAlignment="1" applyProtection="1">
      <alignment horizontal="center"/>
      <protection hidden="1"/>
    </xf>
    <xf numFmtId="0" fontId="13" fillId="2" borderId="0" xfId="0" applyFont="1" applyFill="1" applyAlignment="1" applyProtection="1">
      <alignment horizontal="left"/>
    </xf>
    <xf numFmtId="0" fontId="4" fillId="2" borderId="0" xfId="0" applyFont="1" applyFill="1" applyProtection="1">
      <protection locked="0"/>
    </xf>
    <xf numFmtId="0" fontId="144" fillId="2" borderId="0" xfId="1308" applyFont="1" applyFill="1" applyAlignment="1" applyProtection="1">
      <alignment horizontal="left"/>
    </xf>
    <xf numFmtId="0" fontId="145" fillId="0" borderId="0" xfId="0" applyFont="1"/>
    <xf numFmtId="0" fontId="146" fillId="0" borderId="0" xfId="1308" applyFont="1"/>
    <xf numFmtId="0" fontId="145" fillId="0" borderId="0" xfId="0" quotePrefix="1" applyFont="1"/>
    <xf numFmtId="0" fontId="2" fillId="2" borderId="1" xfId="0" applyFont="1" applyFill="1" applyBorder="1" applyAlignment="1" applyProtection="1">
      <alignment horizontal="center" vertical="center"/>
    </xf>
    <xf numFmtId="49" fontId="16" fillId="5" borderId="22" xfId="0" quotePrefix="1" applyNumberFormat="1" applyFont="1" applyFill="1" applyBorder="1" applyAlignment="1" applyProtection="1">
      <alignment horizontal="center" vertical="center"/>
      <protection locked="0"/>
    </xf>
    <xf numFmtId="0" fontId="3" fillId="2" borderId="33" xfId="0" quotePrefix="1" applyFont="1" applyFill="1" applyBorder="1" applyAlignment="1" applyProtection="1">
      <alignment horizontal="center" vertical="center"/>
      <protection locked="0"/>
    </xf>
    <xf numFmtId="0" fontId="147" fillId="2" borderId="0" xfId="0" applyFont="1" applyFill="1" applyBorder="1" applyAlignment="1" applyProtection="1">
      <alignment horizontal="center" vertical="center"/>
    </xf>
    <xf numFmtId="0" fontId="20" fillId="54" borderId="2" xfId="0" applyFont="1" applyFill="1" applyBorder="1" applyAlignment="1" applyProtection="1">
      <protection locked="0"/>
    </xf>
    <xf numFmtId="0" fontId="25" fillId="54" borderId="4" xfId="0" applyFont="1" applyFill="1" applyBorder="1" applyAlignment="1" applyProtection="1">
      <alignment horizontal="left"/>
    </xf>
    <xf numFmtId="0" fontId="4" fillId="54" borderId="1" xfId="0" applyFont="1" applyFill="1" applyBorder="1" applyAlignment="1" applyProtection="1">
      <alignment horizontal="center"/>
      <protection locked="0"/>
    </xf>
    <xf numFmtId="0" fontId="2" fillId="54" borderId="0" xfId="0" applyFont="1" applyFill="1" applyBorder="1" applyAlignment="1">
      <alignment vertical="center" wrapText="1"/>
    </xf>
    <xf numFmtId="0" fontId="2" fillId="54" borderId="0" xfId="0" applyFont="1" applyFill="1" applyBorder="1" applyAlignment="1" applyProtection="1">
      <protection locked="0"/>
    </xf>
    <xf numFmtId="0" fontId="2" fillId="54" borderId="0" xfId="0" applyFont="1" applyFill="1" applyBorder="1" applyAlignment="1" applyProtection="1">
      <alignment horizontal="center"/>
      <protection locked="0"/>
    </xf>
    <xf numFmtId="0" fontId="3" fillId="54" borderId="8" xfId="0" applyFont="1" applyFill="1" applyBorder="1" applyAlignment="1" applyProtection="1">
      <alignment horizontal="center"/>
      <protection locked="0"/>
    </xf>
    <xf numFmtId="0" fontId="2" fillId="54" borderId="0" xfId="0" applyFont="1" applyFill="1" applyBorder="1" applyAlignment="1">
      <alignment horizontal="center"/>
    </xf>
    <xf numFmtId="0" fontId="2" fillId="54" borderId="0" xfId="0" applyFont="1" applyFill="1" applyAlignment="1" applyProtection="1">
      <alignment horizontal="center"/>
      <protection locked="0"/>
    </xf>
    <xf numFmtId="0" fontId="3" fillId="54" borderId="16" xfId="0" applyFont="1" applyFill="1" applyBorder="1" applyAlignment="1" applyProtection="1">
      <alignment horizontal="center"/>
      <protection locked="0"/>
    </xf>
    <xf numFmtId="0" fontId="7" fillId="54" borderId="0" xfId="0" applyFont="1" applyFill="1" applyBorder="1" applyAlignment="1" applyProtection="1">
      <alignment vertical="center" wrapText="1"/>
      <protection locked="0"/>
    </xf>
    <xf numFmtId="0" fontId="19" fillId="54" borderId="0" xfId="0" applyFont="1" applyFill="1" applyBorder="1" applyAlignment="1" applyProtection="1">
      <protection locked="0"/>
    </xf>
    <xf numFmtId="0" fontId="25" fillId="54" borderId="17" xfId="0" applyFont="1" applyFill="1" applyBorder="1" applyAlignment="1" applyProtection="1">
      <alignment horizontal="left"/>
    </xf>
    <xf numFmtId="0" fontId="25" fillId="54" borderId="18" xfId="0" applyFont="1" applyFill="1" applyBorder="1" applyAlignment="1" applyProtection="1">
      <alignment horizontal="left"/>
    </xf>
    <xf numFmtId="0" fontId="4" fillId="54" borderId="10" xfId="0" applyFont="1" applyFill="1" applyBorder="1" applyAlignment="1" applyProtection="1">
      <alignment horizontal="center" vertical="center"/>
      <protection locked="0"/>
    </xf>
    <xf numFmtId="0" fontId="25" fillId="54" borderId="5" xfId="0" applyFont="1" applyFill="1" applyBorder="1" applyAlignment="1" applyProtection="1">
      <alignment horizontal="left"/>
    </xf>
    <xf numFmtId="0" fontId="25" fillId="54" borderId="19" xfId="0" applyFont="1" applyFill="1" applyBorder="1" applyAlignment="1" applyProtection="1">
      <alignment horizontal="left"/>
    </xf>
    <xf numFmtId="0" fontId="4" fillId="54" borderId="7" xfId="0" applyFont="1" applyFill="1" applyBorder="1" applyAlignment="1" applyProtection="1">
      <alignment horizontal="center"/>
      <protection locked="0"/>
    </xf>
    <xf numFmtId="0" fontId="25" fillId="54" borderId="1" xfId="0" applyFont="1" applyFill="1" applyBorder="1" applyAlignment="1" applyProtection="1">
      <alignment horizontal="left" vertical="center"/>
    </xf>
    <xf numFmtId="0" fontId="25" fillId="54" borderId="1" xfId="0" applyFont="1" applyFill="1" applyBorder="1" applyAlignment="1" applyProtection="1">
      <alignment horizontal="center"/>
    </xf>
    <xf numFmtId="0" fontId="2" fillId="54" borderId="0" xfId="0" applyFont="1" applyFill="1" applyBorder="1" applyAlignment="1">
      <alignment horizontal="left" vertical="center" wrapText="1"/>
    </xf>
    <xf numFmtId="0" fontId="2" fillId="54" borderId="8" xfId="0" applyFont="1" applyFill="1" applyBorder="1" applyAlignment="1" applyProtection="1">
      <alignment horizontal="center" vertical="center"/>
    </xf>
    <xf numFmtId="0" fontId="1" fillId="54" borderId="0" xfId="0" applyFont="1" applyFill="1" applyAlignment="1" applyProtection="1">
      <alignment horizontal="center"/>
      <protection locked="0"/>
    </xf>
    <xf numFmtId="0" fontId="16" fillId="54" borderId="0" xfId="0" applyFont="1" applyFill="1" applyAlignment="1" applyProtection="1">
      <alignment vertical="top"/>
      <protection locked="0"/>
    </xf>
    <xf numFmtId="0" fontId="2" fillId="54" borderId="20" xfId="0" applyFont="1" applyFill="1" applyBorder="1" applyAlignment="1" applyProtection="1">
      <alignment horizontal="center" vertical="center"/>
    </xf>
    <xf numFmtId="0" fontId="4" fillId="54" borderId="21" xfId="0" applyFont="1" applyFill="1" applyBorder="1" applyAlignment="1" applyProtection="1">
      <alignment horizontal="center" vertical="center"/>
      <protection locked="0"/>
    </xf>
    <xf numFmtId="0" fontId="2" fillId="54" borderId="7" xfId="0" applyFont="1" applyFill="1" applyBorder="1" applyAlignment="1" applyProtection="1">
      <alignment horizontal="center" vertical="center"/>
    </xf>
    <xf numFmtId="0" fontId="4" fillId="54" borderId="11" xfId="0" applyFont="1" applyFill="1" applyBorder="1" applyAlignment="1" applyProtection="1">
      <alignment horizontal="center" vertical="center"/>
      <protection locked="0"/>
    </xf>
    <xf numFmtId="0" fontId="4" fillId="54" borderId="0" xfId="0" applyFont="1" applyFill="1" applyAlignment="1" applyProtection="1">
      <alignment horizontal="left"/>
      <protection locked="0"/>
    </xf>
    <xf numFmtId="0" fontId="2" fillId="54" borderId="0" xfId="0" applyFont="1" applyFill="1" applyProtection="1">
      <protection locked="0"/>
    </xf>
    <xf numFmtId="0" fontId="148" fillId="54" borderId="0" xfId="0" applyFont="1" applyFill="1" applyBorder="1" applyAlignment="1" applyProtection="1">
      <protection locked="0"/>
    </xf>
    <xf numFmtId="0" fontId="1" fillId="2" borderId="0" xfId="0" applyFont="1" applyFill="1" applyBorder="1" applyAlignment="1" applyProtection="1">
      <alignment horizontal="center" vertical="center"/>
      <protection hidden="1"/>
    </xf>
    <xf numFmtId="0" fontId="2" fillId="2" borderId="2" xfId="0" applyFont="1" applyFill="1" applyBorder="1" applyAlignment="1" applyProtection="1">
      <alignment horizontal="center" vertical="center"/>
    </xf>
    <xf numFmtId="0" fontId="2" fillId="2" borderId="3" xfId="0" applyFont="1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2" fillId="2" borderId="2" xfId="0" applyFont="1" applyFill="1" applyBorder="1" applyAlignment="1" applyProtection="1">
      <alignment horizontal="left" vertical="center"/>
    </xf>
    <xf numFmtId="0" fontId="2" fillId="2" borderId="3" xfId="0" applyFont="1" applyFill="1" applyBorder="1" applyAlignment="1" applyProtection="1">
      <alignment horizontal="left" vertical="center"/>
    </xf>
    <xf numFmtId="0" fontId="2" fillId="2" borderId="2" xfId="0" applyFont="1" applyFill="1" applyBorder="1" applyAlignment="1" applyProtection="1">
      <alignment horizontal="center"/>
    </xf>
    <xf numFmtId="0" fontId="2" fillId="2" borderId="3" xfId="0" applyFont="1" applyFill="1" applyBorder="1" applyAlignment="1" applyProtection="1">
      <alignment horizontal="center"/>
    </xf>
    <xf numFmtId="0" fontId="4" fillId="3" borderId="1" xfId="0" applyFont="1" applyFill="1" applyBorder="1" applyAlignment="1" applyProtection="1">
      <alignment horizontal="left"/>
    </xf>
    <xf numFmtId="0" fontId="2" fillId="4" borderId="5" xfId="0" applyFont="1" applyFill="1" applyBorder="1" applyAlignment="1" applyProtection="1">
      <alignment horizontal="center" vertical="center"/>
    </xf>
    <xf numFmtId="0" fontId="2" fillId="4" borderId="19" xfId="0" applyFont="1" applyFill="1" applyBorder="1" applyAlignment="1" applyProtection="1">
      <alignment horizontal="center" vertical="center"/>
    </xf>
    <xf numFmtId="0" fontId="6" fillId="2" borderId="8" xfId="0" applyFont="1" applyFill="1" applyBorder="1" applyAlignment="1" applyProtection="1">
      <alignment horizontal="center" vertical="center"/>
    </xf>
    <xf numFmtId="0" fontId="6" fillId="2" borderId="7" xfId="0" applyFont="1" applyFill="1" applyBorder="1" applyAlignment="1" applyProtection="1">
      <alignment horizontal="center" vertical="center"/>
    </xf>
    <xf numFmtId="0" fontId="6" fillId="2" borderId="2" xfId="0" applyFont="1" applyFill="1" applyBorder="1" applyAlignment="1" applyProtection="1">
      <alignment horizontal="center" vertical="center"/>
    </xf>
    <xf numFmtId="0" fontId="6" fillId="2" borderId="3" xfId="0" applyFont="1" applyFill="1" applyBorder="1" applyAlignment="1" applyProtection="1">
      <alignment horizontal="center" vertical="center"/>
    </xf>
    <xf numFmtId="0" fontId="6" fillId="2" borderId="1" xfId="0" applyFont="1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 wrapText="1"/>
    </xf>
    <xf numFmtId="0" fontId="5" fillId="3" borderId="2" xfId="0" applyFont="1" applyFill="1" applyBorder="1" applyAlignment="1" applyProtection="1">
      <alignment horizontal="left"/>
      <protection locked="0"/>
    </xf>
    <xf numFmtId="0" fontId="9" fillId="0" borderId="3" xfId="0" applyFont="1" applyBorder="1" applyAlignment="1" applyProtection="1">
      <alignment horizontal="left"/>
      <protection locked="0"/>
    </xf>
    <xf numFmtId="0" fontId="2" fillId="2" borderId="2" xfId="0" applyFont="1" applyFill="1" applyBorder="1" applyAlignment="1" applyProtection="1">
      <alignment horizontal="center" vertical="center" wrapText="1"/>
    </xf>
    <xf numFmtId="0" fontId="2" fillId="2" borderId="4" xfId="0" applyFont="1" applyFill="1" applyBorder="1" applyAlignment="1" applyProtection="1">
      <alignment horizontal="center" vertical="center" wrapText="1"/>
    </xf>
    <xf numFmtId="0" fontId="2" fillId="2" borderId="3" xfId="0" applyFont="1" applyFill="1" applyBorder="1" applyAlignment="1" applyProtection="1">
      <alignment horizontal="center" vertical="center" wrapText="1"/>
    </xf>
    <xf numFmtId="0" fontId="6" fillId="2" borderId="1" xfId="0" applyFont="1" applyFill="1" applyBorder="1" applyAlignment="1" applyProtection="1">
      <alignment horizontal="center" vertical="center" wrapText="1"/>
    </xf>
    <xf numFmtId="0" fontId="2" fillId="2" borderId="19" xfId="0" applyFont="1" applyFill="1" applyBorder="1" applyAlignment="1" applyProtection="1">
      <alignment horizontal="center" vertical="center" wrapText="1"/>
    </xf>
    <xf numFmtId="0" fontId="2" fillId="2" borderId="6" xfId="0" applyFont="1" applyFill="1" applyBorder="1" applyAlignment="1" applyProtection="1">
      <alignment horizontal="center" vertical="center" wrapText="1"/>
    </xf>
    <xf numFmtId="0" fontId="1" fillId="0" borderId="2" xfId="0" applyFont="1" applyFill="1" applyBorder="1" applyAlignment="1" applyProtection="1">
      <alignment horizontal="center" vertical="center"/>
      <protection locked="0"/>
    </xf>
    <xf numFmtId="0" fontId="1" fillId="0" borderId="4" xfId="0" applyFont="1" applyFill="1" applyBorder="1" applyAlignment="1" applyProtection="1">
      <alignment horizontal="center" vertical="center"/>
      <protection locked="0"/>
    </xf>
    <xf numFmtId="0" fontId="1" fillId="0" borderId="3" xfId="0" applyFont="1" applyFill="1" applyBorder="1" applyAlignment="1" applyProtection="1">
      <alignment horizontal="center" vertical="center"/>
      <protection locked="0"/>
    </xf>
    <xf numFmtId="0" fontId="2" fillId="2" borderId="5" xfId="0" applyFont="1" applyFill="1" applyBorder="1" applyAlignment="1" applyProtection="1">
      <alignment horizontal="center" vertical="center" wrapText="1"/>
    </xf>
    <xf numFmtId="0" fontId="1" fillId="2" borderId="0" xfId="0" applyFont="1" applyFill="1" applyBorder="1" applyAlignment="1">
      <alignment horizontal="center" wrapText="1"/>
    </xf>
    <xf numFmtId="0" fontId="3" fillId="2" borderId="8" xfId="0" applyFont="1" applyFill="1" applyBorder="1" applyAlignment="1" applyProtection="1">
      <alignment vertical="center" wrapText="1"/>
    </xf>
    <xf numFmtId="0" fontId="18" fillId="0" borderId="7" xfId="0" applyFont="1" applyBorder="1" applyAlignment="1">
      <alignment vertical="center"/>
    </xf>
    <xf numFmtId="0" fontId="3" fillId="2" borderId="1" xfId="0" applyNumberFormat="1" applyFont="1" applyFill="1" applyBorder="1" applyAlignment="1" applyProtection="1">
      <alignment horizontal="left" vertical="center"/>
    </xf>
    <xf numFmtId="0" fontId="3" fillId="2" borderId="30" xfId="0" applyFont="1" applyFill="1" applyBorder="1" applyAlignment="1" applyProtection="1">
      <alignment horizontal="left" vertical="center"/>
    </xf>
    <xf numFmtId="0" fontId="3" fillId="2" borderId="31" xfId="0" applyFont="1" applyFill="1" applyBorder="1" applyAlignment="1" applyProtection="1">
      <alignment horizontal="left" vertical="center"/>
    </xf>
    <xf numFmtId="0" fontId="3" fillId="2" borderId="17" xfId="0" applyFont="1" applyFill="1" applyBorder="1" applyAlignment="1" applyProtection="1">
      <alignment horizontal="left" vertical="center"/>
    </xf>
    <xf numFmtId="0" fontId="3" fillId="2" borderId="18" xfId="0" applyFont="1" applyFill="1" applyBorder="1" applyAlignment="1" applyProtection="1">
      <alignment horizontal="left" vertical="center"/>
    </xf>
    <xf numFmtId="0" fontId="3" fillId="2" borderId="5" xfId="0" applyFont="1" applyFill="1" applyBorder="1" applyAlignment="1" applyProtection="1">
      <alignment horizontal="left" vertical="center"/>
    </xf>
    <xf numFmtId="0" fontId="3" fillId="2" borderId="6" xfId="0" applyFont="1" applyFill="1" applyBorder="1" applyAlignment="1" applyProtection="1">
      <alignment horizontal="left" vertical="center"/>
    </xf>
    <xf numFmtId="0" fontId="25" fillId="54" borderId="12" xfId="0" applyFont="1" applyFill="1" applyBorder="1" applyAlignment="1" applyProtection="1">
      <alignment horizontal="left"/>
    </xf>
    <xf numFmtId="0" fontId="25" fillId="54" borderId="13" xfId="0" applyFont="1" applyFill="1" applyBorder="1" applyAlignment="1" applyProtection="1">
      <alignment horizontal="left"/>
    </xf>
    <xf numFmtId="0" fontId="25" fillId="54" borderId="14" xfId="0" applyFont="1" applyFill="1" applyBorder="1" applyAlignment="1" applyProtection="1">
      <alignment horizontal="left"/>
    </xf>
    <xf numFmtId="0" fontId="25" fillId="54" borderId="15" xfId="0" applyFont="1" applyFill="1" applyBorder="1" applyAlignment="1" applyProtection="1">
      <alignment horizontal="left"/>
    </xf>
    <xf numFmtId="0" fontId="25" fillId="54" borderId="8" xfId="0" applyFont="1" applyFill="1" applyBorder="1" applyAlignment="1" applyProtection="1">
      <alignment horizontal="center" vertical="center" wrapText="1"/>
    </xf>
    <xf numFmtId="0" fontId="25" fillId="54" borderId="21" xfId="0" applyFont="1" applyFill="1" applyBorder="1" applyAlignment="1" applyProtection="1">
      <alignment horizontal="center" vertical="center" wrapText="1"/>
    </xf>
    <xf numFmtId="0" fontId="25" fillId="54" borderId="7" xfId="0" applyFont="1" applyFill="1" applyBorder="1" applyAlignment="1" applyProtection="1">
      <alignment horizontal="center" vertical="center" wrapText="1"/>
    </xf>
    <xf numFmtId="0" fontId="2" fillId="54" borderId="23" xfId="0" applyFont="1" applyFill="1" applyBorder="1" applyAlignment="1" applyProtection="1">
      <alignment horizontal="right"/>
      <protection locked="0"/>
    </xf>
    <xf numFmtId="0" fontId="2" fillId="54" borderId="0" xfId="0" applyFont="1" applyFill="1" applyAlignment="1" applyProtection="1">
      <alignment horizontal="right"/>
      <protection locked="0"/>
    </xf>
    <xf numFmtId="0" fontId="21" fillId="2" borderId="2" xfId="0" applyFont="1" applyFill="1" applyBorder="1" applyAlignment="1">
      <alignment horizontal="center" vertical="center"/>
    </xf>
    <xf numFmtId="0" fontId="21" fillId="2" borderId="4" xfId="0" applyFont="1" applyFill="1" applyBorder="1" applyAlignment="1">
      <alignment horizontal="center" vertical="center"/>
    </xf>
    <xf numFmtId="0" fontId="21" fillId="2" borderId="3" xfId="0" applyFont="1" applyFill="1" applyBorder="1" applyAlignment="1">
      <alignment horizontal="center" vertical="center"/>
    </xf>
    <xf numFmtId="0" fontId="21" fillId="2" borderId="2" xfId="0" applyFont="1" applyFill="1" applyBorder="1" applyAlignment="1">
      <alignment horizontal="left" vertical="center"/>
    </xf>
    <xf numFmtId="0" fontId="21" fillId="2" borderId="4" xfId="0" applyFont="1" applyFill="1" applyBorder="1" applyAlignment="1">
      <alignment horizontal="left" vertical="center"/>
    </xf>
    <xf numFmtId="0" fontId="21" fillId="2" borderId="3" xfId="0" applyFont="1" applyFill="1" applyBorder="1" applyAlignment="1">
      <alignment horizontal="left" vertical="center"/>
    </xf>
    <xf numFmtId="0" fontId="18" fillId="2" borderId="1" xfId="0" applyFont="1" applyFill="1" applyBorder="1" applyAlignment="1">
      <alignment horizontal="center" vertical="center" wrapText="1"/>
    </xf>
    <xf numFmtId="0" fontId="18" fillId="2" borderId="8" xfId="0" applyFont="1" applyFill="1" applyBorder="1" applyAlignment="1">
      <alignment horizontal="center" vertical="center" wrapText="1"/>
    </xf>
    <xf numFmtId="0" fontId="18" fillId="2" borderId="21" xfId="0" applyFont="1" applyFill="1" applyBorder="1" applyAlignment="1">
      <alignment horizontal="center" vertical="center" wrapText="1"/>
    </xf>
    <xf numFmtId="0" fontId="18" fillId="2" borderId="7" xfId="0" applyFont="1" applyFill="1" applyBorder="1" applyAlignment="1">
      <alignment horizontal="center" vertical="center" wrapText="1"/>
    </xf>
    <xf numFmtId="0" fontId="18" fillId="2" borderId="0" xfId="0" applyFont="1" applyFill="1" applyBorder="1" applyAlignment="1">
      <alignment horizontal="left" vertical="center" wrapText="1"/>
    </xf>
    <xf numFmtId="0" fontId="21" fillId="2" borderId="1" xfId="0" applyFont="1" applyFill="1" applyBorder="1" applyAlignment="1">
      <alignment horizontal="center" vertical="center"/>
    </xf>
    <xf numFmtId="0" fontId="21" fillId="2" borderId="1" xfId="0" applyFont="1" applyFill="1" applyBorder="1" applyAlignment="1">
      <alignment horizontal="center" vertical="center" wrapText="1"/>
    </xf>
    <xf numFmtId="0" fontId="18" fillId="2" borderId="8" xfId="0" applyFont="1" applyFill="1" applyBorder="1" applyAlignment="1">
      <alignment horizontal="center" vertical="center"/>
    </xf>
    <xf numFmtId="0" fontId="18" fillId="2" borderId="38" xfId="0" applyFont="1" applyFill="1" applyBorder="1" applyAlignment="1">
      <alignment horizontal="center" vertical="center"/>
    </xf>
    <xf numFmtId="0" fontId="18" fillId="2" borderId="39" xfId="0" applyFont="1" applyFill="1" applyBorder="1" applyAlignment="1">
      <alignment horizontal="center" vertical="center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</cellXfs>
  <cellStyles count="1309">
    <cellStyle name="_x0001_" xfId="2"/>
    <cellStyle name="_x0007_ 2" xfId="3"/>
    <cellStyle name="_x0007_ 59" xfId="4"/>
    <cellStyle name="??" xfId="5"/>
    <cellStyle name="?? [0.00]_ Att. 1- Cover" xfId="6"/>
    <cellStyle name="?? [0]" xfId="7"/>
    <cellStyle name="??&amp;O?&amp;H?_x0008_??_x0007__x0001__x0001_" xfId="8"/>
    <cellStyle name="?_x001d_??" xfId="9"/>
    <cellStyle name="?_x001d_??%U©÷u" xfId="10"/>
    <cellStyle name="?_x001d_??%U©÷u&amp;H©÷" xfId="11"/>
    <cellStyle name="?_x001d_??%U©÷u&amp;H©÷9_x0008_? " xfId="12"/>
    <cellStyle name="?_x001d_??%U©÷u&amp;H©÷9_x0008_? s&#10;_x0007__x0001__x0001_" xfId="13"/>
    <cellStyle name="?_x001d_??%U²u&amp;H²9_x0008_? s&#10;_x0007__x0001__x0001_" xfId="14"/>
    <cellStyle name="???? [0.00]_List-dwg" xfId="15"/>
    <cellStyle name="????_List-dwg" xfId="16"/>
    <cellStyle name="???[0]_?? DI" xfId="17"/>
    <cellStyle name="???_?? DI" xfId="18"/>
    <cellStyle name="??[0]_BRE" xfId="19"/>
    <cellStyle name="??_ ??? ???? " xfId="20"/>
    <cellStyle name="??A? [0]_laroux_1_¸???™? " xfId="21"/>
    <cellStyle name="??A?_laroux_1_¸???™? " xfId="22"/>
    <cellStyle name="?¡±¢¥?_?¨ù??¢´¢¥_¢¬???¢â? " xfId="23"/>
    <cellStyle name="?”´?_?¼??¤´_¸???™? " xfId="24"/>
    <cellStyle name="?ðÇ" xfId="25"/>
    <cellStyle name="?ðÇ%" xfId="26"/>
    <cellStyle name="?ðÇ%U?&amp;H" xfId="27"/>
    <cellStyle name="?ðÇ%U?&amp;H?_x0008_?s&#10;_x0007__x0001__x0001_" xfId="28"/>
    <cellStyle name="?曹%U?&amp;H?_x0008_?s&#10;_x0007__x0001__x0001_" xfId="29"/>
    <cellStyle name="[0]_Chi phÝ kh¸c_V" xfId="30"/>
    <cellStyle name="_04 (vn)SECC Bills of Quantities" xfId="31"/>
    <cellStyle name="_1107" xfId="32"/>
    <cellStyle name="_Bang Chi tieu (2)" xfId="33"/>
    <cellStyle name="_Book1" xfId="34"/>
    <cellStyle name="_Book1_1" xfId="35"/>
    <cellStyle name="_Book1_1_BOQ-Thuan thao (Tai 07May)" xfId="36"/>
    <cellStyle name="_Book1_1_CAU TAO GIA THE OCEAN VILLAS DANANG" xfId="37"/>
    <cellStyle name="_Book1_2" xfId="38"/>
    <cellStyle name="_Book1_BC-QT-WB-dthao" xfId="39"/>
    <cellStyle name="_Book1_Book1" xfId="40"/>
    <cellStyle name="_Book1_BOQ-Thuan thao (Tai 07May)" xfId="41"/>
    <cellStyle name="_Book1_CAU TAO GIA THE OCEAN VILLAS DANANG" xfId="42"/>
    <cellStyle name="_Book1_Thong tin chung Groz" xfId="43"/>
    <cellStyle name="_Book2" xfId="44"/>
    <cellStyle name="_Book2_Cau tao gia Arico T2-2009" xfId="45"/>
    <cellStyle name="_Book2_CTC - BoQ Agrex Building" xfId="46"/>
    <cellStyle name="_BOQ of exhaust fan" xfId="47"/>
    <cellStyle name="_BOQ- Phan XD-COTECCONS (02-4-08)" xfId="48"/>
    <cellStyle name="_BoQ-E-TOWN 2 Building -COTECCONS" xfId="49"/>
    <cellStyle name="_Cau tao gia Nop thau Mau" xfId="50"/>
    <cellStyle name="_CAU TAO GIA THE OCEAN VILLAS DANANG" xfId="51"/>
    <cellStyle name="_Cau tao gia Thien Long Ha Nam (28-2-08)" xfId="52"/>
    <cellStyle name="_x0001__Cong tac CBi" xfId="53"/>
    <cellStyle name="_x0001__Cong tac chuan bi Cao su" xfId="54"/>
    <cellStyle name="_cong tac chuan bi Nhatrang Plaza" xfId="55"/>
    <cellStyle name="_Cong tac chuan bi-Thanh" xfId="56"/>
    <cellStyle name="_CTC - BoQ Agrex Building" xfId="57"/>
    <cellStyle name="_x0001__CTC - BoQ Agrex Building" xfId="58"/>
    <cellStyle name="_dutoan1" xfId="59"/>
    <cellStyle name="_Final Summary Richland Hill (30-9-08)" xfId="60"/>
    <cellStyle name="_giatonghop thanhtoan d1" xfId="61"/>
    <cellStyle name="_Khoi Luong" xfId="62"/>
    <cellStyle name="_KT (2)" xfId="63"/>
    <cellStyle name="_KT (2)_1" xfId="64"/>
    <cellStyle name="_KT (2)_1_Lora-tungchau" xfId="65"/>
    <cellStyle name="_KT (2)_1_Qt-HT3PQ1(CauKho)" xfId="66"/>
    <cellStyle name="_KT (2)_2" xfId="67"/>
    <cellStyle name="_KT (2)_2_TG-TH" xfId="68"/>
    <cellStyle name="_KT (2)_2_TG-TH_BAO CAO KLCT PT2000" xfId="69"/>
    <cellStyle name="_KT (2)_2_TG-TH_BAO CAO PT2000" xfId="70"/>
    <cellStyle name="_KT (2)_2_TG-TH_BAO CAO PT2000_Book1" xfId="71"/>
    <cellStyle name="_KT (2)_2_TG-TH_Bao cao XDCB 2001 - T11 KH dieu chinh 20-11-THAI" xfId="72"/>
    <cellStyle name="_KT (2)_2_TG-TH_Book1" xfId="73"/>
    <cellStyle name="_KT (2)_2_TG-TH_Book1_1" xfId="74"/>
    <cellStyle name="_KT (2)_2_TG-TH_Book1_1_Cong tac chuan bi Cao su" xfId="75"/>
    <cellStyle name="_KT (2)_2_TG-TH_Book1_1_CTC - BoQ Agrex Building" xfId="76"/>
    <cellStyle name="_KT (2)_2_TG-TH_Book1_2" xfId="77"/>
    <cellStyle name="_KT (2)_2_TG-TH_Book1_2_Cong tac chuan bi Cao su" xfId="78"/>
    <cellStyle name="_KT (2)_2_TG-TH_Book1_3" xfId="79"/>
    <cellStyle name="_KT (2)_2_TG-TH_Book1_4" xfId="80"/>
    <cellStyle name="_KT (2)_2_TG-TH_Book1_Book2" xfId="81"/>
    <cellStyle name="_KT (2)_2_TG-TH_Book1_BOQ-Thuan thao (Tai 07May)" xfId="82"/>
    <cellStyle name="_KT (2)_2_TG-TH_Book1_Cau tao gia Arico T2-2009" xfId="83"/>
    <cellStyle name="_KT (2)_2_TG-TH_Book1_Cau tao gia phan Tho (ham + Than) 15-9-08" xfId="84"/>
    <cellStyle name="_KT (2)_2_TG-TH_Book1_CAU TAO GIA THE OCEAN VILLAS DANANG" xfId="85"/>
    <cellStyle name="_KT (2)_2_TG-TH_Book1_cong tac chuan bi Nhatrang Plaza" xfId="86"/>
    <cellStyle name="_KT (2)_2_TG-TH_Book1_Cong tac chuan bi-Thanh" xfId="87"/>
    <cellStyle name="_KT (2)_2_TG-TH_Book1_Copy of Cau tao gia Mau" xfId="88"/>
    <cellStyle name="_KT (2)_2_TG-TH_Book1_CTC - BoQ Agrex Building" xfId="89"/>
    <cellStyle name="_KT (2)_2_TG-TH_Book2" xfId="90"/>
    <cellStyle name="_KT (2)_2_TG-TH_BOQ-Thuan thao (Tai 07May)" xfId="91"/>
    <cellStyle name="_KT (2)_2_TG-TH_Cau tao gia Arico T2-2009" xfId="92"/>
    <cellStyle name="_KT (2)_2_TG-TH_Cau tao gia phan Tho (ham + Than) 15-9-08" xfId="93"/>
    <cellStyle name="_KT (2)_2_TG-TH_CAU TAO GIA THE OCEAN VILLAS DANANG" xfId="94"/>
    <cellStyle name="_KT (2)_2_TG-TH_cong tac chuan bi Nhatrang Plaza" xfId="95"/>
    <cellStyle name="_KT (2)_2_TG-TH_Cong tac chuan bi-Thanh" xfId="96"/>
    <cellStyle name="_KT (2)_2_TG-TH_Copy of Cau tao gia Mau" xfId="97"/>
    <cellStyle name="_KT (2)_2_TG-TH_CROWN WELL 冠威報價單20071015" xfId="98"/>
    <cellStyle name="_KT (2)_2_TG-TH_CTC - BoQ Agrex Building" xfId="99"/>
    <cellStyle name="_KT (2)_2_TG-TH_DT kho 50x72 ,52x45m -11-5" xfId="100"/>
    <cellStyle name="_KT (2)_2_TG-TH_DT kho 50x72 ,52x45m ASIA NUTRITION" xfId="101"/>
    <cellStyle name="_KT (2)_2_TG-TH_DTCDT MR.2N110.HOCMON.TDTOAN.CCUNG" xfId="102"/>
    <cellStyle name="_KT (2)_2_TG-TH_DTkho 52x70m ASIA NUTRITION" xfId="103"/>
    <cellStyle name="_KT (2)_2_TG-TH_DTkho 52x70m ASIA NUTRITION-change-tuong bt6m" xfId="104"/>
    <cellStyle name="_KT (2)_2_TG-TH_DTkho 52x70m ASIA NUTRITION-seno betong" xfId="105"/>
    <cellStyle name="_KT (2)_2_TG-TH_Lora-tungchau" xfId="106"/>
    <cellStyle name="_KT (2)_2_TG-TH_PGIA-phieu tham tra Kho bac" xfId="107"/>
    <cellStyle name="_KT (2)_2_TG-TH_PT02-02" xfId="108"/>
    <cellStyle name="_KT (2)_2_TG-TH_PT02-02_Book1" xfId="109"/>
    <cellStyle name="_KT (2)_2_TG-TH_PT02-03" xfId="110"/>
    <cellStyle name="_KT (2)_2_TG-TH_PT02-03_Book1" xfId="111"/>
    <cellStyle name="_KT (2)_2_TG-TH_Qt-HT3PQ1(CauKho)" xfId="112"/>
    <cellStyle name="_KT (2)_3" xfId="113"/>
    <cellStyle name="_KT (2)_3_TG-TH" xfId="114"/>
    <cellStyle name="_KT (2)_3_TG-TH_Book1" xfId="115"/>
    <cellStyle name="_KT (2)_3_TG-TH_Book1_1" xfId="116"/>
    <cellStyle name="_KT (2)_3_TG-TH_Book1_BC-QT-WB-dthao" xfId="117"/>
    <cellStyle name="_KT (2)_3_TG-TH_Book1_BOQ-Thuan thao (Tai 07May)" xfId="118"/>
    <cellStyle name="_KT (2)_3_TG-TH_Book1_CAU TAO GIA THE OCEAN VILLAS DANANG" xfId="119"/>
    <cellStyle name="_KT (2)_3_TG-TH_Book2" xfId="120"/>
    <cellStyle name="_KT (2)_3_TG-TH_BOQ-Thuan thao (Tai 07May)" xfId="121"/>
    <cellStyle name="_KT (2)_3_TG-TH_Cau tao gia Arico T2-2009" xfId="122"/>
    <cellStyle name="_KT (2)_3_TG-TH_Cau tao gia phan Tho (ham + Than) 15-9-08" xfId="123"/>
    <cellStyle name="_KT (2)_3_TG-TH_CAU TAO GIA THE OCEAN VILLAS DANANG" xfId="124"/>
    <cellStyle name="_KT (2)_3_TG-TH_cong tac chuan bi Nhatrang Plaza" xfId="125"/>
    <cellStyle name="_KT (2)_3_TG-TH_Cong tac chuan bi-Thanh" xfId="126"/>
    <cellStyle name="_KT (2)_3_TG-TH_Copy of Cau tao gia Mau" xfId="127"/>
    <cellStyle name="_KT (2)_3_TG-TH_CTC - BoQ Agrex Building" xfId="128"/>
    <cellStyle name="_KT (2)_3_TG-TH_Lora-tungchau" xfId="129"/>
    <cellStyle name="_KT (2)_3_TG-TH_PERSONAL" xfId="130"/>
    <cellStyle name="_KT (2)_3_TG-TH_PERSONAL_Book1" xfId="131"/>
    <cellStyle name="_KT (2)_3_TG-TH_PERSONAL_BOQ-Thuan thao (Tai 07May)" xfId="132"/>
    <cellStyle name="_KT (2)_3_TG-TH_PERSONAL_CAU TAO GIA THE OCEAN VILLAS DANANG" xfId="133"/>
    <cellStyle name="_KT (2)_3_TG-TH_PERSONAL_Copy of Cau tao gia Mau" xfId="134"/>
    <cellStyle name="_KT (2)_3_TG-TH_PERSONAL_HTQ.8 GD1" xfId="135"/>
    <cellStyle name="_KT (2)_3_TG-TH_PERSONAL_Tong hop KHCB 2001" xfId="136"/>
    <cellStyle name="_KT (2)_3_TG-TH_Qt-HT3PQ1(CauKho)" xfId="137"/>
    <cellStyle name="_KT (2)_4" xfId="138"/>
    <cellStyle name="_KT (2)_4_BAO CAO KLCT PT2000" xfId="139"/>
    <cellStyle name="_KT (2)_4_BAO CAO PT2000" xfId="140"/>
    <cellStyle name="_KT (2)_4_BAO CAO PT2000_Book1" xfId="141"/>
    <cellStyle name="_KT (2)_4_Bao cao XDCB 2001 - T11 KH dieu chinh 20-11-THAI" xfId="142"/>
    <cellStyle name="_KT (2)_4_Book1" xfId="143"/>
    <cellStyle name="_KT (2)_4_Book1_1" xfId="144"/>
    <cellStyle name="_KT (2)_4_Book1_1_Cong tac chuan bi Cao su" xfId="145"/>
    <cellStyle name="_KT (2)_4_Book1_1_CTC - BoQ Agrex Building" xfId="146"/>
    <cellStyle name="_KT (2)_4_Book1_2" xfId="147"/>
    <cellStyle name="_KT (2)_4_Book1_2_Cong tac chuan bi Cao su" xfId="148"/>
    <cellStyle name="_KT (2)_4_Book1_3" xfId="149"/>
    <cellStyle name="_KT (2)_4_Book1_4" xfId="150"/>
    <cellStyle name="_KT (2)_4_Book1_Book2" xfId="151"/>
    <cellStyle name="_KT (2)_4_Book1_BOQ-Thuan thao (Tai 07May)" xfId="152"/>
    <cellStyle name="_KT (2)_4_Book1_Cau tao gia Arico T2-2009" xfId="153"/>
    <cellStyle name="_KT (2)_4_Book1_Cau tao gia phan Tho (ham + Than) 15-9-08" xfId="154"/>
    <cellStyle name="_KT (2)_4_Book1_CAU TAO GIA THE OCEAN VILLAS DANANG" xfId="155"/>
    <cellStyle name="_KT (2)_4_Book1_cong tac chuan bi Nhatrang Plaza" xfId="156"/>
    <cellStyle name="_KT (2)_4_Book1_Cong tac chuan bi-Thanh" xfId="157"/>
    <cellStyle name="_KT (2)_4_Book1_Copy of Cau tao gia Mau" xfId="158"/>
    <cellStyle name="_KT (2)_4_Book1_CTC - BoQ Agrex Building" xfId="159"/>
    <cellStyle name="_KT (2)_4_Book2" xfId="160"/>
    <cellStyle name="_KT (2)_4_BOQ-Thuan thao (Tai 07May)" xfId="161"/>
    <cellStyle name="_KT (2)_4_Cau tao gia Arico T2-2009" xfId="162"/>
    <cellStyle name="_KT (2)_4_Cau tao gia phan Tho (ham + Than) 15-9-08" xfId="163"/>
    <cellStyle name="_KT (2)_4_CAU TAO GIA THE OCEAN VILLAS DANANG" xfId="164"/>
    <cellStyle name="_KT (2)_4_cong tac chuan bi Nhatrang Plaza" xfId="165"/>
    <cellStyle name="_KT (2)_4_Cong tac chuan bi-Thanh" xfId="166"/>
    <cellStyle name="_KT (2)_4_Copy of Cau tao gia Mau" xfId="167"/>
    <cellStyle name="_KT (2)_4_CROWN WELL 冠威報價單20071015" xfId="168"/>
    <cellStyle name="_KT (2)_4_CTC - BoQ Agrex Building" xfId="169"/>
    <cellStyle name="_KT (2)_4_DT kho 50x72 ,52x45m -11-5" xfId="170"/>
    <cellStyle name="_KT (2)_4_DT kho 50x72 ,52x45m ASIA NUTRITION" xfId="171"/>
    <cellStyle name="_KT (2)_4_DTCDT MR.2N110.HOCMON.TDTOAN.CCUNG" xfId="172"/>
    <cellStyle name="_KT (2)_4_DTkho 52x70m ASIA NUTRITION" xfId="173"/>
    <cellStyle name="_KT (2)_4_DTkho 52x70m ASIA NUTRITION-change-tuong bt6m" xfId="174"/>
    <cellStyle name="_KT (2)_4_DTkho 52x70m ASIA NUTRITION-seno betong" xfId="175"/>
    <cellStyle name="_KT (2)_4_Lora-tungchau" xfId="176"/>
    <cellStyle name="_KT (2)_4_PGIA-phieu tham tra Kho bac" xfId="177"/>
    <cellStyle name="_KT (2)_4_PT02-02" xfId="178"/>
    <cellStyle name="_KT (2)_4_PT02-02_Book1" xfId="179"/>
    <cellStyle name="_KT (2)_4_PT02-03" xfId="180"/>
    <cellStyle name="_KT (2)_4_PT02-03_Book1" xfId="181"/>
    <cellStyle name="_KT (2)_4_Qt-HT3PQ1(CauKho)" xfId="182"/>
    <cellStyle name="_KT (2)_4_TG-TH" xfId="183"/>
    <cellStyle name="_KT (2)_5" xfId="184"/>
    <cellStyle name="_KT (2)_5_BAO CAO KLCT PT2000" xfId="185"/>
    <cellStyle name="_KT (2)_5_BAO CAO PT2000" xfId="186"/>
    <cellStyle name="_KT (2)_5_BAO CAO PT2000_Book1" xfId="187"/>
    <cellStyle name="_KT (2)_5_Bao cao XDCB 2001 - T11 KH dieu chinh 20-11-THAI" xfId="188"/>
    <cellStyle name="_KT (2)_5_Book1" xfId="189"/>
    <cellStyle name="_KT (2)_5_Book1_1" xfId="190"/>
    <cellStyle name="_KT (2)_5_Book1_1_Cong tac chuan bi Cao su" xfId="191"/>
    <cellStyle name="_KT (2)_5_Book1_1_CTC - BoQ Agrex Building" xfId="192"/>
    <cellStyle name="_KT (2)_5_Book1_2" xfId="193"/>
    <cellStyle name="_KT (2)_5_Book1_2_Cong tac chuan bi Cao su" xfId="194"/>
    <cellStyle name="_KT (2)_5_Book1_3" xfId="195"/>
    <cellStyle name="_KT (2)_5_Book1_4" xfId="196"/>
    <cellStyle name="_KT (2)_5_Book1_BC-QT-WB-dthao" xfId="197"/>
    <cellStyle name="_KT (2)_5_Book1_Book2" xfId="198"/>
    <cellStyle name="_KT (2)_5_Book1_BOQ-Thuan thao (Tai 07May)" xfId="199"/>
    <cellStyle name="_KT (2)_5_Book1_Cau tao gia Arico T2-2009" xfId="200"/>
    <cellStyle name="_KT (2)_5_Book1_Cau tao gia phan Tho (ham + Than) 15-9-08" xfId="201"/>
    <cellStyle name="_KT (2)_5_Book1_CAU TAO GIA THE OCEAN VILLAS DANANG" xfId="202"/>
    <cellStyle name="_KT (2)_5_Book1_cong tac chuan bi Nhatrang Plaza" xfId="203"/>
    <cellStyle name="_KT (2)_5_Book1_Cong tac chuan bi-Thanh" xfId="204"/>
    <cellStyle name="_KT (2)_5_Book1_Copy of Cau tao gia Mau" xfId="205"/>
    <cellStyle name="_KT (2)_5_Book1_CTC - BoQ Agrex Building" xfId="206"/>
    <cellStyle name="_KT (2)_5_Book2" xfId="207"/>
    <cellStyle name="_KT (2)_5_BOQ-Thuan thao (Tai 07May)" xfId="208"/>
    <cellStyle name="_KT (2)_5_Cau tao gia Arico T2-2009" xfId="209"/>
    <cellStyle name="_KT (2)_5_Cau tao gia phan Tho (ham + Than) 15-9-08" xfId="210"/>
    <cellStyle name="_KT (2)_5_CAU TAO GIA THE OCEAN VILLAS DANANG" xfId="211"/>
    <cellStyle name="_KT (2)_5_cong tac chuan bi Nhatrang Plaza" xfId="212"/>
    <cellStyle name="_KT (2)_5_Cong tac chuan bi-Thanh" xfId="213"/>
    <cellStyle name="_KT (2)_5_Copy of Cau tao gia Mau" xfId="214"/>
    <cellStyle name="_KT (2)_5_CROWN WELL 冠威報價單20071015" xfId="215"/>
    <cellStyle name="_KT (2)_5_CTC - BoQ Agrex Building" xfId="216"/>
    <cellStyle name="_KT (2)_5_DT kho 50x72 ,52x45m -11-5" xfId="217"/>
    <cellStyle name="_KT (2)_5_DT kho 50x72 ,52x45m ASIA NUTRITION" xfId="218"/>
    <cellStyle name="_KT (2)_5_DTCDT MR.2N110.HOCMON.TDTOAN.CCUNG" xfId="219"/>
    <cellStyle name="_KT (2)_5_DTkho 52x70m ASIA NUTRITION" xfId="220"/>
    <cellStyle name="_KT (2)_5_DTkho 52x70m ASIA NUTRITION-change-tuong bt6m" xfId="221"/>
    <cellStyle name="_KT (2)_5_DTkho 52x70m ASIA NUTRITION-seno betong" xfId="222"/>
    <cellStyle name="_KT (2)_5_Lora-tungchau" xfId="223"/>
    <cellStyle name="_KT (2)_5_PGIA-phieu tham tra Kho bac" xfId="224"/>
    <cellStyle name="_KT (2)_5_PT02-02" xfId="225"/>
    <cellStyle name="_KT (2)_5_PT02-02_Book1" xfId="226"/>
    <cellStyle name="_KT (2)_5_PT02-03" xfId="227"/>
    <cellStyle name="_KT (2)_5_PT02-03_Book1" xfId="228"/>
    <cellStyle name="_KT (2)_5_Qt-HT3PQ1(CauKho)" xfId="229"/>
    <cellStyle name="_KT (2)_Book1" xfId="230"/>
    <cellStyle name="_KT (2)_Book1_1" xfId="231"/>
    <cellStyle name="_KT (2)_Book1_BC-QT-WB-dthao" xfId="232"/>
    <cellStyle name="_KT (2)_Book1_BOQ-Thuan thao (Tai 07May)" xfId="233"/>
    <cellStyle name="_KT (2)_Book1_CAU TAO GIA THE OCEAN VILLAS DANANG" xfId="234"/>
    <cellStyle name="_KT (2)_Book2" xfId="235"/>
    <cellStyle name="_KT (2)_BOQ-Thuan thao (Tai 07May)" xfId="236"/>
    <cellStyle name="_KT (2)_Cau tao gia Arico T2-2009" xfId="237"/>
    <cellStyle name="_KT (2)_Cau tao gia phan Tho (ham + Than) 15-9-08" xfId="238"/>
    <cellStyle name="_KT (2)_CAU TAO GIA THE OCEAN VILLAS DANANG" xfId="239"/>
    <cellStyle name="_KT (2)_cong tac chuan bi Nhatrang Plaza" xfId="240"/>
    <cellStyle name="_KT (2)_Cong tac chuan bi-Thanh" xfId="241"/>
    <cellStyle name="_KT (2)_Copy of Cau tao gia Mau" xfId="242"/>
    <cellStyle name="_KT (2)_CTC - BoQ Agrex Building" xfId="243"/>
    <cellStyle name="_KT (2)_Lora-tungchau" xfId="244"/>
    <cellStyle name="_KT (2)_PERSONAL" xfId="245"/>
    <cellStyle name="_KT (2)_PERSONAL_Book1" xfId="246"/>
    <cellStyle name="_KT (2)_PERSONAL_BOQ-Thuan thao (Tai 07May)" xfId="247"/>
    <cellStyle name="_KT (2)_PERSONAL_CAU TAO GIA THE OCEAN VILLAS DANANG" xfId="248"/>
    <cellStyle name="_KT (2)_PERSONAL_Copy of Cau tao gia Mau" xfId="249"/>
    <cellStyle name="_KT (2)_PERSONAL_HTQ.8 GD1" xfId="250"/>
    <cellStyle name="_KT (2)_PERSONAL_Tong hop KHCB 2001" xfId="251"/>
    <cellStyle name="_KT (2)_Qt-HT3PQ1(CauKho)" xfId="252"/>
    <cellStyle name="_KT (2)_TG-TH" xfId="253"/>
    <cellStyle name="_KT_TG" xfId="254"/>
    <cellStyle name="_KT_TG_1" xfId="255"/>
    <cellStyle name="_KT_TG_1_BAO CAO KLCT PT2000" xfId="256"/>
    <cellStyle name="_KT_TG_1_BAO CAO PT2000" xfId="257"/>
    <cellStyle name="_KT_TG_1_BAO CAO PT2000_Book1" xfId="258"/>
    <cellStyle name="_KT_TG_1_Bao cao XDCB 2001 - T11 KH dieu chinh 20-11-THAI" xfId="259"/>
    <cellStyle name="_KT_TG_1_Book1" xfId="260"/>
    <cellStyle name="_KT_TG_1_Book1_1" xfId="261"/>
    <cellStyle name="_KT_TG_1_Book1_1_Cong tac chuan bi Cao su" xfId="262"/>
    <cellStyle name="_KT_TG_1_Book1_1_CTC - BoQ Agrex Building" xfId="263"/>
    <cellStyle name="_KT_TG_1_Book1_2" xfId="264"/>
    <cellStyle name="_KT_TG_1_Book1_2_Cong tac chuan bi Cao su" xfId="265"/>
    <cellStyle name="_KT_TG_1_Book1_3" xfId="266"/>
    <cellStyle name="_KT_TG_1_Book1_4" xfId="267"/>
    <cellStyle name="_KT_TG_1_Book1_BC-QT-WB-dthao" xfId="268"/>
    <cellStyle name="_KT_TG_1_Book1_Book2" xfId="269"/>
    <cellStyle name="_KT_TG_1_Book1_BOQ-Thuan thao (Tai 07May)" xfId="270"/>
    <cellStyle name="_KT_TG_1_Book1_Cau tao gia Arico T2-2009" xfId="271"/>
    <cellStyle name="_KT_TG_1_Book1_Cau tao gia phan Tho (ham + Than) 15-9-08" xfId="272"/>
    <cellStyle name="_KT_TG_1_Book1_CAU TAO GIA THE OCEAN VILLAS DANANG" xfId="273"/>
    <cellStyle name="_KT_TG_1_Book1_cong tac chuan bi Nhatrang Plaza" xfId="274"/>
    <cellStyle name="_KT_TG_1_Book1_Cong tac chuan bi-Thanh" xfId="275"/>
    <cellStyle name="_KT_TG_1_Book1_Copy of Cau tao gia Mau" xfId="276"/>
    <cellStyle name="_KT_TG_1_Book1_CTC - BoQ Agrex Building" xfId="277"/>
    <cellStyle name="_KT_TG_1_Book2" xfId="278"/>
    <cellStyle name="_KT_TG_1_BOQ-Thuan thao (Tai 07May)" xfId="279"/>
    <cellStyle name="_KT_TG_1_Cau tao gia Arico T2-2009" xfId="280"/>
    <cellStyle name="_KT_TG_1_Cau tao gia phan Tho (ham + Than) 15-9-08" xfId="281"/>
    <cellStyle name="_KT_TG_1_CAU TAO GIA THE OCEAN VILLAS DANANG" xfId="282"/>
    <cellStyle name="_KT_TG_1_cong tac chuan bi Nhatrang Plaza" xfId="283"/>
    <cellStyle name="_KT_TG_1_Cong tac chuan bi-Thanh" xfId="284"/>
    <cellStyle name="_KT_TG_1_Copy of Cau tao gia Mau" xfId="285"/>
    <cellStyle name="_KT_TG_1_CROWN WELL 冠威報價單20071015" xfId="286"/>
    <cellStyle name="_KT_TG_1_CTC - BoQ Agrex Building" xfId="287"/>
    <cellStyle name="_KT_TG_1_DT kho 50x72 ,52x45m -11-5" xfId="288"/>
    <cellStyle name="_KT_TG_1_DT kho 50x72 ,52x45m ASIA NUTRITION" xfId="289"/>
    <cellStyle name="_KT_TG_1_DTCDT MR.2N110.HOCMON.TDTOAN.CCUNG" xfId="290"/>
    <cellStyle name="_KT_TG_1_DTkho 52x70m ASIA NUTRITION" xfId="291"/>
    <cellStyle name="_KT_TG_1_DTkho 52x70m ASIA NUTRITION-change-tuong bt6m" xfId="292"/>
    <cellStyle name="_KT_TG_1_DTkho 52x70m ASIA NUTRITION-seno betong" xfId="293"/>
    <cellStyle name="_KT_TG_1_Lora-tungchau" xfId="294"/>
    <cellStyle name="_KT_TG_1_PGIA-phieu tham tra Kho bac" xfId="295"/>
    <cellStyle name="_KT_TG_1_PT02-02" xfId="296"/>
    <cellStyle name="_KT_TG_1_PT02-02_Book1" xfId="297"/>
    <cellStyle name="_KT_TG_1_PT02-03" xfId="298"/>
    <cellStyle name="_KT_TG_1_PT02-03_Book1" xfId="299"/>
    <cellStyle name="_KT_TG_1_Qt-HT3PQ1(CauKho)" xfId="300"/>
    <cellStyle name="_KT_TG_2" xfId="301"/>
    <cellStyle name="_KT_TG_2_BAO CAO KLCT PT2000" xfId="302"/>
    <cellStyle name="_KT_TG_2_BAO CAO PT2000" xfId="303"/>
    <cellStyle name="_KT_TG_2_BAO CAO PT2000_Book1" xfId="304"/>
    <cellStyle name="_KT_TG_2_Bao cao XDCB 2001 - T11 KH dieu chinh 20-11-THAI" xfId="305"/>
    <cellStyle name="_KT_TG_2_Book1" xfId="306"/>
    <cellStyle name="_KT_TG_2_Book1_1" xfId="307"/>
    <cellStyle name="_KT_TG_2_Book1_1_Cong tac chuan bi Cao su" xfId="308"/>
    <cellStyle name="_KT_TG_2_Book1_1_CTC - BoQ Agrex Building" xfId="309"/>
    <cellStyle name="_KT_TG_2_Book1_2" xfId="310"/>
    <cellStyle name="_KT_TG_2_Book1_2_Cong tac chuan bi Cao su" xfId="311"/>
    <cellStyle name="_KT_TG_2_Book1_3" xfId="312"/>
    <cellStyle name="_KT_TG_2_Book1_4" xfId="313"/>
    <cellStyle name="_KT_TG_2_Book1_Book2" xfId="314"/>
    <cellStyle name="_KT_TG_2_Book1_BOQ-Thuan thao (Tai 07May)" xfId="315"/>
    <cellStyle name="_KT_TG_2_Book1_Cau tao gia Arico T2-2009" xfId="316"/>
    <cellStyle name="_KT_TG_2_Book1_Cau tao gia phan Tho (ham + Than) 15-9-08" xfId="317"/>
    <cellStyle name="_KT_TG_2_Book1_CAU TAO GIA THE OCEAN VILLAS DANANG" xfId="318"/>
    <cellStyle name="_KT_TG_2_Book1_cong tac chuan bi Nhatrang Plaza" xfId="319"/>
    <cellStyle name="_KT_TG_2_Book1_Cong tac chuan bi-Thanh" xfId="320"/>
    <cellStyle name="_KT_TG_2_Book1_Copy of Cau tao gia Mau" xfId="321"/>
    <cellStyle name="_KT_TG_2_Book1_CTC - BoQ Agrex Building" xfId="322"/>
    <cellStyle name="_KT_TG_2_Book2" xfId="323"/>
    <cellStyle name="_KT_TG_2_BOQ-Thuan thao (Tai 07May)" xfId="324"/>
    <cellStyle name="_KT_TG_2_Cau tao gia Arico T2-2009" xfId="325"/>
    <cellStyle name="_KT_TG_2_Cau tao gia phan Tho (ham + Than) 15-9-08" xfId="326"/>
    <cellStyle name="_KT_TG_2_CAU TAO GIA THE OCEAN VILLAS DANANG" xfId="327"/>
    <cellStyle name="_KT_TG_2_cong tac chuan bi Nhatrang Plaza" xfId="328"/>
    <cellStyle name="_KT_TG_2_Cong tac chuan bi-Thanh" xfId="329"/>
    <cellStyle name="_KT_TG_2_Copy of Cau tao gia Mau" xfId="330"/>
    <cellStyle name="_KT_TG_2_CROWN WELL 冠威報價單20071015" xfId="331"/>
    <cellStyle name="_KT_TG_2_CTC - BoQ Agrex Building" xfId="332"/>
    <cellStyle name="_KT_TG_2_DT kho 50x72 ,52x45m -11-5" xfId="333"/>
    <cellStyle name="_KT_TG_2_DT kho 50x72 ,52x45m ASIA NUTRITION" xfId="334"/>
    <cellStyle name="_KT_TG_2_DTCDT MR.2N110.HOCMON.TDTOAN.CCUNG" xfId="335"/>
    <cellStyle name="_KT_TG_2_DTkho 52x70m ASIA NUTRITION" xfId="336"/>
    <cellStyle name="_KT_TG_2_DTkho 52x70m ASIA NUTRITION-change-tuong bt6m" xfId="337"/>
    <cellStyle name="_KT_TG_2_DTkho 52x70m ASIA NUTRITION-seno betong" xfId="338"/>
    <cellStyle name="_KT_TG_2_Lora-tungchau" xfId="339"/>
    <cellStyle name="_KT_TG_2_PGIA-phieu tham tra Kho bac" xfId="340"/>
    <cellStyle name="_KT_TG_2_PT02-02" xfId="341"/>
    <cellStyle name="_KT_TG_2_PT02-02_Book1" xfId="342"/>
    <cellStyle name="_KT_TG_2_PT02-03" xfId="343"/>
    <cellStyle name="_KT_TG_2_PT02-03_Book1" xfId="344"/>
    <cellStyle name="_KT_TG_2_Qt-HT3PQ1(CauKho)" xfId="345"/>
    <cellStyle name="_KT_TG_3" xfId="346"/>
    <cellStyle name="_KT_TG_4" xfId="347"/>
    <cellStyle name="_KT_TG_4_Lora-tungchau" xfId="348"/>
    <cellStyle name="_KT_TG_4_Qt-HT3PQ1(CauKho)" xfId="349"/>
    <cellStyle name="_Lora-tungchau" xfId="350"/>
    <cellStyle name="_OFG-mockup1_1_Jan CPA2_CD UM 11.3 Summary 0.6 OFA 5" xfId="351"/>
    <cellStyle name="_PERSONAL" xfId="352"/>
    <cellStyle name="_PERSONAL_Book1" xfId="353"/>
    <cellStyle name="_PERSONAL_BOQ-Thuan thao (Tai 07May)" xfId="354"/>
    <cellStyle name="_PERSONAL_CAU TAO GIA THE OCEAN VILLAS DANANG" xfId="355"/>
    <cellStyle name="_PERSONAL_Copy of Cau tao gia Mau" xfId="356"/>
    <cellStyle name="_PERSONAL_HTQ.8 GD1" xfId="357"/>
    <cellStyle name="_PERSONAL_Tong hop KHCB 2001" xfId="358"/>
    <cellStyle name="_Qt-HT3PQ1(CauKho)" xfId="359"/>
    <cellStyle name="_Sheet2" xfId="360"/>
    <cellStyle name="_TG-TH" xfId="361"/>
    <cellStyle name="_TG-TH_1" xfId="362"/>
    <cellStyle name="_TG-TH_1_BAO CAO KLCT PT2000" xfId="363"/>
    <cellStyle name="_TG-TH_1_BAO CAO PT2000" xfId="364"/>
    <cellStyle name="_TG-TH_1_BAO CAO PT2000_Book1" xfId="365"/>
    <cellStyle name="_TG-TH_1_Bao cao XDCB 2001 - T11 KH dieu chinh 20-11-THAI" xfId="366"/>
    <cellStyle name="_TG-TH_1_Book1" xfId="367"/>
    <cellStyle name="_TG-TH_1_Book1_1" xfId="368"/>
    <cellStyle name="_TG-TH_1_Book1_1_Cong tac chuan bi Cao su" xfId="369"/>
    <cellStyle name="_TG-TH_1_Book1_1_CTC - BoQ Agrex Building" xfId="370"/>
    <cellStyle name="_TG-TH_1_Book1_2" xfId="371"/>
    <cellStyle name="_TG-TH_1_Book1_2_Cong tac chuan bi Cao su" xfId="372"/>
    <cellStyle name="_TG-TH_1_Book1_3" xfId="373"/>
    <cellStyle name="_TG-TH_1_Book1_4" xfId="374"/>
    <cellStyle name="_TG-TH_1_Book1_BC-QT-WB-dthao" xfId="375"/>
    <cellStyle name="_TG-TH_1_Book1_Book2" xfId="376"/>
    <cellStyle name="_TG-TH_1_Book1_BOQ-Thuan thao (Tai 07May)" xfId="377"/>
    <cellStyle name="_TG-TH_1_Book1_Cau tao gia Arico T2-2009" xfId="378"/>
    <cellStyle name="_TG-TH_1_Book1_Cau tao gia phan Tho (ham + Than) 15-9-08" xfId="379"/>
    <cellStyle name="_TG-TH_1_Book1_CAU TAO GIA THE OCEAN VILLAS DANANG" xfId="380"/>
    <cellStyle name="_TG-TH_1_Book1_cong tac chuan bi Nhatrang Plaza" xfId="381"/>
    <cellStyle name="_TG-TH_1_Book1_Cong tac chuan bi-Thanh" xfId="382"/>
    <cellStyle name="_TG-TH_1_Book1_Copy of Cau tao gia Mau" xfId="383"/>
    <cellStyle name="_TG-TH_1_Book1_CTC - BoQ Agrex Building" xfId="384"/>
    <cellStyle name="_TG-TH_1_Book2" xfId="385"/>
    <cellStyle name="_TG-TH_1_BOQ-Thuan thao (Tai 07May)" xfId="386"/>
    <cellStyle name="_TG-TH_1_Cau tao gia Arico T2-2009" xfId="387"/>
    <cellStyle name="_TG-TH_1_Cau tao gia phan Tho (ham + Than) 15-9-08" xfId="388"/>
    <cellStyle name="_TG-TH_1_CAU TAO GIA THE OCEAN VILLAS DANANG" xfId="389"/>
    <cellStyle name="_TG-TH_1_cong tac chuan bi Nhatrang Plaza" xfId="390"/>
    <cellStyle name="_TG-TH_1_Cong tac chuan bi-Thanh" xfId="391"/>
    <cellStyle name="_TG-TH_1_Copy of Cau tao gia Mau" xfId="392"/>
    <cellStyle name="_TG-TH_1_CROWN WELL 冠威報價單20071015" xfId="393"/>
    <cellStyle name="_TG-TH_1_CTC - BoQ Agrex Building" xfId="394"/>
    <cellStyle name="_TG-TH_1_DT kho 50x72 ,52x45m -11-5" xfId="395"/>
    <cellStyle name="_TG-TH_1_DT kho 50x72 ,52x45m ASIA NUTRITION" xfId="396"/>
    <cellStyle name="_TG-TH_1_DTCDT MR.2N110.HOCMON.TDTOAN.CCUNG" xfId="397"/>
    <cellStyle name="_TG-TH_1_DTkho 52x70m ASIA NUTRITION" xfId="398"/>
    <cellStyle name="_TG-TH_1_DTkho 52x70m ASIA NUTRITION-change-tuong bt6m" xfId="399"/>
    <cellStyle name="_TG-TH_1_DTkho 52x70m ASIA NUTRITION-seno betong" xfId="400"/>
    <cellStyle name="_TG-TH_1_Lora-tungchau" xfId="401"/>
    <cellStyle name="_TG-TH_1_PGIA-phieu tham tra Kho bac" xfId="402"/>
    <cellStyle name="_TG-TH_1_PT02-02" xfId="403"/>
    <cellStyle name="_TG-TH_1_PT02-02_Book1" xfId="404"/>
    <cellStyle name="_TG-TH_1_PT02-03" xfId="405"/>
    <cellStyle name="_TG-TH_1_PT02-03_Book1" xfId="406"/>
    <cellStyle name="_TG-TH_1_Qt-HT3PQ1(CauKho)" xfId="407"/>
    <cellStyle name="_TG-TH_2" xfId="408"/>
    <cellStyle name="_TG-TH_2_BAO CAO KLCT PT2000" xfId="409"/>
    <cellStyle name="_TG-TH_2_BAO CAO PT2000" xfId="410"/>
    <cellStyle name="_TG-TH_2_BAO CAO PT2000_Book1" xfId="411"/>
    <cellStyle name="_TG-TH_2_Bao cao XDCB 2001 - T11 KH dieu chinh 20-11-THAI" xfId="412"/>
    <cellStyle name="_TG-TH_2_Book1" xfId="413"/>
    <cellStyle name="_TG-TH_2_Book1_1" xfId="414"/>
    <cellStyle name="_TG-TH_2_Book1_1_Cong tac chuan bi Cao su" xfId="415"/>
    <cellStyle name="_TG-TH_2_Book1_1_CTC - BoQ Agrex Building" xfId="416"/>
    <cellStyle name="_TG-TH_2_Book1_2" xfId="417"/>
    <cellStyle name="_TG-TH_2_Book1_2_Cong tac chuan bi Cao su" xfId="418"/>
    <cellStyle name="_TG-TH_2_Book1_3" xfId="419"/>
    <cellStyle name="_TG-TH_2_Book1_4" xfId="420"/>
    <cellStyle name="_TG-TH_2_Book1_Book2" xfId="421"/>
    <cellStyle name="_TG-TH_2_Book1_BOQ-Thuan thao (Tai 07May)" xfId="422"/>
    <cellStyle name="_TG-TH_2_Book1_Cau tao gia Arico T2-2009" xfId="423"/>
    <cellStyle name="_TG-TH_2_Book1_Cau tao gia phan Tho (ham + Than) 15-9-08" xfId="424"/>
    <cellStyle name="_TG-TH_2_Book1_CAU TAO GIA THE OCEAN VILLAS DANANG" xfId="425"/>
    <cellStyle name="_TG-TH_2_Book1_cong tac chuan bi Nhatrang Plaza" xfId="426"/>
    <cellStyle name="_TG-TH_2_Book1_Cong tac chuan bi-Thanh" xfId="427"/>
    <cellStyle name="_TG-TH_2_Book1_Copy of Cau tao gia Mau" xfId="428"/>
    <cellStyle name="_TG-TH_2_Book1_CTC - BoQ Agrex Building" xfId="429"/>
    <cellStyle name="_TG-TH_2_Book2" xfId="430"/>
    <cellStyle name="_TG-TH_2_BOQ-Thuan thao (Tai 07May)" xfId="431"/>
    <cellStyle name="_TG-TH_2_Cau tao gia Arico T2-2009" xfId="432"/>
    <cellStyle name="_TG-TH_2_Cau tao gia phan Tho (ham + Than) 15-9-08" xfId="433"/>
    <cellStyle name="_TG-TH_2_CAU TAO GIA THE OCEAN VILLAS DANANG" xfId="434"/>
    <cellStyle name="_TG-TH_2_cong tac chuan bi Nhatrang Plaza" xfId="435"/>
    <cellStyle name="_TG-TH_2_Cong tac chuan bi-Thanh" xfId="436"/>
    <cellStyle name="_TG-TH_2_Copy of Cau tao gia Mau" xfId="437"/>
    <cellStyle name="_TG-TH_2_CROWN WELL 冠威報價單20071015" xfId="438"/>
    <cellStyle name="_TG-TH_2_CTC - BoQ Agrex Building" xfId="439"/>
    <cellStyle name="_TG-TH_2_DT kho 50x72 ,52x45m -11-5" xfId="440"/>
    <cellStyle name="_TG-TH_2_DT kho 50x72 ,52x45m ASIA NUTRITION" xfId="441"/>
    <cellStyle name="_TG-TH_2_DTCDT MR.2N110.HOCMON.TDTOAN.CCUNG" xfId="442"/>
    <cellStyle name="_TG-TH_2_DTkho 52x70m ASIA NUTRITION" xfId="443"/>
    <cellStyle name="_TG-TH_2_DTkho 52x70m ASIA NUTRITION-change-tuong bt6m" xfId="444"/>
    <cellStyle name="_TG-TH_2_DTkho 52x70m ASIA NUTRITION-seno betong" xfId="445"/>
    <cellStyle name="_TG-TH_2_Lora-tungchau" xfId="446"/>
    <cellStyle name="_TG-TH_2_PGIA-phieu tham tra Kho bac" xfId="447"/>
    <cellStyle name="_TG-TH_2_PT02-02" xfId="448"/>
    <cellStyle name="_TG-TH_2_PT02-02_Book1" xfId="449"/>
    <cellStyle name="_TG-TH_2_PT02-03" xfId="450"/>
    <cellStyle name="_TG-TH_2_PT02-03_Book1" xfId="451"/>
    <cellStyle name="_TG-TH_2_Qt-HT3PQ1(CauKho)" xfId="452"/>
    <cellStyle name="_TG-TH_3" xfId="453"/>
    <cellStyle name="_TG-TH_3_Lora-tungchau" xfId="454"/>
    <cellStyle name="_TG-TH_3_Qt-HT3PQ1(CauKho)" xfId="455"/>
    <cellStyle name="_TG-TH_4" xfId="456"/>
    <cellStyle name="_Thau phu NCC" xfId="457"/>
    <cellStyle name="_THEP BINH TAY" xfId="458"/>
    <cellStyle name="_Thong tin chung Groz" xfId="459"/>
    <cellStyle name="_To Mr Cang -Cotecons Hanh phuc Hosp Dr" xfId="460"/>
    <cellStyle name="_TONG HOP BETONG HAI AU " xfId="461"/>
    <cellStyle name="_TUONG RAO" xfId="462"/>
    <cellStyle name="_TUONG RAO_1" xfId="463"/>
    <cellStyle name="_Villa A,B,C,D-Coteccons" xfId="464"/>
    <cellStyle name="_YC bao gia-Phan cong CV River Garden" xfId="465"/>
    <cellStyle name="_광안리내역서(구도)" xfId="466"/>
    <cellStyle name="~1" xfId="467"/>
    <cellStyle name="•W?_Format" xfId="468"/>
    <cellStyle name="•W€_Format" xfId="469"/>
    <cellStyle name="•W_Format" xfId="470"/>
    <cellStyle name="\¦ÏÝÌnCp[N" xfId="471"/>
    <cellStyle name="aOe [0.00]_s-ns-bq" xfId="472"/>
    <cellStyle name="aOe_s-ns-bq" xfId="473"/>
    <cellStyle name="EY [0.00]_CONDITION (2)" xfId="474"/>
    <cellStyle name="EY_CONDITION (2)" xfId="475"/>
    <cellStyle name="nCp[N" xfId="476"/>
    <cellStyle name="W_D8" xfId="477"/>
    <cellStyle name="1" xfId="478"/>
    <cellStyle name="1_kho luong bo sung ACMV" xfId="479"/>
    <cellStyle name="¹éºÐÀ²_      " xfId="480"/>
    <cellStyle name="2" xfId="481"/>
    <cellStyle name="20% - 輔色1" xfId="482"/>
    <cellStyle name="20% - 輔色2" xfId="483"/>
    <cellStyle name="20% - 輔色3" xfId="484"/>
    <cellStyle name="20% - 輔色4" xfId="485"/>
    <cellStyle name="20% - 輔色5" xfId="486"/>
    <cellStyle name="20% - 輔色6" xfId="487"/>
    <cellStyle name="3" xfId="488"/>
    <cellStyle name="4" xfId="489"/>
    <cellStyle name="40% - 輔色1" xfId="490"/>
    <cellStyle name="40% - 輔色2" xfId="491"/>
    <cellStyle name="40% - 輔色3" xfId="492"/>
    <cellStyle name="40% - 輔色4" xfId="493"/>
    <cellStyle name="40% - 輔色5" xfId="494"/>
    <cellStyle name="40% - 輔色6" xfId="495"/>
    <cellStyle name="60% - Accent1 2" xfId="496"/>
    <cellStyle name="60% - 輔色1" xfId="497"/>
    <cellStyle name="60% - 輔色2" xfId="498"/>
    <cellStyle name="60% - 輔色3" xfId="499"/>
    <cellStyle name="60% - 輔色4" xfId="500"/>
    <cellStyle name="60% - 輔色5" xfId="501"/>
    <cellStyle name="60% - 輔色6" xfId="502"/>
    <cellStyle name="Accent1 - 20%" xfId="503"/>
    <cellStyle name="Accent1 - 40%" xfId="504"/>
    <cellStyle name="Accent1 - 60%" xfId="505"/>
    <cellStyle name="Accent1 2" xfId="1"/>
    <cellStyle name="Accent2 - 20%" xfId="506"/>
    <cellStyle name="Accent2 - 40%" xfId="507"/>
    <cellStyle name="Accent2 - 60%" xfId="508"/>
    <cellStyle name="Accent3 - 20%" xfId="509"/>
    <cellStyle name="Accent3 - 40%" xfId="510"/>
    <cellStyle name="Accent3 - 60%" xfId="511"/>
    <cellStyle name="Accent4 - 20%" xfId="512"/>
    <cellStyle name="Accent4 - 40%" xfId="513"/>
    <cellStyle name="Accent4 - 60%" xfId="514"/>
    <cellStyle name="Accent5 - 20%" xfId="515"/>
    <cellStyle name="Accent5 - 40%" xfId="516"/>
    <cellStyle name="Accent5 - 60%" xfId="517"/>
    <cellStyle name="Accent6 - 20%" xfId="518"/>
    <cellStyle name="Accent6 - 40%" xfId="519"/>
    <cellStyle name="Accent6 - 60%" xfId="520"/>
    <cellStyle name="ÅëÈ­ [0]_      " xfId="521"/>
    <cellStyle name="AeE­ [0]_INQUIRY ¿?¾÷AßAø " xfId="522"/>
    <cellStyle name="ÅëÈ­ [0]_L601CPT" xfId="523"/>
    <cellStyle name="ÅëÈ­_      " xfId="524"/>
    <cellStyle name="AeE­_INQUIRY ¿?¾÷AßAø " xfId="525"/>
    <cellStyle name="ÅëÈ­_L601CPT" xfId="526"/>
    <cellStyle name="args.style" xfId="527"/>
    <cellStyle name="ÄÞ¸¶ [0]_      " xfId="528"/>
    <cellStyle name="AÞ¸¶ [0]_INQUIRY ¿?¾÷AßAø " xfId="529"/>
    <cellStyle name="ÄÞ¸¶ [0]_L601CPT" xfId="530"/>
    <cellStyle name="ÄÞ¸¶_      " xfId="531"/>
    <cellStyle name="AÞ¸¶_INQUIRY ¿?¾÷AßAø " xfId="532"/>
    <cellStyle name="ÄÞ¸¶_L601CPT" xfId="533"/>
    <cellStyle name="AutoFormat Options" xfId="534"/>
    <cellStyle name="Body" xfId="535"/>
    <cellStyle name="C?AØ_¿?¾÷CoE² " xfId="536"/>
    <cellStyle name="Ç¥ÁØ_      " xfId="537"/>
    <cellStyle name="C￥AØ_¿μ¾÷CoE² " xfId="538"/>
    <cellStyle name="Ç¥ÁØ_±¸¹Ì´ëÃ¥" xfId="539"/>
    <cellStyle name="Calc Currency (0)" xfId="540"/>
    <cellStyle name="Calc Currency (2)" xfId="541"/>
    <cellStyle name="Calc Percent (0)" xfId="542"/>
    <cellStyle name="Calc Percent (1)" xfId="543"/>
    <cellStyle name="Calc Percent (2)" xfId="544"/>
    <cellStyle name="Calc Units (0)" xfId="545"/>
    <cellStyle name="Calc Units (1)" xfId="546"/>
    <cellStyle name="Calc Units (2)" xfId="547"/>
    <cellStyle name="category" xfId="548"/>
    <cellStyle name="Cerrency_Sheet2_XANGDAU" xfId="549"/>
    <cellStyle name="Chi phÝ kh¸c_Book1" xfId="550"/>
    <cellStyle name="CHUONG" xfId="551"/>
    <cellStyle name="Column Header" xfId="552"/>
    <cellStyle name="Comma [0] 2" xfId="553"/>
    <cellStyle name="Comma [00]" xfId="554"/>
    <cellStyle name="Comma 10" xfId="555"/>
    <cellStyle name="Comma 10 2 10" xfId="556"/>
    <cellStyle name="Comma 10 2 2" xfId="557"/>
    <cellStyle name="Comma 10 2 3" xfId="558"/>
    <cellStyle name="Comma 11" xfId="559"/>
    <cellStyle name="Comma 15" xfId="560"/>
    <cellStyle name="Comma 16" xfId="561"/>
    <cellStyle name="Comma 2" xfId="562"/>
    <cellStyle name="Comma 2 10" xfId="563"/>
    <cellStyle name="Comma 2 11" xfId="564"/>
    <cellStyle name="Comma 2 2" xfId="565"/>
    <cellStyle name="Comma 2 2 2" xfId="566"/>
    <cellStyle name="Comma 2 2 3" xfId="567"/>
    <cellStyle name="Comma 2 3" xfId="568"/>
    <cellStyle name="Comma 2 4" xfId="569"/>
    <cellStyle name="Comma 2 5" xfId="570"/>
    <cellStyle name="Comma 2 6" xfId="571"/>
    <cellStyle name="Comma 2 7" xfId="572"/>
    <cellStyle name="Comma 2 8" xfId="573"/>
    <cellStyle name="Comma 2 9" xfId="574"/>
    <cellStyle name="Comma 2_Cau tao gia Arico T2-2009" xfId="575"/>
    <cellStyle name="Comma 22" xfId="576"/>
    <cellStyle name="Comma 3" xfId="577"/>
    <cellStyle name="Comma 3 10" xfId="578"/>
    <cellStyle name="Comma 3 2" xfId="579"/>
    <cellStyle name="Comma 3 2 2" xfId="580"/>
    <cellStyle name="Comma 3 3" xfId="581"/>
    <cellStyle name="Comma 3 4" xfId="582"/>
    <cellStyle name="Comma 3 5" xfId="583"/>
    <cellStyle name="Comma 3 6" xfId="584"/>
    <cellStyle name="Comma 3 7" xfId="585"/>
    <cellStyle name="Comma 3 8" xfId="586"/>
    <cellStyle name="Comma 3 9" xfId="587"/>
    <cellStyle name="Comma 3_08  Bill of Quantities 2" xfId="588"/>
    <cellStyle name="Comma 4" xfId="589"/>
    <cellStyle name="Comma 4 10" xfId="590"/>
    <cellStyle name="Comma 4 2" xfId="591"/>
    <cellStyle name="Comma 4 3" xfId="592"/>
    <cellStyle name="Comma 4 4" xfId="593"/>
    <cellStyle name="Comma 4 5" xfId="594"/>
    <cellStyle name="Comma 4 6" xfId="595"/>
    <cellStyle name="Comma 4 7" xfId="596"/>
    <cellStyle name="Comma 4 8" xfId="597"/>
    <cellStyle name="Comma 4 9" xfId="598"/>
    <cellStyle name="Comma 5" xfId="599"/>
    <cellStyle name="Comma 5 10" xfId="600"/>
    <cellStyle name="Comma 5 2" xfId="601"/>
    <cellStyle name="Comma 5 3" xfId="602"/>
    <cellStyle name="Comma 5 4" xfId="603"/>
    <cellStyle name="Comma 5 5" xfId="604"/>
    <cellStyle name="Comma 5 6" xfId="605"/>
    <cellStyle name="Comma 5 7" xfId="606"/>
    <cellStyle name="Comma 5 8" xfId="607"/>
    <cellStyle name="Comma 5 9" xfId="608"/>
    <cellStyle name="Comma 6" xfId="609"/>
    <cellStyle name="Comma 6 10" xfId="610"/>
    <cellStyle name="Comma 6 2" xfId="611"/>
    <cellStyle name="Comma 6 3" xfId="612"/>
    <cellStyle name="Comma 6 4" xfId="613"/>
    <cellStyle name="Comma 6 5" xfId="614"/>
    <cellStyle name="Comma 6 6" xfId="615"/>
    <cellStyle name="Comma 6 7" xfId="616"/>
    <cellStyle name="Comma 6 8" xfId="617"/>
    <cellStyle name="Comma 6 9" xfId="618"/>
    <cellStyle name="Comma 7" xfId="619"/>
    <cellStyle name="Comma 7 2" xfId="620"/>
    <cellStyle name="Comma 7 3" xfId="621"/>
    <cellStyle name="Comma 8" xfId="622"/>
    <cellStyle name="Comma 8 10" xfId="623"/>
    <cellStyle name="Comma 8 2 2" xfId="624"/>
    <cellStyle name="Comma 9" xfId="625"/>
    <cellStyle name="Comma 9 2" xfId="626"/>
    <cellStyle name="Comma 9 2 2" xfId="627"/>
    <cellStyle name="comma zerodec" xfId="628"/>
    <cellStyle name="Comma0" xfId="629"/>
    <cellStyle name="Copied" xfId="630"/>
    <cellStyle name="COST1" xfId="631"/>
    <cellStyle name="Currency [00]" xfId="632"/>
    <cellStyle name="Currency 2" xfId="633"/>
    <cellStyle name="Currency0" xfId="634"/>
    <cellStyle name="Currency1" xfId="635"/>
    <cellStyle name="D$_x0004_P??_x0010__x000b_?_x0015_?$_x0004_?_x000f_?" xfId="636"/>
    <cellStyle name="D$_x0004_P?_x0010__x000b_픲_x0015_딡$_x0004_뗈_x000f_?" xfId="637"/>
    <cellStyle name="Date" xfId="638"/>
    <cellStyle name="Date Short" xfId="639"/>
    <cellStyle name="Date_Book1" xfId="640"/>
    <cellStyle name="Dezimal [0]_ALLE_ITEMS_280800_EV_NL" xfId="641"/>
    <cellStyle name="Dezimal_AKE_100N" xfId="642"/>
    <cellStyle name="Dollar (zero dec)" xfId="643"/>
    <cellStyle name="Dziesi?tny [0]_Invoices2001Slovakia" xfId="644"/>
    <cellStyle name="Dziesi?tny_Invoices2001Slovakia" xfId="645"/>
    <cellStyle name="Dziesietny [0]_Invoices2001Slovakia" xfId="646"/>
    <cellStyle name="Dziesiętny [0]_Invoices2001Slovakia" xfId="647"/>
    <cellStyle name="Dziesietny [0]_Invoices2001Slovakia_01_Nha so 1_Dien" xfId="648"/>
    <cellStyle name="Dziesiętny [0]_Invoices2001Slovakia_01_Nha so 1_Dien" xfId="649"/>
    <cellStyle name="Dziesietny [0]_Invoices2001Slovakia_10_Nha so 10_Dien1" xfId="650"/>
    <cellStyle name="Dziesiętny [0]_Invoices2001Slovakia_10_Nha so 10_Dien1" xfId="651"/>
    <cellStyle name="Dziesietny [0]_Invoices2001Slovakia_bang so sanh gia tri" xfId="652"/>
    <cellStyle name="Dziesiętny [0]_Invoices2001Slovakia_Bao ve ss" xfId="653"/>
    <cellStyle name="Dziesietny [0]_Invoices2001Slovakia_Book1" xfId="654"/>
    <cellStyle name="Dziesiętny [0]_Invoices2001Slovakia_Book1" xfId="655"/>
    <cellStyle name="Dziesietny [0]_Invoices2001Slovakia_Book1_1" xfId="656"/>
    <cellStyle name="Dziesiętny [0]_Invoices2001Slovakia_Book1_1" xfId="657"/>
    <cellStyle name="Dziesietny [0]_Invoices2001Slovakia_Book1_1_Book1" xfId="658"/>
    <cellStyle name="Dziesiętny [0]_Invoices2001Slovakia_Book1_1_Book1" xfId="659"/>
    <cellStyle name="Dziesietny [0]_Invoices2001Slovakia_Book1_2" xfId="660"/>
    <cellStyle name="Dziesiętny [0]_Invoices2001Slovakia_Book1_2" xfId="661"/>
    <cellStyle name="Dziesietny [0]_Invoices2001Slovakia_Dien A3" xfId="662"/>
    <cellStyle name="Dziesiętny [0]_Invoices2001Slovakia_Nhalamviec VTC(25-1-05)" xfId="663"/>
    <cellStyle name="Dziesietny [0]_Invoices2001Slovakia_TDT KHANH HOA" xfId="664"/>
    <cellStyle name="Dziesiętny [0]_Invoices2001Slovakia_TDT KHANH HOA" xfId="665"/>
    <cellStyle name="Dziesietny [0]_Invoices2001Slovakia_TDT quangngai" xfId="666"/>
    <cellStyle name="Dziesiętny [0]_Invoices2001Slovakia_TDT quangngai" xfId="667"/>
    <cellStyle name="Dziesietny [0]_Invoices2001Slovakia_TH ha tang ss" xfId="668"/>
    <cellStyle name="Dziesiętny [0]_Invoices2001Slovakia_TH ha tang ss" xfId="669"/>
    <cellStyle name="Dziesietny [0]_Invoices2001Slovakia_XD (mong+than A1) SS" xfId="670"/>
    <cellStyle name="Dziesiętny [0]_Invoices2001Slovakia_XD( xu ly mong )A3ss" xfId="671"/>
    <cellStyle name="Dziesietny_Invoices2001Slovakia" xfId="672"/>
    <cellStyle name="Dziesiętny_Invoices2001Slovakia" xfId="673"/>
    <cellStyle name="Dziesietny_Invoices2001Slovakia_01_Nha so 1_Dien" xfId="674"/>
    <cellStyle name="Dziesiętny_Invoices2001Slovakia_01_Nha so 1_Dien" xfId="675"/>
    <cellStyle name="Dziesietny_Invoices2001Slovakia_10_Nha so 10_Dien1" xfId="676"/>
    <cellStyle name="Dziesiętny_Invoices2001Slovakia_10_Nha so 10_Dien1" xfId="677"/>
    <cellStyle name="Dziesietny_Invoices2001Slovakia_bang so sanh gia tri" xfId="678"/>
    <cellStyle name="Dziesiętny_Invoices2001Slovakia_Bao ve ss" xfId="679"/>
    <cellStyle name="Dziesietny_Invoices2001Slovakia_Book1" xfId="680"/>
    <cellStyle name="Dziesiętny_Invoices2001Slovakia_Book1" xfId="681"/>
    <cellStyle name="Dziesietny_Invoices2001Slovakia_Book1_1" xfId="682"/>
    <cellStyle name="Dziesiętny_Invoices2001Slovakia_Book1_1" xfId="683"/>
    <cellStyle name="Dziesietny_Invoices2001Slovakia_Book1_1_Book1" xfId="684"/>
    <cellStyle name="Dziesiętny_Invoices2001Slovakia_Book1_1_Book1" xfId="685"/>
    <cellStyle name="Dziesietny_Invoices2001Slovakia_Book1_2" xfId="686"/>
    <cellStyle name="Dziesiętny_Invoices2001Slovakia_Book1_2" xfId="687"/>
    <cellStyle name="Dziesietny_Invoices2001Slovakia_Dien A3" xfId="688"/>
    <cellStyle name="Dziesiętny_Invoices2001Slovakia_Nhalamviec VTC(25-1-05)" xfId="689"/>
    <cellStyle name="Dziesietny_Invoices2001Slovakia_TDT KHANH HOA" xfId="690"/>
    <cellStyle name="Dziesiętny_Invoices2001Slovakia_TDT KHANH HOA" xfId="691"/>
    <cellStyle name="Dziesietny_Invoices2001Slovakia_TDT quangngai" xfId="692"/>
    <cellStyle name="Dziesiętny_Invoices2001Slovakia_TDT quangngai" xfId="693"/>
    <cellStyle name="Dziesietny_Invoices2001Slovakia_TH ha tang ss" xfId="694"/>
    <cellStyle name="Dziesiętny_Invoices2001Slovakia_TH ha tang ss" xfId="695"/>
    <cellStyle name="Dziesietny_Invoices2001Slovakia_XD (mong+than A1) SS" xfId="696"/>
    <cellStyle name="Dziesiętny_Invoices2001Slovakia_XD( xu ly mong )A3ss" xfId="697"/>
    <cellStyle name="Emphasis 1" xfId="698"/>
    <cellStyle name="Emphasis 2" xfId="699"/>
    <cellStyle name="Emphasis 3" xfId="700"/>
    <cellStyle name="Enter Currency (0)" xfId="701"/>
    <cellStyle name="Enter Currency (2)" xfId="702"/>
    <cellStyle name="Enter Units (0)" xfId="703"/>
    <cellStyle name="Enter Units (1)" xfId="704"/>
    <cellStyle name="Enter Units (2)" xfId="705"/>
    <cellStyle name="Entered" xfId="706"/>
    <cellStyle name="Euro" xfId="707"/>
    <cellStyle name="Explanatory Text 2" xfId="708"/>
    <cellStyle name="Fixed" xfId="709"/>
    <cellStyle name="Grey" xfId="710"/>
    <cellStyle name="Group" xfId="711"/>
    <cellStyle name="ha" xfId="712"/>
    <cellStyle name="HEADER" xfId="713"/>
    <cellStyle name="Header1" xfId="714"/>
    <cellStyle name="Header2" xfId="715"/>
    <cellStyle name="Heading1" xfId="716"/>
    <cellStyle name="Heading1 1" xfId="717"/>
    <cellStyle name="Heading2" xfId="718"/>
    <cellStyle name="HUY" xfId="719"/>
    <cellStyle name="Hyperlink" xfId="1308" builtinId="8"/>
    <cellStyle name="i phÝ kh¸c_B¶ng 2" xfId="720"/>
    <cellStyle name="I.3" xfId="721"/>
    <cellStyle name="i·0" xfId="722"/>
    <cellStyle name="ï-¾È»ê_BiÓu TB" xfId="723"/>
    <cellStyle name="Input [yellow]" xfId="724"/>
    <cellStyle name="Input 2" xfId="725"/>
    <cellStyle name="Input Cells" xfId="726"/>
    <cellStyle name="kh¸c_Bang Chi tieu" xfId="727"/>
    <cellStyle name="khanh" xfId="728"/>
    <cellStyle name="Ledger 17 x 11 in" xfId="729"/>
    <cellStyle name="linh" xfId="730"/>
    <cellStyle name="Link Currency (0)" xfId="731"/>
    <cellStyle name="Link Currency (2)" xfId="732"/>
    <cellStyle name="Link Units (0)" xfId="733"/>
    <cellStyle name="Link Units (1)" xfId="734"/>
    <cellStyle name="Link Units (2)" xfId="735"/>
    <cellStyle name="Linked Cells" xfId="736"/>
    <cellStyle name="Millares [0]_Well Timing" xfId="737"/>
    <cellStyle name="Millares_Well Timing" xfId="738"/>
    <cellStyle name="Milliers [0]_!!!GO" xfId="739"/>
    <cellStyle name="Milliers_!!!GO" xfId="740"/>
    <cellStyle name="Model" xfId="741"/>
    <cellStyle name="Mon?aire [0]_!!!GO" xfId="742"/>
    <cellStyle name="Mon?aire_!!!GO" xfId="743"/>
    <cellStyle name="Moneda [0]_Well Timing" xfId="744"/>
    <cellStyle name="Moneda_Well Timing" xfId="745"/>
    <cellStyle name="Monétaire [0]_TARIFFS DB" xfId="746"/>
    <cellStyle name="Monétaire_TARIFFS DB" xfId="747"/>
    <cellStyle name="n" xfId="748"/>
    <cellStyle name="n_CROWN WELL 冠威報價單20071015" xfId="749"/>
    <cellStyle name="New Times Roman" xfId="750"/>
    <cellStyle name="no dec" xfId="751"/>
    <cellStyle name="Non défini" xfId="752"/>
    <cellStyle name="ÑONVÒ" xfId="753"/>
    <cellStyle name="Normal" xfId="0" builtinId="0"/>
    <cellStyle name="Normal - Style1" xfId="754"/>
    <cellStyle name="Normal - Style2" xfId="755"/>
    <cellStyle name="Normal - Style3" xfId="756"/>
    <cellStyle name="Normal - Style4" xfId="757"/>
    <cellStyle name="Normal - Style5" xfId="758"/>
    <cellStyle name="Normal - Style6" xfId="759"/>
    <cellStyle name="Normal - Style7" xfId="760"/>
    <cellStyle name="Normal - Style8" xfId="761"/>
    <cellStyle name="Normal - 유형1" xfId="762"/>
    <cellStyle name="Normal 10" xfId="763"/>
    <cellStyle name="Normal 12" xfId="764"/>
    <cellStyle name="Normal 13" xfId="765"/>
    <cellStyle name="Normal 14" xfId="766"/>
    <cellStyle name="Normal 16" xfId="767"/>
    <cellStyle name="Normal 2" xfId="768"/>
    <cellStyle name="Normal 2 10" xfId="769"/>
    <cellStyle name="Normal 2 11" xfId="770"/>
    <cellStyle name="Normal 2 2" xfId="771"/>
    <cellStyle name="Normal 2 2 10" xfId="772"/>
    <cellStyle name="Normal 2 2 2" xfId="773"/>
    <cellStyle name="Normal 2 2 3" xfId="774"/>
    <cellStyle name="Normal 2 2 4" xfId="775"/>
    <cellStyle name="Normal 2 2 5" xfId="776"/>
    <cellStyle name="Normal 2 2 6" xfId="777"/>
    <cellStyle name="Normal 2 2 7" xfId="778"/>
    <cellStyle name="Normal 2 2 8" xfId="779"/>
    <cellStyle name="Normal 2 2 9" xfId="780"/>
    <cellStyle name="Normal 2 3" xfId="781"/>
    <cellStyle name="Normal 2 38" xfId="782"/>
    <cellStyle name="Normal 2 38 3" xfId="783"/>
    <cellStyle name="Normal 2 4" xfId="784"/>
    <cellStyle name="Normal 2 5" xfId="785"/>
    <cellStyle name="Normal 2 6" xfId="786"/>
    <cellStyle name="Normal 2 7" xfId="787"/>
    <cellStyle name="Normal 2 8" xfId="788"/>
    <cellStyle name="Normal 2 9" xfId="789"/>
    <cellStyle name="Normal 2_08  Bill of Quantities 2" xfId="790"/>
    <cellStyle name="Normal 20" xfId="791"/>
    <cellStyle name="Normal 21" xfId="792"/>
    <cellStyle name="Normal 22" xfId="793"/>
    <cellStyle name="Normal 22 2" xfId="794"/>
    <cellStyle name="Normal 3" xfId="795"/>
    <cellStyle name="Normal 3 10" xfId="796"/>
    <cellStyle name="Normal 3 2" xfId="797"/>
    <cellStyle name="Normal 3 3" xfId="798"/>
    <cellStyle name="Normal 3 4" xfId="799"/>
    <cellStyle name="Normal 3 5" xfId="800"/>
    <cellStyle name="Normal 3 6" xfId="801"/>
    <cellStyle name="Normal 3 7" xfId="802"/>
    <cellStyle name="Normal 3 8" xfId="803"/>
    <cellStyle name="Normal 3 9" xfId="804"/>
    <cellStyle name="Normal 4" xfId="805"/>
    <cellStyle name="Normal 4 10" xfId="806"/>
    <cellStyle name="Normal 4 2" xfId="807"/>
    <cellStyle name="Normal 4 3" xfId="808"/>
    <cellStyle name="Normal 4 4" xfId="809"/>
    <cellStyle name="Normal 4 5" xfId="810"/>
    <cellStyle name="Normal 4 6" xfId="811"/>
    <cellStyle name="Normal 4 7" xfId="812"/>
    <cellStyle name="Normal 4 8" xfId="813"/>
    <cellStyle name="Normal 4 9" xfId="814"/>
    <cellStyle name="Normal 5" xfId="815"/>
    <cellStyle name="Normal 5 2" xfId="816"/>
    <cellStyle name="Normal 5 3" xfId="817"/>
    <cellStyle name="Normal 5 3 2" xfId="818"/>
    <cellStyle name="Normal 5 3 3" xfId="819"/>
    <cellStyle name="Normal 6" xfId="820"/>
    <cellStyle name="Normal 7" xfId="821"/>
    <cellStyle name="Normal 7 3" xfId="822"/>
    <cellStyle name="Normal 8" xfId="823"/>
    <cellStyle name="Normal1" xfId="824"/>
    <cellStyle name="Normalny_Cennik obowiazuje od 06-08-2001 r (1)" xfId="825"/>
    <cellStyle name="Note 2" xfId="826"/>
    <cellStyle name="NWM" xfId="827"/>
    <cellStyle name="omma [0]_Mktg Prog" xfId="828"/>
    <cellStyle name="ormal_Sheet1_1" xfId="829"/>
    <cellStyle name="Output 2" xfId="830"/>
    <cellStyle name="per.style" xfId="831"/>
    <cellStyle name="Percent [0]" xfId="832"/>
    <cellStyle name="Percent [00]" xfId="833"/>
    <cellStyle name="Percent [2]" xfId="834"/>
    <cellStyle name="Percent 2" xfId="835"/>
    <cellStyle name="Percent 2 10" xfId="836"/>
    <cellStyle name="Percent 2 2" xfId="837"/>
    <cellStyle name="Percent 2 2 2" xfId="838"/>
    <cellStyle name="Percent 2 3" xfId="839"/>
    <cellStyle name="Percent 2 4" xfId="840"/>
    <cellStyle name="Percent 2 5" xfId="841"/>
    <cellStyle name="Percent 2 6" xfId="842"/>
    <cellStyle name="Percent 2 7" xfId="843"/>
    <cellStyle name="Percent 2 8" xfId="844"/>
    <cellStyle name="Percent 2 9" xfId="845"/>
    <cellStyle name="Percent 3" xfId="846"/>
    <cellStyle name="Percent 35" xfId="847"/>
    <cellStyle name="Percent 4" xfId="848"/>
    <cellStyle name="Percent 5" xfId="849"/>
    <cellStyle name="PERCENTAGE" xfId="850"/>
    <cellStyle name="PrePop Currency (0)" xfId="851"/>
    <cellStyle name="PrePop Currency (2)" xfId="852"/>
    <cellStyle name="PrePop Units (0)" xfId="853"/>
    <cellStyle name="PrePop Units (1)" xfId="854"/>
    <cellStyle name="PrePop Units (2)" xfId="855"/>
    <cellStyle name="pricing" xfId="856"/>
    <cellStyle name="PSChar" xfId="857"/>
    <cellStyle name="RevList" xfId="858"/>
    <cellStyle name="S—_x0008_" xfId="859"/>
    <cellStyle name="s1" xfId="860"/>
    <cellStyle name="SAPBEXaggData" xfId="861"/>
    <cellStyle name="SAPBEXaggDataEmph" xfId="862"/>
    <cellStyle name="SAPBEXaggItem" xfId="863"/>
    <cellStyle name="SAPBEXchaText" xfId="864"/>
    <cellStyle name="SAPBEXexcBad7" xfId="865"/>
    <cellStyle name="SAPBEXexcBad8" xfId="866"/>
    <cellStyle name="SAPBEXexcBad9" xfId="867"/>
    <cellStyle name="SAPBEXexcCritical4" xfId="868"/>
    <cellStyle name="SAPBEXexcCritical5" xfId="869"/>
    <cellStyle name="SAPBEXexcCritical6" xfId="870"/>
    <cellStyle name="SAPBEXexcGood1" xfId="871"/>
    <cellStyle name="SAPBEXexcGood2" xfId="872"/>
    <cellStyle name="SAPBEXexcGood3" xfId="873"/>
    <cellStyle name="SAPBEXfilterDrill" xfId="874"/>
    <cellStyle name="SAPBEXfilterItem" xfId="875"/>
    <cellStyle name="SAPBEXfilterText" xfId="876"/>
    <cellStyle name="SAPBEXformats" xfId="877"/>
    <cellStyle name="SAPBEXheaderItem" xfId="878"/>
    <cellStyle name="SAPBEXheaderText" xfId="879"/>
    <cellStyle name="SAPBEXresData" xfId="880"/>
    <cellStyle name="SAPBEXresDataEmph" xfId="881"/>
    <cellStyle name="SAPBEXresItem" xfId="882"/>
    <cellStyle name="SAPBEXstdData" xfId="883"/>
    <cellStyle name="SAPBEXstdDataEmph" xfId="884"/>
    <cellStyle name="SAPBEXstdItem" xfId="885"/>
    <cellStyle name="SAPBEXtitle" xfId="886"/>
    <cellStyle name="SAPBEXundefined" xfId="887"/>
    <cellStyle name="Sheet Title" xfId="888"/>
    <cellStyle name="Siêu nối kết_ÿÿÿÿÿ" xfId="889"/>
    <cellStyle name="Standaard 2" xfId="890"/>
    <cellStyle name="Standard_AAbgleich" xfId="891"/>
    <cellStyle name="Style 1" xfId="892"/>
    <cellStyle name="Style 1 10" xfId="893"/>
    <cellStyle name="Style 1 11" xfId="894"/>
    <cellStyle name="Style 1 2" xfId="895"/>
    <cellStyle name="Style 1 3" xfId="896"/>
    <cellStyle name="Style 1 4" xfId="897"/>
    <cellStyle name="Style 1 5" xfId="898"/>
    <cellStyle name="Style 1 6" xfId="899"/>
    <cellStyle name="Style 1 7" xfId="900"/>
    <cellStyle name="Style 1 8" xfId="901"/>
    <cellStyle name="Style 1 9" xfId="902"/>
    <cellStyle name="Style 10" xfId="903"/>
    <cellStyle name="Style 11" xfId="904"/>
    <cellStyle name="Style 12" xfId="905"/>
    <cellStyle name="Style 13" xfId="906"/>
    <cellStyle name="Style 14" xfId="907"/>
    <cellStyle name="Style 15" xfId="908"/>
    <cellStyle name="Style 16" xfId="909"/>
    <cellStyle name="Style 17" xfId="910"/>
    <cellStyle name="Style 18" xfId="911"/>
    <cellStyle name="Style 19" xfId="912"/>
    <cellStyle name="Style 2" xfId="913"/>
    <cellStyle name="Style 20" xfId="914"/>
    <cellStyle name="Style 21" xfId="915"/>
    <cellStyle name="Style 22" xfId="916"/>
    <cellStyle name="Style 23" xfId="917"/>
    <cellStyle name="Style 24" xfId="918"/>
    <cellStyle name="Style 25" xfId="919"/>
    <cellStyle name="Style 26" xfId="920"/>
    <cellStyle name="Style 27" xfId="921"/>
    <cellStyle name="Style 28" xfId="922"/>
    <cellStyle name="Style 29" xfId="923"/>
    <cellStyle name="Style 3" xfId="924"/>
    <cellStyle name="Style 30" xfId="925"/>
    <cellStyle name="Style 31" xfId="926"/>
    <cellStyle name="Style 32" xfId="927"/>
    <cellStyle name="Style 33" xfId="928"/>
    <cellStyle name="Style 34" xfId="929"/>
    <cellStyle name="Style 35" xfId="930"/>
    <cellStyle name="Style 36" xfId="931"/>
    <cellStyle name="Style 37" xfId="932"/>
    <cellStyle name="Style 38" xfId="933"/>
    <cellStyle name="Style 39" xfId="934"/>
    <cellStyle name="Style 4" xfId="935"/>
    <cellStyle name="Style 40" xfId="936"/>
    <cellStyle name="Style 41" xfId="937"/>
    <cellStyle name="Style 42" xfId="938"/>
    <cellStyle name="Style 43" xfId="939"/>
    <cellStyle name="Style 44" xfId="940"/>
    <cellStyle name="Style 45" xfId="941"/>
    <cellStyle name="Style 46" xfId="942"/>
    <cellStyle name="Style 47" xfId="943"/>
    <cellStyle name="Style 48" xfId="944"/>
    <cellStyle name="Style 49" xfId="945"/>
    <cellStyle name="Style 5" xfId="946"/>
    <cellStyle name="Style 50" xfId="947"/>
    <cellStyle name="Style 51" xfId="948"/>
    <cellStyle name="Style 52" xfId="949"/>
    <cellStyle name="Style 53" xfId="950"/>
    <cellStyle name="Style 54" xfId="951"/>
    <cellStyle name="Style 55" xfId="952"/>
    <cellStyle name="Style 56" xfId="953"/>
    <cellStyle name="Style 57" xfId="954"/>
    <cellStyle name="Style 58" xfId="955"/>
    <cellStyle name="Style 59" xfId="956"/>
    <cellStyle name="Style 6" xfId="957"/>
    <cellStyle name="Style 60" xfId="958"/>
    <cellStyle name="Style 61" xfId="959"/>
    <cellStyle name="Style 62" xfId="960"/>
    <cellStyle name="Style 63" xfId="961"/>
    <cellStyle name="Style 64" xfId="962"/>
    <cellStyle name="Style 65" xfId="963"/>
    <cellStyle name="Style 66" xfId="964"/>
    <cellStyle name="Style 67" xfId="965"/>
    <cellStyle name="Style 68" xfId="966"/>
    <cellStyle name="Style 69" xfId="967"/>
    <cellStyle name="Style 7" xfId="968"/>
    <cellStyle name="Style 70" xfId="969"/>
    <cellStyle name="Style 71" xfId="970"/>
    <cellStyle name="Style 72" xfId="971"/>
    <cellStyle name="Style 73" xfId="972"/>
    <cellStyle name="Style 74" xfId="973"/>
    <cellStyle name="Style 75" xfId="974"/>
    <cellStyle name="Style 76" xfId="975"/>
    <cellStyle name="Style 77" xfId="976"/>
    <cellStyle name="Style 78" xfId="977"/>
    <cellStyle name="Style 79" xfId="978"/>
    <cellStyle name="Style 8" xfId="979"/>
    <cellStyle name="Style 80" xfId="980"/>
    <cellStyle name="Style 81" xfId="981"/>
    <cellStyle name="Style 82" xfId="982"/>
    <cellStyle name="Style 83" xfId="983"/>
    <cellStyle name="Style 9" xfId="984"/>
    <cellStyle name="Style Date" xfId="985"/>
    <cellStyle name="subhead" xfId="986"/>
    <cellStyle name="SubTitle" xfId="987"/>
    <cellStyle name="Subtotal" xfId="988"/>
    <cellStyle name="symbol" xfId="989"/>
    <cellStyle name="T" xfId="990"/>
    <cellStyle name="T_09_BangTongHopKinhPhiNhaso9" xfId="991"/>
    <cellStyle name="T_09a_PhanMongNhaSo9" xfId="992"/>
    <cellStyle name="T_09b_PhanThannhaso9" xfId="993"/>
    <cellStyle name="T_09c_PhandienNhaso9" xfId="994"/>
    <cellStyle name="T_09d_Phannuocnhaso9" xfId="995"/>
    <cellStyle name="T_09f_TienluongThannhaso9" xfId="996"/>
    <cellStyle name="T_10b_PhanThanNhaSo10" xfId="997"/>
    <cellStyle name="T_Book1" xfId="998"/>
    <cellStyle name="T_Book1_09_BangTongHopKinhPhiNhaso9" xfId="999"/>
    <cellStyle name="T_Book1_09a_PhanMongNhaSo9" xfId="1000"/>
    <cellStyle name="T_Book1_09b_PhanThannhaso9" xfId="1001"/>
    <cellStyle name="T_Book1_09c_PhandienNhaso9" xfId="1002"/>
    <cellStyle name="T_Book1_09d_Phannuocnhaso9" xfId="1003"/>
    <cellStyle name="T_Book1_09f_TienluongThannhaso9" xfId="1004"/>
    <cellStyle name="T_Book1_1" xfId="1005"/>
    <cellStyle name="T_Book1_1_CPK" xfId="1006"/>
    <cellStyle name="T_Book1_1_CTC - BoQ Agrex Building" xfId="1007"/>
    <cellStyle name="T_Book1_1_Thiet bi" xfId="1008"/>
    <cellStyle name="T_Book1_1_Thong tin chung Groz" xfId="1009"/>
    <cellStyle name="T_Book1_10b_PhanThanNhaSo10" xfId="1010"/>
    <cellStyle name="T_Book1_2" xfId="1011"/>
    <cellStyle name="T_Book1_Book1" xfId="1012"/>
    <cellStyle name="T_Book1_Book2" xfId="1013"/>
    <cellStyle name="T_Book1_Book2_CTC - BoQ Agrex Building" xfId="1014"/>
    <cellStyle name="T_Book1_BOQ-Puma-Update (02July, 2008)" xfId="1015"/>
    <cellStyle name="T_Book1_Cau tao gia Nop thau Mau" xfId="1016"/>
    <cellStyle name="T_Book1_Cau tao gia Nop thau Mau_Cau tao gia Arico T2-2009" xfId="1017"/>
    <cellStyle name="T_Book1_Cau tao gia Nop thau Mau_CTC - BoQ Agrex Building" xfId="1018"/>
    <cellStyle name="T_Book1_Cau tao gia phan Tho (ham + Than) 15-9-08" xfId="1019"/>
    <cellStyle name="T_Book1_CAU TAO GIA THE OCEAN VILLAS DANANG" xfId="1020"/>
    <cellStyle name="T_Book1_Cau tao gia Thien Long Ha Nam (28-2-08)" xfId="1021"/>
    <cellStyle name="T_Book1_Cau tao gia Thien Long Ha Nam (28-2-08)_Cau tao gia Arico T2-2009" xfId="1022"/>
    <cellStyle name="T_Book1_Cau tao gia Thien Long Ha Nam (28-2-08)_CTC - BoQ Agrex Building" xfId="1023"/>
    <cellStyle name="T_Book1_cong tac chuan bi Nhatrang Plaza" xfId="1024"/>
    <cellStyle name="T_Book1_Cong tac chuan bi-Thanh" xfId="1025"/>
    <cellStyle name="T_Book1_Cong tac chuan bi-Thanh_Cau tao gia Arico T2-2009" xfId="1026"/>
    <cellStyle name="T_Book1_Cong tac chuan bi-Thanh_CTC - BoQ Agrex Building" xfId="1027"/>
    <cellStyle name="T_Book1_Copy of Cau tao gia Mau" xfId="1028"/>
    <cellStyle name="T_Book1_CPK" xfId="1029"/>
    <cellStyle name="T_Book1_CTC - BoQ Agrex Building" xfId="1030"/>
    <cellStyle name="T_Book1_khoi luong gian dao + dam I" xfId="1031"/>
    <cellStyle name="T_Book1_Thau phu - Cung cap -2008" xfId="1032"/>
    <cellStyle name="T_Book1_Thiet bi" xfId="1033"/>
    <cellStyle name="T_Book1_Thong tin chung Groz" xfId="1034"/>
    <cellStyle name="T_Book1_Update rate-27.6.2008" xfId="1035"/>
    <cellStyle name="T_Book1_Yeu cau thanh toan dot 2" xfId="1036"/>
    <cellStyle name="T_Book2" xfId="1037"/>
    <cellStyle name="T_Book2_CTC - BoQ Agrex Building" xfId="1038"/>
    <cellStyle name="T_BoQ-E-TOWN 2 Building -COTECCONS" xfId="1039"/>
    <cellStyle name="T_BoQ-E-TOWN 2 Building -COTECCONS_Cau tao gia Arico T2-2009" xfId="1040"/>
    <cellStyle name="T_BoQ-E-TOWN 2 Building -COTECCONS_Cau tao gia phan Tho (ham + Than) 15-9-08" xfId="1041"/>
    <cellStyle name="T_BOQ-Puma-Update (02July, 2008)" xfId="1042"/>
    <cellStyle name="T_Cau tao gia Nop thau Mau" xfId="1043"/>
    <cellStyle name="T_Cau tao gia Nop thau Mau_CTC - BoQ Agrex Building" xfId="1044"/>
    <cellStyle name="T_Cau tao gia phan Tho (ham + Than) 15-9-08" xfId="1045"/>
    <cellStyle name="T_CAU TAO GIA THE OCEAN VILLAS DANANG" xfId="1046"/>
    <cellStyle name="T_Cau tao gia Thien Long Ha Nam (28-2-08)" xfId="1047"/>
    <cellStyle name="T_Cau tao gia Thien Long Ha Nam (28-2-08)_CTC - BoQ Agrex Building" xfId="1048"/>
    <cellStyle name="T_cong tac chuan bi Nhatrang Plaza" xfId="1049"/>
    <cellStyle name="T_Cong tac chuan bi-Thanh" xfId="1050"/>
    <cellStyle name="T_Cong tac chuan bi-Thanh_CTC - BoQ Agrex Building" xfId="1051"/>
    <cellStyle name="T_Copy of Cau tao gia Mau" xfId="1052"/>
    <cellStyle name="T_CPK" xfId="1053"/>
    <cellStyle name="T_CROWN WELL 冠威報價單20071015" xfId="1054"/>
    <cellStyle name="T_CTC - BoQ Agrex Building" xfId="1055"/>
    <cellStyle name="T_Du toan 2 tang ham - 15%lai" xfId="1056"/>
    <cellStyle name="T_Du toan 2 tang ham - 15%lai_Cau tao gia Arico T2-2009" xfId="1057"/>
    <cellStyle name="T_Du toan 2 tang ham - 15%lai_Cau tao gia phan Tho (ham + Than) 15-9-08" xfId="1058"/>
    <cellStyle name="T_Du toan 2 tang ham - 15%lai_Thau phu - Cung cap -2008" xfId="1059"/>
    <cellStyle name="T_Du toan 2 tang ham - 15%lai_Thong tin chung Groz" xfId="1060"/>
    <cellStyle name="T_DU TOAN SUPOR2806" xfId="1061"/>
    <cellStyle name="T_DU TOAN SUPOR2806_General Quotation 5-1-2008" xfId="1062"/>
    <cellStyle name="T_giatonghop thanhtoan d1" xfId="1063"/>
    <cellStyle name="T_khoi luong gian dao + dam I" xfId="1064"/>
    <cellStyle name="T_NHUA TAN HOA 10-6" xfId="1065"/>
    <cellStyle name="T_NHUA TAN HOA 10-6,KCmoi" xfId="1066"/>
    <cellStyle name="T_NHUA TAN HOA 10-6,KCmoi_General Quotation 5-1-2008" xfId="1067"/>
    <cellStyle name="T_NHUA TAN HOA 10-6,KCmoi_HUNG" xfId="1068"/>
    <cellStyle name="T_NHUA TAN HOA 10-6,KCmoi_HUNG_05. 080428- BOQ - Main construction(05May, 2008) Tai" xfId="1069"/>
    <cellStyle name="T_NHUA TAN HOA 10-6,KCmoi_HUNG_Addendum- BOQ - Main construction-r.2" xfId="1070"/>
    <cellStyle name="T_NHUA TAN HOA 10-6,KCmoi_HUNG_BOQ - Puma - Main construction (20May, 2008)" xfId="1071"/>
    <cellStyle name="T_NHUA TAN HOA 10-6,KCmoi_HUNG_BOQ - Puma - Main construction (20May, 2008) trinh nop" xfId="1072"/>
    <cellStyle name="T_NHUA TAN HOA 10-6,KCmoi_HUNG_BOQ-Puma-Rev 1 (29May, 2008)-Final" xfId="1073"/>
    <cellStyle name="T_NHUA TAN HOA 10-6,KCmoi_HUNG_BOQ-Puma-Rev 2 (03June, 2008)" xfId="1074"/>
    <cellStyle name="T_NHUA TAN HOA 10-6,KCmoi_HUNG_BOQ-Puma-Rev 2 (04June, 2008)" xfId="1075"/>
    <cellStyle name="T_NHUA TAN HOA 10-6,KCmoi_HUNG_BOQ-Puma-Rev 3" xfId="1076"/>
    <cellStyle name="T_NHUA TAN HOA 10-6,KCmoi_HUNG_BOQ-Puma-Update (02July, 2008)-R1" xfId="1077"/>
    <cellStyle name="T_NHUA TAN HOA 10-6,KCmoi_puma 16.1" xfId="1078"/>
    <cellStyle name="T_NHUA TAN HOA 10-6,KCmoi_puma 16.1_05. 080428- BOQ - Main construction(05May, 2008) Tai" xfId="1079"/>
    <cellStyle name="T_NHUA TAN HOA 10-6,KCmoi_puma 16.1_Addendum- BOQ - Main construction-r.2" xfId="1080"/>
    <cellStyle name="T_NHUA TAN HOA 10-6,KCmoi_puma 16.1_BOQ - Puma - Main construction (20May, 2008)" xfId="1081"/>
    <cellStyle name="T_NHUA TAN HOA 10-6,KCmoi_puma 16.1_BOQ - Puma - Main construction (20May, 2008) trinh nop" xfId="1082"/>
    <cellStyle name="T_NHUA TAN HOA 10-6,KCmoi_puma 16.1_BOQ-Puma-Rev 1 (29May, 2008)-Final" xfId="1083"/>
    <cellStyle name="T_NHUA TAN HOA 10-6,KCmoi_puma 16.1_BOQ-Puma-Rev 2 (03June, 2008)" xfId="1084"/>
    <cellStyle name="T_NHUA TAN HOA 10-6,KCmoi_puma 16.1_BOQ-Puma-Rev 2 (04June, 2008)" xfId="1085"/>
    <cellStyle name="T_NHUA TAN HOA 10-6,KCmoi_puma 16.1_BOQ-Puma-Rev 3" xfId="1086"/>
    <cellStyle name="T_NHUA TAN HOA 10-6,KCmoi_puma 16.1_BOQ-Puma-Update (02July, 2008)-R1" xfId="1087"/>
    <cellStyle name="T_NHUA TAN HOA 10-6,KCmoi_puma 17.1" xfId="1088"/>
    <cellStyle name="T_NHUA TAN HOA 10-6_05. 080428- BOQ - Main construction(05May, 2008) Tai" xfId="1089"/>
    <cellStyle name="T_NHUA TAN HOA 10-6_Addendum- BOQ - Main construction-r.2" xfId="1090"/>
    <cellStyle name="T_NHUA TAN HOA 10-6_BOQ - Puma - Main construction (20May, 2008)" xfId="1091"/>
    <cellStyle name="T_NHUA TAN HOA 10-6_BOQ - Puma - Main construction (20May, 2008) trinh nop" xfId="1092"/>
    <cellStyle name="T_NHUA TAN HOA 10-6_BOQ-Puma-Rev 1 (29May, 2008)-Final" xfId="1093"/>
    <cellStyle name="T_NHUA TAN HOA 10-6_BOQ-Puma-Rev 2 (03June, 2008)" xfId="1094"/>
    <cellStyle name="T_NHUA TAN HOA 10-6_BOQ-Puma-Rev 2 (04June, 2008)" xfId="1095"/>
    <cellStyle name="T_NHUA TAN HOA 10-6_BOQ-Puma-Rev 3" xfId="1096"/>
    <cellStyle name="T_NHUA TAN HOA 10-6_BOQ-Puma-Update (02July, 2008)-R1" xfId="1097"/>
    <cellStyle name="T_NHUA TAN HOA 10-6_Du toan BONFIGLIOLI-071126" xfId="1098"/>
    <cellStyle name="T_NHUA TAN HOA 10-6_Du toan BONFIGLIOLI-071126_General Quotation 5-1-2008" xfId="1099"/>
    <cellStyle name="T_NHUA TAN HOA 10-6_Du toan BONFIGLIOLI-071126_HUNG" xfId="1100"/>
    <cellStyle name="T_NHUA TAN HOA 10-6_Du toan BONFIGLIOLI-071126_HUNG_05. 080428- BOQ - Main construction(05May, 2008) Tai" xfId="1101"/>
    <cellStyle name="T_NHUA TAN HOA 10-6_Du toan BONFIGLIOLI-071126_HUNG_Addendum- BOQ - Main construction-r.2" xfId="1102"/>
    <cellStyle name="T_NHUA TAN HOA 10-6_Du toan BONFIGLIOLI-071126_HUNG_BOQ - Puma - Main construction (20May, 2008)" xfId="1103"/>
    <cellStyle name="T_NHUA TAN HOA 10-6_Du toan BONFIGLIOLI-071126_HUNG_BOQ - Puma - Main construction (20May, 2008) trinh nop" xfId="1104"/>
    <cellStyle name="T_NHUA TAN HOA 10-6_Du toan BONFIGLIOLI-071126_HUNG_BOQ-Puma-Rev 1 (29May, 2008)-Final" xfId="1105"/>
    <cellStyle name="T_NHUA TAN HOA 10-6_Du toan BONFIGLIOLI-071126_HUNG_BOQ-Puma-Rev 2 (03June, 2008)" xfId="1106"/>
    <cellStyle name="T_NHUA TAN HOA 10-6_Du toan BONFIGLIOLI-071126_HUNG_BOQ-Puma-Rev 2 (04June, 2008)" xfId="1107"/>
    <cellStyle name="T_NHUA TAN HOA 10-6_Du toan BONFIGLIOLI-071126_HUNG_BOQ-Puma-Rev 3" xfId="1108"/>
    <cellStyle name="T_NHUA TAN HOA 10-6_Du toan BONFIGLIOLI-071126_HUNG_BOQ-Puma-Update (02July, 2008)-R1" xfId="1109"/>
    <cellStyle name="T_NHUA TAN HOA 10-6_Du toan BONFIGLIOLI-071126_puma 16.1" xfId="1110"/>
    <cellStyle name="T_NHUA TAN HOA 10-6_Du toan BONFIGLIOLI-071126_puma 16.1_05. 080428- BOQ - Main construction(05May, 2008) Tai" xfId="1111"/>
    <cellStyle name="T_NHUA TAN HOA 10-6_Du toan BONFIGLIOLI-071126_puma 16.1_Addendum- BOQ - Main construction-r.2" xfId="1112"/>
    <cellStyle name="T_NHUA TAN HOA 10-6_Du toan BONFIGLIOLI-071126_puma 16.1_BOQ - Puma - Main construction (20May, 2008)" xfId="1113"/>
    <cellStyle name="T_NHUA TAN HOA 10-6_Du toan BONFIGLIOLI-071126_puma 16.1_BOQ - Puma - Main construction (20May, 2008) trinh nop" xfId="1114"/>
    <cellStyle name="T_NHUA TAN HOA 10-6_Du toan BONFIGLIOLI-071126_puma 16.1_BOQ-Puma-Rev 1 (29May, 2008)-Final" xfId="1115"/>
    <cellStyle name="T_NHUA TAN HOA 10-6_Du toan BONFIGLIOLI-071126_puma 16.1_BOQ-Puma-Rev 2 (03June, 2008)" xfId="1116"/>
    <cellStyle name="T_NHUA TAN HOA 10-6_Du toan BONFIGLIOLI-071126_puma 16.1_BOQ-Puma-Rev 2 (04June, 2008)" xfId="1117"/>
    <cellStyle name="T_NHUA TAN HOA 10-6_Du toan BONFIGLIOLI-071126_puma 16.1_BOQ-Puma-Rev 3" xfId="1118"/>
    <cellStyle name="T_NHUA TAN HOA 10-6_Du toan BONFIGLIOLI-071126_puma 16.1_BOQ-Puma-Update (02July, 2008)-R1" xfId="1119"/>
    <cellStyle name="T_NHUA TAN HOA 10-6_Du toan BONFIGLIOLI-071126_puma 17.1" xfId="1120"/>
    <cellStyle name="T_NHUA TAN HOA 10-6_Du toan BONFIGLIOLI-071126-Tram" xfId="1121"/>
    <cellStyle name="T_NHUA TAN HOA 10-6_Du toan BONFIGLIOLI-071126-Tram_General Quotation 5-1-2008" xfId="1122"/>
    <cellStyle name="T_NHUA TAN HOA 10-6_Du toan mau 11-2007" xfId="1123"/>
    <cellStyle name="T_NHUA TAN HOA 10-6_Du toan mau 11-2007_General Quotation 5-1-2008" xfId="1124"/>
    <cellStyle name="T_NHUA TAN HOA 10-6_Du toan mau 11-2007_HUNG" xfId="1125"/>
    <cellStyle name="T_NHUA TAN HOA 10-6_Du toan mau 11-2007_HUNG_05. 080428- BOQ - Main construction(05May, 2008) Tai" xfId="1126"/>
    <cellStyle name="T_NHUA TAN HOA 10-6_Du toan mau 11-2007_HUNG_Addendum- BOQ - Main construction-r.2" xfId="1127"/>
    <cellStyle name="T_NHUA TAN HOA 10-6_Du toan mau 11-2007_HUNG_BOQ - Puma - Main construction (20May, 2008)" xfId="1128"/>
    <cellStyle name="T_NHUA TAN HOA 10-6_Du toan mau 11-2007_HUNG_BOQ - Puma - Main construction (20May, 2008) trinh nop" xfId="1129"/>
    <cellStyle name="T_NHUA TAN HOA 10-6_Du toan mau 11-2007_HUNG_BOQ-Puma-Rev 1 (29May, 2008)-Final" xfId="1130"/>
    <cellStyle name="T_NHUA TAN HOA 10-6_Du toan mau 11-2007_HUNG_BOQ-Puma-Rev 2 (03June, 2008)" xfId="1131"/>
    <cellStyle name="T_NHUA TAN HOA 10-6_Du toan mau 11-2007_HUNG_BOQ-Puma-Rev 2 (04June, 2008)" xfId="1132"/>
    <cellStyle name="T_NHUA TAN HOA 10-6_Du toan mau 11-2007_HUNG_BOQ-Puma-Rev 3" xfId="1133"/>
    <cellStyle name="T_NHUA TAN HOA 10-6_Du toan mau 11-2007_HUNG_BOQ-Puma-Update (02July, 2008)-R1" xfId="1134"/>
    <cellStyle name="T_NHUA TAN HOA 10-6_Du toan mau 11-2007_puma 16.1" xfId="1135"/>
    <cellStyle name="T_NHUA TAN HOA 10-6_Du toan mau 11-2007_puma 16.1_05. 080428- BOQ - Main construction(05May, 2008) Tai" xfId="1136"/>
    <cellStyle name="T_NHUA TAN HOA 10-6_Du toan mau 11-2007_puma 16.1_Addendum- BOQ - Main construction-r.2" xfId="1137"/>
    <cellStyle name="T_NHUA TAN HOA 10-6_Du toan mau 11-2007_puma 16.1_BOQ - Puma - Main construction (20May, 2008)" xfId="1138"/>
    <cellStyle name="T_NHUA TAN HOA 10-6_Du toan mau 11-2007_puma 16.1_BOQ - Puma - Main construction (20May, 2008) trinh nop" xfId="1139"/>
    <cellStyle name="T_NHUA TAN HOA 10-6_Du toan mau 11-2007_puma 16.1_BOQ-Puma-Rev 1 (29May, 2008)-Final" xfId="1140"/>
    <cellStyle name="T_NHUA TAN HOA 10-6_Du toan mau 11-2007_puma 16.1_BOQ-Puma-Rev 2 (03June, 2008)" xfId="1141"/>
    <cellStyle name="T_NHUA TAN HOA 10-6_Du toan mau 11-2007_puma 16.1_BOQ-Puma-Rev 2 (04June, 2008)" xfId="1142"/>
    <cellStyle name="T_NHUA TAN HOA 10-6_Du toan mau 11-2007_puma 16.1_BOQ-Puma-Rev 3" xfId="1143"/>
    <cellStyle name="T_NHUA TAN HOA 10-6_Du toan mau 11-2007_puma 16.1_BOQ-Puma-Update (02July, 2008)-R1" xfId="1144"/>
    <cellStyle name="T_NHUA TAN HOA 10-6_Du toan mau 11-2007_puma 17.1" xfId="1145"/>
    <cellStyle name="T_No.01 Cat be tong be nang hang xuong 1 " xfId="1146"/>
    <cellStyle name="T_SUPOR2806-2" xfId="1147"/>
    <cellStyle name="T_SUPOR2806-2_05. 080428- BOQ - Main construction(05May, 2008) Tai" xfId="1148"/>
    <cellStyle name="T_SUPOR2806-2_Addendum- BOQ - Main construction-r.2" xfId="1149"/>
    <cellStyle name="T_SUPOR2806-2_BOQ - Puma - Main construction (20May, 2008)" xfId="1150"/>
    <cellStyle name="T_SUPOR2806-2_BOQ - Puma - Main construction (20May, 2008) trinh nop" xfId="1151"/>
    <cellStyle name="T_SUPOR2806-2_BOQ-Puma-Rev 1 (29May, 2008)-Final" xfId="1152"/>
    <cellStyle name="T_SUPOR2806-2_BOQ-Puma-Rev 2 (03June, 2008)" xfId="1153"/>
    <cellStyle name="T_SUPOR2806-2_BOQ-Puma-Rev 2 (04June, 2008)" xfId="1154"/>
    <cellStyle name="T_SUPOR2806-2_BOQ-Puma-Rev 3" xfId="1155"/>
    <cellStyle name="T_SUPOR2806-2_BOQ-Puma-Update (02July, 2008)-R1" xfId="1156"/>
    <cellStyle name="T_SUPOR2806-2_Du toan BONFIGLIOLI-071126" xfId="1157"/>
    <cellStyle name="T_SUPOR2806-2_Du toan BONFIGLIOLI-071126_General Quotation 5-1-2008" xfId="1158"/>
    <cellStyle name="T_SUPOR2806-2_Du toan BONFIGLIOLI-071126_HUNG" xfId="1159"/>
    <cellStyle name="T_SUPOR2806-2_Du toan BONFIGLIOLI-071126_HUNG_05. 080428- BOQ - Main construction(05May, 2008) Tai" xfId="1160"/>
    <cellStyle name="T_SUPOR2806-2_Du toan BONFIGLIOLI-071126_HUNG_Addendum- BOQ - Main construction-r.2" xfId="1161"/>
    <cellStyle name="T_SUPOR2806-2_Du toan BONFIGLIOLI-071126_HUNG_BOQ - Puma - Main construction (20May, 2008)" xfId="1162"/>
    <cellStyle name="T_SUPOR2806-2_Du toan BONFIGLIOLI-071126_HUNG_BOQ - Puma - Main construction (20May, 2008) trinh nop" xfId="1163"/>
    <cellStyle name="T_SUPOR2806-2_Du toan BONFIGLIOLI-071126_HUNG_BOQ-Puma-Rev 1 (29May, 2008)-Final" xfId="1164"/>
    <cellStyle name="T_SUPOR2806-2_Du toan BONFIGLIOLI-071126_HUNG_BOQ-Puma-Rev 2 (03June, 2008)" xfId="1165"/>
    <cellStyle name="T_SUPOR2806-2_Du toan BONFIGLIOLI-071126_HUNG_BOQ-Puma-Rev 2 (04June, 2008)" xfId="1166"/>
    <cellStyle name="T_SUPOR2806-2_Du toan BONFIGLIOLI-071126_HUNG_BOQ-Puma-Rev 3" xfId="1167"/>
    <cellStyle name="T_SUPOR2806-2_Du toan BONFIGLIOLI-071126_HUNG_BOQ-Puma-Update (02July, 2008)-R1" xfId="1168"/>
    <cellStyle name="T_SUPOR2806-2_Du toan BONFIGLIOLI-071126_puma 16.1" xfId="1169"/>
    <cellStyle name="T_SUPOR2806-2_Du toan BONFIGLIOLI-071126_puma 16.1_05. 080428- BOQ - Main construction(05May, 2008) Tai" xfId="1170"/>
    <cellStyle name="T_SUPOR2806-2_Du toan BONFIGLIOLI-071126_puma 16.1_Addendum- BOQ - Main construction-r.2" xfId="1171"/>
    <cellStyle name="T_SUPOR2806-2_Du toan BONFIGLIOLI-071126_puma 16.1_BOQ - Puma - Main construction (20May, 2008)" xfId="1172"/>
    <cellStyle name="T_SUPOR2806-2_Du toan BONFIGLIOLI-071126_puma 16.1_BOQ - Puma - Main construction (20May, 2008) trinh nop" xfId="1173"/>
    <cellStyle name="T_SUPOR2806-2_Du toan BONFIGLIOLI-071126_puma 16.1_BOQ-Puma-Rev 1 (29May, 2008)-Final" xfId="1174"/>
    <cellStyle name="T_SUPOR2806-2_Du toan BONFIGLIOLI-071126_puma 16.1_BOQ-Puma-Rev 2 (03June, 2008)" xfId="1175"/>
    <cellStyle name="T_SUPOR2806-2_Du toan BONFIGLIOLI-071126_puma 16.1_BOQ-Puma-Rev 2 (04June, 2008)" xfId="1176"/>
    <cellStyle name="T_SUPOR2806-2_Du toan BONFIGLIOLI-071126_puma 16.1_BOQ-Puma-Rev 3" xfId="1177"/>
    <cellStyle name="T_SUPOR2806-2_Du toan BONFIGLIOLI-071126_puma 16.1_BOQ-Puma-Update (02July, 2008)-R1" xfId="1178"/>
    <cellStyle name="T_SUPOR2806-2_Du toan BONFIGLIOLI-071126_puma 17.1" xfId="1179"/>
    <cellStyle name="T_SUPOR2806-2_Du toan BONFIGLIOLI-071126-Tram" xfId="1180"/>
    <cellStyle name="T_SUPOR2806-2_Du toan BONFIGLIOLI-071126-Tram_General Quotation 5-1-2008" xfId="1181"/>
    <cellStyle name="T_SUPOR2806-2_Du toan mau 11-2007" xfId="1182"/>
    <cellStyle name="T_SUPOR2806-2_Du toan mau 11-2007_General Quotation 5-1-2008" xfId="1183"/>
    <cellStyle name="T_SUPOR2806-2_Du toan mau 11-2007_HUNG" xfId="1184"/>
    <cellStyle name="T_SUPOR2806-2_Du toan mau 11-2007_HUNG_05. 080428- BOQ - Main construction(05May, 2008) Tai" xfId="1185"/>
    <cellStyle name="T_SUPOR2806-2_Du toan mau 11-2007_HUNG_Addendum- BOQ - Main construction-r.2" xfId="1186"/>
    <cellStyle name="T_SUPOR2806-2_Du toan mau 11-2007_HUNG_BOQ - Puma - Main construction (20May, 2008)" xfId="1187"/>
    <cellStyle name="T_SUPOR2806-2_Du toan mau 11-2007_HUNG_BOQ - Puma - Main construction (20May, 2008) trinh nop" xfId="1188"/>
    <cellStyle name="T_SUPOR2806-2_Du toan mau 11-2007_HUNG_BOQ-Puma-Rev 1 (29May, 2008)-Final" xfId="1189"/>
    <cellStyle name="T_SUPOR2806-2_Du toan mau 11-2007_HUNG_BOQ-Puma-Rev 2 (03June, 2008)" xfId="1190"/>
    <cellStyle name="T_SUPOR2806-2_Du toan mau 11-2007_HUNG_BOQ-Puma-Rev 2 (04June, 2008)" xfId="1191"/>
    <cellStyle name="T_SUPOR2806-2_Du toan mau 11-2007_HUNG_BOQ-Puma-Rev 3" xfId="1192"/>
    <cellStyle name="T_SUPOR2806-2_Du toan mau 11-2007_HUNG_BOQ-Puma-Update (02July, 2008)-R1" xfId="1193"/>
    <cellStyle name="T_SUPOR2806-2_Du toan mau 11-2007_puma 16.1" xfId="1194"/>
    <cellStyle name="T_SUPOR2806-2_Du toan mau 11-2007_puma 16.1_05. 080428- BOQ - Main construction(05May, 2008) Tai" xfId="1195"/>
    <cellStyle name="T_SUPOR2806-2_Du toan mau 11-2007_puma 16.1_Addendum- BOQ - Main construction-r.2" xfId="1196"/>
    <cellStyle name="T_SUPOR2806-2_Du toan mau 11-2007_puma 16.1_BOQ - Puma - Main construction (20May, 2008)" xfId="1197"/>
    <cellStyle name="T_SUPOR2806-2_Du toan mau 11-2007_puma 16.1_BOQ - Puma - Main construction (20May, 2008) trinh nop" xfId="1198"/>
    <cellStyle name="T_SUPOR2806-2_Du toan mau 11-2007_puma 16.1_BOQ-Puma-Rev 1 (29May, 2008)-Final" xfId="1199"/>
    <cellStyle name="T_SUPOR2806-2_Du toan mau 11-2007_puma 16.1_BOQ-Puma-Rev 2 (03June, 2008)" xfId="1200"/>
    <cellStyle name="T_SUPOR2806-2_Du toan mau 11-2007_puma 16.1_BOQ-Puma-Rev 2 (04June, 2008)" xfId="1201"/>
    <cellStyle name="T_SUPOR2806-2_Du toan mau 11-2007_puma 16.1_BOQ-Puma-Rev 3" xfId="1202"/>
    <cellStyle name="T_SUPOR2806-2_Du toan mau 11-2007_puma 16.1_BOQ-Puma-Update (02July, 2008)-R1" xfId="1203"/>
    <cellStyle name="T_SUPOR2806-2_Du toan mau 11-2007_puma 17.1" xfId="1204"/>
    <cellStyle name="T_Thiet bi" xfId="1205"/>
    <cellStyle name="T_Thong tin chung Groz" xfId="1206"/>
    <cellStyle name="T_Update rate-27.6.2008" xfId="1207"/>
    <cellStyle name="Tan" xfId="1208"/>
    <cellStyle name="Text Indent A" xfId="1209"/>
    <cellStyle name="Text Indent B" xfId="1210"/>
    <cellStyle name="Text Indent C" xfId="1211"/>
    <cellStyle name="th" xfId="1212"/>
    <cellStyle name="Times New Roman" xfId="1213"/>
    <cellStyle name="TNN" xfId="1214"/>
    <cellStyle name="tt1" xfId="1215"/>
    <cellStyle name="Tusental (0)_pldt" xfId="1216"/>
    <cellStyle name="Tusental_pldt" xfId="1217"/>
    <cellStyle name="ux_3_¼­¿ï-¾È»ê" xfId="1218"/>
    <cellStyle name="Valuta (0)_pldt" xfId="1219"/>
    <cellStyle name="Valuta_pldt" xfId="1220"/>
    <cellStyle name="viet" xfId="1221"/>
    <cellStyle name="viet2" xfId="1222"/>
    <cellStyle name="Vietnam 1" xfId="1223"/>
    <cellStyle name="VN new romanNormal" xfId="1224"/>
    <cellStyle name="vn time 10" xfId="1225"/>
    <cellStyle name="VN time new roman" xfId="1226"/>
    <cellStyle name="vnhead1" xfId="1227"/>
    <cellStyle name="vnhead3" xfId="1228"/>
    <cellStyle name="vntxt1" xfId="1229"/>
    <cellStyle name="vntxt2" xfId="1230"/>
    <cellStyle name="Währung [0]_ALLE_ITEMS_280800_EV_NL" xfId="1231"/>
    <cellStyle name="Währung_AKE_100N" xfId="1232"/>
    <cellStyle name="Walutowy [0]_Invoices2001Slovakia" xfId="1233"/>
    <cellStyle name="Walutowy_Invoices2001Slovakia" xfId="1234"/>
    <cellStyle name="xuan" xfId="1235"/>
    <cellStyle name="Ý kh¸c_B¶ng 1 (2)" xfId="1236"/>
    <cellStyle name="スタイル 1" xfId="1237"/>
    <cellStyle name="เครื่องหมายสกุลเงิน [0]_FTC_OFFER" xfId="1238"/>
    <cellStyle name="เครื่องหมายสกุลเงิน_FTC_OFFER" xfId="1239"/>
    <cellStyle name="ปกติ_FTC_OFFER" xfId="1240"/>
    <cellStyle name=" [0.00]_ Att. 1- Cover" xfId="1241"/>
    <cellStyle name="_ Att. 1- Cover" xfId="1242"/>
    <cellStyle name="?_ Att. 1- Cover" xfId="1243"/>
    <cellStyle name="똿뗦먛귟 [0.00]_PRODUCT DETAIL Q1" xfId="1244"/>
    <cellStyle name="똿뗦먛귟_PRODUCT DETAIL Q1" xfId="1245"/>
    <cellStyle name="믅됞 [0.00]_PRODUCT DETAIL Q1" xfId="1246"/>
    <cellStyle name="믅됞_PRODUCT DETAIL Q1" xfId="1247"/>
    <cellStyle name="백분율_95" xfId="1248"/>
    <cellStyle name="뷭?_BOOKSHIP" xfId="1249"/>
    <cellStyle name="쉼표 [0]_PCS-3~1" xfId="1250"/>
    <cellStyle name="쉼표_EQ_ROOM cost" xfId="1251"/>
    <cellStyle name="콤마 [ - 유형1" xfId="1252"/>
    <cellStyle name="콤마 [ - 유형2" xfId="1253"/>
    <cellStyle name="콤마 [ - 유형3" xfId="1254"/>
    <cellStyle name="콤마 [ - 유형4" xfId="1255"/>
    <cellStyle name="콤마 [ - 유형5" xfId="1256"/>
    <cellStyle name="콤마 [ - 유형6" xfId="1257"/>
    <cellStyle name="콤마 [ - 유형7" xfId="1258"/>
    <cellStyle name="콤마 [ - 유형8" xfId="1259"/>
    <cellStyle name="콤마 [0]_ 비목별 월별기술 " xfId="1260"/>
    <cellStyle name="콤마_ 비목별 월별기술 " xfId="1261"/>
    <cellStyle name="통화 [0]_1" xfId="1262"/>
    <cellStyle name="통화_1" xfId="1263"/>
    <cellStyle name="표준 11" xfId="1264"/>
    <cellStyle name="표준_ 97년 경영분석(안)" xfId="1265"/>
    <cellStyle name="표줠_Sheet1_1_총괄표 (수출입) (2)" xfId="1266"/>
    <cellStyle name="一般_00Q3902REV.1" xfId="1267"/>
    <cellStyle name="中等" xfId="1268"/>
    <cellStyle name="備註" xfId="1269"/>
    <cellStyle name="千分位[0]_00Q3902REV.1" xfId="1270"/>
    <cellStyle name="千分位_00Q3902REV.1" xfId="1271"/>
    <cellStyle name="合計" xfId="1272"/>
    <cellStyle name="壞" xfId="1273"/>
    <cellStyle name="好" xfId="1274"/>
    <cellStyle name="常规_j1" xfId="1275"/>
    <cellStyle name="桁区切り [0.00]_BE-BQ" xfId="1276"/>
    <cellStyle name="桁区切り_BE-BQ" xfId="1277"/>
    <cellStyle name="桁蟻唇Ｆ [0.00]_s-ns-bq" xfId="1278"/>
    <cellStyle name="桁蟻唇Ｆ_s-ns-bq" xfId="1279"/>
    <cellStyle name="標準_(A1)BOQ " xfId="1280"/>
    <cellStyle name="標題" xfId="1281"/>
    <cellStyle name="標題 1" xfId="1282"/>
    <cellStyle name="標題 2" xfId="1283"/>
    <cellStyle name="標題 3" xfId="1284"/>
    <cellStyle name="標題 4" xfId="1285"/>
    <cellStyle name="檢查儲存格" xfId="1286"/>
    <cellStyle name="脱浦 [0.00]_CONDITION (2)" xfId="1287"/>
    <cellStyle name="脱浦_CONDITION (2)" xfId="1288"/>
    <cellStyle name="計算方式" xfId="1289"/>
    <cellStyle name="說明文字" xfId="1290"/>
    <cellStyle name="警告文字" xfId="1291"/>
    <cellStyle name="貨幣 [0]_00Q3902REV.1" xfId="1292"/>
    <cellStyle name="貨幣[0]_BRE" xfId="1293"/>
    <cellStyle name="貨幣_00Q3902REV.1" xfId="1294"/>
    <cellStyle name="超連結_Book1" xfId="1295"/>
    <cellStyle name="輔色1" xfId="1296"/>
    <cellStyle name="輔色2" xfId="1297"/>
    <cellStyle name="輔色3" xfId="1298"/>
    <cellStyle name="輔色4" xfId="1299"/>
    <cellStyle name="輔色5" xfId="1300"/>
    <cellStyle name="輔色6" xfId="1301"/>
    <cellStyle name="輸入" xfId="1302"/>
    <cellStyle name="輸出" xfId="1303"/>
    <cellStyle name="通貨 [0.00]_BE-BQ" xfId="1304"/>
    <cellStyle name="通貨_BE-BQ" xfId="1305"/>
    <cellStyle name="連結的儲存格" xfId="1306"/>
    <cellStyle name="隨後的超連結_Book1" xfId="1307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externalLink" Target="externalLinks/externalLink7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"/>
          <c:y val="0"/>
          <c:w val="0.99794805278060061"/>
          <c:h val="1"/>
        </c:manualLayout>
      </c:layout>
      <c:scatterChart>
        <c:scatterStyle val="lineMarker"/>
        <c:ser>
          <c:idx val="0"/>
          <c:order val="0"/>
          <c:tx>
            <c:v>MC</c:v>
          </c:tx>
          <c:spPr>
            <a:ln w="19050">
              <a:solidFill>
                <a:srgbClr val="1BDBF5"/>
              </a:solidFill>
            </a:ln>
          </c:spPr>
          <c:marker>
            <c:symbol val="none"/>
          </c:marker>
          <c:xVal>
            <c:numRef>
              <c:f>Vach!$AE$17:$AE$21</c:f>
              <c:numCache>
                <c:formatCode>General</c:formatCode>
                <c:ptCount val="5"/>
                <c:pt idx="0">
                  <c:v>-1500</c:v>
                </c:pt>
                <c:pt idx="1">
                  <c:v>1500</c:v>
                </c:pt>
                <c:pt idx="2">
                  <c:v>1500</c:v>
                </c:pt>
                <c:pt idx="3">
                  <c:v>-1500</c:v>
                </c:pt>
                <c:pt idx="4">
                  <c:v>-1500</c:v>
                </c:pt>
              </c:numCache>
            </c:numRef>
          </c:xVal>
          <c:yVal>
            <c:numRef>
              <c:f>Vach!$AF$17:$AF$21</c:f>
              <c:numCache>
                <c:formatCode>General</c:formatCode>
                <c:ptCount val="5"/>
                <c:pt idx="0">
                  <c:v>-300</c:v>
                </c:pt>
                <c:pt idx="1">
                  <c:v>-300</c:v>
                </c:pt>
                <c:pt idx="2">
                  <c:v>300</c:v>
                </c:pt>
                <c:pt idx="3">
                  <c:v>300</c:v>
                </c:pt>
                <c:pt idx="4">
                  <c:v>-300</c:v>
                </c:pt>
              </c:numCache>
            </c:numRef>
          </c:yVal>
        </c:ser>
        <c:ser>
          <c:idx val="1"/>
          <c:order val="1"/>
          <c:tx>
            <c:v>fix</c:v>
          </c:tx>
          <c:spPr>
            <a:ln>
              <a:noFill/>
            </a:ln>
          </c:spPr>
          <c:marker>
            <c:symbol val="none"/>
          </c:marker>
          <c:xVal>
            <c:numRef>
              <c:f>Vach!$AE$14:$AE$15</c:f>
              <c:numCache>
                <c:formatCode>General</c:formatCode>
                <c:ptCount val="2"/>
                <c:pt idx="0">
                  <c:v>1500</c:v>
                </c:pt>
                <c:pt idx="1">
                  <c:v>-1500</c:v>
                </c:pt>
              </c:numCache>
            </c:numRef>
          </c:xVal>
          <c:yVal>
            <c:numRef>
              <c:f>Vach!$AF$14:$AF$15</c:f>
              <c:numCache>
                <c:formatCode>General</c:formatCode>
                <c:ptCount val="2"/>
                <c:pt idx="0">
                  <c:v>1500</c:v>
                </c:pt>
                <c:pt idx="1">
                  <c:v>-1500</c:v>
                </c:pt>
              </c:numCache>
            </c:numRef>
          </c:yVal>
        </c:ser>
        <c:ser>
          <c:idx val="2"/>
          <c:order val="2"/>
          <c:tx>
            <c:v>Thep b1-1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Vach!$AH$3:$AH$52</c:f>
              <c:numCache>
                <c:formatCode>General</c:formatCode>
                <c:ptCount val="50"/>
                <c:pt idx="0">
                  <c:v>-1450</c:v>
                </c:pt>
                <c:pt idx="1">
                  <c:v>-1345.8333333333333</c:v>
                </c:pt>
                <c:pt idx="2">
                  <c:v>-1241.6666666666665</c:v>
                </c:pt>
                <c:pt idx="3">
                  <c:v>-1137.4999999999998</c:v>
                </c:pt>
                <c:pt idx="4">
                  <c:v>-1033.333333333333</c:v>
                </c:pt>
                <c:pt idx="5">
                  <c:v>-929.1666666666664</c:v>
                </c:pt>
                <c:pt idx="6">
                  <c:v>-824.99999999999977</c:v>
                </c:pt>
                <c:pt idx="7">
                  <c:v>-824.99999999999977</c:v>
                </c:pt>
                <c:pt idx="8">
                  <c:v>-824.99999999999977</c:v>
                </c:pt>
                <c:pt idx="9">
                  <c:v>-824.99999999999977</c:v>
                </c:pt>
                <c:pt idx="10">
                  <c:v>-824.99999999999977</c:v>
                </c:pt>
                <c:pt idx="11">
                  <c:v>-824.99999999999977</c:v>
                </c:pt>
                <c:pt idx="12">
                  <c:v>-824.99999999999977</c:v>
                </c:pt>
                <c:pt idx="13">
                  <c:v>-824.99999999999977</c:v>
                </c:pt>
                <c:pt idx="14">
                  <c:v>-824.99999999999977</c:v>
                </c:pt>
                <c:pt idx="15">
                  <c:v>-824.99999999999977</c:v>
                </c:pt>
                <c:pt idx="16">
                  <c:v>-824.99999999999977</c:v>
                </c:pt>
                <c:pt idx="17">
                  <c:v>-824.99999999999977</c:v>
                </c:pt>
                <c:pt idx="18">
                  <c:v>-824.99999999999977</c:v>
                </c:pt>
                <c:pt idx="19">
                  <c:v>-824.99999999999977</c:v>
                </c:pt>
                <c:pt idx="20">
                  <c:v>-824.99999999999977</c:v>
                </c:pt>
                <c:pt idx="21">
                  <c:v>-824.99999999999977</c:v>
                </c:pt>
                <c:pt idx="22">
                  <c:v>-824.99999999999977</c:v>
                </c:pt>
                <c:pt idx="23">
                  <c:v>-824.99999999999977</c:v>
                </c:pt>
                <c:pt idx="24">
                  <c:v>-824.99999999999977</c:v>
                </c:pt>
                <c:pt idx="25">
                  <c:v>1450</c:v>
                </c:pt>
                <c:pt idx="26">
                  <c:v>1345.8333333333333</c:v>
                </c:pt>
                <c:pt idx="27">
                  <c:v>1241.6666666666665</c:v>
                </c:pt>
                <c:pt idx="28">
                  <c:v>1137.4999999999998</c:v>
                </c:pt>
                <c:pt idx="29">
                  <c:v>1033.333333333333</c:v>
                </c:pt>
                <c:pt idx="30">
                  <c:v>929.1666666666664</c:v>
                </c:pt>
                <c:pt idx="31">
                  <c:v>824.99999999999977</c:v>
                </c:pt>
                <c:pt idx="32">
                  <c:v>824.99999999999977</c:v>
                </c:pt>
                <c:pt idx="33">
                  <c:v>824.99999999999977</c:v>
                </c:pt>
                <c:pt idx="34">
                  <c:v>824.99999999999977</c:v>
                </c:pt>
                <c:pt idx="35">
                  <c:v>824.99999999999977</c:v>
                </c:pt>
                <c:pt idx="36">
                  <c:v>824.99999999999977</c:v>
                </c:pt>
                <c:pt idx="37">
                  <c:v>824.99999999999977</c:v>
                </c:pt>
                <c:pt idx="38">
                  <c:v>824.99999999999977</c:v>
                </c:pt>
                <c:pt idx="39">
                  <c:v>824.99999999999977</c:v>
                </c:pt>
                <c:pt idx="40">
                  <c:v>824.99999999999977</c:v>
                </c:pt>
                <c:pt idx="41">
                  <c:v>824.99999999999977</c:v>
                </c:pt>
                <c:pt idx="42">
                  <c:v>824.99999999999977</c:v>
                </c:pt>
                <c:pt idx="43">
                  <c:v>824.99999999999977</c:v>
                </c:pt>
                <c:pt idx="44">
                  <c:v>824.99999999999977</c:v>
                </c:pt>
                <c:pt idx="45">
                  <c:v>824.99999999999977</c:v>
                </c:pt>
                <c:pt idx="46">
                  <c:v>824.99999999999977</c:v>
                </c:pt>
                <c:pt idx="47">
                  <c:v>824.99999999999977</c:v>
                </c:pt>
                <c:pt idx="48">
                  <c:v>824.99999999999977</c:v>
                </c:pt>
                <c:pt idx="49">
                  <c:v>824.99999999999977</c:v>
                </c:pt>
              </c:numCache>
            </c:numRef>
          </c:xVal>
          <c:yVal>
            <c:numRef>
              <c:f>Vach!$AI$3:$AI$52</c:f>
              <c:numCache>
                <c:formatCode>General</c:formatCode>
                <c:ptCount val="50"/>
                <c:pt idx="0">
                  <c:v>-250</c:v>
                </c:pt>
                <c:pt idx="1">
                  <c:v>-250</c:v>
                </c:pt>
                <c:pt idx="2">
                  <c:v>-250</c:v>
                </c:pt>
                <c:pt idx="3">
                  <c:v>-250</c:v>
                </c:pt>
                <c:pt idx="4">
                  <c:v>-250</c:v>
                </c:pt>
                <c:pt idx="5">
                  <c:v>-250</c:v>
                </c:pt>
                <c:pt idx="6">
                  <c:v>-250</c:v>
                </c:pt>
                <c:pt idx="7">
                  <c:v>-250</c:v>
                </c:pt>
                <c:pt idx="8">
                  <c:v>-250</c:v>
                </c:pt>
                <c:pt idx="9">
                  <c:v>-250</c:v>
                </c:pt>
                <c:pt idx="10">
                  <c:v>-250</c:v>
                </c:pt>
                <c:pt idx="11">
                  <c:v>-250</c:v>
                </c:pt>
                <c:pt idx="12">
                  <c:v>-250</c:v>
                </c:pt>
                <c:pt idx="13">
                  <c:v>-250</c:v>
                </c:pt>
                <c:pt idx="14">
                  <c:v>-250</c:v>
                </c:pt>
                <c:pt idx="15">
                  <c:v>-250</c:v>
                </c:pt>
                <c:pt idx="16">
                  <c:v>-250</c:v>
                </c:pt>
                <c:pt idx="17">
                  <c:v>-250</c:v>
                </c:pt>
                <c:pt idx="18">
                  <c:v>-250</c:v>
                </c:pt>
                <c:pt idx="19">
                  <c:v>-250</c:v>
                </c:pt>
                <c:pt idx="20">
                  <c:v>-250</c:v>
                </c:pt>
                <c:pt idx="21">
                  <c:v>-250</c:v>
                </c:pt>
                <c:pt idx="22">
                  <c:v>-250</c:v>
                </c:pt>
                <c:pt idx="23">
                  <c:v>-250</c:v>
                </c:pt>
                <c:pt idx="24">
                  <c:v>-250</c:v>
                </c:pt>
                <c:pt idx="25">
                  <c:v>-250</c:v>
                </c:pt>
                <c:pt idx="26">
                  <c:v>-250</c:v>
                </c:pt>
                <c:pt idx="27">
                  <c:v>-250</c:v>
                </c:pt>
                <c:pt idx="28">
                  <c:v>-250</c:v>
                </c:pt>
                <c:pt idx="29">
                  <c:v>-250</c:v>
                </c:pt>
                <c:pt idx="30">
                  <c:v>-250</c:v>
                </c:pt>
                <c:pt idx="31">
                  <c:v>-250</c:v>
                </c:pt>
                <c:pt idx="32">
                  <c:v>-250</c:v>
                </c:pt>
                <c:pt idx="33">
                  <c:v>-250</c:v>
                </c:pt>
                <c:pt idx="34">
                  <c:v>-250</c:v>
                </c:pt>
                <c:pt idx="35">
                  <c:v>-250</c:v>
                </c:pt>
                <c:pt idx="36">
                  <c:v>-250</c:v>
                </c:pt>
                <c:pt idx="37">
                  <c:v>-250</c:v>
                </c:pt>
                <c:pt idx="38">
                  <c:v>-250</c:v>
                </c:pt>
                <c:pt idx="39">
                  <c:v>-250</c:v>
                </c:pt>
                <c:pt idx="40">
                  <c:v>-250</c:v>
                </c:pt>
                <c:pt idx="41">
                  <c:v>-250</c:v>
                </c:pt>
                <c:pt idx="42">
                  <c:v>-250</c:v>
                </c:pt>
                <c:pt idx="43">
                  <c:v>-250</c:v>
                </c:pt>
                <c:pt idx="44">
                  <c:v>-250</c:v>
                </c:pt>
                <c:pt idx="45">
                  <c:v>-250</c:v>
                </c:pt>
                <c:pt idx="46">
                  <c:v>-250</c:v>
                </c:pt>
                <c:pt idx="47">
                  <c:v>-250</c:v>
                </c:pt>
                <c:pt idx="48">
                  <c:v>-250</c:v>
                </c:pt>
                <c:pt idx="49">
                  <c:v>-250</c:v>
                </c:pt>
              </c:numCache>
            </c:numRef>
          </c:yVal>
        </c:ser>
        <c:ser>
          <c:idx val="3"/>
          <c:order val="3"/>
          <c:tx>
            <c:v>Thep b1-2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Vach!$AH$3:$AH$52</c:f>
              <c:numCache>
                <c:formatCode>General</c:formatCode>
                <c:ptCount val="50"/>
                <c:pt idx="0">
                  <c:v>-1450</c:v>
                </c:pt>
                <c:pt idx="1">
                  <c:v>-1345.8333333333333</c:v>
                </c:pt>
                <c:pt idx="2">
                  <c:v>-1241.6666666666665</c:v>
                </c:pt>
                <c:pt idx="3">
                  <c:v>-1137.4999999999998</c:v>
                </c:pt>
                <c:pt idx="4">
                  <c:v>-1033.333333333333</c:v>
                </c:pt>
                <c:pt idx="5">
                  <c:v>-929.1666666666664</c:v>
                </c:pt>
                <c:pt idx="6">
                  <c:v>-824.99999999999977</c:v>
                </c:pt>
                <c:pt idx="7">
                  <c:v>-824.99999999999977</c:v>
                </c:pt>
                <c:pt idx="8">
                  <c:v>-824.99999999999977</c:v>
                </c:pt>
                <c:pt idx="9">
                  <c:v>-824.99999999999977</c:v>
                </c:pt>
                <c:pt idx="10">
                  <c:v>-824.99999999999977</c:v>
                </c:pt>
                <c:pt idx="11">
                  <c:v>-824.99999999999977</c:v>
                </c:pt>
                <c:pt idx="12">
                  <c:v>-824.99999999999977</c:v>
                </c:pt>
                <c:pt idx="13">
                  <c:v>-824.99999999999977</c:v>
                </c:pt>
                <c:pt idx="14">
                  <c:v>-824.99999999999977</c:v>
                </c:pt>
                <c:pt idx="15">
                  <c:v>-824.99999999999977</c:v>
                </c:pt>
                <c:pt idx="16">
                  <c:v>-824.99999999999977</c:v>
                </c:pt>
                <c:pt idx="17">
                  <c:v>-824.99999999999977</c:v>
                </c:pt>
                <c:pt idx="18">
                  <c:v>-824.99999999999977</c:v>
                </c:pt>
                <c:pt idx="19">
                  <c:v>-824.99999999999977</c:v>
                </c:pt>
                <c:pt idx="20">
                  <c:v>-824.99999999999977</c:v>
                </c:pt>
                <c:pt idx="21">
                  <c:v>-824.99999999999977</c:v>
                </c:pt>
                <c:pt idx="22">
                  <c:v>-824.99999999999977</c:v>
                </c:pt>
                <c:pt idx="23">
                  <c:v>-824.99999999999977</c:v>
                </c:pt>
                <c:pt idx="24">
                  <c:v>-824.99999999999977</c:v>
                </c:pt>
                <c:pt idx="25">
                  <c:v>1450</c:v>
                </c:pt>
                <c:pt idx="26">
                  <c:v>1345.8333333333333</c:v>
                </c:pt>
                <c:pt idx="27">
                  <c:v>1241.6666666666665</c:v>
                </c:pt>
                <c:pt idx="28">
                  <c:v>1137.4999999999998</c:v>
                </c:pt>
                <c:pt idx="29">
                  <c:v>1033.333333333333</c:v>
                </c:pt>
                <c:pt idx="30">
                  <c:v>929.1666666666664</c:v>
                </c:pt>
                <c:pt idx="31">
                  <c:v>824.99999999999977</c:v>
                </c:pt>
                <c:pt idx="32">
                  <c:v>824.99999999999977</c:v>
                </c:pt>
                <c:pt idx="33">
                  <c:v>824.99999999999977</c:v>
                </c:pt>
                <c:pt idx="34">
                  <c:v>824.99999999999977</c:v>
                </c:pt>
                <c:pt idx="35">
                  <c:v>824.99999999999977</c:v>
                </c:pt>
                <c:pt idx="36">
                  <c:v>824.99999999999977</c:v>
                </c:pt>
                <c:pt idx="37">
                  <c:v>824.99999999999977</c:v>
                </c:pt>
                <c:pt idx="38">
                  <c:v>824.99999999999977</c:v>
                </c:pt>
                <c:pt idx="39">
                  <c:v>824.99999999999977</c:v>
                </c:pt>
                <c:pt idx="40">
                  <c:v>824.99999999999977</c:v>
                </c:pt>
                <c:pt idx="41">
                  <c:v>824.99999999999977</c:v>
                </c:pt>
                <c:pt idx="42">
                  <c:v>824.99999999999977</c:v>
                </c:pt>
                <c:pt idx="43">
                  <c:v>824.99999999999977</c:v>
                </c:pt>
                <c:pt idx="44">
                  <c:v>824.99999999999977</c:v>
                </c:pt>
                <c:pt idx="45">
                  <c:v>824.99999999999977</c:v>
                </c:pt>
                <c:pt idx="46">
                  <c:v>824.99999999999977</c:v>
                </c:pt>
                <c:pt idx="47">
                  <c:v>824.99999999999977</c:v>
                </c:pt>
                <c:pt idx="48">
                  <c:v>824.99999999999977</c:v>
                </c:pt>
                <c:pt idx="49">
                  <c:v>824.99999999999977</c:v>
                </c:pt>
              </c:numCache>
            </c:numRef>
          </c:xVal>
          <c:yVal>
            <c:numRef>
              <c:f>Vach!$AJ$3:$AJ$52</c:f>
              <c:numCache>
                <c:formatCode>General</c:formatCode>
                <c:ptCount val="50"/>
                <c:pt idx="0">
                  <c:v>250</c:v>
                </c:pt>
                <c:pt idx="1">
                  <c:v>250</c:v>
                </c:pt>
                <c:pt idx="2">
                  <c:v>250</c:v>
                </c:pt>
                <c:pt idx="3">
                  <c:v>250</c:v>
                </c:pt>
                <c:pt idx="4">
                  <c:v>250</c:v>
                </c:pt>
                <c:pt idx="5">
                  <c:v>250</c:v>
                </c:pt>
                <c:pt idx="6">
                  <c:v>250</c:v>
                </c:pt>
                <c:pt idx="7">
                  <c:v>250</c:v>
                </c:pt>
                <c:pt idx="8">
                  <c:v>250</c:v>
                </c:pt>
                <c:pt idx="9">
                  <c:v>250</c:v>
                </c:pt>
                <c:pt idx="10">
                  <c:v>250</c:v>
                </c:pt>
                <c:pt idx="11">
                  <c:v>250</c:v>
                </c:pt>
                <c:pt idx="12">
                  <c:v>250</c:v>
                </c:pt>
                <c:pt idx="13">
                  <c:v>250</c:v>
                </c:pt>
                <c:pt idx="14">
                  <c:v>250</c:v>
                </c:pt>
                <c:pt idx="15">
                  <c:v>250</c:v>
                </c:pt>
                <c:pt idx="16">
                  <c:v>250</c:v>
                </c:pt>
                <c:pt idx="17">
                  <c:v>250</c:v>
                </c:pt>
                <c:pt idx="18">
                  <c:v>250</c:v>
                </c:pt>
                <c:pt idx="19">
                  <c:v>250</c:v>
                </c:pt>
                <c:pt idx="20">
                  <c:v>250</c:v>
                </c:pt>
                <c:pt idx="21">
                  <c:v>250</c:v>
                </c:pt>
                <c:pt idx="22">
                  <c:v>250</c:v>
                </c:pt>
                <c:pt idx="23">
                  <c:v>250</c:v>
                </c:pt>
                <c:pt idx="24">
                  <c:v>250</c:v>
                </c:pt>
                <c:pt idx="25">
                  <c:v>250</c:v>
                </c:pt>
                <c:pt idx="26">
                  <c:v>250</c:v>
                </c:pt>
                <c:pt idx="27">
                  <c:v>250</c:v>
                </c:pt>
                <c:pt idx="28">
                  <c:v>250</c:v>
                </c:pt>
                <c:pt idx="29">
                  <c:v>250</c:v>
                </c:pt>
                <c:pt idx="30">
                  <c:v>250</c:v>
                </c:pt>
                <c:pt idx="31">
                  <c:v>250</c:v>
                </c:pt>
                <c:pt idx="32">
                  <c:v>250</c:v>
                </c:pt>
                <c:pt idx="33">
                  <c:v>250</c:v>
                </c:pt>
                <c:pt idx="34">
                  <c:v>250</c:v>
                </c:pt>
                <c:pt idx="35">
                  <c:v>250</c:v>
                </c:pt>
                <c:pt idx="36">
                  <c:v>250</c:v>
                </c:pt>
                <c:pt idx="37">
                  <c:v>250</c:v>
                </c:pt>
                <c:pt idx="38">
                  <c:v>250</c:v>
                </c:pt>
                <c:pt idx="39">
                  <c:v>250</c:v>
                </c:pt>
                <c:pt idx="40">
                  <c:v>250</c:v>
                </c:pt>
                <c:pt idx="41">
                  <c:v>250</c:v>
                </c:pt>
                <c:pt idx="42">
                  <c:v>250</c:v>
                </c:pt>
                <c:pt idx="43">
                  <c:v>250</c:v>
                </c:pt>
                <c:pt idx="44">
                  <c:v>250</c:v>
                </c:pt>
                <c:pt idx="45">
                  <c:v>250</c:v>
                </c:pt>
                <c:pt idx="46">
                  <c:v>250</c:v>
                </c:pt>
                <c:pt idx="47">
                  <c:v>250</c:v>
                </c:pt>
                <c:pt idx="48">
                  <c:v>250</c:v>
                </c:pt>
                <c:pt idx="49">
                  <c:v>250</c:v>
                </c:pt>
              </c:numCache>
            </c:numRef>
          </c:yVal>
        </c:ser>
        <c:ser>
          <c:idx val="4"/>
          <c:order val="4"/>
          <c:tx>
            <c:v>Thep h1-1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Vach!$AK$3:$AK$52</c:f>
              <c:numCache>
                <c:formatCode>General</c:formatCode>
                <c:ptCount val="50"/>
                <c:pt idx="0">
                  <c:v>-1450</c:v>
                </c:pt>
                <c:pt idx="1">
                  <c:v>-1450</c:v>
                </c:pt>
                <c:pt idx="2">
                  <c:v>-1450</c:v>
                </c:pt>
                <c:pt idx="3">
                  <c:v>-1450</c:v>
                </c:pt>
                <c:pt idx="4">
                  <c:v>-1450</c:v>
                </c:pt>
                <c:pt idx="5">
                  <c:v>-1450</c:v>
                </c:pt>
                <c:pt idx="6">
                  <c:v>-1450</c:v>
                </c:pt>
                <c:pt idx="7">
                  <c:v>-1450</c:v>
                </c:pt>
                <c:pt idx="8">
                  <c:v>-1450</c:v>
                </c:pt>
                <c:pt idx="9">
                  <c:v>-1450</c:v>
                </c:pt>
                <c:pt idx="10">
                  <c:v>-1450</c:v>
                </c:pt>
                <c:pt idx="11">
                  <c:v>-1450</c:v>
                </c:pt>
                <c:pt idx="12">
                  <c:v>-1450</c:v>
                </c:pt>
                <c:pt idx="13">
                  <c:v>-1450</c:v>
                </c:pt>
                <c:pt idx="14">
                  <c:v>-1450</c:v>
                </c:pt>
                <c:pt idx="15">
                  <c:v>-1450</c:v>
                </c:pt>
                <c:pt idx="16">
                  <c:v>-1450</c:v>
                </c:pt>
                <c:pt idx="17">
                  <c:v>-1450</c:v>
                </c:pt>
                <c:pt idx="18">
                  <c:v>-1450</c:v>
                </c:pt>
                <c:pt idx="19">
                  <c:v>-1450</c:v>
                </c:pt>
                <c:pt idx="20">
                  <c:v>-1450</c:v>
                </c:pt>
                <c:pt idx="21">
                  <c:v>-1450</c:v>
                </c:pt>
                <c:pt idx="22">
                  <c:v>-1450</c:v>
                </c:pt>
                <c:pt idx="23">
                  <c:v>-1450</c:v>
                </c:pt>
                <c:pt idx="24">
                  <c:v>-1450</c:v>
                </c:pt>
                <c:pt idx="25">
                  <c:v>-1450</c:v>
                </c:pt>
                <c:pt idx="26">
                  <c:v>-1450</c:v>
                </c:pt>
                <c:pt idx="27">
                  <c:v>-1450</c:v>
                </c:pt>
                <c:pt idx="28">
                  <c:v>-1450</c:v>
                </c:pt>
                <c:pt idx="29">
                  <c:v>-1450</c:v>
                </c:pt>
                <c:pt idx="30">
                  <c:v>-1450</c:v>
                </c:pt>
                <c:pt idx="31">
                  <c:v>-1450</c:v>
                </c:pt>
                <c:pt idx="32">
                  <c:v>-1450</c:v>
                </c:pt>
                <c:pt idx="33">
                  <c:v>-1450</c:v>
                </c:pt>
                <c:pt idx="34">
                  <c:v>-1450</c:v>
                </c:pt>
                <c:pt idx="35">
                  <c:v>-1450</c:v>
                </c:pt>
                <c:pt idx="36">
                  <c:v>-1450</c:v>
                </c:pt>
                <c:pt idx="37">
                  <c:v>-1450</c:v>
                </c:pt>
                <c:pt idx="38">
                  <c:v>-1450</c:v>
                </c:pt>
                <c:pt idx="39">
                  <c:v>-1450</c:v>
                </c:pt>
                <c:pt idx="40">
                  <c:v>-1450</c:v>
                </c:pt>
                <c:pt idx="41">
                  <c:v>-1450</c:v>
                </c:pt>
                <c:pt idx="42">
                  <c:v>-1450</c:v>
                </c:pt>
                <c:pt idx="43">
                  <c:v>-1450</c:v>
                </c:pt>
                <c:pt idx="44">
                  <c:v>-1450</c:v>
                </c:pt>
                <c:pt idx="45">
                  <c:v>-1450</c:v>
                </c:pt>
                <c:pt idx="46">
                  <c:v>-1450</c:v>
                </c:pt>
                <c:pt idx="47">
                  <c:v>-1450</c:v>
                </c:pt>
                <c:pt idx="48">
                  <c:v>-1450</c:v>
                </c:pt>
                <c:pt idx="49">
                  <c:v>-1450</c:v>
                </c:pt>
              </c:numCache>
            </c:numRef>
          </c:xVal>
          <c:yVal>
            <c:numRef>
              <c:f>Vach!$AL$3:$AL$52</c:f>
              <c:numCache>
                <c:formatCode>General</c:formatCode>
                <c:ptCount val="50"/>
                <c:pt idx="0">
                  <c:v>-250</c:v>
                </c:pt>
                <c:pt idx="1">
                  <c:v>-166.66666666666669</c:v>
                </c:pt>
                <c:pt idx="2">
                  <c:v>-83.333333333333357</c:v>
                </c:pt>
                <c:pt idx="3">
                  <c:v>-2.8421709430404007E-14</c:v>
                </c:pt>
                <c:pt idx="4">
                  <c:v>83.3333333333333</c:v>
                </c:pt>
                <c:pt idx="5">
                  <c:v>166.66666666666663</c:v>
                </c:pt>
                <c:pt idx="6">
                  <c:v>249.99999999999994</c:v>
                </c:pt>
                <c:pt idx="7">
                  <c:v>249.99999999999994</c:v>
                </c:pt>
                <c:pt idx="8">
                  <c:v>249.99999999999994</c:v>
                </c:pt>
                <c:pt idx="9">
                  <c:v>249.99999999999994</c:v>
                </c:pt>
                <c:pt idx="10">
                  <c:v>249.99999999999994</c:v>
                </c:pt>
                <c:pt idx="11">
                  <c:v>249.99999999999994</c:v>
                </c:pt>
                <c:pt idx="12">
                  <c:v>249.99999999999994</c:v>
                </c:pt>
                <c:pt idx="13">
                  <c:v>249.99999999999994</c:v>
                </c:pt>
                <c:pt idx="14">
                  <c:v>249.99999999999994</c:v>
                </c:pt>
                <c:pt idx="15">
                  <c:v>249.99999999999994</c:v>
                </c:pt>
                <c:pt idx="16">
                  <c:v>249.99999999999994</c:v>
                </c:pt>
                <c:pt idx="17">
                  <c:v>249.99999999999994</c:v>
                </c:pt>
                <c:pt idx="18">
                  <c:v>249.99999999999994</c:v>
                </c:pt>
                <c:pt idx="19">
                  <c:v>249.99999999999994</c:v>
                </c:pt>
                <c:pt idx="20">
                  <c:v>249.99999999999994</c:v>
                </c:pt>
                <c:pt idx="21">
                  <c:v>249.99999999999994</c:v>
                </c:pt>
                <c:pt idx="22">
                  <c:v>249.99999999999994</c:v>
                </c:pt>
                <c:pt idx="23">
                  <c:v>249.99999999999994</c:v>
                </c:pt>
                <c:pt idx="24">
                  <c:v>249.99999999999994</c:v>
                </c:pt>
                <c:pt idx="25">
                  <c:v>249.99999999999994</c:v>
                </c:pt>
                <c:pt idx="26">
                  <c:v>249.99999999999994</c:v>
                </c:pt>
                <c:pt idx="27">
                  <c:v>249.99999999999994</c:v>
                </c:pt>
                <c:pt idx="28">
                  <c:v>249.99999999999994</c:v>
                </c:pt>
                <c:pt idx="29">
                  <c:v>249.99999999999994</c:v>
                </c:pt>
                <c:pt idx="30">
                  <c:v>249.99999999999994</c:v>
                </c:pt>
                <c:pt idx="31">
                  <c:v>249.99999999999994</c:v>
                </c:pt>
                <c:pt idx="32">
                  <c:v>249.99999999999994</c:v>
                </c:pt>
                <c:pt idx="33">
                  <c:v>249.99999999999994</c:v>
                </c:pt>
                <c:pt idx="34">
                  <c:v>249.99999999999994</c:v>
                </c:pt>
                <c:pt idx="35">
                  <c:v>249.99999999999994</c:v>
                </c:pt>
                <c:pt idx="36">
                  <c:v>249.99999999999994</c:v>
                </c:pt>
                <c:pt idx="37">
                  <c:v>249.99999999999994</c:v>
                </c:pt>
                <c:pt idx="38">
                  <c:v>249.99999999999994</c:v>
                </c:pt>
                <c:pt idx="39">
                  <c:v>249.99999999999994</c:v>
                </c:pt>
                <c:pt idx="40">
                  <c:v>249.99999999999994</c:v>
                </c:pt>
                <c:pt idx="41">
                  <c:v>249.99999999999994</c:v>
                </c:pt>
                <c:pt idx="42">
                  <c:v>249.99999999999994</c:v>
                </c:pt>
                <c:pt idx="43">
                  <c:v>249.99999999999994</c:v>
                </c:pt>
                <c:pt idx="44">
                  <c:v>249.99999999999994</c:v>
                </c:pt>
                <c:pt idx="45">
                  <c:v>249.99999999999994</c:v>
                </c:pt>
                <c:pt idx="46">
                  <c:v>249.99999999999994</c:v>
                </c:pt>
                <c:pt idx="47">
                  <c:v>249.99999999999994</c:v>
                </c:pt>
                <c:pt idx="48">
                  <c:v>249.99999999999994</c:v>
                </c:pt>
                <c:pt idx="49">
                  <c:v>249.99999999999994</c:v>
                </c:pt>
              </c:numCache>
            </c:numRef>
          </c:yVal>
        </c:ser>
        <c:ser>
          <c:idx val="5"/>
          <c:order val="5"/>
          <c:tx>
            <c:v>Thep h1-2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Vach!$AM$3:$AM$52</c:f>
              <c:numCache>
                <c:formatCode>General</c:formatCode>
                <c:ptCount val="50"/>
                <c:pt idx="0">
                  <c:v>1450</c:v>
                </c:pt>
                <c:pt idx="1">
                  <c:v>1450</c:v>
                </c:pt>
                <c:pt idx="2">
                  <c:v>1450</c:v>
                </c:pt>
                <c:pt idx="3">
                  <c:v>1450</c:v>
                </c:pt>
                <c:pt idx="4">
                  <c:v>1450</c:v>
                </c:pt>
                <c:pt idx="5">
                  <c:v>1450</c:v>
                </c:pt>
                <c:pt idx="6">
                  <c:v>1450</c:v>
                </c:pt>
                <c:pt idx="7">
                  <c:v>1450</c:v>
                </c:pt>
                <c:pt idx="8">
                  <c:v>1450</c:v>
                </c:pt>
                <c:pt idx="9">
                  <c:v>1450</c:v>
                </c:pt>
                <c:pt idx="10">
                  <c:v>1450</c:v>
                </c:pt>
                <c:pt idx="11">
                  <c:v>1450</c:v>
                </c:pt>
                <c:pt idx="12">
                  <c:v>1450</c:v>
                </c:pt>
                <c:pt idx="13">
                  <c:v>1450</c:v>
                </c:pt>
                <c:pt idx="14">
                  <c:v>1450</c:v>
                </c:pt>
                <c:pt idx="15">
                  <c:v>1450</c:v>
                </c:pt>
                <c:pt idx="16">
                  <c:v>1450</c:v>
                </c:pt>
                <c:pt idx="17">
                  <c:v>1450</c:v>
                </c:pt>
                <c:pt idx="18">
                  <c:v>1450</c:v>
                </c:pt>
                <c:pt idx="19">
                  <c:v>1450</c:v>
                </c:pt>
                <c:pt idx="20">
                  <c:v>1450</c:v>
                </c:pt>
                <c:pt idx="21">
                  <c:v>1450</c:v>
                </c:pt>
                <c:pt idx="22">
                  <c:v>1450</c:v>
                </c:pt>
                <c:pt idx="23">
                  <c:v>1450</c:v>
                </c:pt>
                <c:pt idx="24">
                  <c:v>1450</c:v>
                </c:pt>
                <c:pt idx="25">
                  <c:v>1450</c:v>
                </c:pt>
                <c:pt idx="26">
                  <c:v>1450</c:v>
                </c:pt>
                <c:pt idx="27">
                  <c:v>1450</c:v>
                </c:pt>
                <c:pt idx="28">
                  <c:v>1450</c:v>
                </c:pt>
                <c:pt idx="29">
                  <c:v>1450</c:v>
                </c:pt>
                <c:pt idx="30">
                  <c:v>1450</c:v>
                </c:pt>
                <c:pt idx="31">
                  <c:v>1450</c:v>
                </c:pt>
                <c:pt idx="32">
                  <c:v>1450</c:v>
                </c:pt>
                <c:pt idx="33">
                  <c:v>1450</c:v>
                </c:pt>
                <c:pt idx="34">
                  <c:v>1450</c:v>
                </c:pt>
                <c:pt idx="35">
                  <c:v>1450</c:v>
                </c:pt>
                <c:pt idx="36">
                  <c:v>1450</c:v>
                </c:pt>
                <c:pt idx="37">
                  <c:v>1450</c:v>
                </c:pt>
                <c:pt idx="38">
                  <c:v>1450</c:v>
                </c:pt>
                <c:pt idx="39">
                  <c:v>1450</c:v>
                </c:pt>
                <c:pt idx="40">
                  <c:v>1450</c:v>
                </c:pt>
                <c:pt idx="41">
                  <c:v>1450</c:v>
                </c:pt>
                <c:pt idx="42">
                  <c:v>1450</c:v>
                </c:pt>
                <c:pt idx="43">
                  <c:v>1450</c:v>
                </c:pt>
                <c:pt idx="44">
                  <c:v>1450</c:v>
                </c:pt>
                <c:pt idx="45">
                  <c:v>1450</c:v>
                </c:pt>
                <c:pt idx="46">
                  <c:v>1450</c:v>
                </c:pt>
                <c:pt idx="47">
                  <c:v>1450</c:v>
                </c:pt>
                <c:pt idx="48">
                  <c:v>1450</c:v>
                </c:pt>
                <c:pt idx="49">
                  <c:v>1450</c:v>
                </c:pt>
              </c:numCache>
            </c:numRef>
          </c:xVal>
          <c:yVal>
            <c:numRef>
              <c:f>Vach!$AL$3:$AL$52</c:f>
              <c:numCache>
                <c:formatCode>General</c:formatCode>
                <c:ptCount val="50"/>
                <c:pt idx="0">
                  <c:v>-250</c:v>
                </c:pt>
                <c:pt idx="1">
                  <c:v>-166.66666666666669</c:v>
                </c:pt>
                <c:pt idx="2">
                  <c:v>-83.333333333333357</c:v>
                </c:pt>
                <c:pt idx="3">
                  <c:v>-2.8421709430404007E-14</c:v>
                </c:pt>
                <c:pt idx="4">
                  <c:v>83.3333333333333</c:v>
                </c:pt>
                <c:pt idx="5">
                  <c:v>166.66666666666663</c:v>
                </c:pt>
                <c:pt idx="6">
                  <c:v>249.99999999999994</c:v>
                </c:pt>
                <c:pt idx="7">
                  <c:v>249.99999999999994</c:v>
                </c:pt>
                <c:pt idx="8">
                  <c:v>249.99999999999994</c:v>
                </c:pt>
                <c:pt idx="9">
                  <c:v>249.99999999999994</c:v>
                </c:pt>
                <c:pt idx="10">
                  <c:v>249.99999999999994</c:v>
                </c:pt>
                <c:pt idx="11">
                  <c:v>249.99999999999994</c:v>
                </c:pt>
                <c:pt idx="12">
                  <c:v>249.99999999999994</c:v>
                </c:pt>
                <c:pt idx="13">
                  <c:v>249.99999999999994</c:v>
                </c:pt>
                <c:pt idx="14">
                  <c:v>249.99999999999994</c:v>
                </c:pt>
                <c:pt idx="15">
                  <c:v>249.99999999999994</c:v>
                </c:pt>
                <c:pt idx="16">
                  <c:v>249.99999999999994</c:v>
                </c:pt>
                <c:pt idx="17">
                  <c:v>249.99999999999994</c:v>
                </c:pt>
                <c:pt idx="18">
                  <c:v>249.99999999999994</c:v>
                </c:pt>
                <c:pt idx="19">
                  <c:v>249.99999999999994</c:v>
                </c:pt>
                <c:pt idx="20">
                  <c:v>249.99999999999994</c:v>
                </c:pt>
                <c:pt idx="21">
                  <c:v>249.99999999999994</c:v>
                </c:pt>
                <c:pt idx="22">
                  <c:v>249.99999999999994</c:v>
                </c:pt>
                <c:pt idx="23">
                  <c:v>249.99999999999994</c:v>
                </c:pt>
                <c:pt idx="24">
                  <c:v>249.99999999999994</c:v>
                </c:pt>
                <c:pt idx="25">
                  <c:v>249.99999999999994</c:v>
                </c:pt>
                <c:pt idx="26">
                  <c:v>249.99999999999994</c:v>
                </c:pt>
                <c:pt idx="27">
                  <c:v>249.99999999999994</c:v>
                </c:pt>
                <c:pt idx="28">
                  <c:v>249.99999999999994</c:v>
                </c:pt>
                <c:pt idx="29">
                  <c:v>249.99999999999994</c:v>
                </c:pt>
                <c:pt idx="30">
                  <c:v>249.99999999999994</c:v>
                </c:pt>
                <c:pt idx="31">
                  <c:v>249.99999999999994</c:v>
                </c:pt>
                <c:pt idx="32">
                  <c:v>249.99999999999994</c:v>
                </c:pt>
                <c:pt idx="33">
                  <c:v>249.99999999999994</c:v>
                </c:pt>
                <c:pt idx="34">
                  <c:v>249.99999999999994</c:v>
                </c:pt>
                <c:pt idx="35">
                  <c:v>249.99999999999994</c:v>
                </c:pt>
                <c:pt idx="36">
                  <c:v>249.99999999999994</c:v>
                </c:pt>
                <c:pt idx="37">
                  <c:v>249.99999999999994</c:v>
                </c:pt>
                <c:pt idx="38">
                  <c:v>249.99999999999994</c:v>
                </c:pt>
                <c:pt idx="39">
                  <c:v>249.99999999999994</c:v>
                </c:pt>
                <c:pt idx="40">
                  <c:v>249.99999999999994</c:v>
                </c:pt>
                <c:pt idx="41">
                  <c:v>249.99999999999994</c:v>
                </c:pt>
                <c:pt idx="42">
                  <c:v>249.99999999999994</c:v>
                </c:pt>
                <c:pt idx="43">
                  <c:v>249.99999999999994</c:v>
                </c:pt>
                <c:pt idx="44">
                  <c:v>249.99999999999994</c:v>
                </c:pt>
                <c:pt idx="45">
                  <c:v>249.99999999999994</c:v>
                </c:pt>
                <c:pt idx="46">
                  <c:v>249.99999999999994</c:v>
                </c:pt>
                <c:pt idx="47">
                  <c:v>249.99999999999994</c:v>
                </c:pt>
                <c:pt idx="48">
                  <c:v>249.99999999999994</c:v>
                </c:pt>
                <c:pt idx="49">
                  <c:v>249.99999999999994</c:v>
                </c:pt>
              </c:numCache>
            </c:numRef>
          </c:yVal>
        </c:ser>
        <c:ser>
          <c:idx val="6"/>
          <c:order val="6"/>
          <c:tx>
            <c:v>Thep b2-1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Vach!$AN$3:$AN$52</c:f>
              <c:numCache>
                <c:formatCode>General</c:formatCode>
                <c:ptCount val="50"/>
                <c:pt idx="0">
                  <c:v>-687.5</c:v>
                </c:pt>
                <c:pt idx="1">
                  <c:v>-550</c:v>
                </c:pt>
                <c:pt idx="2">
                  <c:v>-412.5</c:v>
                </c:pt>
                <c:pt idx="3">
                  <c:v>-275</c:v>
                </c:pt>
                <c:pt idx="4">
                  <c:v>-137.5</c:v>
                </c:pt>
                <c:pt idx="5">
                  <c:v>0</c:v>
                </c:pt>
                <c:pt idx="6">
                  <c:v>137.5</c:v>
                </c:pt>
                <c:pt idx="7">
                  <c:v>275</c:v>
                </c:pt>
                <c:pt idx="8">
                  <c:v>412.5</c:v>
                </c:pt>
                <c:pt idx="9">
                  <c:v>550</c:v>
                </c:pt>
                <c:pt idx="10">
                  <c:v>687.5</c:v>
                </c:pt>
                <c:pt idx="11">
                  <c:v>687.5</c:v>
                </c:pt>
                <c:pt idx="12">
                  <c:v>687.5</c:v>
                </c:pt>
                <c:pt idx="13">
                  <c:v>687.5</c:v>
                </c:pt>
                <c:pt idx="14">
                  <c:v>687.5</c:v>
                </c:pt>
                <c:pt idx="15">
                  <c:v>687.5</c:v>
                </c:pt>
                <c:pt idx="16">
                  <c:v>687.5</c:v>
                </c:pt>
                <c:pt idx="17">
                  <c:v>687.5</c:v>
                </c:pt>
                <c:pt idx="18">
                  <c:v>687.5</c:v>
                </c:pt>
                <c:pt idx="19">
                  <c:v>687.5</c:v>
                </c:pt>
                <c:pt idx="20">
                  <c:v>687.5</c:v>
                </c:pt>
                <c:pt idx="21">
                  <c:v>687.5</c:v>
                </c:pt>
                <c:pt idx="22">
                  <c:v>687.5</c:v>
                </c:pt>
                <c:pt idx="23">
                  <c:v>687.5</c:v>
                </c:pt>
                <c:pt idx="24">
                  <c:v>687.5</c:v>
                </c:pt>
                <c:pt idx="25">
                  <c:v>687.5</c:v>
                </c:pt>
                <c:pt idx="26">
                  <c:v>687.5</c:v>
                </c:pt>
                <c:pt idx="27">
                  <c:v>687.5</c:v>
                </c:pt>
                <c:pt idx="28">
                  <c:v>687.5</c:v>
                </c:pt>
                <c:pt idx="29">
                  <c:v>687.5</c:v>
                </c:pt>
                <c:pt idx="30">
                  <c:v>687.5</c:v>
                </c:pt>
                <c:pt idx="31">
                  <c:v>687.5</c:v>
                </c:pt>
                <c:pt idx="32">
                  <c:v>687.5</c:v>
                </c:pt>
                <c:pt idx="33">
                  <c:v>687.5</c:v>
                </c:pt>
                <c:pt idx="34">
                  <c:v>687.5</c:v>
                </c:pt>
                <c:pt idx="35">
                  <c:v>687.5</c:v>
                </c:pt>
                <c:pt idx="36">
                  <c:v>687.5</c:v>
                </c:pt>
                <c:pt idx="37">
                  <c:v>687.5</c:v>
                </c:pt>
                <c:pt idx="38">
                  <c:v>687.5</c:v>
                </c:pt>
                <c:pt idx="39">
                  <c:v>687.5</c:v>
                </c:pt>
                <c:pt idx="40">
                  <c:v>687.5</c:v>
                </c:pt>
                <c:pt idx="41">
                  <c:v>687.5</c:v>
                </c:pt>
                <c:pt idx="42">
                  <c:v>687.5</c:v>
                </c:pt>
                <c:pt idx="43">
                  <c:v>687.5</c:v>
                </c:pt>
                <c:pt idx="44">
                  <c:v>687.5</c:v>
                </c:pt>
                <c:pt idx="45">
                  <c:v>687.5</c:v>
                </c:pt>
                <c:pt idx="46">
                  <c:v>687.5</c:v>
                </c:pt>
                <c:pt idx="47">
                  <c:v>687.5</c:v>
                </c:pt>
                <c:pt idx="48">
                  <c:v>687.5</c:v>
                </c:pt>
                <c:pt idx="49">
                  <c:v>687.5</c:v>
                </c:pt>
              </c:numCache>
            </c:numRef>
          </c:xVal>
          <c:yVal>
            <c:numRef>
              <c:f>Vach!$AO$3:$AO$52</c:f>
              <c:numCache>
                <c:formatCode>General</c:formatCode>
                <c:ptCount val="50"/>
                <c:pt idx="0">
                  <c:v>-250</c:v>
                </c:pt>
                <c:pt idx="1">
                  <c:v>-250</c:v>
                </c:pt>
                <c:pt idx="2">
                  <c:v>-250</c:v>
                </c:pt>
                <c:pt idx="3">
                  <c:v>-250</c:v>
                </c:pt>
                <c:pt idx="4">
                  <c:v>-250</c:v>
                </c:pt>
                <c:pt idx="5">
                  <c:v>-250</c:v>
                </c:pt>
                <c:pt idx="6">
                  <c:v>-250</c:v>
                </c:pt>
                <c:pt idx="7">
                  <c:v>-250</c:v>
                </c:pt>
                <c:pt idx="8">
                  <c:v>-250</c:v>
                </c:pt>
                <c:pt idx="9">
                  <c:v>-250</c:v>
                </c:pt>
                <c:pt idx="10">
                  <c:v>-250</c:v>
                </c:pt>
                <c:pt idx="11">
                  <c:v>-250</c:v>
                </c:pt>
                <c:pt idx="12">
                  <c:v>-250</c:v>
                </c:pt>
                <c:pt idx="13">
                  <c:v>-250</c:v>
                </c:pt>
                <c:pt idx="14">
                  <c:v>-250</c:v>
                </c:pt>
                <c:pt idx="15">
                  <c:v>-250</c:v>
                </c:pt>
                <c:pt idx="16">
                  <c:v>-250</c:v>
                </c:pt>
                <c:pt idx="17">
                  <c:v>-250</c:v>
                </c:pt>
                <c:pt idx="18">
                  <c:v>-250</c:v>
                </c:pt>
                <c:pt idx="19">
                  <c:v>-250</c:v>
                </c:pt>
                <c:pt idx="20">
                  <c:v>-250</c:v>
                </c:pt>
                <c:pt idx="21">
                  <c:v>-250</c:v>
                </c:pt>
                <c:pt idx="22">
                  <c:v>-250</c:v>
                </c:pt>
                <c:pt idx="23">
                  <c:v>-250</c:v>
                </c:pt>
                <c:pt idx="24">
                  <c:v>-250</c:v>
                </c:pt>
                <c:pt idx="25">
                  <c:v>-250</c:v>
                </c:pt>
                <c:pt idx="26">
                  <c:v>-250</c:v>
                </c:pt>
                <c:pt idx="27">
                  <c:v>-250</c:v>
                </c:pt>
                <c:pt idx="28">
                  <c:v>-250</c:v>
                </c:pt>
                <c:pt idx="29">
                  <c:v>-250</c:v>
                </c:pt>
                <c:pt idx="30">
                  <c:v>-250</c:v>
                </c:pt>
                <c:pt idx="31">
                  <c:v>-250</c:v>
                </c:pt>
                <c:pt idx="32">
                  <c:v>-250</c:v>
                </c:pt>
                <c:pt idx="33">
                  <c:v>-250</c:v>
                </c:pt>
                <c:pt idx="34">
                  <c:v>-250</c:v>
                </c:pt>
                <c:pt idx="35">
                  <c:v>-250</c:v>
                </c:pt>
                <c:pt idx="36">
                  <c:v>-250</c:v>
                </c:pt>
                <c:pt idx="37">
                  <c:v>-250</c:v>
                </c:pt>
                <c:pt idx="38">
                  <c:v>-250</c:v>
                </c:pt>
                <c:pt idx="39">
                  <c:v>-250</c:v>
                </c:pt>
                <c:pt idx="40">
                  <c:v>-250</c:v>
                </c:pt>
                <c:pt idx="41">
                  <c:v>-250</c:v>
                </c:pt>
                <c:pt idx="42">
                  <c:v>-250</c:v>
                </c:pt>
                <c:pt idx="43">
                  <c:v>-250</c:v>
                </c:pt>
                <c:pt idx="44">
                  <c:v>-250</c:v>
                </c:pt>
                <c:pt idx="45">
                  <c:v>-250</c:v>
                </c:pt>
                <c:pt idx="46">
                  <c:v>-250</c:v>
                </c:pt>
                <c:pt idx="47">
                  <c:v>-250</c:v>
                </c:pt>
                <c:pt idx="48">
                  <c:v>-250</c:v>
                </c:pt>
                <c:pt idx="49">
                  <c:v>-250</c:v>
                </c:pt>
              </c:numCache>
            </c:numRef>
          </c:yVal>
        </c:ser>
        <c:ser>
          <c:idx val="7"/>
          <c:order val="7"/>
          <c:tx>
            <c:v>Thep b2-2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Vach!$AN$3:$AN$52</c:f>
              <c:numCache>
                <c:formatCode>General</c:formatCode>
                <c:ptCount val="50"/>
                <c:pt idx="0">
                  <c:v>-687.5</c:v>
                </c:pt>
                <c:pt idx="1">
                  <c:v>-550</c:v>
                </c:pt>
                <c:pt idx="2">
                  <c:v>-412.5</c:v>
                </c:pt>
                <c:pt idx="3">
                  <c:v>-275</c:v>
                </c:pt>
                <c:pt idx="4">
                  <c:v>-137.5</c:v>
                </c:pt>
                <c:pt idx="5">
                  <c:v>0</c:v>
                </c:pt>
                <c:pt idx="6">
                  <c:v>137.5</c:v>
                </c:pt>
                <c:pt idx="7">
                  <c:v>275</c:v>
                </c:pt>
                <c:pt idx="8">
                  <c:v>412.5</c:v>
                </c:pt>
                <c:pt idx="9">
                  <c:v>550</c:v>
                </c:pt>
                <c:pt idx="10">
                  <c:v>687.5</c:v>
                </c:pt>
                <c:pt idx="11">
                  <c:v>687.5</c:v>
                </c:pt>
                <c:pt idx="12">
                  <c:v>687.5</c:v>
                </c:pt>
                <c:pt idx="13">
                  <c:v>687.5</c:v>
                </c:pt>
                <c:pt idx="14">
                  <c:v>687.5</c:v>
                </c:pt>
                <c:pt idx="15">
                  <c:v>687.5</c:v>
                </c:pt>
                <c:pt idx="16">
                  <c:v>687.5</c:v>
                </c:pt>
                <c:pt idx="17">
                  <c:v>687.5</c:v>
                </c:pt>
                <c:pt idx="18">
                  <c:v>687.5</c:v>
                </c:pt>
                <c:pt idx="19">
                  <c:v>687.5</c:v>
                </c:pt>
                <c:pt idx="20">
                  <c:v>687.5</c:v>
                </c:pt>
                <c:pt idx="21">
                  <c:v>687.5</c:v>
                </c:pt>
                <c:pt idx="22">
                  <c:v>687.5</c:v>
                </c:pt>
                <c:pt idx="23">
                  <c:v>687.5</c:v>
                </c:pt>
                <c:pt idx="24">
                  <c:v>687.5</c:v>
                </c:pt>
                <c:pt idx="25">
                  <c:v>687.5</c:v>
                </c:pt>
                <c:pt idx="26">
                  <c:v>687.5</c:v>
                </c:pt>
                <c:pt idx="27">
                  <c:v>687.5</c:v>
                </c:pt>
                <c:pt idx="28">
                  <c:v>687.5</c:v>
                </c:pt>
                <c:pt idx="29">
                  <c:v>687.5</c:v>
                </c:pt>
                <c:pt idx="30">
                  <c:v>687.5</c:v>
                </c:pt>
                <c:pt idx="31">
                  <c:v>687.5</c:v>
                </c:pt>
                <c:pt idx="32">
                  <c:v>687.5</c:v>
                </c:pt>
                <c:pt idx="33">
                  <c:v>687.5</c:v>
                </c:pt>
                <c:pt idx="34">
                  <c:v>687.5</c:v>
                </c:pt>
                <c:pt idx="35">
                  <c:v>687.5</c:v>
                </c:pt>
                <c:pt idx="36">
                  <c:v>687.5</c:v>
                </c:pt>
                <c:pt idx="37">
                  <c:v>687.5</c:v>
                </c:pt>
                <c:pt idx="38">
                  <c:v>687.5</c:v>
                </c:pt>
                <c:pt idx="39">
                  <c:v>687.5</c:v>
                </c:pt>
                <c:pt idx="40">
                  <c:v>687.5</c:v>
                </c:pt>
                <c:pt idx="41">
                  <c:v>687.5</c:v>
                </c:pt>
                <c:pt idx="42">
                  <c:v>687.5</c:v>
                </c:pt>
                <c:pt idx="43">
                  <c:v>687.5</c:v>
                </c:pt>
                <c:pt idx="44">
                  <c:v>687.5</c:v>
                </c:pt>
                <c:pt idx="45">
                  <c:v>687.5</c:v>
                </c:pt>
                <c:pt idx="46">
                  <c:v>687.5</c:v>
                </c:pt>
                <c:pt idx="47">
                  <c:v>687.5</c:v>
                </c:pt>
                <c:pt idx="48">
                  <c:v>687.5</c:v>
                </c:pt>
                <c:pt idx="49">
                  <c:v>687.5</c:v>
                </c:pt>
              </c:numCache>
            </c:numRef>
          </c:xVal>
          <c:yVal>
            <c:numRef>
              <c:f>Vach!$AP$3:$AP$52</c:f>
              <c:numCache>
                <c:formatCode>General</c:formatCode>
                <c:ptCount val="50"/>
                <c:pt idx="0">
                  <c:v>250</c:v>
                </c:pt>
                <c:pt idx="1">
                  <c:v>250</c:v>
                </c:pt>
                <c:pt idx="2">
                  <c:v>250</c:v>
                </c:pt>
                <c:pt idx="3">
                  <c:v>250</c:v>
                </c:pt>
                <c:pt idx="4">
                  <c:v>250</c:v>
                </c:pt>
                <c:pt idx="5">
                  <c:v>250</c:v>
                </c:pt>
                <c:pt idx="6">
                  <c:v>250</c:v>
                </c:pt>
                <c:pt idx="7">
                  <c:v>250</c:v>
                </c:pt>
                <c:pt idx="8">
                  <c:v>250</c:v>
                </c:pt>
                <c:pt idx="9">
                  <c:v>250</c:v>
                </c:pt>
                <c:pt idx="10">
                  <c:v>250</c:v>
                </c:pt>
                <c:pt idx="11">
                  <c:v>250</c:v>
                </c:pt>
                <c:pt idx="12">
                  <c:v>250</c:v>
                </c:pt>
                <c:pt idx="13">
                  <c:v>250</c:v>
                </c:pt>
                <c:pt idx="14">
                  <c:v>250</c:v>
                </c:pt>
                <c:pt idx="15">
                  <c:v>250</c:v>
                </c:pt>
                <c:pt idx="16">
                  <c:v>250</c:v>
                </c:pt>
                <c:pt idx="17">
                  <c:v>250</c:v>
                </c:pt>
                <c:pt idx="18">
                  <c:v>250</c:v>
                </c:pt>
                <c:pt idx="19">
                  <c:v>250</c:v>
                </c:pt>
                <c:pt idx="20">
                  <c:v>250</c:v>
                </c:pt>
                <c:pt idx="21">
                  <c:v>250</c:v>
                </c:pt>
                <c:pt idx="22">
                  <c:v>250</c:v>
                </c:pt>
                <c:pt idx="23">
                  <c:v>250</c:v>
                </c:pt>
                <c:pt idx="24">
                  <c:v>250</c:v>
                </c:pt>
                <c:pt idx="25">
                  <c:v>250</c:v>
                </c:pt>
                <c:pt idx="26">
                  <c:v>250</c:v>
                </c:pt>
                <c:pt idx="27">
                  <c:v>250</c:v>
                </c:pt>
                <c:pt idx="28">
                  <c:v>250</c:v>
                </c:pt>
                <c:pt idx="29">
                  <c:v>250</c:v>
                </c:pt>
                <c:pt idx="30">
                  <c:v>250</c:v>
                </c:pt>
                <c:pt idx="31">
                  <c:v>250</c:v>
                </c:pt>
                <c:pt idx="32">
                  <c:v>250</c:v>
                </c:pt>
                <c:pt idx="33">
                  <c:v>250</c:v>
                </c:pt>
                <c:pt idx="34">
                  <c:v>250</c:v>
                </c:pt>
                <c:pt idx="35">
                  <c:v>250</c:v>
                </c:pt>
                <c:pt idx="36">
                  <c:v>250</c:v>
                </c:pt>
                <c:pt idx="37">
                  <c:v>250</c:v>
                </c:pt>
                <c:pt idx="38">
                  <c:v>250</c:v>
                </c:pt>
                <c:pt idx="39">
                  <c:v>250</c:v>
                </c:pt>
                <c:pt idx="40">
                  <c:v>250</c:v>
                </c:pt>
                <c:pt idx="41">
                  <c:v>250</c:v>
                </c:pt>
                <c:pt idx="42">
                  <c:v>250</c:v>
                </c:pt>
                <c:pt idx="43">
                  <c:v>250</c:v>
                </c:pt>
                <c:pt idx="44">
                  <c:v>250</c:v>
                </c:pt>
                <c:pt idx="45">
                  <c:v>250</c:v>
                </c:pt>
                <c:pt idx="46">
                  <c:v>250</c:v>
                </c:pt>
                <c:pt idx="47">
                  <c:v>250</c:v>
                </c:pt>
                <c:pt idx="48">
                  <c:v>250</c:v>
                </c:pt>
                <c:pt idx="49">
                  <c:v>250</c:v>
                </c:pt>
              </c:numCache>
            </c:numRef>
          </c:yVal>
        </c:ser>
        <c:ser>
          <c:idx val="8"/>
          <c:order val="8"/>
          <c:tx>
            <c:v>Thep h2-1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Vach!$AQ$3:$AQ$52</c:f>
              <c:numCache>
                <c:formatCode>General</c:formatCode>
                <c:ptCount val="50"/>
                <c:pt idx="0">
                  <c:v>-825</c:v>
                </c:pt>
                <c:pt idx="1">
                  <c:v>-825</c:v>
                </c:pt>
                <c:pt idx="2">
                  <c:v>-825</c:v>
                </c:pt>
                <c:pt idx="3">
                  <c:v>-825</c:v>
                </c:pt>
                <c:pt idx="4">
                  <c:v>-825</c:v>
                </c:pt>
                <c:pt idx="5">
                  <c:v>-825</c:v>
                </c:pt>
                <c:pt idx="6">
                  <c:v>-825</c:v>
                </c:pt>
                <c:pt idx="7">
                  <c:v>-825</c:v>
                </c:pt>
                <c:pt idx="8">
                  <c:v>-825</c:v>
                </c:pt>
                <c:pt idx="9">
                  <c:v>-825</c:v>
                </c:pt>
                <c:pt idx="10">
                  <c:v>-825</c:v>
                </c:pt>
                <c:pt idx="11">
                  <c:v>-825</c:v>
                </c:pt>
                <c:pt idx="12">
                  <c:v>-825</c:v>
                </c:pt>
                <c:pt idx="13">
                  <c:v>-825</c:v>
                </c:pt>
                <c:pt idx="14">
                  <c:v>-825</c:v>
                </c:pt>
                <c:pt idx="15">
                  <c:v>-825</c:v>
                </c:pt>
                <c:pt idx="16">
                  <c:v>-825</c:v>
                </c:pt>
                <c:pt idx="17">
                  <c:v>-825</c:v>
                </c:pt>
                <c:pt idx="18">
                  <c:v>-825</c:v>
                </c:pt>
                <c:pt idx="19">
                  <c:v>-825</c:v>
                </c:pt>
                <c:pt idx="20">
                  <c:v>-825</c:v>
                </c:pt>
                <c:pt idx="21">
                  <c:v>-825</c:v>
                </c:pt>
                <c:pt idx="22">
                  <c:v>-825</c:v>
                </c:pt>
                <c:pt idx="23">
                  <c:v>-825</c:v>
                </c:pt>
                <c:pt idx="24">
                  <c:v>-825</c:v>
                </c:pt>
                <c:pt idx="25">
                  <c:v>-825</c:v>
                </c:pt>
                <c:pt idx="26">
                  <c:v>-825</c:v>
                </c:pt>
                <c:pt idx="27">
                  <c:v>-825</c:v>
                </c:pt>
                <c:pt idx="28">
                  <c:v>-825</c:v>
                </c:pt>
                <c:pt idx="29">
                  <c:v>-825</c:v>
                </c:pt>
                <c:pt idx="30">
                  <c:v>-825</c:v>
                </c:pt>
                <c:pt idx="31">
                  <c:v>-825</c:v>
                </c:pt>
                <c:pt idx="32">
                  <c:v>-825</c:v>
                </c:pt>
                <c:pt idx="33">
                  <c:v>-825</c:v>
                </c:pt>
                <c:pt idx="34">
                  <c:v>-825</c:v>
                </c:pt>
                <c:pt idx="35">
                  <c:v>-825</c:v>
                </c:pt>
                <c:pt idx="36">
                  <c:v>-825</c:v>
                </c:pt>
                <c:pt idx="37">
                  <c:v>-825</c:v>
                </c:pt>
                <c:pt idx="38">
                  <c:v>-825</c:v>
                </c:pt>
                <c:pt idx="39">
                  <c:v>-825</c:v>
                </c:pt>
                <c:pt idx="40">
                  <c:v>-825</c:v>
                </c:pt>
                <c:pt idx="41">
                  <c:v>-825</c:v>
                </c:pt>
                <c:pt idx="42">
                  <c:v>-825</c:v>
                </c:pt>
                <c:pt idx="43">
                  <c:v>-825</c:v>
                </c:pt>
                <c:pt idx="44">
                  <c:v>-825</c:v>
                </c:pt>
                <c:pt idx="45">
                  <c:v>-825</c:v>
                </c:pt>
                <c:pt idx="46">
                  <c:v>-825</c:v>
                </c:pt>
                <c:pt idx="47">
                  <c:v>-825</c:v>
                </c:pt>
                <c:pt idx="48">
                  <c:v>-825</c:v>
                </c:pt>
                <c:pt idx="49">
                  <c:v>-825</c:v>
                </c:pt>
              </c:numCache>
            </c:numRef>
          </c:xVal>
          <c:yVal>
            <c:numRef>
              <c:f>Vach!$AR$3:$AR$52</c:f>
              <c:numCache>
                <c:formatCode>General</c:formatCode>
                <c:ptCount val="50"/>
                <c:pt idx="0">
                  <c:v>-250</c:v>
                </c:pt>
                <c:pt idx="1">
                  <c:v>-166.66666666666669</c:v>
                </c:pt>
                <c:pt idx="2">
                  <c:v>-83.333333333333357</c:v>
                </c:pt>
                <c:pt idx="3">
                  <c:v>-2.8421709430404007E-14</c:v>
                </c:pt>
                <c:pt idx="4">
                  <c:v>83.3333333333333</c:v>
                </c:pt>
                <c:pt idx="5">
                  <c:v>166.66666666666663</c:v>
                </c:pt>
                <c:pt idx="6">
                  <c:v>249.99999999999994</c:v>
                </c:pt>
                <c:pt idx="7">
                  <c:v>249.99999999999994</c:v>
                </c:pt>
                <c:pt idx="8">
                  <c:v>249.99999999999994</c:v>
                </c:pt>
                <c:pt idx="9">
                  <c:v>249.99999999999994</c:v>
                </c:pt>
                <c:pt idx="10">
                  <c:v>249.99999999999994</c:v>
                </c:pt>
                <c:pt idx="11">
                  <c:v>249.99999999999994</c:v>
                </c:pt>
                <c:pt idx="12">
                  <c:v>249.99999999999994</c:v>
                </c:pt>
                <c:pt idx="13">
                  <c:v>249.99999999999994</c:v>
                </c:pt>
                <c:pt idx="14">
                  <c:v>249.99999999999994</c:v>
                </c:pt>
                <c:pt idx="15">
                  <c:v>249.99999999999994</c:v>
                </c:pt>
                <c:pt idx="16">
                  <c:v>249.99999999999994</c:v>
                </c:pt>
                <c:pt idx="17">
                  <c:v>249.99999999999994</c:v>
                </c:pt>
                <c:pt idx="18">
                  <c:v>249.99999999999994</c:v>
                </c:pt>
                <c:pt idx="19">
                  <c:v>249.99999999999994</c:v>
                </c:pt>
                <c:pt idx="20">
                  <c:v>249.99999999999994</c:v>
                </c:pt>
                <c:pt idx="21">
                  <c:v>249.99999999999994</c:v>
                </c:pt>
                <c:pt idx="22">
                  <c:v>249.99999999999994</c:v>
                </c:pt>
                <c:pt idx="23">
                  <c:v>249.99999999999994</c:v>
                </c:pt>
                <c:pt idx="24">
                  <c:v>249.99999999999994</c:v>
                </c:pt>
                <c:pt idx="25">
                  <c:v>249.99999999999994</c:v>
                </c:pt>
                <c:pt idx="26">
                  <c:v>249.99999999999994</c:v>
                </c:pt>
                <c:pt idx="27">
                  <c:v>249.99999999999994</c:v>
                </c:pt>
                <c:pt idx="28">
                  <c:v>249.99999999999994</c:v>
                </c:pt>
                <c:pt idx="29">
                  <c:v>249.99999999999994</c:v>
                </c:pt>
                <c:pt idx="30">
                  <c:v>249.99999999999994</c:v>
                </c:pt>
                <c:pt idx="31">
                  <c:v>249.99999999999994</c:v>
                </c:pt>
                <c:pt idx="32">
                  <c:v>249.99999999999994</c:v>
                </c:pt>
                <c:pt idx="33">
                  <c:v>249.99999999999994</c:v>
                </c:pt>
                <c:pt idx="34">
                  <c:v>249.99999999999994</c:v>
                </c:pt>
                <c:pt idx="35">
                  <c:v>249.99999999999994</c:v>
                </c:pt>
                <c:pt idx="36">
                  <c:v>249.99999999999994</c:v>
                </c:pt>
                <c:pt idx="37">
                  <c:v>249.99999999999994</c:v>
                </c:pt>
                <c:pt idx="38">
                  <c:v>249.99999999999994</c:v>
                </c:pt>
                <c:pt idx="39">
                  <c:v>249.99999999999994</c:v>
                </c:pt>
                <c:pt idx="40">
                  <c:v>249.99999999999994</c:v>
                </c:pt>
                <c:pt idx="41">
                  <c:v>249.99999999999994</c:v>
                </c:pt>
                <c:pt idx="42">
                  <c:v>249.99999999999994</c:v>
                </c:pt>
                <c:pt idx="43">
                  <c:v>249.99999999999994</c:v>
                </c:pt>
                <c:pt idx="44">
                  <c:v>249.99999999999994</c:v>
                </c:pt>
                <c:pt idx="45">
                  <c:v>249.99999999999994</c:v>
                </c:pt>
                <c:pt idx="46">
                  <c:v>249.99999999999994</c:v>
                </c:pt>
                <c:pt idx="47">
                  <c:v>249.99999999999994</c:v>
                </c:pt>
                <c:pt idx="48">
                  <c:v>249.99999999999994</c:v>
                </c:pt>
                <c:pt idx="49">
                  <c:v>249.99999999999994</c:v>
                </c:pt>
              </c:numCache>
            </c:numRef>
          </c:yVal>
        </c:ser>
        <c:ser>
          <c:idx val="9"/>
          <c:order val="9"/>
          <c:tx>
            <c:v>Thep h2-2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Vach!$AS$3:$AS$52</c:f>
              <c:numCache>
                <c:formatCode>General</c:formatCode>
                <c:ptCount val="50"/>
                <c:pt idx="0">
                  <c:v>825</c:v>
                </c:pt>
                <c:pt idx="1">
                  <c:v>825</c:v>
                </c:pt>
                <c:pt idx="2">
                  <c:v>825</c:v>
                </c:pt>
                <c:pt idx="3">
                  <c:v>825</c:v>
                </c:pt>
                <c:pt idx="4">
                  <c:v>825</c:v>
                </c:pt>
                <c:pt idx="5">
                  <c:v>825</c:v>
                </c:pt>
                <c:pt idx="6">
                  <c:v>825</c:v>
                </c:pt>
                <c:pt idx="7">
                  <c:v>825</c:v>
                </c:pt>
                <c:pt idx="8">
                  <c:v>825</c:v>
                </c:pt>
                <c:pt idx="9">
                  <c:v>825</c:v>
                </c:pt>
                <c:pt idx="10">
                  <c:v>825</c:v>
                </c:pt>
                <c:pt idx="11">
                  <c:v>825</c:v>
                </c:pt>
                <c:pt idx="12">
                  <c:v>825</c:v>
                </c:pt>
                <c:pt idx="13">
                  <c:v>825</c:v>
                </c:pt>
                <c:pt idx="14">
                  <c:v>825</c:v>
                </c:pt>
                <c:pt idx="15">
                  <c:v>825</c:v>
                </c:pt>
                <c:pt idx="16">
                  <c:v>825</c:v>
                </c:pt>
                <c:pt idx="17">
                  <c:v>825</c:v>
                </c:pt>
                <c:pt idx="18">
                  <c:v>825</c:v>
                </c:pt>
                <c:pt idx="19">
                  <c:v>825</c:v>
                </c:pt>
                <c:pt idx="20">
                  <c:v>825</c:v>
                </c:pt>
                <c:pt idx="21">
                  <c:v>825</c:v>
                </c:pt>
                <c:pt idx="22">
                  <c:v>825</c:v>
                </c:pt>
                <c:pt idx="23">
                  <c:v>825</c:v>
                </c:pt>
                <c:pt idx="24">
                  <c:v>825</c:v>
                </c:pt>
                <c:pt idx="25">
                  <c:v>825</c:v>
                </c:pt>
                <c:pt idx="26">
                  <c:v>825</c:v>
                </c:pt>
                <c:pt idx="27">
                  <c:v>825</c:v>
                </c:pt>
                <c:pt idx="28">
                  <c:v>825</c:v>
                </c:pt>
                <c:pt idx="29">
                  <c:v>825</c:v>
                </c:pt>
                <c:pt idx="30">
                  <c:v>825</c:v>
                </c:pt>
                <c:pt idx="31">
                  <c:v>825</c:v>
                </c:pt>
                <c:pt idx="32">
                  <c:v>825</c:v>
                </c:pt>
                <c:pt idx="33">
                  <c:v>825</c:v>
                </c:pt>
                <c:pt idx="34">
                  <c:v>825</c:v>
                </c:pt>
                <c:pt idx="35">
                  <c:v>825</c:v>
                </c:pt>
                <c:pt idx="36">
                  <c:v>825</c:v>
                </c:pt>
                <c:pt idx="37">
                  <c:v>825</c:v>
                </c:pt>
                <c:pt idx="38">
                  <c:v>825</c:v>
                </c:pt>
                <c:pt idx="39">
                  <c:v>825</c:v>
                </c:pt>
                <c:pt idx="40">
                  <c:v>825</c:v>
                </c:pt>
                <c:pt idx="41">
                  <c:v>825</c:v>
                </c:pt>
                <c:pt idx="42">
                  <c:v>825</c:v>
                </c:pt>
                <c:pt idx="43">
                  <c:v>825</c:v>
                </c:pt>
                <c:pt idx="44">
                  <c:v>825</c:v>
                </c:pt>
                <c:pt idx="45">
                  <c:v>825</c:v>
                </c:pt>
                <c:pt idx="46">
                  <c:v>825</c:v>
                </c:pt>
                <c:pt idx="47">
                  <c:v>825</c:v>
                </c:pt>
                <c:pt idx="48">
                  <c:v>825</c:v>
                </c:pt>
                <c:pt idx="49">
                  <c:v>825</c:v>
                </c:pt>
              </c:numCache>
            </c:numRef>
          </c:xVal>
          <c:yVal>
            <c:numRef>
              <c:f>Vach!$AR$3:$AR$52</c:f>
              <c:numCache>
                <c:formatCode>General</c:formatCode>
                <c:ptCount val="50"/>
                <c:pt idx="0">
                  <c:v>-250</c:v>
                </c:pt>
                <c:pt idx="1">
                  <c:v>-166.66666666666669</c:v>
                </c:pt>
                <c:pt idx="2">
                  <c:v>-83.333333333333357</c:v>
                </c:pt>
                <c:pt idx="3">
                  <c:v>-2.8421709430404007E-14</c:v>
                </c:pt>
                <c:pt idx="4">
                  <c:v>83.3333333333333</c:v>
                </c:pt>
                <c:pt idx="5">
                  <c:v>166.66666666666663</c:v>
                </c:pt>
                <c:pt idx="6">
                  <c:v>249.99999999999994</c:v>
                </c:pt>
                <c:pt idx="7">
                  <c:v>249.99999999999994</c:v>
                </c:pt>
                <c:pt idx="8">
                  <c:v>249.99999999999994</c:v>
                </c:pt>
                <c:pt idx="9">
                  <c:v>249.99999999999994</c:v>
                </c:pt>
                <c:pt idx="10">
                  <c:v>249.99999999999994</c:v>
                </c:pt>
                <c:pt idx="11">
                  <c:v>249.99999999999994</c:v>
                </c:pt>
                <c:pt idx="12">
                  <c:v>249.99999999999994</c:v>
                </c:pt>
                <c:pt idx="13">
                  <c:v>249.99999999999994</c:v>
                </c:pt>
                <c:pt idx="14">
                  <c:v>249.99999999999994</c:v>
                </c:pt>
                <c:pt idx="15">
                  <c:v>249.99999999999994</c:v>
                </c:pt>
                <c:pt idx="16">
                  <c:v>249.99999999999994</c:v>
                </c:pt>
                <c:pt idx="17">
                  <c:v>249.99999999999994</c:v>
                </c:pt>
                <c:pt idx="18">
                  <c:v>249.99999999999994</c:v>
                </c:pt>
                <c:pt idx="19">
                  <c:v>249.99999999999994</c:v>
                </c:pt>
                <c:pt idx="20">
                  <c:v>249.99999999999994</c:v>
                </c:pt>
                <c:pt idx="21">
                  <c:v>249.99999999999994</c:v>
                </c:pt>
                <c:pt idx="22">
                  <c:v>249.99999999999994</c:v>
                </c:pt>
                <c:pt idx="23">
                  <c:v>249.99999999999994</c:v>
                </c:pt>
                <c:pt idx="24">
                  <c:v>249.99999999999994</c:v>
                </c:pt>
                <c:pt idx="25">
                  <c:v>249.99999999999994</c:v>
                </c:pt>
                <c:pt idx="26">
                  <c:v>249.99999999999994</c:v>
                </c:pt>
                <c:pt idx="27">
                  <c:v>249.99999999999994</c:v>
                </c:pt>
                <c:pt idx="28">
                  <c:v>249.99999999999994</c:v>
                </c:pt>
                <c:pt idx="29">
                  <c:v>249.99999999999994</c:v>
                </c:pt>
                <c:pt idx="30">
                  <c:v>249.99999999999994</c:v>
                </c:pt>
                <c:pt idx="31">
                  <c:v>249.99999999999994</c:v>
                </c:pt>
                <c:pt idx="32">
                  <c:v>249.99999999999994</c:v>
                </c:pt>
                <c:pt idx="33">
                  <c:v>249.99999999999994</c:v>
                </c:pt>
                <c:pt idx="34">
                  <c:v>249.99999999999994</c:v>
                </c:pt>
                <c:pt idx="35">
                  <c:v>249.99999999999994</c:v>
                </c:pt>
                <c:pt idx="36">
                  <c:v>249.99999999999994</c:v>
                </c:pt>
                <c:pt idx="37">
                  <c:v>249.99999999999994</c:v>
                </c:pt>
                <c:pt idx="38">
                  <c:v>249.99999999999994</c:v>
                </c:pt>
                <c:pt idx="39">
                  <c:v>249.99999999999994</c:v>
                </c:pt>
                <c:pt idx="40">
                  <c:v>249.99999999999994</c:v>
                </c:pt>
                <c:pt idx="41">
                  <c:v>249.99999999999994</c:v>
                </c:pt>
                <c:pt idx="42">
                  <c:v>249.99999999999994</c:v>
                </c:pt>
                <c:pt idx="43">
                  <c:v>249.99999999999994</c:v>
                </c:pt>
                <c:pt idx="44">
                  <c:v>249.99999999999994</c:v>
                </c:pt>
                <c:pt idx="45">
                  <c:v>249.99999999999994</c:v>
                </c:pt>
                <c:pt idx="46">
                  <c:v>249.99999999999994</c:v>
                </c:pt>
                <c:pt idx="47">
                  <c:v>249.99999999999994</c:v>
                </c:pt>
                <c:pt idx="48">
                  <c:v>249.99999999999994</c:v>
                </c:pt>
                <c:pt idx="49">
                  <c:v>249.99999999999994</c:v>
                </c:pt>
              </c:numCache>
            </c:numRef>
          </c:yVal>
        </c:ser>
        <c:axId val="142634368"/>
        <c:axId val="142652544"/>
      </c:scatterChart>
      <c:valAx>
        <c:axId val="142634368"/>
        <c:scaling>
          <c:orientation val="minMax"/>
        </c:scaling>
        <c:delete val="1"/>
        <c:axPos val="b"/>
        <c:numFmt formatCode="General" sourceLinked="1"/>
        <c:tickLblPos val="none"/>
        <c:crossAx val="142652544"/>
        <c:crosses val="autoZero"/>
        <c:crossBetween val="midCat"/>
      </c:valAx>
      <c:valAx>
        <c:axId val="142652544"/>
        <c:scaling>
          <c:orientation val="minMax"/>
        </c:scaling>
        <c:delete val="1"/>
        <c:axPos val="l"/>
        <c:numFmt formatCode="General" sourceLinked="1"/>
        <c:tickLblPos val="none"/>
        <c:crossAx val="14263436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</c:chart>
  <c:spPr>
    <a:solidFill>
      <a:schemeClr val="tx1"/>
    </a:solidFill>
  </c:sp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"/>
          <c:y val="0"/>
          <c:w val="0.99794805278060061"/>
          <c:h val="1"/>
        </c:manualLayout>
      </c:layout>
      <c:scatterChart>
        <c:scatterStyle val="lineMarker"/>
        <c:ser>
          <c:idx val="0"/>
          <c:order val="0"/>
          <c:tx>
            <c:v>MC</c:v>
          </c:tx>
          <c:spPr>
            <a:ln w="19050">
              <a:solidFill>
                <a:srgbClr val="1BDBF5"/>
              </a:solidFill>
            </a:ln>
          </c:spPr>
          <c:marker>
            <c:symbol val="none"/>
          </c:marker>
          <c:xVal>
            <c:numRef>
              <c:f>Cot!$AJ$16:$AJ$20</c:f>
              <c:numCache>
                <c:formatCode>General</c:formatCode>
                <c:ptCount val="5"/>
                <c:pt idx="0">
                  <c:v>-500</c:v>
                </c:pt>
                <c:pt idx="1">
                  <c:v>500</c:v>
                </c:pt>
                <c:pt idx="2">
                  <c:v>500</c:v>
                </c:pt>
                <c:pt idx="3">
                  <c:v>-500</c:v>
                </c:pt>
                <c:pt idx="4">
                  <c:v>-500</c:v>
                </c:pt>
              </c:numCache>
            </c:numRef>
          </c:xVal>
          <c:yVal>
            <c:numRef>
              <c:f>Cot!$AK$16:$AK$20</c:f>
              <c:numCache>
                <c:formatCode>General</c:formatCode>
                <c:ptCount val="5"/>
                <c:pt idx="0">
                  <c:v>-400</c:v>
                </c:pt>
                <c:pt idx="1">
                  <c:v>-400</c:v>
                </c:pt>
                <c:pt idx="2">
                  <c:v>400</c:v>
                </c:pt>
                <c:pt idx="3">
                  <c:v>400</c:v>
                </c:pt>
                <c:pt idx="4">
                  <c:v>-400</c:v>
                </c:pt>
              </c:numCache>
            </c:numRef>
          </c:yVal>
        </c:ser>
        <c:ser>
          <c:idx val="1"/>
          <c:order val="1"/>
          <c:tx>
            <c:v>fix</c:v>
          </c:tx>
          <c:spPr>
            <a:ln>
              <a:noFill/>
            </a:ln>
          </c:spPr>
          <c:marker>
            <c:symbol val="none"/>
          </c:marker>
          <c:xVal>
            <c:numRef>
              <c:f>Cot!$AJ$13:$AJ$14</c:f>
              <c:numCache>
                <c:formatCode>General</c:formatCode>
                <c:ptCount val="2"/>
                <c:pt idx="0">
                  <c:v>500</c:v>
                </c:pt>
                <c:pt idx="1">
                  <c:v>-500</c:v>
                </c:pt>
              </c:numCache>
            </c:numRef>
          </c:xVal>
          <c:yVal>
            <c:numRef>
              <c:f>Cot!$AK$13:$AK$14</c:f>
              <c:numCache>
                <c:formatCode>General</c:formatCode>
                <c:ptCount val="2"/>
                <c:pt idx="0">
                  <c:v>500</c:v>
                </c:pt>
                <c:pt idx="1">
                  <c:v>-500</c:v>
                </c:pt>
              </c:numCache>
            </c:numRef>
          </c:yVal>
        </c:ser>
        <c:ser>
          <c:idx val="2"/>
          <c:order val="2"/>
          <c:tx>
            <c:v>Thep b1-1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Cot!$AM$3:$AM$52</c:f>
              <c:numCache>
                <c:formatCode>General</c:formatCode>
                <c:ptCount val="50"/>
                <c:pt idx="0">
                  <c:v>-450</c:v>
                </c:pt>
                <c:pt idx="1">
                  <c:v>-300</c:v>
                </c:pt>
                <c:pt idx="2">
                  <c:v>-150</c:v>
                </c:pt>
                <c:pt idx="3">
                  <c:v>0</c:v>
                </c:pt>
                <c:pt idx="4">
                  <c:v>150</c:v>
                </c:pt>
                <c:pt idx="5">
                  <c:v>300</c:v>
                </c:pt>
                <c:pt idx="6">
                  <c:v>450</c:v>
                </c:pt>
                <c:pt idx="7">
                  <c:v>450</c:v>
                </c:pt>
                <c:pt idx="8">
                  <c:v>450</c:v>
                </c:pt>
                <c:pt idx="9">
                  <c:v>450</c:v>
                </c:pt>
                <c:pt idx="10">
                  <c:v>450</c:v>
                </c:pt>
                <c:pt idx="11">
                  <c:v>450</c:v>
                </c:pt>
                <c:pt idx="12">
                  <c:v>450</c:v>
                </c:pt>
                <c:pt idx="13">
                  <c:v>450</c:v>
                </c:pt>
                <c:pt idx="14">
                  <c:v>450</c:v>
                </c:pt>
                <c:pt idx="15">
                  <c:v>450</c:v>
                </c:pt>
                <c:pt idx="16">
                  <c:v>450</c:v>
                </c:pt>
                <c:pt idx="17">
                  <c:v>450</c:v>
                </c:pt>
                <c:pt idx="18">
                  <c:v>450</c:v>
                </c:pt>
                <c:pt idx="19">
                  <c:v>450</c:v>
                </c:pt>
                <c:pt idx="20">
                  <c:v>450</c:v>
                </c:pt>
                <c:pt idx="21">
                  <c:v>450</c:v>
                </c:pt>
                <c:pt idx="22">
                  <c:v>450</c:v>
                </c:pt>
                <c:pt idx="23">
                  <c:v>450</c:v>
                </c:pt>
                <c:pt idx="24">
                  <c:v>450</c:v>
                </c:pt>
                <c:pt idx="25">
                  <c:v>450</c:v>
                </c:pt>
                <c:pt idx="26">
                  <c:v>450</c:v>
                </c:pt>
                <c:pt idx="27">
                  <c:v>450</c:v>
                </c:pt>
                <c:pt idx="28">
                  <c:v>450</c:v>
                </c:pt>
                <c:pt idx="29">
                  <c:v>450</c:v>
                </c:pt>
                <c:pt idx="30">
                  <c:v>450</c:v>
                </c:pt>
                <c:pt idx="31">
                  <c:v>450</c:v>
                </c:pt>
                <c:pt idx="32">
                  <c:v>450</c:v>
                </c:pt>
                <c:pt idx="33">
                  <c:v>450</c:v>
                </c:pt>
                <c:pt idx="34">
                  <c:v>450</c:v>
                </c:pt>
                <c:pt idx="35">
                  <c:v>450</c:v>
                </c:pt>
                <c:pt idx="36">
                  <c:v>450</c:v>
                </c:pt>
                <c:pt idx="37">
                  <c:v>450</c:v>
                </c:pt>
                <c:pt idx="38">
                  <c:v>450</c:v>
                </c:pt>
                <c:pt idx="39">
                  <c:v>450</c:v>
                </c:pt>
                <c:pt idx="40">
                  <c:v>450</c:v>
                </c:pt>
                <c:pt idx="41">
                  <c:v>450</c:v>
                </c:pt>
                <c:pt idx="42">
                  <c:v>450</c:v>
                </c:pt>
                <c:pt idx="43">
                  <c:v>450</c:v>
                </c:pt>
                <c:pt idx="44">
                  <c:v>450</c:v>
                </c:pt>
                <c:pt idx="45">
                  <c:v>450</c:v>
                </c:pt>
                <c:pt idx="46">
                  <c:v>450</c:v>
                </c:pt>
                <c:pt idx="47">
                  <c:v>450</c:v>
                </c:pt>
                <c:pt idx="48">
                  <c:v>450</c:v>
                </c:pt>
                <c:pt idx="49">
                  <c:v>450</c:v>
                </c:pt>
              </c:numCache>
            </c:numRef>
          </c:xVal>
          <c:yVal>
            <c:numRef>
              <c:f>Cot!$AN$3:$AN$52</c:f>
              <c:numCache>
                <c:formatCode>General</c:formatCode>
                <c:ptCount val="50"/>
                <c:pt idx="0">
                  <c:v>-350</c:v>
                </c:pt>
                <c:pt idx="1">
                  <c:v>-350</c:v>
                </c:pt>
                <c:pt idx="2">
                  <c:v>-350</c:v>
                </c:pt>
                <c:pt idx="3">
                  <c:v>-350</c:v>
                </c:pt>
                <c:pt idx="4">
                  <c:v>-350</c:v>
                </c:pt>
                <c:pt idx="5">
                  <c:v>-350</c:v>
                </c:pt>
                <c:pt idx="6">
                  <c:v>-350</c:v>
                </c:pt>
                <c:pt idx="7">
                  <c:v>-350</c:v>
                </c:pt>
                <c:pt idx="8">
                  <c:v>-350</c:v>
                </c:pt>
                <c:pt idx="9">
                  <c:v>-350</c:v>
                </c:pt>
                <c:pt idx="10">
                  <c:v>-350</c:v>
                </c:pt>
                <c:pt idx="11">
                  <c:v>-350</c:v>
                </c:pt>
                <c:pt idx="12">
                  <c:v>-350</c:v>
                </c:pt>
                <c:pt idx="13">
                  <c:v>-350</c:v>
                </c:pt>
                <c:pt idx="14">
                  <c:v>-350</c:v>
                </c:pt>
                <c:pt idx="15">
                  <c:v>-350</c:v>
                </c:pt>
                <c:pt idx="16">
                  <c:v>-350</c:v>
                </c:pt>
                <c:pt idx="17">
                  <c:v>-350</c:v>
                </c:pt>
                <c:pt idx="18">
                  <c:v>-350</c:v>
                </c:pt>
                <c:pt idx="19">
                  <c:v>-350</c:v>
                </c:pt>
                <c:pt idx="20">
                  <c:v>-350</c:v>
                </c:pt>
                <c:pt idx="21">
                  <c:v>-350</c:v>
                </c:pt>
                <c:pt idx="22">
                  <c:v>-350</c:v>
                </c:pt>
                <c:pt idx="23">
                  <c:v>-350</c:v>
                </c:pt>
                <c:pt idx="24">
                  <c:v>-350</c:v>
                </c:pt>
                <c:pt idx="25">
                  <c:v>-350</c:v>
                </c:pt>
                <c:pt idx="26">
                  <c:v>-350</c:v>
                </c:pt>
                <c:pt idx="27">
                  <c:v>-350</c:v>
                </c:pt>
                <c:pt idx="28">
                  <c:v>-350</c:v>
                </c:pt>
                <c:pt idx="29">
                  <c:v>-350</c:v>
                </c:pt>
                <c:pt idx="30">
                  <c:v>-350</c:v>
                </c:pt>
                <c:pt idx="31">
                  <c:v>-350</c:v>
                </c:pt>
                <c:pt idx="32">
                  <c:v>-350</c:v>
                </c:pt>
                <c:pt idx="33">
                  <c:v>-350</c:v>
                </c:pt>
                <c:pt idx="34">
                  <c:v>-350</c:v>
                </c:pt>
                <c:pt idx="35">
                  <c:v>-350</c:v>
                </c:pt>
                <c:pt idx="36">
                  <c:v>-350</c:v>
                </c:pt>
                <c:pt idx="37">
                  <c:v>-350</c:v>
                </c:pt>
                <c:pt idx="38">
                  <c:v>-350</c:v>
                </c:pt>
                <c:pt idx="39">
                  <c:v>-350</c:v>
                </c:pt>
                <c:pt idx="40">
                  <c:v>-350</c:v>
                </c:pt>
                <c:pt idx="41">
                  <c:v>-350</c:v>
                </c:pt>
                <c:pt idx="42">
                  <c:v>-350</c:v>
                </c:pt>
                <c:pt idx="43">
                  <c:v>-350</c:v>
                </c:pt>
                <c:pt idx="44">
                  <c:v>-350</c:v>
                </c:pt>
                <c:pt idx="45">
                  <c:v>-350</c:v>
                </c:pt>
                <c:pt idx="46">
                  <c:v>-350</c:v>
                </c:pt>
                <c:pt idx="47">
                  <c:v>-350</c:v>
                </c:pt>
                <c:pt idx="48">
                  <c:v>-350</c:v>
                </c:pt>
                <c:pt idx="49">
                  <c:v>-350</c:v>
                </c:pt>
              </c:numCache>
            </c:numRef>
          </c:yVal>
        </c:ser>
        <c:ser>
          <c:idx val="3"/>
          <c:order val="3"/>
          <c:tx>
            <c:v>Thep b1-2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Cot!$AM$3:$AM$52</c:f>
              <c:numCache>
                <c:formatCode>General</c:formatCode>
                <c:ptCount val="50"/>
                <c:pt idx="0">
                  <c:v>-450</c:v>
                </c:pt>
                <c:pt idx="1">
                  <c:v>-300</c:v>
                </c:pt>
                <c:pt idx="2">
                  <c:v>-150</c:v>
                </c:pt>
                <c:pt idx="3">
                  <c:v>0</c:v>
                </c:pt>
                <c:pt idx="4">
                  <c:v>150</c:v>
                </c:pt>
                <c:pt idx="5">
                  <c:v>300</c:v>
                </c:pt>
                <c:pt idx="6">
                  <c:v>450</c:v>
                </c:pt>
                <c:pt idx="7">
                  <c:v>450</c:v>
                </c:pt>
                <c:pt idx="8">
                  <c:v>450</c:v>
                </c:pt>
                <c:pt idx="9">
                  <c:v>450</c:v>
                </c:pt>
                <c:pt idx="10">
                  <c:v>450</c:v>
                </c:pt>
                <c:pt idx="11">
                  <c:v>450</c:v>
                </c:pt>
                <c:pt idx="12">
                  <c:v>450</c:v>
                </c:pt>
                <c:pt idx="13">
                  <c:v>450</c:v>
                </c:pt>
                <c:pt idx="14">
                  <c:v>450</c:v>
                </c:pt>
                <c:pt idx="15">
                  <c:v>450</c:v>
                </c:pt>
                <c:pt idx="16">
                  <c:v>450</c:v>
                </c:pt>
                <c:pt idx="17">
                  <c:v>450</c:v>
                </c:pt>
                <c:pt idx="18">
                  <c:v>450</c:v>
                </c:pt>
                <c:pt idx="19">
                  <c:v>450</c:v>
                </c:pt>
                <c:pt idx="20">
                  <c:v>450</c:v>
                </c:pt>
                <c:pt idx="21">
                  <c:v>450</c:v>
                </c:pt>
                <c:pt idx="22">
                  <c:v>450</c:v>
                </c:pt>
                <c:pt idx="23">
                  <c:v>450</c:v>
                </c:pt>
                <c:pt idx="24">
                  <c:v>450</c:v>
                </c:pt>
                <c:pt idx="25">
                  <c:v>450</c:v>
                </c:pt>
                <c:pt idx="26">
                  <c:v>450</c:v>
                </c:pt>
                <c:pt idx="27">
                  <c:v>450</c:v>
                </c:pt>
                <c:pt idx="28">
                  <c:v>450</c:v>
                </c:pt>
                <c:pt idx="29">
                  <c:v>450</c:v>
                </c:pt>
                <c:pt idx="30">
                  <c:v>450</c:v>
                </c:pt>
                <c:pt idx="31">
                  <c:v>450</c:v>
                </c:pt>
                <c:pt idx="32">
                  <c:v>450</c:v>
                </c:pt>
                <c:pt idx="33">
                  <c:v>450</c:v>
                </c:pt>
                <c:pt idx="34">
                  <c:v>450</c:v>
                </c:pt>
                <c:pt idx="35">
                  <c:v>450</c:v>
                </c:pt>
                <c:pt idx="36">
                  <c:v>450</c:v>
                </c:pt>
                <c:pt idx="37">
                  <c:v>450</c:v>
                </c:pt>
                <c:pt idx="38">
                  <c:v>450</c:v>
                </c:pt>
                <c:pt idx="39">
                  <c:v>450</c:v>
                </c:pt>
                <c:pt idx="40">
                  <c:v>450</c:v>
                </c:pt>
                <c:pt idx="41">
                  <c:v>450</c:v>
                </c:pt>
                <c:pt idx="42">
                  <c:v>450</c:v>
                </c:pt>
                <c:pt idx="43">
                  <c:v>450</c:v>
                </c:pt>
                <c:pt idx="44">
                  <c:v>450</c:v>
                </c:pt>
                <c:pt idx="45">
                  <c:v>450</c:v>
                </c:pt>
                <c:pt idx="46">
                  <c:v>450</c:v>
                </c:pt>
                <c:pt idx="47">
                  <c:v>450</c:v>
                </c:pt>
                <c:pt idx="48">
                  <c:v>450</c:v>
                </c:pt>
                <c:pt idx="49">
                  <c:v>450</c:v>
                </c:pt>
              </c:numCache>
            </c:numRef>
          </c:xVal>
          <c:yVal>
            <c:numRef>
              <c:f>Cot!$AO$3:$AO$52</c:f>
              <c:numCache>
                <c:formatCode>General</c:formatCode>
                <c:ptCount val="50"/>
                <c:pt idx="0">
                  <c:v>350</c:v>
                </c:pt>
                <c:pt idx="1">
                  <c:v>350</c:v>
                </c:pt>
                <c:pt idx="2">
                  <c:v>350</c:v>
                </c:pt>
                <c:pt idx="3">
                  <c:v>350</c:v>
                </c:pt>
                <c:pt idx="4">
                  <c:v>350</c:v>
                </c:pt>
                <c:pt idx="5">
                  <c:v>350</c:v>
                </c:pt>
                <c:pt idx="6">
                  <c:v>350</c:v>
                </c:pt>
                <c:pt idx="7">
                  <c:v>350</c:v>
                </c:pt>
                <c:pt idx="8">
                  <c:v>350</c:v>
                </c:pt>
                <c:pt idx="9">
                  <c:v>350</c:v>
                </c:pt>
                <c:pt idx="10">
                  <c:v>350</c:v>
                </c:pt>
                <c:pt idx="11">
                  <c:v>350</c:v>
                </c:pt>
                <c:pt idx="12">
                  <c:v>350</c:v>
                </c:pt>
                <c:pt idx="13">
                  <c:v>350</c:v>
                </c:pt>
                <c:pt idx="14">
                  <c:v>350</c:v>
                </c:pt>
                <c:pt idx="15">
                  <c:v>350</c:v>
                </c:pt>
                <c:pt idx="16">
                  <c:v>350</c:v>
                </c:pt>
                <c:pt idx="17">
                  <c:v>350</c:v>
                </c:pt>
                <c:pt idx="18">
                  <c:v>350</c:v>
                </c:pt>
                <c:pt idx="19">
                  <c:v>350</c:v>
                </c:pt>
                <c:pt idx="20">
                  <c:v>350</c:v>
                </c:pt>
                <c:pt idx="21">
                  <c:v>350</c:v>
                </c:pt>
                <c:pt idx="22">
                  <c:v>350</c:v>
                </c:pt>
                <c:pt idx="23">
                  <c:v>350</c:v>
                </c:pt>
                <c:pt idx="24">
                  <c:v>350</c:v>
                </c:pt>
                <c:pt idx="25">
                  <c:v>350</c:v>
                </c:pt>
                <c:pt idx="26">
                  <c:v>350</c:v>
                </c:pt>
                <c:pt idx="27">
                  <c:v>350</c:v>
                </c:pt>
                <c:pt idx="28">
                  <c:v>350</c:v>
                </c:pt>
                <c:pt idx="29">
                  <c:v>350</c:v>
                </c:pt>
                <c:pt idx="30">
                  <c:v>350</c:v>
                </c:pt>
                <c:pt idx="31">
                  <c:v>350</c:v>
                </c:pt>
                <c:pt idx="32">
                  <c:v>350</c:v>
                </c:pt>
                <c:pt idx="33">
                  <c:v>350</c:v>
                </c:pt>
                <c:pt idx="34">
                  <c:v>350</c:v>
                </c:pt>
                <c:pt idx="35">
                  <c:v>350</c:v>
                </c:pt>
                <c:pt idx="36">
                  <c:v>350</c:v>
                </c:pt>
                <c:pt idx="37">
                  <c:v>350</c:v>
                </c:pt>
                <c:pt idx="38">
                  <c:v>350</c:v>
                </c:pt>
                <c:pt idx="39">
                  <c:v>350</c:v>
                </c:pt>
                <c:pt idx="40">
                  <c:v>350</c:v>
                </c:pt>
                <c:pt idx="41">
                  <c:v>350</c:v>
                </c:pt>
                <c:pt idx="42">
                  <c:v>350</c:v>
                </c:pt>
                <c:pt idx="43">
                  <c:v>350</c:v>
                </c:pt>
                <c:pt idx="44">
                  <c:v>350</c:v>
                </c:pt>
                <c:pt idx="45">
                  <c:v>350</c:v>
                </c:pt>
                <c:pt idx="46">
                  <c:v>350</c:v>
                </c:pt>
                <c:pt idx="47">
                  <c:v>350</c:v>
                </c:pt>
                <c:pt idx="48">
                  <c:v>350</c:v>
                </c:pt>
                <c:pt idx="49">
                  <c:v>350</c:v>
                </c:pt>
              </c:numCache>
            </c:numRef>
          </c:yVal>
        </c:ser>
        <c:ser>
          <c:idx val="4"/>
          <c:order val="4"/>
          <c:tx>
            <c:v>Thep h1-1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Cot!$AP$3:$AP$52</c:f>
              <c:numCache>
                <c:formatCode>General</c:formatCode>
                <c:ptCount val="50"/>
                <c:pt idx="0">
                  <c:v>-450</c:v>
                </c:pt>
                <c:pt idx="1">
                  <c:v>-450</c:v>
                </c:pt>
                <c:pt idx="2">
                  <c:v>-450</c:v>
                </c:pt>
                <c:pt idx="3">
                  <c:v>-450</c:v>
                </c:pt>
                <c:pt idx="4">
                  <c:v>-450</c:v>
                </c:pt>
                <c:pt idx="5">
                  <c:v>-450</c:v>
                </c:pt>
                <c:pt idx="6">
                  <c:v>-450</c:v>
                </c:pt>
                <c:pt idx="7">
                  <c:v>-450</c:v>
                </c:pt>
                <c:pt idx="8">
                  <c:v>-450</c:v>
                </c:pt>
                <c:pt idx="9">
                  <c:v>-450</c:v>
                </c:pt>
                <c:pt idx="10">
                  <c:v>-450</c:v>
                </c:pt>
                <c:pt idx="11">
                  <c:v>-450</c:v>
                </c:pt>
                <c:pt idx="12">
                  <c:v>-450</c:v>
                </c:pt>
                <c:pt idx="13">
                  <c:v>-450</c:v>
                </c:pt>
                <c:pt idx="14">
                  <c:v>-450</c:v>
                </c:pt>
                <c:pt idx="15">
                  <c:v>-450</c:v>
                </c:pt>
                <c:pt idx="16">
                  <c:v>-450</c:v>
                </c:pt>
                <c:pt idx="17">
                  <c:v>-450</c:v>
                </c:pt>
                <c:pt idx="18">
                  <c:v>-450</c:v>
                </c:pt>
                <c:pt idx="19">
                  <c:v>-450</c:v>
                </c:pt>
                <c:pt idx="20">
                  <c:v>-450</c:v>
                </c:pt>
                <c:pt idx="21">
                  <c:v>-450</c:v>
                </c:pt>
                <c:pt idx="22">
                  <c:v>-450</c:v>
                </c:pt>
                <c:pt idx="23">
                  <c:v>-450</c:v>
                </c:pt>
                <c:pt idx="24">
                  <c:v>-450</c:v>
                </c:pt>
                <c:pt idx="25">
                  <c:v>-450</c:v>
                </c:pt>
                <c:pt idx="26">
                  <c:v>-450</c:v>
                </c:pt>
                <c:pt idx="27">
                  <c:v>-450</c:v>
                </c:pt>
                <c:pt idx="28">
                  <c:v>-450</c:v>
                </c:pt>
                <c:pt idx="29">
                  <c:v>-450</c:v>
                </c:pt>
                <c:pt idx="30">
                  <c:v>-450</c:v>
                </c:pt>
                <c:pt idx="31">
                  <c:v>-450</c:v>
                </c:pt>
                <c:pt idx="32">
                  <c:v>-450</c:v>
                </c:pt>
                <c:pt idx="33">
                  <c:v>-450</c:v>
                </c:pt>
                <c:pt idx="34">
                  <c:v>-450</c:v>
                </c:pt>
                <c:pt idx="35">
                  <c:v>-450</c:v>
                </c:pt>
                <c:pt idx="36">
                  <c:v>-450</c:v>
                </c:pt>
                <c:pt idx="37">
                  <c:v>-450</c:v>
                </c:pt>
                <c:pt idx="38">
                  <c:v>-450</c:v>
                </c:pt>
                <c:pt idx="39">
                  <c:v>-450</c:v>
                </c:pt>
                <c:pt idx="40">
                  <c:v>-450</c:v>
                </c:pt>
                <c:pt idx="41">
                  <c:v>-450</c:v>
                </c:pt>
                <c:pt idx="42">
                  <c:v>-450</c:v>
                </c:pt>
                <c:pt idx="43">
                  <c:v>-450</c:v>
                </c:pt>
                <c:pt idx="44">
                  <c:v>-450</c:v>
                </c:pt>
                <c:pt idx="45">
                  <c:v>-450</c:v>
                </c:pt>
                <c:pt idx="46">
                  <c:v>-450</c:v>
                </c:pt>
                <c:pt idx="47">
                  <c:v>-450</c:v>
                </c:pt>
                <c:pt idx="48">
                  <c:v>-450</c:v>
                </c:pt>
                <c:pt idx="49">
                  <c:v>-450</c:v>
                </c:pt>
              </c:numCache>
            </c:numRef>
          </c:xVal>
          <c:yVal>
            <c:numRef>
              <c:f>Cot!$AQ$3:$AQ$52</c:f>
              <c:numCache>
                <c:formatCode>General</c:formatCode>
                <c:ptCount val="50"/>
                <c:pt idx="0">
                  <c:v>-350</c:v>
                </c:pt>
                <c:pt idx="1">
                  <c:v>-233.33333333333331</c:v>
                </c:pt>
                <c:pt idx="2">
                  <c:v>-116.66666666666664</c:v>
                </c:pt>
                <c:pt idx="3">
                  <c:v>2.8421709430404007E-14</c:v>
                </c:pt>
                <c:pt idx="4">
                  <c:v>116.6666666666667</c:v>
                </c:pt>
                <c:pt idx="5">
                  <c:v>233.33333333333337</c:v>
                </c:pt>
                <c:pt idx="6">
                  <c:v>350.00000000000006</c:v>
                </c:pt>
                <c:pt idx="7">
                  <c:v>350.00000000000006</c:v>
                </c:pt>
                <c:pt idx="8">
                  <c:v>350.00000000000006</c:v>
                </c:pt>
                <c:pt idx="9">
                  <c:v>350.00000000000006</c:v>
                </c:pt>
                <c:pt idx="10">
                  <c:v>350.00000000000006</c:v>
                </c:pt>
                <c:pt idx="11">
                  <c:v>350.00000000000006</c:v>
                </c:pt>
                <c:pt idx="12">
                  <c:v>350.00000000000006</c:v>
                </c:pt>
                <c:pt idx="13">
                  <c:v>350.00000000000006</c:v>
                </c:pt>
                <c:pt idx="14">
                  <c:v>350.00000000000006</c:v>
                </c:pt>
                <c:pt idx="15">
                  <c:v>350.00000000000006</c:v>
                </c:pt>
                <c:pt idx="16">
                  <c:v>350.00000000000006</c:v>
                </c:pt>
                <c:pt idx="17">
                  <c:v>350.00000000000006</c:v>
                </c:pt>
                <c:pt idx="18">
                  <c:v>350.00000000000006</c:v>
                </c:pt>
                <c:pt idx="19">
                  <c:v>350.00000000000006</c:v>
                </c:pt>
                <c:pt idx="20">
                  <c:v>350.00000000000006</c:v>
                </c:pt>
                <c:pt idx="21">
                  <c:v>350.00000000000006</c:v>
                </c:pt>
                <c:pt idx="22">
                  <c:v>350.00000000000006</c:v>
                </c:pt>
                <c:pt idx="23">
                  <c:v>350.00000000000006</c:v>
                </c:pt>
                <c:pt idx="24">
                  <c:v>350.00000000000006</c:v>
                </c:pt>
                <c:pt idx="25">
                  <c:v>350.00000000000006</c:v>
                </c:pt>
                <c:pt idx="26">
                  <c:v>350.00000000000006</c:v>
                </c:pt>
                <c:pt idx="27">
                  <c:v>350.00000000000006</c:v>
                </c:pt>
                <c:pt idx="28">
                  <c:v>350.00000000000006</c:v>
                </c:pt>
                <c:pt idx="29">
                  <c:v>350.00000000000006</c:v>
                </c:pt>
                <c:pt idx="30">
                  <c:v>350.00000000000006</c:v>
                </c:pt>
                <c:pt idx="31">
                  <c:v>350.00000000000006</c:v>
                </c:pt>
                <c:pt idx="32">
                  <c:v>350.00000000000006</c:v>
                </c:pt>
                <c:pt idx="33">
                  <c:v>350.00000000000006</c:v>
                </c:pt>
                <c:pt idx="34">
                  <c:v>350.00000000000006</c:v>
                </c:pt>
                <c:pt idx="35">
                  <c:v>350.00000000000006</c:v>
                </c:pt>
                <c:pt idx="36">
                  <c:v>350.00000000000006</c:v>
                </c:pt>
                <c:pt idx="37">
                  <c:v>350.00000000000006</c:v>
                </c:pt>
                <c:pt idx="38">
                  <c:v>350.00000000000006</c:v>
                </c:pt>
                <c:pt idx="39">
                  <c:v>350.00000000000006</c:v>
                </c:pt>
                <c:pt idx="40">
                  <c:v>350.00000000000006</c:v>
                </c:pt>
                <c:pt idx="41">
                  <c:v>350.00000000000006</c:v>
                </c:pt>
                <c:pt idx="42">
                  <c:v>350.00000000000006</c:v>
                </c:pt>
                <c:pt idx="43">
                  <c:v>350.00000000000006</c:v>
                </c:pt>
                <c:pt idx="44">
                  <c:v>350.00000000000006</c:v>
                </c:pt>
                <c:pt idx="45">
                  <c:v>350.00000000000006</c:v>
                </c:pt>
                <c:pt idx="46">
                  <c:v>350.00000000000006</c:v>
                </c:pt>
                <c:pt idx="47">
                  <c:v>350.00000000000006</c:v>
                </c:pt>
                <c:pt idx="48">
                  <c:v>350.00000000000006</c:v>
                </c:pt>
                <c:pt idx="49">
                  <c:v>350.00000000000006</c:v>
                </c:pt>
              </c:numCache>
            </c:numRef>
          </c:yVal>
        </c:ser>
        <c:ser>
          <c:idx val="5"/>
          <c:order val="5"/>
          <c:tx>
            <c:v>Thep h1-2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Cot!$AR$3:$AR$52</c:f>
              <c:numCache>
                <c:formatCode>General</c:formatCode>
                <c:ptCount val="50"/>
                <c:pt idx="0">
                  <c:v>450</c:v>
                </c:pt>
                <c:pt idx="1">
                  <c:v>450</c:v>
                </c:pt>
                <c:pt idx="2">
                  <c:v>450</c:v>
                </c:pt>
                <c:pt idx="3">
                  <c:v>450</c:v>
                </c:pt>
                <c:pt idx="4">
                  <c:v>450</c:v>
                </c:pt>
                <c:pt idx="5">
                  <c:v>450</c:v>
                </c:pt>
                <c:pt idx="6">
                  <c:v>450</c:v>
                </c:pt>
                <c:pt idx="7">
                  <c:v>450</c:v>
                </c:pt>
                <c:pt idx="8">
                  <c:v>450</c:v>
                </c:pt>
                <c:pt idx="9">
                  <c:v>450</c:v>
                </c:pt>
                <c:pt idx="10">
                  <c:v>450</c:v>
                </c:pt>
                <c:pt idx="11">
                  <c:v>450</c:v>
                </c:pt>
                <c:pt idx="12">
                  <c:v>450</c:v>
                </c:pt>
                <c:pt idx="13">
                  <c:v>450</c:v>
                </c:pt>
                <c:pt idx="14">
                  <c:v>450</c:v>
                </c:pt>
                <c:pt idx="15">
                  <c:v>450</c:v>
                </c:pt>
                <c:pt idx="16">
                  <c:v>450</c:v>
                </c:pt>
                <c:pt idx="17">
                  <c:v>450</c:v>
                </c:pt>
                <c:pt idx="18">
                  <c:v>450</c:v>
                </c:pt>
                <c:pt idx="19">
                  <c:v>450</c:v>
                </c:pt>
                <c:pt idx="20">
                  <c:v>450</c:v>
                </c:pt>
                <c:pt idx="21">
                  <c:v>450</c:v>
                </c:pt>
                <c:pt idx="22">
                  <c:v>450</c:v>
                </c:pt>
                <c:pt idx="23">
                  <c:v>450</c:v>
                </c:pt>
                <c:pt idx="24">
                  <c:v>450</c:v>
                </c:pt>
                <c:pt idx="25">
                  <c:v>450</c:v>
                </c:pt>
                <c:pt idx="26">
                  <c:v>450</c:v>
                </c:pt>
                <c:pt idx="27">
                  <c:v>450</c:v>
                </c:pt>
                <c:pt idx="28">
                  <c:v>450</c:v>
                </c:pt>
                <c:pt idx="29">
                  <c:v>450</c:v>
                </c:pt>
                <c:pt idx="30">
                  <c:v>450</c:v>
                </c:pt>
                <c:pt idx="31">
                  <c:v>450</c:v>
                </c:pt>
                <c:pt idx="32">
                  <c:v>450</c:v>
                </c:pt>
                <c:pt idx="33">
                  <c:v>450</c:v>
                </c:pt>
                <c:pt idx="34">
                  <c:v>450</c:v>
                </c:pt>
                <c:pt idx="35">
                  <c:v>450</c:v>
                </c:pt>
                <c:pt idx="36">
                  <c:v>450</c:v>
                </c:pt>
                <c:pt idx="37">
                  <c:v>450</c:v>
                </c:pt>
                <c:pt idx="38">
                  <c:v>450</c:v>
                </c:pt>
                <c:pt idx="39">
                  <c:v>450</c:v>
                </c:pt>
                <c:pt idx="40">
                  <c:v>450</c:v>
                </c:pt>
                <c:pt idx="41">
                  <c:v>450</c:v>
                </c:pt>
                <c:pt idx="42">
                  <c:v>450</c:v>
                </c:pt>
                <c:pt idx="43">
                  <c:v>450</c:v>
                </c:pt>
                <c:pt idx="44">
                  <c:v>450</c:v>
                </c:pt>
                <c:pt idx="45">
                  <c:v>450</c:v>
                </c:pt>
                <c:pt idx="46">
                  <c:v>450</c:v>
                </c:pt>
                <c:pt idx="47">
                  <c:v>450</c:v>
                </c:pt>
                <c:pt idx="48">
                  <c:v>450</c:v>
                </c:pt>
                <c:pt idx="49">
                  <c:v>450</c:v>
                </c:pt>
              </c:numCache>
            </c:numRef>
          </c:xVal>
          <c:yVal>
            <c:numRef>
              <c:f>Cot!$AQ$3:$AQ$52</c:f>
              <c:numCache>
                <c:formatCode>General</c:formatCode>
                <c:ptCount val="50"/>
                <c:pt idx="0">
                  <c:v>-350</c:v>
                </c:pt>
                <c:pt idx="1">
                  <c:v>-233.33333333333331</c:v>
                </c:pt>
                <c:pt idx="2">
                  <c:v>-116.66666666666664</c:v>
                </c:pt>
                <c:pt idx="3">
                  <c:v>2.8421709430404007E-14</c:v>
                </c:pt>
                <c:pt idx="4">
                  <c:v>116.6666666666667</c:v>
                </c:pt>
                <c:pt idx="5">
                  <c:v>233.33333333333337</c:v>
                </c:pt>
                <c:pt idx="6">
                  <c:v>350.00000000000006</c:v>
                </c:pt>
                <c:pt idx="7">
                  <c:v>350.00000000000006</c:v>
                </c:pt>
                <c:pt idx="8">
                  <c:v>350.00000000000006</c:v>
                </c:pt>
                <c:pt idx="9">
                  <c:v>350.00000000000006</c:v>
                </c:pt>
                <c:pt idx="10">
                  <c:v>350.00000000000006</c:v>
                </c:pt>
                <c:pt idx="11">
                  <c:v>350.00000000000006</c:v>
                </c:pt>
                <c:pt idx="12">
                  <c:v>350.00000000000006</c:v>
                </c:pt>
                <c:pt idx="13">
                  <c:v>350.00000000000006</c:v>
                </c:pt>
                <c:pt idx="14">
                  <c:v>350.00000000000006</c:v>
                </c:pt>
                <c:pt idx="15">
                  <c:v>350.00000000000006</c:v>
                </c:pt>
                <c:pt idx="16">
                  <c:v>350.00000000000006</c:v>
                </c:pt>
                <c:pt idx="17">
                  <c:v>350.00000000000006</c:v>
                </c:pt>
                <c:pt idx="18">
                  <c:v>350.00000000000006</c:v>
                </c:pt>
                <c:pt idx="19">
                  <c:v>350.00000000000006</c:v>
                </c:pt>
                <c:pt idx="20">
                  <c:v>350.00000000000006</c:v>
                </c:pt>
                <c:pt idx="21">
                  <c:v>350.00000000000006</c:v>
                </c:pt>
                <c:pt idx="22">
                  <c:v>350.00000000000006</c:v>
                </c:pt>
                <c:pt idx="23">
                  <c:v>350.00000000000006</c:v>
                </c:pt>
                <c:pt idx="24">
                  <c:v>350.00000000000006</c:v>
                </c:pt>
                <c:pt idx="25">
                  <c:v>350.00000000000006</c:v>
                </c:pt>
                <c:pt idx="26">
                  <c:v>350.00000000000006</c:v>
                </c:pt>
                <c:pt idx="27">
                  <c:v>350.00000000000006</c:v>
                </c:pt>
                <c:pt idx="28">
                  <c:v>350.00000000000006</c:v>
                </c:pt>
                <c:pt idx="29">
                  <c:v>350.00000000000006</c:v>
                </c:pt>
                <c:pt idx="30">
                  <c:v>350.00000000000006</c:v>
                </c:pt>
                <c:pt idx="31">
                  <c:v>350.00000000000006</c:v>
                </c:pt>
                <c:pt idx="32">
                  <c:v>350.00000000000006</c:v>
                </c:pt>
                <c:pt idx="33">
                  <c:v>350.00000000000006</c:v>
                </c:pt>
                <c:pt idx="34">
                  <c:v>350.00000000000006</c:v>
                </c:pt>
                <c:pt idx="35">
                  <c:v>350.00000000000006</c:v>
                </c:pt>
                <c:pt idx="36">
                  <c:v>350.00000000000006</c:v>
                </c:pt>
                <c:pt idx="37">
                  <c:v>350.00000000000006</c:v>
                </c:pt>
                <c:pt idx="38">
                  <c:v>350.00000000000006</c:v>
                </c:pt>
                <c:pt idx="39">
                  <c:v>350.00000000000006</c:v>
                </c:pt>
                <c:pt idx="40">
                  <c:v>350.00000000000006</c:v>
                </c:pt>
                <c:pt idx="41">
                  <c:v>350.00000000000006</c:v>
                </c:pt>
                <c:pt idx="42">
                  <c:v>350.00000000000006</c:v>
                </c:pt>
                <c:pt idx="43">
                  <c:v>350.00000000000006</c:v>
                </c:pt>
                <c:pt idx="44">
                  <c:v>350.00000000000006</c:v>
                </c:pt>
                <c:pt idx="45">
                  <c:v>350.00000000000006</c:v>
                </c:pt>
                <c:pt idx="46">
                  <c:v>350.00000000000006</c:v>
                </c:pt>
                <c:pt idx="47">
                  <c:v>350.00000000000006</c:v>
                </c:pt>
                <c:pt idx="48">
                  <c:v>350.00000000000006</c:v>
                </c:pt>
                <c:pt idx="49">
                  <c:v>350.00000000000006</c:v>
                </c:pt>
              </c:numCache>
            </c:numRef>
          </c:yVal>
        </c:ser>
        <c:ser>
          <c:idx val="6"/>
          <c:order val="6"/>
          <c:tx>
            <c:v>Thep b2-1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Cot!$AS$3:$AS$52</c:f>
              <c:numCache>
                <c:formatCode>General</c:formatCode>
                <c:ptCount val="50"/>
                <c:pt idx="0">
                  <c:v>0</c:v>
                </c:pt>
                <c:pt idx="1">
                  <c:v>-300</c:v>
                </c:pt>
                <c:pt idx="2">
                  <c:v>-150</c:v>
                </c:pt>
                <c:pt idx="3">
                  <c:v>-150</c:v>
                </c:pt>
                <c:pt idx="4">
                  <c:v>-150</c:v>
                </c:pt>
                <c:pt idx="5">
                  <c:v>-150</c:v>
                </c:pt>
                <c:pt idx="6">
                  <c:v>-150</c:v>
                </c:pt>
                <c:pt idx="7">
                  <c:v>-150</c:v>
                </c:pt>
                <c:pt idx="8">
                  <c:v>-150</c:v>
                </c:pt>
                <c:pt idx="9">
                  <c:v>-150</c:v>
                </c:pt>
                <c:pt idx="10">
                  <c:v>-150</c:v>
                </c:pt>
                <c:pt idx="11">
                  <c:v>-150</c:v>
                </c:pt>
                <c:pt idx="12">
                  <c:v>-150</c:v>
                </c:pt>
                <c:pt idx="13">
                  <c:v>-150</c:v>
                </c:pt>
                <c:pt idx="14">
                  <c:v>-150</c:v>
                </c:pt>
                <c:pt idx="15">
                  <c:v>-150</c:v>
                </c:pt>
                <c:pt idx="16">
                  <c:v>-150</c:v>
                </c:pt>
                <c:pt idx="17">
                  <c:v>-150</c:v>
                </c:pt>
                <c:pt idx="18">
                  <c:v>-150</c:v>
                </c:pt>
                <c:pt idx="19">
                  <c:v>-150</c:v>
                </c:pt>
                <c:pt idx="20">
                  <c:v>-150</c:v>
                </c:pt>
                <c:pt idx="21">
                  <c:v>-150</c:v>
                </c:pt>
                <c:pt idx="22">
                  <c:v>-150</c:v>
                </c:pt>
                <c:pt idx="23">
                  <c:v>-150</c:v>
                </c:pt>
                <c:pt idx="24">
                  <c:v>300</c:v>
                </c:pt>
                <c:pt idx="25">
                  <c:v>150</c:v>
                </c:pt>
                <c:pt idx="26">
                  <c:v>150</c:v>
                </c:pt>
                <c:pt idx="27">
                  <c:v>150</c:v>
                </c:pt>
                <c:pt idx="28">
                  <c:v>150</c:v>
                </c:pt>
                <c:pt idx="29">
                  <c:v>150</c:v>
                </c:pt>
                <c:pt idx="30">
                  <c:v>150</c:v>
                </c:pt>
                <c:pt idx="31">
                  <c:v>150</c:v>
                </c:pt>
                <c:pt idx="32">
                  <c:v>150</c:v>
                </c:pt>
                <c:pt idx="33">
                  <c:v>150</c:v>
                </c:pt>
                <c:pt idx="34">
                  <c:v>150</c:v>
                </c:pt>
                <c:pt idx="35">
                  <c:v>150</c:v>
                </c:pt>
                <c:pt idx="36">
                  <c:v>150</c:v>
                </c:pt>
                <c:pt idx="37">
                  <c:v>150</c:v>
                </c:pt>
                <c:pt idx="38">
                  <c:v>150</c:v>
                </c:pt>
                <c:pt idx="39">
                  <c:v>150</c:v>
                </c:pt>
                <c:pt idx="40">
                  <c:v>150</c:v>
                </c:pt>
                <c:pt idx="41">
                  <c:v>150</c:v>
                </c:pt>
                <c:pt idx="42">
                  <c:v>150</c:v>
                </c:pt>
                <c:pt idx="43">
                  <c:v>150</c:v>
                </c:pt>
                <c:pt idx="44">
                  <c:v>150</c:v>
                </c:pt>
                <c:pt idx="45">
                  <c:v>150</c:v>
                </c:pt>
                <c:pt idx="46">
                  <c:v>150</c:v>
                </c:pt>
                <c:pt idx="47">
                  <c:v>-300</c:v>
                </c:pt>
                <c:pt idx="48">
                  <c:v>-150</c:v>
                </c:pt>
                <c:pt idx="49">
                  <c:v>-150</c:v>
                </c:pt>
              </c:numCache>
            </c:numRef>
          </c:xVal>
          <c:yVal>
            <c:numRef>
              <c:f>Cot!$AT$3:$AT$52</c:f>
              <c:numCache>
                <c:formatCode>General</c:formatCode>
                <c:ptCount val="50"/>
                <c:pt idx="0">
                  <c:v>-233.33333333333331</c:v>
                </c:pt>
                <c:pt idx="1">
                  <c:v>-233.33333333333331</c:v>
                </c:pt>
                <c:pt idx="2">
                  <c:v>-233.33333333333331</c:v>
                </c:pt>
                <c:pt idx="3">
                  <c:v>-233.33333333333331</c:v>
                </c:pt>
                <c:pt idx="4">
                  <c:v>-233.33333333333331</c:v>
                </c:pt>
                <c:pt idx="5">
                  <c:v>-233.33333333333331</c:v>
                </c:pt>
                <c:pt idx="6">
                  <c:v>-233.33333333333331</c:v>
                </c:pt>
                <c:pt idx="7">
                  <c:v>-233.33333333333331</c:v>
                </c:pt>
                <c:pt idx="8">
                  <c:v>-233.33333333333331</c:v>
                </c:pt>
                <c:pt idx="9">
                  <c:v>-233.33333333333331</c:v>
                </c:pt>
                <c:pt idx="10">
                  <c:v>-233.33333333333331</c:v>
                </c:pt>
                <c:pt idx="11">
                  <c:v>-233.33333333333331</c:v>
                </c:pt>
                <c:pt idx="12">
                  <c:v>-233.33333333333331</c:v>
                </c:pt>
                <c:pt idx="13">
                  <c:v>-233.33333333333331</c:v>
                </c:pt>
                <c:pt idx="14">
                  <c:v>-233.33333333333331</c:v>
                </c:pt>
                <c:pt idx="15">
                  <c:v>-233.33333333333331</c:v>
                </c:pt>
                <c:pt idx="16">
                  <c:v>-233.33333333333331</c:v>
                </c:pt>
                <c:pt idx="17">
                  <c:v>-233.33333333333331</c:v>
                </c:pt>
                <c:pt idx="18">
                  <c:v>-233.33333333333331</c:v>
                </c:pt>
                <c:pt idx="19">
                  <c:v>-233.33333333333331</c:v>
                </c:pt>
                <c:pt idx="20">
                  <c:v>-233.33333333333331</c:v>
                </c:pt>
                <c:pt idx="21">
                  <c:v>-233.33333333333331</c:v>
                </c:pt>
                <c:pt idx="22">
                  <c:v>-233.33333333333331</c:v>
                </c:pt>
                <c:pt idx="23">
                  <c:v>-233.33333333333331</c:v>
                </c:pt>
                <c:pt idx="24">
                  <c:v>-233.33333333333331</c:v>
                </c:pt>
                <c:pt idx="25">
                  <c:v>-233.33333333333331</c:v>
                </c:pt>
                <c:pt idx="26">
                  <c:v>-233.33333333333331</c:v>
                </c:pt>
                <c:pt idx="27">
                  <c:v>-233.33333333333331</c:v>
                </c:pt>
                <c:pt idx="28">
                  <c:v>-233.33333333333331</c:v>
                </c:pt>
                <c:pt idx="29">
                  <c:v>-233.33333333333331</c:v>
                </c:pt>
                <c:pt idx="30">
                  <c:v>-233.33333333333331</c:v>
                </c:pt>
                <c:pt idx="31">
                  <c:v>-233.33333333333331</c:v>
                </c:pt>
                <c:pt idx="32">
                  <c:v>-233.33333333333331</c:v>
                </c:pt>
                <c:pt idx="33">
                  <c:v>-233.33333333333331</c:v>
                </c:pt>
                <c:pt idx="34">
                  <c:v>-233.33333333333331</c:v>
                </c:pt>
                <c:pt idx="35">
                  <c:v>-233.33333333333331</c:v>
                </c:pt>
                <c:pt idx="36">
                  <c:v>-233.33333333333331</c:v>
                </c:pt>
                <c:pt idx="37">
                  <c:v>-233.33333333333331</c:v>
                </c:pt>
                <c:pt idx="38">
                  <c:v>-233.33333333333331</c:v>
                </c:pt>
                <c:pt idx="39">
                  <c:v>-233.33333333333331</c:v>
                </c:pt>
                <c:pt idx="40">
                  <c:v>-233.33333333333331</c:v>
                </c:pt>
                <c:pt idx="41">
                  <c:v>-233.33333333333331</c:v>
                </c:pt>
                <c:pt idx="42">
                  <c:v>-233.33333333333331</c:v>
                </c:pt>
                <c:pt idx="43">
                  <c:v>-233.33333333333331</c:v>
                </c:pt>
                <c:pt idx="44">
                  <c:v>-233.33333333333331</c:v>
                </c:pt>
                <c:pt idx="45">
                  <c:v>-233.33333333333331</c:v>
                </c:pt>
                <c:pt idx="46">
                  <c:v>-233.33333333333331</c:v>
                </c:pt>
                <c:pt idx="47">
                  <c:v>-233.33333333333331</c:v>
                </c:pt>
                <c:pt idx="48">
                  <c:v>-233.33333333333331</c:v>
                </c:pt>
                <c:pt idx="49">
                  <c:v>-233.33333333333331</c:v>
                </c:pt>
              </c:numCache>
            </c:numRef>
          </c:yVal>
        </c:ser>
        <c:ser>
          <c:idx val="7"/>
          <c:order val="7"/>
          <c:tx>
            <c:v>Thep b2-2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Cot!$AS$3:$AS$52</c:f>
              <c:numCache>
                <c:formatCode>General</c:formatCode>
                <c:ptCount val="50"/>
                <c:pt idx="0">
                  <c:v>0</c:v>
                </c:pt>
                <c:pt idx="1">
                  <c:v>-300</c:v>
                </c:pt>
                <c:pt idx="2">
                  <c:v>-150</c:v>
                </c:pt>
                <c:pt idx="3">
                  <c:v>-150</c:v>
                </c:pt>
                <c:pt idx="4">
                  <c:v>-150</c:v>
                </c:pt>
                <c:pt idx="5">
                  <c:v>-150</c:v>
                </c:pt>
                <c:pt idx="6">
                  <c:v>-150</c:v>
                </c:pt>
                <c:pt idx="7">
                  <c:v>-150</c:v>
                </c:pt>
                <c:pt idx="8">
                  <c:v>-150</c:v>
                </c:pt>
                <c:pt idx="9">
                  <c:v>-150</c:v>
                </c:pt>
                <c:pt idx="10">
                  <c:v>-150</c:v>
                </c:pt>
                <c:pt idx="11">
                  <c:v>-150</c:v>
                </c:pt>
                <c:pt idx="12">
                  <c:v>-150</c:v>
                </c:pt>
                <c:pt idx="13">
                  <c:v>-150</c:v>
                </c:pt>
                <c:pt idx="14">
                  <c:v>-150</c:v>
                </c:pt>
                <c:pt idx="15">
                  <c:v>-150</c:v>
                </c:pt>
                <c:pt idx="16">
                  <c:v>-150</c:v>
                </c:pt>
                <c:pt idx="17">
                  <c:v>-150</c:v>
                </c:pt>
                <c:pt idx="18">
                  <c:v>-150</c:v>
                </c:pt>
                <c:pt idx="19">
                  <c:v>-150</c:v>
                </c:pt>
                <c:pt idx="20">
                  <c:v>-150</c:v>
                </c:pt>
                <c:pt idx="21">
                  <c:v>-150</c:v>
                </c:pt>
                <c:pt idx="22">
                  <c:v>-150</c:v>
                </c:pt>
                <c:pt idx="23">
                  <c:v>-150</c:v>
                </c:pt>
                <c:pt idx="24">
                  <c:v>300</c:v>
                </c:pt>
                <c:pt idx="25">
                  <c:v>150</c:v>
                </c:pt>
                <c:pt idx="26">
                  <c:v>150</c:v>
                </c:pt>
                <c:pt idx="27">
                  <c:v>150</c:v>
                </c:pt>
                <c:pt idx="28">
                  <c:v>150</c:v>
                </c:pt>
                <c:pt idx="29">
                  <c:v>150</c:v>
                </c:pt>
                <c:pt idx="30">
                  <c:v>150</c:v>
                </c:pt>
                <c:pt idx="31">
                  <c:v>150</c:v>
                </c:pt>
                <c:pt idx="32">
                  <c:v>150</c:v>
                </c:pt>
                <c:pt idx="33">
                  <c:v>150</c:v>
                </c:pt>
                <c:pt idx="34">
                  <c:v>150</c:v>
                </c:pt>
                <c:pt idx="35">
                  <c:v>150</c:v>
                </c:pt>
                <c:pt idx="36">
                  <c:v>150</c:v>
                </c:pt>
                <c:pt idx="37">
                  <c:v>150</c:v>
                </c:pt>
                <c:pt idx="38">
                  <c:v>150</c:v>
                </c:pt>
                <c:pt idx="39">
                  <c:v>150</c:v>
                </c:pt>
                <c:pt idx="40">
                  <c:v>150</c:v>
                </c:pt>
                <c:pt idx="41">
                  <c:v>150</c:v>
                </c:pt>
                <c:pt idx="42">
                  <c:v>150</c:v>
                </c:pt>
                <c:pt idx="43">
                  <c:v>150</c:v>
                </c:pt>
                <c:pt idx="44">
                  <c:v>150</c:v>
                </c:pt>
                <c:pt idx="45">
                  <c:v>150</c:v>
                </c:pt>
                <c:pt idx="46">
                  <c:v>150</c:v>
                </c:pt>
                <c:pt idx="47">
                  <c:v>-300</c:v>
                </c:pt>
                <c:pt idx="48">
                  <c:v>-150</c:v>
                </c:pt>
                <c:pt idx="49">
                  <c:v>-150</c:v>
                </c:pt>
              </c:numCache>
            </c:numRef>
          </c:xVal>
          <c:yVal>
            <c:numRef>
              <c:f>Cot!$AU$3:$AU$52</c:f>
              <c:numCache>
                <c:formatCode>General</c:formatCode>
                <c:ptCount val="50"/>
                <c:pt idx="0">
                  <c:v>233.33333333333331</c:v>
                </c:pt>
                <c:pt idx="1">
                  <c:v>233.33333333333331</c:v>
                </c:pt>
                <c:pt idx="2">
                  <c:v>233.33333333333331</c:v>
                </c:pt>
                <c:pt idx="3">
                  <c:v>233.33333333333331</c:v>
                </c:pt>
                <c:pt idx="4">
                  <c:v>233.33333333333331</c:v>
                </c:pt>
                <c:pt idx="5">
                  <c:v>233.33333333333331</c:v>
                </c:pt>
                <c:pt idx="6">
                  <c:v>233.33333333333331</c:v>
                </c:pt>
                <c:pt idx="7">
                  <c:v>233.33333333333331</c:v>
                </c:pt>
                <c:pt idx="8">
                  <c:v>233.33333333333331</c:v>
                </c:pt>
                <c:pt idx="9">
                  <c:v>233.33333333333331</c:v>
                </c:pt>
                <c:pt idx="10">
                  <c:v>233.33333333333331</c:v>
                </c:pt>
                <c:pt idx="11">
                  <c:v>233.33333333333331</c:v>
                </c:pt>
                <c:pt idx="12">
                  <c:v>233.33333333333331</c:v>
                </c:pt>
                <c:pt idx="13">
                  <c:v>233.33333333333331</c:v>
                </c:pt>
                <c:pt idx="14">
                  <c:v>233.33333333333331</c:v>
                </c:pt>
                <c:pt idx="15">
                  <c:v>233.33333333333331</c:v>
                </c:pt>
                <c:pt idx="16">
                  <c:v>233.33333333333331</c:v>
                </c:pt>
                <c:pt idx="17">
                  <c:v>233.33333333333331</c:v>
                </c:pt>
                <c:pt idx="18">
                  <c:v>233.33333333333331</c:v>
                </c:pt>
                <c:pt idx="19">
                  <c:v>233.33333333333331</c:v>
                </c:pt>
                <c:pt idx="20">
                  <c:v>233.33333333333331</c:v>
                </c:pt>
                <c:pt idx="21">
                  <c:v>233.33333333333331</c:v>
                </c:pt>
                <c:pt idx="22">
                  <c:v>233.33333333333331</c:v>
                </c:pt>
                <c:pt idx="23">
                  <c:v>233.33333333333331</c:v>
                </c:pt>
                <c:pt idx="24">
                  <c:v>233.33333333333331</c:v>
                </c:pt>
                <c:pt idx="25">
                  <c:v>233.33333333333331</c:v>
                </c:pt>
                <c:pt idx="26">
                  <c:v>233.33333333333331</c:v>
                </c:pt>
                <c:pt idx="27">
                  <c:v>233.33333333333331</c:v>
                </c:pt>
                <c:pt idx="28">
                  <c:v>233.33333333333331</c:v>
                </c:pt>
                <c:pt idx="29">
                  <c:v>233.33333333333331</c:v>
                </c:pt>
                <c:pt idx="30">
                  <c:v>233.33333333333331</c:v>
                </c:pt>
                <c:pt idx="31">
                  <c:v>233.33333333333331</c:v>
                </c:pt>
                <c:pt idx="32">
                  <c:v>233.33333333333331</c:v>
                </c:pt>
                <c:pt idx="33">
                  <c:v>233.33333333333331</c:v>
                </c:pt>
                <c:pt idx="34">
                  <c:v>233.33333333333331</c:v>
                </c:pt>
                <c:pt idx="35">
                  <c:v>233.33333333333331</c:v>
                </c:pt>
                <c:pt idx="36">
                  <c:v>233.33333333333331</c:v>
                </c:pt>
                <c:pt idx="37">
                  <c:v>233.33333333333331</c:v>
                </c:pt>
                <c:pt idx="38">
                  <c:v>233.33333333333331</c:v>
                </c:pt>
                <c:pt idx="39">
                  <c:v>233.33333333333331</c:v>
                </c:pt>
                <c:pt idx="40">
                  <c:v>233.33333333333331</c:v>
                </c:pt>
                <c:pt idx="41">
                  <c:v>233.33333333333331</c:v>
                </c:pt>
                <c:pt idx="42">
                  <c:v>233.33333333333331</c:v>
                </c:pt>
                <c:pt idx="43">
                  <c:v>233.33333333333331</c:v>
                </c:pt>
                <c:pt idx="44">
                  <c:v>233.33333333333331</c:v>
                </c:pt>
                <c:pt idx="45">
                  <c:v>233.33333333333331</c:v>
                </c:pt>
                <c:pt idx="46">
                  <c:v>233.33333333333331</c:v>
                </c:pt>
                <c:pt idx="47">
                  <c:v>233.33333333333331</c:v>
                </c:pt>
                <c:pt idx="48">
                  <c:v>233.33333333333331</c:v>
                </c:pt>
                <c:pt idx="49">
                  <c:v>233.33333333333331</c:v>
                </c:pt>
              </c:numCache>
            </c:numRef>
          </c:yVal>
        </c:ser>
        <c:ser>
          <c:idx val="8"/>
          <c:order val="8"/>
          <c:tx>
            <c:v>Thep h2-1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Cot!$AV$3:$AV$52</c:f>
              <c:numCache>
                <c:formatCode>General</c:formatCode>
                <c:ptCount val="50"/>
                <c:pt idx="0">
                  <c:v>-300</c:v>
                </c:pt>
                <c:pt idx="1">
                  <c:v>-300</c:v>
                </c:pt>
                <c:pt idx="2">
                  <c:v>-300</c:v>
                </c:pt>
                <c:pt idx="3">
                  <c:v>-300</c:v>
                </c:pt>
                <c:pt idx="4">
                  <c:v>-300</c:v>
                </c:pt>
                <c:pt idx="5">
                  <c:v>-300</c:v>
                </c:pt>
                <c:pt idx="6">
                  <c:v>-300</c:v>
                </c:pt>
                <c:pt idx="7">
                  <c:v>-300</c:v>
                </c:pt>
                <c:pt idx="8">
                  <c:v>-300</c:v>
                </c:pt>
                <c:pt idx="9">
                  <c:v>-300</c:v>
                </c:pt>
                <c:pt idx="10">
                  <c:v>-300</c:v>
                </c:pt>
                <c:pt idx="11">
                  <c:v>-300</c:v>
                </c:pt>
                <c:pt idx="12">
                  <c:v>-300</c:v>
                </c:pt>
                <c:pt idx="13">
                  <c:v>-300</c:v>
                </c:pt>
                <c:pt idx="14">
                  <c:v>-300</c:v>
                </c:pt>
                <c:pt idx="15">
                  <c:v>-300</c:v>
                </c:pt>
                <c:pt idx="16">
                  <c:v>-300</c:v>
                </c:pt>
                <c:pt idx="17">
                  <c:v>-300</c:v>
                </c:pt>
                <c:pt idx="18">
                  <c:v>-300</c:v>
                </c:pt>
                <c:pt idx="19">
                  <c:v>-300</c:v>
                </c:pt>
                <c:pt idx="20">
                  <c:v>-300</c:v>
                </c:pt>
                <c:pt idx="21">
                  <c:v>-300</c:v>
                </c:pt>
                <c:pt idx="22">
                  <c:v>-300</c:v>
                </c:pt>
                <c:pt idx="23">
                  <c:v>-300</c:v>
                </c:pt>
                <c:pt idx="24">
                  <c:v>-300</c:v>
                </c:pt>
                <c:pt idx="25">
                  <c:v>-300</c:v>
                </c:pt>
                <c:pt idx="26">
                  <c:v>-300</c:v>
                </c:pt>
                <c:pt idx="27">
                  <c:v>-300</c:v>
                </c:pt>
                <c:pt idx="28">
                  <c:v>-300</c:v>
                </c:pt>
                <c:pt idx="29">
                  <c:v>-300</c:v>
                </c:pt>
                <c:pt idx="30">
                  <c:v>-300</c:v>
                </c:pt>
                <c:pt idx="31">
                  <c:v>-300</c:v>
                </c:pt>
                <c:pt idx="32">
                  <c:v>-300</c:v>
                </c:pt>
                <c:pt idx="33">
                  <c:v>-300</c:v>
                </c:pt>
                <c:pt idx="34">
                  <c:v>-300</c:v>
                </c:pt>
                <c:pt idx="35">
                  <c:v>-300</c:v>
                </c:pt>
                <c:pt idx="36">
                  <c:v>-300</c:v>
                </c:pt>
                <c:pt idx="37">
                  <c:v>-300</c:v>
                </c:pt>
                <c:pt idx="38">
                  <c:v>-300</c:v>
                </c:pt>
                <c:pt idx="39">
                  <c:v>-300</c:v>
                </c:pt>
                <c:pt idx="40">
                  <c:v>-300</c:v>
                </c:pt>
                <c:pt idx="41">
                  <c:v>-300</c:v>
                </c:pt>
                <c:pt idx="42">
                  <c:v>-300</c:v>
                </c:pt>
                <c:pt idx="43">
                  <c:v>-300</c:v>
                </c:pt>
                <c:pt idx="44">
                  <c:v>-300</c:v>
                </c:pt>
                <c:pt idx="45">
                  <c:v>-300</c:v>
                </c:pt>
                <c:pt idx="46">
                  <c:v>-300</c:v>
                </c:pt>
                <c:pt idx="47">
                  <c:v>-300</c:v>
                </c:pt>
                <c:pt idx="48">
                  <c:v>-300</c:v>
                </c:pt>
                <c:pt idx="49">
                  <c:v>-300</c:v>
                </c:pt>
              </c:numCache>
            </c:numRef>
          </c:xVal>
          <c:yVal>
            <c:numRef>
              <c:f>Cot!$AW$3:$AW$52</c:f>
              <c:numCache>
                <c:formatCode>General</c:formatCode>
                <c:ptCount val="50"/>
                <c:pt idx="0">
                  <c:v>0</c:v>
                </c:pt>
                <c:pt idx="1">
                  <c:v>-116.66666666666664</c:v>
                </c:pt>
                <c:pt idx="2">
                  <c:v>-116.66666666666664</c:v>
                </c:pt>
                <c:pt idx="3">
                  <c:v>-116.66666666666664</c:v>
                </c:pt>
                <c:pt idx="4">
                  <c:v>-116.66666666666664</c:v>
                </c:pt>
                <c:pt idx="5">
                  <c:v>-116.66666666666664</c:v>
                </c:pt>
                <c:pt idx="6">
                  <c:v>-116.66666666666664</c:v>
                </c:pt>
                <c:pt idx="7">
                  <c:v>-116.66666666666664</c:v>
                </c:pt>
                <c:pt idx="8">
                  <c:v>-116.66666666666664</c:v>
                </c:pt>
                <c:pt idx="9">
                  <c:v>-116.66666666666664</c:v>
                </c:pt>
                <c:pt idx="10">
                  <c:v>-116.66666666666664</c:v>
                </c:pt>
                <c:pt idx="11">
                  <c:v>-116.66666666666664</c:v>
                </c:pt>
                <c:pt idx="12">
                  <c:v>-116.66666666666664</c:v>
                </c:pt>
                <c:pt idx="13">
                  <c:v>-116.66666666666664</c:v>
                </c:pt>
                <c:pt idx="14">
                  <c:v>-116.66666666666664</c:v>
                </c:pt>
                <c:pt idx="15">
                  <c:v>-116.66666666666664</c:v>
                </c:pt>
                <c:pt idx="16">
                  <c:v>-116.66666666666664</c:v>
                </c:pt>
                <c:pt idx="17">
                  <c:v>-116.66666666666664</c:v>
                </c:pt>
                <c:pt idx="18">
                  <c:v>-116.66666666666664</c:v>
                </c:pt>
                <c:pt idx="19">
                  <c:v>-116.66666666666664</c:v>
                </c:pt>
                <c:pt idx="20">
                  <c:v>-116.66666666666664</c:v>
                </c:pt>
                <c:pt idx="21">
                  <c:v>-116.66666666666664</c:v>
                </c:pt>
                <c:pt idx="22">
                  <c:v>-116.66666666666664</c:v>
                </c:pt>
                <c:pt idx="23">
                  <c:v>-116.66666666666664</c:v>
                </c:pt>
                <c:pt idx="24">
                  <c:v>116.66666666666664</c:v>
                </c:pt>
                <c:pt idx="25">
                  <c:v>116.66666666666664</c:v>
                </c:pt>
                <c:pt idx="26">
                  <c:v>116.66666666666664</c:v>
                </c:pt>
                <c:pt idx="27">
                  <c:v>116.66666666666664</c:v>
                </c:pt>
                <c:pt idx="28">
                  <c:v>116.66666666666664</c:v>
                </c:pt>
                <c:pt idx="29">
                  <c:v>116.66666666666664</c:v>
                </c:pt>
                <c:pt idx="30">
                  <c:v>116.66666666666664</c:v>
                </c:pt>
                <c:pt idx="31">
                  <c:v>116.66666666666664</c:v>
                </c:pt>
                <c:pt idx="32">
                  <c:v>116.66666666666664</c:v>
                </c:pt>
                <c:pt idx="33">
                  <c:v>116.66666666666664</c:v>
                </c:pt>
                <c:pt idx="34">
                  <c:v>116.66666666666664</c:v>
                </c:pt>
                <c:pt idx="35">
                  <c:v>116.66666666666664</c:v>
                </c:pt>
                <c:pt idx="36">
                  <c:v>116.66666666666664</c:v>
                </c:pt>
                <c:pt idx="37">
                  <c:v>116.66666666666664</c:v>
                </c:pt>
                <c:pt idx="38">
                  <c:v>116.66666666666664</c:v>
                </c:pt>
                <c:pt idx="39">
                  <c:v>116.66666666666664</c:v>
                </c:pt>
                <c:pt idx="40">
                  <c:v>116.66666666666664</c:v>
                </c:pt>
                <c:pt idx="41">
                  <c:v>116.66666666666664</c:v>
                </c:pt>
                <c:pt idx="42">
                  <c:v>116.66666666666664</c:v>
                </c:pt>
                <c:pt idx="43">
                  <c:v>116.66666666666664</c:v>
                </c:pt>
                <c:pt idx="44">
                  <c:v>116.66666666666664</c:v>
                </c:pt>
                <c:pt idx="45">
                  <c:v>116.66666666666664</c:v>
                </c:pt>
                <c:pt idx="46">
                  <c:v>116.66666666666664</c:v>
                </c:pt>
                <c:pt idx="47">
                  <c:v>-116.66666666666664</c:v>
                </c:pt>
                <c:pt idx="48">
                  <c:v>-116.66666666666664</c:v>
                </c:pt>
                <c:pt idx="49">
                  <c:v>-116.66666666666664</c:v>
                </c:pt>
              </c:numCache>
            </c:numRef>
          </c:yVal>
        </c:ser>
        <c:ser>
          <c:idx val="9"/>
          <c:order val="9"/>
          <c:tx>
            <c:v>Thep h2-2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Cot!$AX$3:$AX$52</c:f>
              <c:numCache>
                <c:formatCode>General</c:formatCode>
                <c:ptCount val="50"/>
                <c:pt idx="0">
                  <c:v>300</c:v>
                </c:pt>
                <c:pt idx="1">
                  <c:v>300</c:v>
                </c:pt>
                <c:pt idx="2">
                  <c:v>300</c:v>
                </c:pt>
                <c:pt idx="3">
                  <c:v>300</c:v>
                </c:pt>
                <c:pt idx="4">
                  <c:v>300</c:v>
                </c:pt>
                <c:pt idx="5">
                  <c:v>300</c:v>
                </c:pt>
                <c:pt idx="6">
                  <c:v>300</c:v>
                </c:pt>
                <c:pt idx="7">
                  <c:v>300</c:v>
                </c:pt>
                <c:pt idx="8">
                  <c:v>300</c:v>
                </c:pt>
                <c:pt idx="9">
                  <c:v>300</c:v>
                </c:pt>
                <c:pt idx="10">
                  <c:v>300</c:v>
                </c:pt>
                <c:pt idx="11">
                  <c:v>300</c:v>
                </c:pt>
                <c:pt idx="12">
                  <c:v>300</c:v>
                </c:pt>
                <c:pt idx="13">
                  <c:v>300</c:v>
                </c:pt>
                <c:pt idx="14">
                  <c:v>300</c:v>
                </c:pt>
                <c:pt idx="15">
                  <c:v>300</c:v>
                </c:pt>
                <c:pt idx="16">
                  <c:v>300</c:v>
                </c:pt>
                <c:pt idx="17">
                  <c:v>300</c:v>
                </c:pt>
                <c:pt idx="18">
                  <c:v>300</c:v>
                </c:pt>
                <c:pt idx="19">
                  <c:v>300</c:v>
                </c:pt>
                <c:pt idx="20">
                  <c:v>300</c:v>
                </c:pt>
                <c:pt idx="21">
                  <c:v>300</c:v>
                </c:pt>
                <c:pt idx="22">
                  <c:v>300</c:v>
                </c:pt>
                <c:pt idx="23">
                  <c:v>300</c:v>
                </c:pt>
                <c:pt idx="24">
                  <c:v>300</c:v>
                </c:pt>
                <c:pt idx="25">
                  <c:v>300</c:v>
                </c:pt>
                <c:pt idx="26">
                  <c:v>300</c:v>
                </c:pt>
                <c:pt idx="27">
                  <c:v>300</c:v>
                </c:pt>
                <c:pt idx="28">
                  <c:v>300</c:v>
                </c:pt>
                <c:pt idx="29">
                  <c:v>300</c:v>
                </c:pt>
                <c:pt idx="30">
                  <c:v>300</c:v>
                </c:pt>
                <c:pt idx="31">
                  <c:v>300</c:v>
                </c:pt>
                <c:pt idx="32">
                  <c:v>300</c:v>
                </c:pt>
                <c:pt idx="33">
                  <c:v>300</c:v>
                </c:pt>
                <c:pt idx="34">
                  <c:v>300</c:v>
                </c:pt>
                <c:pt idx="35">
                  <c:v>300</c:v>
                </c:pt>
                <c:pt idx="36">
                  <c:v>300</c:v>
                </c:pt>
                <c:pt idx="37">
                  <c:v>300</c:v>
                </c:pt>
                <c:pt idx="38">
                  <c:v>300</c:v>
                </c:pt>
                <c:pt idx="39">
                  <c:v>300</c:v>
                </c:pt>
                <c:pt idx="40">
                  <c:v>300</c:v>
                </c:pt>
                <c:pt idx="41">
                  <c:v>300</c:v>
                </c:pt>
                <c:pt idx="42">
                  <c:v>300</c:v>
                </c:pt>
                <c:pt idx="43">
                  <c:v>300</c:v>
                </c:pt>
                <c:pt idx="44">
                  <c:v>300</c:v>
                </c:pt>
                <c:pt idx="45">
                  <c:v>300</c:v>
                </c:pt>
                <c:pt idx="46">
                  <c:v>300</c:v>
                </c:pt>
                <c:pt idx="47">
                  <c:v>300</c:v>
                </c:pt>
                <c:pt idx="48">
                  <c:v>300</c:v>
                </c:pt>
                <c:pt idx="49">
                  <c:v>300</c:v>
                </c:pt>
              </c:numCache>
            </c:numRef>
          </c:xVal>
          <c:yVal>
            <c:numRef>
              <c:f>Cot!$AW$3:$AW$52</c:f>
              <c:numCache>
                <c:formatCode>General</c:formatCode>
                <c:ptCount val="50"/>
                <c:pt idx="0">
                  <c:v>0</c:v>
                </c:pt>
                <c:pt idx="1">
                  <c:v>-116.66666666666664</c:v>
                </c:pt>
                <c:pt idx="2">
                  <c:v>-116.66666666666664</c:v>
                </c:pt>
                <c:pt idx="3">
                  <c:v>-116.66666666666664</c:v>
                </c:pt>
                <c:pt idx="4">
                  <c:v>-116.66666666666664</c:v>
                </c:pt>
                <c:pt idx="5">
                  <c:v>-116.66666666666664</c:v>
                </c:pt>
                <c:pt idx="6">
                  <c:v>-116.66666666666664</c:v>
                </c:pt>
                <c:pt idx="7">
                  <c:v>-116.66666666666664</c:v>
                </c:pt>
                <c:pt idx="8">
                  <c:v>-116.66666666666664</c:v>
                </c:pt>
                <c:pt idx="9">
                  <c:v>-116.66666666666664</c:v>
                </c:pt>
                <c:pt idx="10">
                  <c:v>-116.66666666666664</c:v>
                </c:pt>
                <c:pt idx="11">
                  <c:v>-116.66666666666664</c:v>
                </c:pt>
                <c:pt idx="12">
                  <c:v>-116.66666666666664</c:v>
                </c:pt>
                <c:pt idx="13">
                  <c:v>-116.66666666666664</c:v>
                </c:pt>
                <c:pt idx="14">
                  <c:v>-116.66666666666664</c:v>
                </c:pt>
                <c:pt idx="15">
                  <c:v>-116.66666666666664</c:v>
                </c:pt>
                <c:pt idx="16">
                  <c:v>-116.66666666666664</c:v>
                </c:pt>
                <c:pt idx="17">
                  <c:v>-116.66666666666664</c:v>
                </c:pt>
                <c:pt idx="18">
                  <c:v>-116.66666666666664</c:v>
                </c:pt>
                <c:pt idx="19">
                  <c:v>-116.66666666666664</c:v>
                </c:pt>
                <c:pt idx="20">
                  <c:v>-116.66666666666664</c:v>
                </c:pt>
                <c:pt idx="21">
                  <c:v>-116.66666666666664</c:v>
                </c:pt>
                <c:pt idx="22">
                  <c:v>-116.66666666666664</c:v>
                </c:pt>
                <c:pt idx="23">
                  <c:v>-116.66666666666664</c:v>
                </c:pt>
                <c:pt idx="24">
                  <c:v>116.66666666666664</c:v>
                </c:pt>
                <c:pt idx="25">
                  <c:v>116.66666666666664</c:v>
                </c:pt>
                <c:pt idx="26">
                  <c:v>116.66666666666664</c:v>
                </c:pt>
                <c:pt idx="27">
                  <c:v>116.66666666666664</c:v>
                </c:pt>
                <c:pt idx="28">
                  <c:v>116.66666666666664</c:v>
                </c:pt>
                <c:pt idx="29">
                  <c:v>116.66666666666664</c:v>
                </c:pt>
                <c:pt idx="30">
                  <c:v>116.66666666666664</c:v>
                </c:pt>
                <c:pt idx="31">
                  <c:v>116.66666666666664</c:v>
                </c:pt>
                <c:pt idx="32">
                  <c:v>116.66666666666664</c:v>
                </c:pt>
                <c:pt idx="33">
                  <c:v>116.66666666666664</c:v>
                </c:pt>
                <c:pt idx="34">
                  <c:v>116.66666666666664</c:v>
                </c:pt>
                <c:pt idx="35">
                  <c:v>116.66666666666664</c:v>
                </c:pt>
                <c:pt idx="36">
                  <c:v>116.66666666666664</c:v>
                </c:pt>
                <c:pt idx="37">
                  <c:v>116.66666666666664</c:v>
                </c:pt>
                <c:pt idx="38">
                  <c:v>116.66666666666664</c:v>
                </c:pt>
                <c:pt idx="39">
                  <c:v>116.66666666666664</c:v>
                </c:pt>
                <c:pt idx="40">
                  <c:v>116.66666666666664</c:v>
                </c:pt>
                <c:pt idx="41">
                  <c:v>116.66666666666664</c:v>
                </c:pt>
                <c:pt idx="42">
                  <c:v>116.66666666666664</c:v>
                </c:pt>
                <c:pt idx="43">
                  <c:v>116.66666666666664</c:v>
                </c:pt>
                <c:pt idx="44">
                  <c:v>116.66666666666664</c:v>
                </c:pt>
                <c:pt idx="45">
                  <c:v>116.66666666666664</c:v>
                </c:pt>
                <c:pt idx="46">
                  <c:v>116.66666666666664</c:v>
                </c:pt>
                <c:pt idx="47">
                  <c:v>-116.66666666666664</c:v>
                </c:pt>
                <c:pt idx="48">
                  <c:v>-116.66666666666664</c:v>
                </c:pt>
                <c:pt idx="49">
                  <c:v>-116.66666666666664</c:v>
                </c:pt>
              </c:numCache>
            </c:numRef>
          </c:yVal>
        </c:ser>
        <c:axId val="145268736"/>
        <c:axId val="145270272"/>
      </c:scatterChart>
      <c:valAx>
        <c:axId val="145268736"/>
        <c:scaling>
          <c:orientation val="minMax"/>
        </c:scaling>
        <c:delete val="1"/>
        <c:axPos val="b"/>
        <c:numFmt formatCode="General" sourceLinked="1"/>
        <c:tickLblPos val="none"/>
        <c:crossAx val="145270272"/>
        <c:crosses val="autoZero"/>
        <c:crossBetween val="midCat"/>
      </c:valAx>
      <c:valAx>
        <c:axId val="145270272"/>
        <c:scaling>
          <c:orientation val="minMax"/>
        </c:scaling>
        <c:delete val="1"/>
        <c:axPos val="l"/>
        <c:numFmt formatCode="General" sourceLinked="1"/>
        <c:tickLblPos val="none"/>
        <c:crossAx val="145268736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</c:chart>
  <c:spPr>
    <a:solidFill>
      <a:schemeClr val="tx1"/>
    </a:solidFill>
  </c:sp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ser>
          <c:idx val="0"/>
          <c:order val="0"/>
          <c:tx>
            <c:v>Bao</c:v>
          </c:tx>
          <c:spPr>
            <a:ln w="15875"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Dam!$B$56:$J$56</c:f>
              <c:numCache>
                <c:formatCode>General</c:formatCode>
                <c:ptCount val="9"/>
                <c:pt idx="0">
                  <c:v>-250</c:v>
                </c:pt>
                <c:pt idx="1">
                  <c:v>250</c:v>
                </c:pt>
                <c:pt idx="2">
                  <c:v>250</c:v>
                </c:pt>
                <c:pt idx="3">
                  <c:v>550</c:v>
                </c:pt>
                <c:pt idx="4">
                  <c:v>550</c:v>
                </c:pt>
                <c:pt idx="5">
                  <c:v>-550</c:v>
                </c:pt>
                <c:pt idx="6">
                  <c:v>-550</c:v>
                </c:pt>
                <c:pt idx="7">
                  <c:v>-250</c:v>
                </c:pt>
                <c:pt idx="8">
                  <c:v>-250</c:v>
                </c:pt>
              </c:numCache>
            </c:numRef>
          </c:xVal>
          <c:yVal>
            <c:numRef>
              <c:f>Dam!$B$57:$J$57</c:f>
              <c:numCache>
                <c:formatCode>General</c:formatCode>
                <c:ptCount val="9"/>
                <c:pt idx="0">
                  <c:v>-350</c:v>
                </c:pt>
                <c:pt idx="1">
                  <c:v>-350</c:v>
                </c:pt>
                <c:pt idx="2">
                  <c:v>200</c:v>
                </c:pt>
                <c:pt idx="3">
                  <c:v>200</c:v>
                </c:pt>
                <c:pt idx="4">
                  <c:v>350</c:v>
                </c:pt>
                <c:pt idx="5">
                  <c:v>350</c:v>
                </c:pt>
                <c:pt idx="6">
                  <c:v>200</c:v>
                </c:pt>
                <c:pt idx="7">
                  <c:v>200</c:v>
                </c:pt>
                <c:pt idx="8">
                  <c:v>-350</c:v>
                </c:pt>
              </c:numCache>
            </c:numRef>
          </c:yVal>
        </c:ser>
        <c:ser>
          <c:idx val="1"/>
          <c:order val="1"/>
          <c:tx>
            <c:v>Dai_vong</c:v>
          </c:tx>
          <c:spPr>
            <a:ln w="25400">
              <a:solidFill>
                <a:srgbClr val="C60AA2"/>
              </a:solidFill>
            </a:ln>
          </c:spPr>
          <c:marker>
            <c:symbol val="none"/>
          </c:marker>
          <c:xVal>
            <c:numRef>
              <c:f>Dam!$B$58:$F$58</c:f>
              <c:numCache>
                <c:formatCode>General</c:formatCode>
                <c:ptCount val="5"/>
                <c:pt idx="0">
                  <c:v>-220</c:v>
                </c:pt>
                <c:pt idx="1">
                  <c:v>220</c:v>
                </c:pt>
                <c:pt idx="2">
                  <c:v>220</c:v>
                </c:pt>
                <c:pt idx="3">
                  <c:v>-220</c:v>
                </c:pt>
                <c:pt idx="4">
                  <c:v>-220</c:v>
                </c:pt>
              </c:numCache>
            </c:numRef>
          </c:xVal>
          <c:yVal>
            <c:numRef>
              <c:f>Dam!$B$59:$F$59</c:f>
              <c:numCache>
                <c:formatCode>General</c:formatCode>
                <c:ptCount val="5"/>
                <c:pt idx="0">
                  <c:v>-320</c:v>
                </c:pt>
                <c:pt idx="1">
                  <c:v>-320</c:v>
                </c:pt>
                <c:pt idx="2">
                  <c:v>320</c:v>
                </c:pt>
                <c:pt idx="3">
                  <c:v>320</c:v>
                </c:pt>
                <c:pt idx="4">
                  <c:v>-320</c:v>
                </c:pt>
              </c:numCache>
            </c:numRef>
          </c:yVal>
        </c:ser>
        <c:ser>
          <c:idx val="2"/>
          <c:order val="2"/>
          <c:tx>
            <c:v>2goc</c:v>
          </c:tx>
          <c:spPr>
            <a:ln>
              <a:noFill/>
            </a:ln>
          </c:spPr>
          <c:marker>
            <c:symbol val="none"/>
          </c:marker>
          <c:xVal>
            <c:numRef>
              <c:f>Dam!$H$58:$I$58</c:f>
              <c:numCache>
                <c:formatCode>General</c:formatCode>
                <c:ptCount val="2"/>
                <c:pt idx="0">
                  <c:v>-550</c:v>
                </c:pt>
                <c:pt idx="1">
                  <c:v>550</c:v>
                </c:pt>
              </c:numCache>
            </c:numRef>
          </c:xVal>
          <c:yVal>
            <c:numRef>
              <c:f>Dam!$H$59:$I$59</c:f>
              <c:numCache>
                <c:formatCode>General</c:formatCode>
                <c:ptCount val="2"/>
                <c:pt idx="0">
                  <c:v>-550</c:v>
                </c:pt>
                <c:pt idx="1">
                  <c:v>550</c:v>
                </c:pt>
              </c:numCache>
            </c:numRef>
          </c:yVal>
        </c:ser>
        <c:ser>
          <c:idx val="3"/>
          <c:order val="3"/>
          <c:tx>
            <c:v>Thep_tren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Dam!$L$56:$AE$56</c:f>
              <c:numCache>
                <c:formatCode>General</c:formatCode>
                <c:ptCount val="20"/>
                <c:pt idx="0">
                  <c:v>-190</c:v>
                </c:pt>
                <c:pt idx="1">
                  <c:v>-63.333333333333329</c:v>
                </c:pt>
                <c:pt idx="2">
                  <c:v>63.333333333333343</c:v>
                </c:pt>
                <c:pt idx="3">
                  <c:v>190</c:v>
                </c:pt>
                <c:pt idx="4">
                  <c:v>-190</c:v>
                </c:pt>
                <c:pt idx="5">
                  <c:v>-190</c:v>
                </c:pt>
                <c:pt idx="6">
                  <c:v>-190</c:v>
                </c:pt>
                <c:pt idx="7">
                  <c:v>-190</c:v>
                </c:pt>
                <c:pt idx="8">
                  <c:v>-190</c:v>
                </c:pt>
                <c:pt idx="9">
                  <c:v>-190</c:v>
                </c:pt>
                <c:pt idx="10">
                  <c:v>-190</c:v>
                </c:pt>
                <c:pt idx="11">
                  <c:v>-190</c:v>
                </c:pt>
                <c:pt idx="12">
                  <c:v>-190</c:v>
                </c:pt>
                <c:pt idx="13">
                  <c:v>-190</c:v>
                </c:pt>
                <c:pt idx="14">
                  <c:v>-190</c:v>
                </c:pt>
                <c:pt idx="15">
                  <c:v>-190</c:v>
                </c:pt>
                <c:pt idx="16">
                  <c:v>-190</c:v>
                </c:pt>
                <c:pt idx="17">
                  <c:v>-190</c:v>
                </c:pt>
                <c:pt idx="18">
                  <c:v>-190</c:v>
                </c:pt>
                <c:pt idx="19">
                  <c:v>-190</c:v>
                </c:pt>
              </c:numCache>
            </c:numRef>
          </c:xVal>
          <c:yVal>
            <c:numRef>
              <c:f>Dam!$L$57:$AE$57</c:f>
              <c:numCache>
                <c:formatCode>General</c:formatCode>
                <c:ptCount val="20"/>
                <c:pt idx="0">
                  <c:v>290</c:v>
                </c:pt>
                <c:pt idx="1">
                  <c:v>290</c:v>
                </c:pt>
                <c:pt idx="2">
                  <c:v>290</c:v>
                </c:pt>
                <c:pt idx="3">
                  <c:v>290</c:v>
                </c:pt>
                <c:pt idx="4">
                  <c:v>290</c:v>
                </c:pt>
                <c:pt idx="5">
                  <c:v>290</c:v>
                </c:pt>
                <c:pt idx="6">
                  <c:v>290</c:v>
                </c:pt>
                <c:pt idx="7">
                  <c:v>290</c:v>
                </c:pt>
                <c:pt idx="8">
                  <c:v>290</c:v>
                </c:pt>
                <c:pt idx="9">
                  <c:v>290</c:v>
                </c:pt>
                <c:pt idx="10">
                  <c:v>290</c:v>
                </c:pt>
                <c:pt idx="11">
                  <c:v>290</c:v>
                </c:pt>
                <c:pt idx="12">
                  <c:v>290</c:v>
                </c:pt>
                <c:pt idx="13">
                  <c:v>290</c:v>
                </c:pt>
                <c:pt idx="14">
                  <c:v>290</c:v>
                </c:pt>
                <c:pt idx="15">
                  <c:v>290</c:v>
                </c:pt>
                <c:pt idx="16">
                  <c:v>290</c:v>
                </c:pt>
                <c:pt idx="17">
                  <c:v>290</c:v>
                </c:pt>
                <c:pt idx="18">
                  <c:v>290</c:v>
                </c:pt>
                <c:pt idx="19">
                  <c:v>290</c:v>
                </c:pt>
              </c:numCache>
            </c:numRef>
          </c:yVal>
        </c:ser>
        <c:ser>
          <c:idx val="4"/>
          <c:order val="4"/>
          <c:tx>
            <c:v>Thep_duoi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Dam!$L$58:$AE$58</c:f>
              <c:numCache>
                <c:formatCode>General</c:formatCode>
                <c:ptCount val="20"/>
                <c:pt idx="0">
                  <c:v>-190</c:v>
                </c:pt>
                <c:pt idx="1">
                  <c:v>-63.333333333333329</c:v>
                </c:pt>
                <c:pt idx="2">
                  <c:v>63.333333333333343</c:v>
                </c:pt>
                <c:pt idx="3">
                  <c:v>190</c:v>
                </c:pt>
                <c:pt idx="4">
                  <c:v>-190</c:v>
                </c:pt>
                <c:pt idx="5">
                  <c:v>-190</c:v>
                </c:pt>
                <c:pt idx="6">
                  <c:v>-190</c:v>
                </c:pt>
                <c:pt idx="7">
                  <c:v>-190</c:v>
                </c:pt>
                <c:pt idx="8">
                  <c:v>-190</c:v>
                </c:pt>
                <c:pt idx="9">
                  <c:v>-190</c:v>
                </c:pt>
                <c:pt idx="10">
                  <c:v>-190</c:v>
                </c:pt>
                <c:pt idx="11">
                  <c:v>-190</c:v>
                </c:pt>
                <c:pt idx="12">
                  <c:v>-190</c:v>
                </c:pt>
                <c:pt idx="13">
                  <c:v>-190</c:v>
                </c:pt>
                <c:pt idx="14">
                  <c:v>-190</c:v>
                </c:pt>
                <c:pt idx="15">
                  <c:v>-190</c:v>
                </c:pt>
                <c:pt idx="16">
                  <c:v>-190</c:v>
                </c:pt>
                <c:pt idx="17">
                  <c:v>-190</c:v>
                </c:pt>
                <c:pt idx="18">
                  <c:v>-190</c:v>
                </c:pt>
                <c:pt idx="19">
                  <c:v>-190</c:v>
                </c:pt>
              </c:numCache>
            </c:numRef>
          </c:xVal>
          <c:yVal>
            <c:numRef>
              <c:f>Dam!$L$59:$AE$59</c:f>
              <c:numCache>
                <c:formatCode>General</c:formatCode>
                <c:ptCount val="20"/>
                <c:pt idx="0">
                  <c:v>-290</c:v>
                </c:pt>
                <c:pt idx="1">
                  <c:v>-290</c:v>
                </c:pt>
                <c:pt idx="2">
                  <c:v>-290</c:v>
                </c:pt>
                <c:pt idx="3">
                  <c:v>-290</c:v>
                </c:pt>
                <c:pt idx="4">
                  <c:v>-290</c:v>
                </c:pt>
                <c:pt idx="5">
                  <c:v>-290</c:v>
                </c:pt>
                <c:pt idx="6">
                  <c:v>-290</c:v>
                </c:pt>
                <c:pt idx="7">
                  <c:v>-290</c:v>
                </c:pt>
                <c:pt idx="8">
                  <c:v>-290</c:v>
                </c:pt>
                <c:pt idx="9">
                  <c:v>-290</c:v>
                </c:pt>
                <c:pt idx="10">
                  <c:v>-290</c:v>
                </c:pt>
                <c:pt idx="11">
                  <c:v>-290</c:v>
                </c:pt>
                <c:pt idx="12">
                  <c:v>-290</c:v>
                </c:pt>
                <c:pt idx="13">
                  <c:v>-290</c:v>
                </c:pt>
                <c:pt idx="14">
                  <c:v>-290</c:v>
                </c:pt>
                <c:pt idx="15">
                  <c:v>-290</c:v>
                </c:pt>
                <c:pt idx="16">
                  <c:v>-290</c:v>
                </c:pt>
                <c:pt idx="17">
                  <c:v>-290</c:v>
                </c:pt>
                <c:pt idx="18">
                  <c:v>-290</c:v>
                </c:pt>
                <c:pt idx="19">
                  <c:v>-290</c:v>
                </c:pt>
              </c:numCache>
            </c:numRef>
          </c:yVal>
        </c:ser>
        <c:ser>
          <c:idx val="5"/>
          <c:order val="5"/>
          <c:tx>
            <c:v>Dai1</c:v>
          </c:tx>
          <c:marker>
            <c:symbol val="none"/>
          </c:marker>
          <c:xVal>
            <c:numRef>
              <c:f>Dam!$I$61:$M$61</c:f>
              <c:numCache>
                <c:formatCode>General</c:formatCode>
                <c:ptCount val="5"/>
                <c:pt idx="0">
                  <c:v>-83.333333333333329</c:v>
                </c:pt>
                <c:pt idx="1">
                  <c:v>-83.333333333333329</c:v>
                </c:pt>
                <c:pt idx="2">
                  <c:v>-83.333333333333329</c:v>
                </c:pt>
                <c:pt idx="3">
                  <c:v>-83.333333333333329</c:v>
                </c:pt>
                <c:pt idx="4">
                  <c:v>-83.333333333333329</c:v>
                </c:pt>
              </c:numCache>
            </c:numRef>
          </c:xVal>
          <c:yVal>
            <c:numRef>
              <c:f>Dam!$N$61:$R$61</c:f>
              <c:numCache>
                <c:formatCode>General</c:formatCode>
                <c:ptCount val="5"/>
                <c:pt idx="0">
                  <c:v>310</c:v>
                </c:pt>
                <c:pt idx="1">
                  <c:v>-310</c:v>
                </c:pt>
                <c:pt idx="2">
                  <c:v>-310</c:v>
                </c:pt>
                <c:pt idx="3">
                  <c:v>310</c:v>
                </c:pt>
                <c:pt idx="4">
                  <c:v>310</c:v>
                </c:pt>
              </c:numCache>
            </c:numRef>
          </c:yVal>
        </c:ser>
        <c:ser>
          <c:idx val="6"/>
          <c:order val="6"/>
          <c:tx>
            <c:v>Dai2</c:v>
          </c:tx>
          <c:marker>
            <c:symbol val="none"/>
          </c:marker>
          <c:xVal>
            <c:numRef>
              <c:f>Dam!$I$62:$M$62</c:f>
              <c:numCache>
                <c:formatCode>General</c:formatCode>
                <c:ptCount val="5"/>
                <c:pt idx="0">
                  <c:v>43.333333333333343</c:v>
                </c:pt>
                <c:pt idx="1">
                  <c:v>43.333333333333343</c:v>
                </c:pt>
                <c:pt idx="2">
                  <c:v>43.333333333333343</c:v>
                </c:pt>
                <c:pt idx="3">
                  <c:v>43.333333333333343</c:v>
                </c:pt>
                <c:pt idx="4">
                  <c:v>43.333333333333343</c:v>
                </c:pt>
              </c:numCache>
            </c:numRef>
          </c:xVal>
          <c:yVal>
            <c:numRef>
              <c:f>Dam!$N$62:$R$62</c:f>
              <c:numCache>
                <c:formatCode>General</c:formatCode>
                <c:ptCount val="5"/>
                <c:pt idx="0">
                  <c:v>310</c:v>
                </c:pt>
                <c:pt idx="1">
                  <c:v>-310</c:v>
                </c:pt>
                <c:pt idx="2">
                  <c:v>-310</c:v>
                </c:pt>
                <c:pt idx="3">
                  <c:v>310</c:v>
                </c:pt>
                <c:pt idx="4">
                  <c:v>310</c:v>
                </c:pt>
              </c:numCache>
            </c:numRef>
          </c:yVal>
        </c:ser>
        <c:axId val="145049088"/>
        <c:axId val="145050624"/>
      </c:scatterChart>
      <c:valAx>
        <c:axId val="145049088"/>
        <c:scaling>
          <c:orientation val="minMax"/>
        </c:scaling>
        <c:delete val="1"/>
        <c:axPos val="b"/>
        <c:numFmt formatCode="General" sourceLinked="1"/>
        <c:tickLblPos val="none"/>
        <c:crossAx val="145050624"/>
        <c:crosses val="autoZero"/>
        <c:crossBetween val="midCat"/>
      </c:valAx>
      <c:valAx>
        <c:axId val="145050624"/>
        <c:scaling>
          <c:orientation val="minMax"/>
        </c:scaling>
        <c:delete val="1"/>
        <c:axPos val="l"/>
        <c:numFmt formatCode="General" sourceLinked="1"/>
        <c:tickLblPos val="none"/>
        <c:crossAx val="145049088"/>
        <c:crosses val="autoZero"/>
        <c:crossBetween val="midCat"/>
      </c:valAx>
      <c:spPr>
        <a:solidFill>
          <a:sysClr val="windowText" lastClr="000000"/>
        </a:solidFill>
        <a:ln w="25400">
          <a:noFill/>
        </a:ln>
      </c:spPr>
    </c:plotArea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Radio" firstButton="1" fmlaLink="$J$3" lockText="1" noThreeD="1"/>
</file>

<file path=xl/ctrlProps/ctrlProp3.xml><?xml version="1.0" encoding="utf-8"?>
<formControlPr xmlns="http://schemas.microsoft.com/office/spreadsheetml/2009/9/main" objectType="Radio" checked="Checked" lockText="1" noThreeD="1"/>
</file>

<file path=xl/ctrlProps/ctrlProp4.xml><?xml version="1.0" encoding="utf-8"?>
<formControlPr xmlns="http://schemas.microsoft.com/office/spreadsheetml/2009/9/main" objectType="CheckBox" fmlaLink="$I$3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CheckBox" fmlaLink="$H$3" lockText="1" noThreeD="1"/>
</file>

<file path=xl/ctrlProps/ctrlProp7.xml><?xml version="1.0" encoding="utf-8"?>
<formControlPr xmlns="http://schemas.microsoft.com/office/spreadsheetml/2009/9/main" objectType="CheckBox" fmlaLink="$G$3" lockText="1" noThreeD="1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Radio" firstButton="1" fmlaLink="$J$3" lockText="1" noThreeD="1"/>
</file>

<file path=xl/ctrlProps/ctrlProp10.xml><?xml version="1.0" encoding="utf-8"?>
<formControlPr xmlns="http://schemas.microsoft.com/office/spreadsheetml/2009/9/main" objectType="Radio" checked="Checked" lockText="1" noThreeD="1"/>
</file>

<file path=xl/ctrlProps/ctrlProp11.xml><?xml version="1.0" encoding="utf-8"?>
<formControlPr xmlns="http://schemas.microsoft.com/office/spreadsheetml/2009/9/main" objectType="CheckBox" checked="Checked" fmlaLink="$I$3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CheckBox" fmlaLink="$H$3" lockText="1" noThreeD="1"/>
</file>

<file path=xl/ctrlProps/ctrlProp14.xml><?xml version="1.0" encoding="utf-8"?>
<formControlPr xmlns="http://schemas.microsoft.com/office/spreadsheetml/2009/9/main" objectType="CheckBox" fmlaLink="$I$1" lockText="1"/>
</file>

<file path=xl/ctrlProps/ctrlProp15.xml><?xml version="1.0" encoding="utf-8"?>
<formControlPr xmlns="http://schemas.microsoft.com/office/spreadsheetml/2009/9/main" objectType="GBox" noThreeD="1"/>
</file>

<file path=xl/ctrlProps/ctrlProp16.xml><?xml version="1.0" encoding="utf-8"?>
<formControlPr xmlns="http://schemas.microsoft.com/office/spreadsheetml/2009/9/main" objectType="GBox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firstButton="1" fmlaLink="$I$8" lockText="1"/>
</file>

<file path=xl/ctrlProps/ctrlProp19.xml><?xml version="1.0" encoding="utf-8"?>
<formControlPr xmlns="http://schemas.microsoft.com/office/spreadsheetml/2009/9/main" objectType="Radio" checked="Checked" lockText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checked="Checked" firstButton="1" fmlaLink="$A$28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Radio" lockText="1" noThreeD="1"/>
</file>

<file path=xl/ctrlProps/ctrlProp26.xml><?xml version="1.0" encoding="utf-8"?>
<formControlPr xmlns="http://schemas.microsoft.com/office/spreadsheetml/2009/9/main" objectType="Radio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Radio" lockText="1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323850</xdr:colOff>
      <xdr:row>0</xdr:row>
      <xdr:rowOff>133349</xdr:rowOff>
    </xdr:from>
    <xdr:to>
      <xdr:col>23</xdr:col>
      <xdr:colOff>276225</xdr:colOff>
      <xdr:row>20</xdr:row>
      <xdr:rowOff>114300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0.12159</cdr:x>
      <cdr:y>0.48219</cdr:y>
    </cdr:from>
    <cdr:to>
      <cdr:x>0.87345</cdr:x>
      <cdr:y>0.5684</cdr:y>
    </cdr:to>
    <cdr:sp macro="" textlink="Vach!$AE$27">
      <cdr:nvSpPr>
        <cdr:cNvPr id="4" name="TextBox 4"/>
        <cdr:cNvSpPr txBox="1"/>
      </cdr:nvSpPr>
      <cdr:spPr>
        <a:xfrm xmlns:a="http://schemas.openxmlformats.org/drawingml/2006/main">
          <a:off x="524633" y="1731508"/>
          <a:ext cx="3244148" cy="3095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ctr"/>
          <a:fld id="{3C66B2CB-97D3-43D7-ABEE-1C1DE467CAB9}" type="TxLink">
            <a:rPr lang="en-US" sz="1200" b="0" i="0" u="none" strike="noStrike">
              <a:solidFill>
                <a:srgbClr val="00B050"/>
              </a:solidFill>
              <a:latin typeface="Arialri"/>
            </a:rPr>
            <a:pPr algn="ctr"/>
            <a:t>µ=1.91%</a:t>
          </a:fld>
          <a:endParaRPr lang="en-US" sz="1200">
            <a:solidFill>
              <a:srgbClr val="00B050"/>
            </a:solidFill>
          </a:endParaRPr>
        </a:p>
      </cdr:txBody>
    </cdr:sp>
  </cdr:relSizeAnchor>
  <cdr:relSizeAnchor xmlns:cdr="http://schemas.openxmlformats.org/drawingml/2006/chartDrawing">
    <cdr:from>
      <cdr:x>0.12137</cdr:x>
      <cdr:y>0.41534</cdr:y>
    </cdr:from>
    <cdr:to>
      <cdr:x>0.87323</cdr:x>
      <cdr:y>0.50155</cdr:y>
    </cdr:to>
    <cdr:sp macro="" textlink="Vach!$AE$26">
      <cdr:nvSpPr>
        <cdr:cNvPr id="5" name="TextBox 4"/>
        <cdr:cNvSpPr txBox="1"/>
      </cdr:nvSpPr>
      <cdr:spPr>
        <a:xfrm xmlns:a="http://schemas.openxmlformats.org/drawingml/2006/main">
          <a:off x="438150" y="1495425"/>
          <a:ext cx="2714199" cy="31038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ctr"/>
          <a:fld id="{DB6A5BBF-1924-475F-97F2-727F717960F3}" type="TxLink">
            <a:rPr lang="en-US" sz="1200" b="0" i="0" u="none" strike="noStrike">
              <a:solidFill>
                <a:srgbClr val="00B050"/>
              </a:solidFill>
              <a:latin typeface="Arialri"/>
            </a:rPr>
            <a:pPr algn="ctr"/>
            <a:t>70Ø25</a:t>
          </a:fld>
          <a:endParaRPr lang="en-US" sz="1200">
            <a:solidFill>
              <a:srgbClr val="00B050"/>
            </a:solidFill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323850</xdr:colOff>
      <xdr:row>0</xdr:row>
      <xdr:rowOff>133349</xdr:rowOff>
    </xdr:from>
    <xdr:to>
      <xdr:col>28</xdr:col>
      <xdr:colOff>276225</xdr:colOff>
      <xdr:row>20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0.12159</cdr:x>
      <cdr:y>0.48219</cdr:y>
    </cdr:from>
    <cdr:to>
      <cdr:x>0.87345</cdr:x>
      <cdr:y>0.5684</cdr:y>
    </cdr:to>
    <cdr:sp macro="" textlink="Cot!$AJ$26">
      <cdr:nvSpPr>
        <cdr:cNvPr id="4" name="TextBox 4"/>
        <cdr:cNvSpPr txBox="1"/>
      </cdr:nvSpPr>
      <cdr:spPr>
        <a:xfrm xmlns:a="http://schemas.openxmlformats.org/drawingml/2006/main">
          <a:off x="524633" y="1731508"/>
          <a:ext cx="3244148" cy="3095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ctr"/>
          <a:fld id="{3C66B2CB-97D3-43D7-ABEE-1C1DE467CAB9}" type="TxLink">
            <a:rPr lang="en-US" sz="1200" b="0" i="0" u="none" strike="noStrike">
              <a:solidFill>
                <a:srgbClr val="00B050"/>
              </a:solidFill>
              <a:latin typeface="Arialri"/>
            </a:rPr>
            <a:pPr algn="ctr"/>
            <a:t>µ=2.45%</a:t>
          </a:fld>
          <a:endParaRPr lang="en-US" sz="1200">
            <a:solidFill>
              <a:srgbClr val="00B050"/>
            </a:solidFill>
          </a:endParaRPr>
        </a:p>
      </cdr:txBody>
    </cdr:sp>
  </cdr:relSizeAnchor>
  <cdr:relSizeAnchor xmlns:cdr="http://schemas.openxmlformats.org/drawingml/2006/chartDrawing">
    <cdr:from>
      <cdr:x>0.12137</cdr:x>
      <cdr:y>0.41534</cdr:y>
    </cdr:from>
    <cdr:to>
      <cdr:x>0.87323</cdr:x>
      <cdr:y>0.50155</cdr:y>
    </cdr:to>
    <cdr:sp macro="" textlink="Cot!$AJ$25">
      <cdr:nvSpPr>
        <cdr:cNvPr id="5" name="TextBox 4"/>
        <cdr:cNvSpPr txBox="1"/>
      </cdr:nvSpPr>
      <cdr:spPr>
        <a:xfrm xmlns:a="http://schemas.openxmlformats.org/drawingml/2006/main">
          <a:off x="438150" y="1495425"/>
          <a:ext cx="2714199" cy="31038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ctr"/>
          <a:fld id="{DB6A5BBF-1924-475F-97F2-727F717960F3}" type="TxLink">
            <a:rPr lang="en-US" sz="1200" b="0" i="0" u="none" strike="noStrike">
              <a:solidFill>
                <a:srgbClr val="00B050"/>
              </a:solidFill>
              <a:latin typeface="Arialri"/>
            </a:rPr>
            <a:pPr algn="ctr"/>
            <a:t>40Ø25</a:t>
          </a:fld>
          <a:endParaRPr lang="en-US" sz="1200">
            <a:solidFill>
              <a:srgbClr val="00B050"/>
            </a:solidFill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609765</xdr:colOff>
      <xdr:row>11</xdr:row>
      <xdr:rowOff>66902</xdr:rowOff>
    </xdr:from>
    <xdr:to>
      <xdr:col>35</xdr:col>
      <xdr:colOff>31505</xdr:colOff>
      <xdr:row>11</xdr:row>
      <xdr:rowOff>68933</xdr:rowOff>
    </xdr:to>
    <xdr:grpSp>
      <xdr:nvGrpSpPr>
        <xdr:cNvPr id="3" name="Group 2"/>
        <xdr:cNvGrpSpPr/>
      </xdr:nvGrpSpPr>
      <xdr:grpSpPr>
        <a:xfrm>
          <a:off x="1771815" y="2029052"/>
          <a:ext cx="20802190" cy="2031"/>
          <a:chOff x="1814883" y="1814945"/>
          <a:chExt cx="21176426" cy="2031"/>
        </a:xfrm>
      </xdr:grpSpPr>
      <xdr:cxnSp macro="">
        <xdr:nvCxnSpPr>
          <xdr:cNvPr id="4" name="Straight Arrow Connector 3"/>
          <xdr:cNvCxnSpPr/>
        </xdr:nvCxnSpPr>
        <xdr:spPr>
          <a:xfrm flipV="1">
            <a:off x="2265218" y="1815811"/>
            <a:ext cx="841664" cy="1165"/>
          </a:xfrm>
          <a:prstGeom prst="straightConnector1">
            <a:avLst/>
          </a:prstGeom>
          <a:ln w="3175"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" name="Straight Arrow Connector 4"/>
          <xdr:cNvCxnSpPr/>
        </xdr:nvCxnSpPr>
        <xdr:spPr>
          <a:xfrm>
            <a:off x="3110283" y="1814945"/>
            <a:ext cx="450026" cy="248"/>
          </a:xfrm>
          <a:prstGeom prst="straightConnector1">
            <a:avLst/>
          </a:prstGeom>
          <a:ln w="3175"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" name="Straight Arrow Connector 5"/>
          <xdr:cNvCxnSpPr/>
        </xdr:nvCxnSpPr>
        <xdr:spPr>
          <a:xfrm flipV="1">
            <a:off x="3560618" y="1815811"/>
            <a:ext cx="841664" cy="1165"/>
          </a:xfrm>
          <a:prstGeom prst="straightConnector1">
            <a:avLst/>
          </a:prstGeom>
          <a:ln w="3175"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" name="Straight Arrow Connector 6"/>
          <xdr:cNvCxnSpPr/>
        </xdr:nvCxnSpPr>
        <xdr:spPr>
          <a:xfrm>
            <a:off x="1814883" y="1814945"/>
            <a:ext cx="450026" cy="248"/>
          </a:xfrm>
          <a:prstGeom prst="straightConnector1">
            <a:avLst/>
          </a:prstGeom>
          <a:ln w="3175"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" name="Straight Arrow Connector 7"/>
          <xdr:cNvCxnSpPr/>
        </xdr:nvCxnSpPr>
        <xdr:spPr>
          <a:xfrm>
            <a:off x="4405683" y="1814945"/>
            <a:ext cx="450026" cy="248"/>
          </a:xfrm>
          <a:prstGeom prst="straightConnector1">
            <a:avLst/>
          </a:prstGeom>
          <a:ln w="3175"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" name="Straight Arrow Connector 8"/>
          <xdr:cNvCxnSpPr/>
        </xdr:nvCxnSpPr>
        <xdr:spPr>
          <a:xfrm flipV="1">
            <a:off x="4856018" y="1815811"/>
            <a:ext cx="841664" cy="1165"/>
          </a:xfrm>
          <a:prstGeom prst="straightConnector1">
            <a:avLst/>
          </a:prstGeom>
          <a:ln w="3175"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" name="Straight Arrow Connector 9"/>
          <xdr:cNvCxnSpPr/>
        </xdr:nvCxnSpPr>
        <xdr:spPr>
          <a:xfrm>
            <a:off x="5701083" y="1814945"/>
            <a:ext cx="450026" cy="248"/>
          </a:xfrm>
          <a:prstGeom prst="straightConnector1">
            <a:avLst/>
          </a:prstGeom>
          <a:ln w="3175"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" name="Straight Arrow Connector 10"/>
          <xdr:cNvCxnSpPr/>
        </xdr:nvCxnSpPr>
        <xdr:spPr>
          <a:xfrm flipV="1">
            <a:off x="6151418" y="1815811"/>
            <a:ext cx="841664" cy="1165"/>
          </a:xfrm>
          <a:prstGeom prst="straightConnector1">
            <a:avLst/>
          </a:prstGeom>
          <a:ln w="3175"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" name="Straight Arrow Connector 11"/>
          <xdr:cNvCxnSpPr/>
        </xdr:nvCxnSpPr>
        <xdr:spPr>
          <a:xfrm>
            <a:off x="6996483" y="1814945"/>
            <a:ext cx="450026" cy="248"/>
          </a:xfrm>
          <a:prstGeom prst="straightConnector1">
            <a:avLst/>
          </a:prstGeom>
          <a:ln w="3175"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" name="Straight Arrow Connector 12"/>
          <xdr:cNvCxnSpPr/>
        </xdr:nvCxnSpPr>
        <xdr:spPr>
          <a:xfrm flipV="1">
            <a:off x="7446818" y="1815811"/>
            <a:ext cx="841664" cy="1165"/>
          </a:xfrm>
          <a:prstGeom prst="straightConnector1">
            <a:avLst/>
          </a:prstGeom>
          <a:ln w="3175"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" name="Straight Arrow Connector 13"/>
          <xdr:cNvCxnSpPr/>
        </xdr:nvCxnSpPr>
        <xdr:spPr>
          <a:xfrm>
            <a:off x="8291883" y="1814945"/>
            <a:ext cx="450026" cy="248"/>
          </a:xfrm>
          <a:prstGeom prst="straightConnector1">
            <a:avLst/>
          </a:prstGeom>
          <a:ln w="3175"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" name="Straight Arrow Connector 14"/>
          <xdr:cNvCxnSpPr/>
        </xdr:nvCxnSpPr>
        <xdr:spPr>
          <a:xfrm flipV="1">
            <a:off x="8742218" y="1815811"/>
            <a:ext cx="841664" cy="1165"/>
          </a:xfrm>
          <a:prstGeom prst="straightConnector1">
            <a:avLst/>
          </a:prstGeom>
          <a:ln w="3175"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" name="Straight Arrow Connector 15"/>
          <xdr:cNvCxnSpPr/>
        </xdr:nvCxnSpPr>
        <xdr:spPr>
          <a:xfrm>
            <a:off x="9587283" y="1814945"/>
            <a:ext cx="450026" cy="248"/>
          </a:xfrm>
          <a:prstGeom prst="straightConnector1">
            <a:avLst/>
          </a:prstGeom>
          <a:ln w="3175"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" name="Straight Arrow Connector 16"/>
          <xdr:cNvCxnSpPr/>
        </xdr:nvCxnSpPr>
        <xdr:spPr>
          <a:xfrm flipV="1">
            <a:off x="10037618" y="1815811"/>
            <a:ext cx="841664" cy="1165"/>
          </a:xfrm>
          <a:prstGeom prst="straightConnector1">
            <a:avLst/>
          </a:prstGeom>
          <a:ln w="3175"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" name="Straight Arrow Connector 17"/>
          <xdr:cNvCxnSpPr/>
        </xdr:nvCxnSpPr>
        <xdr:spPr>
          <a:xfrm>
            <a:off x="10882683" y="1814945"/>
            <a:ext cx="450026" cy="248"/>
          </a:xfrm>
          <a:prstGeom prst="straightConnector1">
            <a:avLst/>
          </a:prstGeom>
          <a:ln w="3175"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" name="Straight Arrow Connector 18"/>
          <xdr:cNvCxnSpPr/>
        </xdr:nvCxnSpPr>
        <xdr:spPr>
          <a:xfrm flipV="1">
            <a:off x="11333018" y="1815811"/>
            <a:ext cx="841664" cy="1165"/>
          </a:xfrm>
          <a:prstGeom prst="straightConnector1">
            <a:avLst/>
          </a:prstGeom>
          <a:ln w="3175"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" name="Straight Arrow Connector 19"/>
          <xdr:cNvCxnSpPr/>
        </xdr:nvCxnSpPr>
        <xdr:spPr>
          <a:xfrm>
            <a:off x="12178083" y="1814945"/>
            <a:ext cx="450026" cy="248"/>
          </a:xfrm>
          <a:prstGeom prst="straightConnector1">
            <a:avLst/>
          </a:prstGeom>
          <a:ln w="3175"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" name="Straight Arrow Connector 20"/>
          <xdr:cNvCxnSpPr/>
        </xdr:nvCxnSpPr>
        <xdr:spPr>
          <a:xfrm flipV="1">
            <a:off x="12628418" y="1815811"/>
            <a:ext cx="841664" cy="1165"/>
          </a:xfrm>
          <a:prstGeom prst="straightConnector1">
            <a:avLst/>
          </a:prstGeom>
          <a:ln w="3175"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" name="Straight Arrow Connector 21"/>
          <xdr:cNvCxnSpPr/>
        </xdr:nvCxnSpPr>
        <xdr:spPr>
          <a:xfrm>
            <a:off x="13473483" y="1814945"/>
            <a:ext cx="450026" cy="248"/>
          </a:xfrm>
          <a:prstGeom prst="straightConnector1">
            <a:avLst/>
          </a:prstGeom>
          <a:ln w="3175"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" name="Straight Arrow Connector 22"/>
          <xdr:cNvCxnSpPr/>
        </xdr:nvCxnSpPr>
        <xdr:spPr>
          <a:xfrm flipV="1">
            <a:off x="13923818" y="1815811"/>
            <a:ext cx="841664" cy="1165"/>
          </a:xfrm>
          <a:prstGeom prst="straightConnector1">
            <a:avLst/>
          </a:prstGeom>
          <a:ln w="3175"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" name="Straight Arrow Connector 23"/>
          <xdr:cNvCxnSpPr/>
        </xdr:nvCxnSpPr>
        <xdr:spPr>
          <a:xfrm>
            <a:off x="14768883" y="1814945"/>
            <a:ext cx="450026" cy="248"/>
          </a:xfrm>
          <a:prstGeom prst="straightConnector1">
            <a:avLst/>
          </a:prstGeom>
          <a:ln w="3175"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" name="Straight Arrow Connector 24"/>
          <xdr:cNvCxnSpPr/>
        </xdr:nvCxnSpPr>
        <xdr:spPr>
          <a:xfrm flipV="1">
            <a:off x="15219218" y="1815811"/>
            <a:ext cx="841664" cy="1165"/>
          </a:xfrm>
          <a:prstGeom prst="straightConnector1">
            <a:avLst/>
          </a:prstGeom>
          <a:ln w="3175"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" name="Straight Arrow Connector 25"/>
          <xdr:cNvCxnSpPr/>
        </xdr:nvCxnSpPr>
        <xdr:spPr>
          <a:xfrm>
            <a:off x="16064283" y="1814945"/>
            <a:ext cx="450026" cy="248"/>
          </a:xfrm>
          <a:prstGeom prst="straightConnector1">
            <a:avLst/>
          </a:prstGeom>
          <a:ln w="3175"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" name="Straight Arrow Connector 26"/>
          <xdr:cNvCxnSpPr/>
        </xdr:nvCxnSpPr>
        <xdr:spPr>
          <a:xfrm flipV="1">
            <a:off x="16514618" y="1815811"/>
            <a:ext cx="841664" cy="1165"/>
          </a:xfrm>
          <a:prstGeom prst="straightConnector1">
            <a:avLst/>
          </a:prstGeom>
          <a:ln w="3175"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" name="Straight Arrow Connector 27"/>
          <xdr:cNvCxnSpPr/>
        </xdr:nvCxnSpPr>
        <xdr:spPr>
          <a:xfrm>
            <a:off x="17359683" y="1814945"/>
            <a:ext cx="450026" cy="248"/>
          </a:xfrm>
          <a:prstGeom prst="straightConnector1">
            <a:avLst/>
          </a:prstGeom>
          <a:ln w="3175"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" name="Straight Arrow Connector 28"/>
          <xdr:cNvCxnSpPr/>
        </xdr:nvCxnSpPr>
        <xdr:spPr>
          <a:xfrm flipV="1">
            <a:off x="17810018" y="1815811"/>
            <a:ext cx="841664" cy="1165"/>
          </a:xfrm>
          <a:prstGeom prst="straightConnector1">
            <a:avLst/>
          </a:prstGeom>
          <a:ln w="3175"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" name="Straight Arrow Connector 29"/>
          <xdr:cNvCxnSpPr/>
        </xdr:nvCxnSpPr>
        <xdr:spPr>
          <a:xfrm flipV="1">
            <a:off x="19105418" y="1815811"/>
            <a:ext cx="841664" cy="1165"/>
          </a:xfrm>
          <a:prstGeom prst="straightConnector1">
            <a:avLst/>
          </a:prstGeom>
          <a:ln w="3175"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1" name="Straight Arrow Connector 30"/>
          <xdr:cNvCxnSpPr/>
        </xdr:nvCxnSpPr>
        <xdr:spPr>
          <a:xfrm>
            <a:off x="19950483" y="1814945"/>
            <a:ext cx="450026" cy="248"/>
          </a:xfrm>
          <a:prstGeom prst="straightConnector1">
            <a:avLst/>
          </a:prstGeom>
          <a:ln w="3175"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2" name="Straight Arrow Connector 31"/>
          <xdr:cNvCxnSpPr/>
        </xdr:nvCxnSpPr>
        <xdr:spPr>
          <a:xfrm flipV="1">
            <a:off x="20400818" y="1815811"/>
            <a:ext cx="841664" cy="1165"/>
          </a:xfrm>
          <a:prstGeom prst="straightConnector1">
            <a:avLst/>
          </a:prstGeom>
          <a:ln w="3175"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3" name="Straight Arrow Connector 32"/>
          <xdr:cNvCxnSpPr/>
        </xdr:nvCxnSpPr>
        <xdr:spPr>
          <a:xfrm>
            <a:off x="21245883" y="1814945"/>
            <a:ext cx="450026" cy="248"/>
          </a:xfrm>
          <a:prstGeom prst="straightConnector1">
            <a:avLst/>
          </a:prstGeom>
          <a:ln w="3175"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4" name="Straight Arrow Connector 33"/>
          <xdr:cNvCxnSpPr/>
        </xdr:nvCxnSpPr>
        <xdr:spPr>
          <a:xfrm flipV="1">
            <a:off x="21696218" y="1815811"/>
            <a:ext cx="841664" cy="1165"/>
          </a:xfrm>
          <a:prstGeom prst="straightConnector1">
            <a:avLst/>
          </a:prstGeom>
          <a:ln w="3175"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5" name="Straight Arrow Connector 34"/>
          <xdr:cNvCxnSpPr/>
        </xdr:nvCxnSpPr>
        <xdr:spPr>
          <a:xfrm>
            <a:off x="22541283" y="1814945"/>
            <a:ext cx="450026" cy="248"/>
          </a:xfrm>
          <a:prstGeom prst="straightConnector1">
            <a:avLst/>
          </a:prstGeom>
          <a:ln w="3175"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6" name="Straight Arrow Connector 35"/>
          <xdr:cNvCxnSpPr/>
        </xdr:nvCxnSpPr>
        <xdr:spPr>
          <a:xfrm>
            <a:off x="18655083" y="1814945"/>
            <a:ext cx="450026" cy="248"/>
          </a:xfrm>
          <a:prstGeom prst="straightConnector1">
            <a:avLst/>
          </a:prstGeom>
          <a:ln w="3175"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171450</xdr:colOff>
      <xdr:row>3</xdr:row>
      <xdr:rowOff>132514</xdr:rowOff>
    </xdr:from>
    <xdr:to>
      <xdr:col>3</xdr:col>
      <xdr:colOff>714374</xdr:colOff>
      <xdr:row>6</xdr:row>
      <xdr:rowOff>8275</xdr:rowOff>
    </xdr:to>
    <xdr:sp macro="[0]!_xludf.save" textlink="">
      <xdr:nvSpPr>
        <xdr:cNvPr id="37" name="Rounded Rectangle 36"/>
        <xdr:cNvSpPr/>
      </xdr:nvSpPr>
      <xdr:spPr>
        <a:xfrm>
          <a:off x="2068167" y="670884"/>
          <a:ext cx="990185" cy="38928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Save data</a:t>
          </a:r>
        </a:p>
      </xdr:txBody>
    </xdr:sp>
    <xdr:clientData/>
  </xdr:twoCellAnchor>
  <xdr:twoCellAnchor>
    <xdr:from>
      <xdr:col>2</xdr:col>
      <xdr:colOff>171449</xdr:colOff>
      <xdr:row>0</xdr:row>
      <xdr:rowOff>107656</xdr:rowOff>
    </xdr:from>
    <xdr:to>
      <xdr:col>3</xdr:col>
      <xdr:colOff>704849</xdr:colOff>
      <xdr:row>2</xdr:row>
      <xdr:rowOff>182217</xdr:rowOff>
    </xdr:to>
    <xdr:sp macro="[0]!load_data" textlink="">
      <xdr:nvSpPr>
        <xdr:cNvPr id="38" name="Rounded Rectangle 37"/>
        <xdr:cNvSpPr/>
      </xdr:nvSpPr>
      <xdr:spPr>
        <a:xfrm>
          <a:off x="2068166" y="107656"/>
          <a:ext cx="980661" cy="430713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Load data</a:t>
          </a:r>
        </a:p>
      </xdr:txBody>
    </xdr:sp>
    <xdr:clientData/>
  </xdr:twoCellAnchor>
  <xdr:twoCellAnchor>
    <xdr:from>
      <xdr:col>0</xdr:col>
      <xdr:colOff>0</xdr:colOff>
      <xdr:row>23</xdr:row>
      <xdr:rowOff>16566</xdr:rowOff>
    </xdr:from>
    <xdr:to>
      <xdr:col>1</xdr:col>
      <xdr:colOff>596348</xdr:colOff>
      <xdr:row>33</xdr:row>
      <xdr:rowOff>124239</xdr:rowOff>
    </xdr:to>
    <xdr:graphicFrame macro="">
      <xdr:nvGraphicFramePr>
        <xdr:cNvPr id="39" name="Chart 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173936</xdr:colOff>
      <xdr:row>6</xdr:row>
      <xdr:rowOff>140805</xdr:rowOff>
    </xdr:from>
    <xdr:to>
      <xdr:col>3</xdr:col>
      <xdr:colOff>716860</xdr:colOff>
      <xdr:row>9</xdr:row>
      <xdr:rowOff>8284</xdr:rowOff>
    </xdr:to>
    <xdr:sp macro="[0]!Ve_dam.lay_chdai" textlink="">
      <xdr:nvSpPr>
        <xdr:cNvPr id="40" name="Rounded Rectangle 39"/>
        <xdr:cNvSpPr/>
      </xdr:nvSpPr>
      <xdr:spPr>
        <a:xfrm>
          <a:off x="2070653" y="1192696"/>
          <a:ext cx="990185" cy="397566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Get length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180976</xdr:colOff>
      <xdr:row>1</xdr:row>
      <xdr:rowOff>47625</xdr:rowOff>
    </xdr:from>
    <xdr:to>
      <xdr:col>15</xdr:col>
      <xdr:colOff>428625</xdr:colOff>
      <xdr:row>4</xdr:row>
      <xdr:rowOff>66675</xdr:rowOff>
    </xdr:to>
    <xdr:sp macro="[0]!update_bang_cat_thep" textlink="">
      <xdr:nvSpPr>
        <xdr:cNvPr id="2" name="Rounded Rectangle 1"/>
        <xdr:cNvSpPr/>
      </xdr:nvSpPr>
      <xdr:spPr>
        <a:xfrm>
          <a:off x="11487151" y="428625"/>
          <a:ext cx="952499" cy="6096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to cutting bar sumary</a:t>
          </a:r>
        </a:p>
      </xdr:txBody>
    </xdr:sp>
    <xdr:clientData/>
  </xdr:twoCellAnchor>
  <xdr:twoCellAnchor>
    <xdr:from>
      <xdr:col>14</xdr:col>
      <xdr:colOff>180975</xdr:colOff>
      <xdr:row>7</xdr:row>
      <xdr:rowOff>57150</xdr:rowOff>
    </xdr:from>
    <xdr:to>
      <xdr:col>15</xdr:col>
      <xdr:colOff>428624</xdr:colOff>
      <xdr:row>10</xdr:row>
      <xdr:rowOff>152400</xdr:rowOff>
    </xdr:to>
    <xdr:sp macro="[0]!update_kho_thep" textlink="">
      <xdr:nvSpPr>
        <xdr:cNvPr id="3" name="Rounded Rectangle 2"/>
        <xdr:cNvSpPr/>
      </xdr:nvSpPr>
      <xdr:spPr>
        <a:xfrm>
          <a:off x="11487150" y="1543050"/>
          <a:ext cx="952499" cy="6096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to </a:t>
          </a:r>
          <a:r>
            <a:rPr lang="en-US" sz="1100" baseline="0"/>
            <a:t>sheet kho_thep</a:t>
          </a:r>
          <a:endParaRPr lang="en-US" sz="1100"/>
        </a:p>
      </xdr:txBody>
    </xdr:sp>
    <xdr:clientData/>
  </xdr:twoCellAnchor>
  <xdr:twoCellAnchor>
    <xdr:from>
      <xdr:col>13</xdr:col>
      <xdr:colOff>180975</xdr:colOff>
      <xdr:row>0</xdr:row>
      <xdr:rowOff>85725</xdr:rowOff>
    </xdr:from>
    <xdr:to>
      <xdr:col>13</xdr:col>
      <xdr:colOff>981075</xdr:colOff>
      <xdr:row>1</xdr:row>
      <xdr:rowOff>200025</xdr:rowOff>
    </xdr:to>
    <xdr:sp macro="[0]!delete_data" textlink="">
      <xdr:nvSpPr>
        <xdr:cNvPr id="4" name="Rounded Rectangle 3"/>
        <xdr:cNvSpPr/>
      </xdr:nvSpPr>
      <xdr:spPr>
        <a:xfrm>
          <a:off x="10782300" y="85725"/>
          <a:ext cx="800100" cy="4953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Delete</a:t>
          </a:r>
        </a:p>
        <a:p>
          <a:pPr algn="ctr"/>
          <a:r>
            <a:rPr lang="en-US" sz="1100"/>
            <a:t>Data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kret\c\Documents%20and%20Settings\&#37428;&#26408;&#12288;&#36948;&#21705;\Local%20Settings\Temporary%20Internet%20Files\Content.IE5\XV65FD25\BOURJOIS\BOURJBQ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u2ng\Nu2nG\Nu2nG\NISSAN%20BSD%20Tender\NISSAN%20BSD%20PI\BQ_TIMAHR1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Kata%20Duy%20Viet/Dai%20quang%20Minh/VU_T6-MAI/KienTruc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For%20boss/VBA/KATA_PRO-2011-04-02-%20chua%20co%20dam%20giao/Kata-moi-27-02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T/AppData/Roaming/Microsoft/Excel/Kata-05-20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01.WORK/29.DAI_QUANG_MINH(FULL)/File_Tinh/06A%20-%20Format%20Ket%20cau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vunt.COTECCONS/Desktop/BOQ%20-%20PHAN%20HOAN%20THIEN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Earthwork"/>
      <sheetName val="TenderAnaly"/>
      <sheetName val="AppendixA"/>
      <sheetName val="BQ"/>
      <sheetName val="GrossBQ"/>
      <sheetName val="GrossBQ (2)"/>
      <sheetName val="BQ(2)"/>
      <sheetName val="BQ(3)"/>
      <sheetName val="Summary"/>
      <sheetName val="G1"/>
      <sheetName val="FlrArea"/>
      <sheetName val="Analysis"/>
      <sheetName val="Notes"/>
      <sheetName val="Prelims"/>
      <sheetName val="Site Expense"/>
      <sheetName val="Steelwork"/>
      <sheetName val="ExtWalls"/>
      <sheetName val="Founds"/>
      <sheetName val="Slab"/>
      <sheetName val="Retaining Wall"/>
      <sheetName val="Summary Final"/>
      <sheetName val="G1 Final"/>
      <sheetName val="Thiet bi"/>
      <sheetName val="Nhan cong"/>
      <sheetName val="GrossBQ_(2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rekap rap"/>
      <sheetName val="Sheet1"/>
      <sheetName val="harsat"/>
      <sheetName val="AN BONGKARAN"/>
      <sheetName val="ANALISA"/>
      <sheetName val="AN kusen"/>
      <sheetName val="AN beton"/>
      <sheetName val="REKAP"/>
      <sheetName val="upah bahan"/>
      <sheetName val="RAB BONGKARAN"/>
      <sheetName val="bq tam-penghub"/>
      <sheetName val="RAB AR&amp;STR"/>
      <sheetName val="RAB M&amp;E"/>
      <sheetName val="RAB AR_STR"/>
      <sheetName val="rekap_rap"/>
      <sheetName val="AN_BONGKARAN"/>
      <sheetName val="AN_kusen"/>
      <sheetName val="AN_beton"/>
      <sheetName val="upah_bahan"/>
      <sheetName val="RAB_BONGKARAN"/>
      <sheetName val="bq_tam-penghub"/>
      <sheetName val="RAB_AR&amp;STR"/>
      <sheetName val="RAB_M&amp;E"/>
      <sheetName val="Lat gach san nha"/>
      <sheetName val="Lat_gach_san_nha"/>
      <sheetName val="Earthwork"/>
      <sheetName val="01.THGTTT"/>
      <sheetName val="HD 15122"/>
      <sheetName val="GT Bieu hanh lang"/>
      <sheetName val="BAG-2"/>
      <sheetName val="rekap_rap1"/>
      <sheetName val="AN_BONGKARAN1"/>
      <sheetName val="AN_kusen1"/>
      <sheetName val="AN_beton1"/>
      <sheetName val="upah_bahan1"/>
      <sheetName val="RAB_BONGKARAN1"/>
      <sheetName val="bq_tam-penghub1"/>
      <sheetName val="RAB_AR&amp;STR1"/>
      <sheetName val="RAB_M&amp;E1"/>
      <sheetName val="Lat_gach_san_nha1"/>
      <sheetName val="RAB_AR_STR"/>
      <sheetName val="CV CHAO GIA 2"/>
      <sheetName val="COMMON AREA"/>
      <sheetName val="Sheet2"/>
      <sheetName val="Sheet3"/>
      <sheetName val="Goc CC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/>
      <sheetData sheetId="31"/>
      <sheetData sheetId="32"/>
      <sheetData sheetId="33"/>
      <sheetData sheetId="34"/>
      <sheetData sheetId="35"/>
      <sheetData sheetId="36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DATA"/>
      <sheetName val="Tinhtoan"/>
      <sheetName val="Sheet2"/>
      <sheetName val="Thepsan"/>
      <sheetName val="Kien truc"/>
      <sheetName val="Sheet1"/>
      <sheetName val="HT PODIUM"/>
      <sheetName val="HT VAN PHONG"/>
      <sheetName val="3. KC - PODIUM"/>
      <sheetName val="4. KC - THAP VP"/>
    </sheetNames>
    <sheetDataSet>
      <sheetData sheetId="0">
        <row r="8">
          <cell r="C8">
            <v>20</v>
          </cell>
        </row>
        <row r="14">
          <cell r="E14">
            <v>30</v>
          </cell>
        </row>
        <row r="16">
          <cell r="B16">
            <v>6</v>
          </cell>
          <cell r="C16">
            <v>0.222</v>
          </cell>
        </row>
        <row r="17">
          <cell r="B17">
            <v>8</v>
          </cell>
          <cell r="C17">
            <v>0.39500000000000002</v>
          </cell>
        </row>
        <row r="18">
          <cell r="B18">
            <v>10</v>
          </cell>
          <cell r="C18">
            <v>0.61699999999999999</v>
          </cell>
        </row>
        <row r="19">
          <cell r="B19">
            <v>12</v>
          </cell>
          <cell r="C19">
            <v>0.88800000000000001</v>
          </cell>
        </row>
        <row r="20">
          <cell r="B20">
            <v>14</v>
          </cell>
          <cell r="C20">
            <v>1.208</v>
          </cell>
        </row>
        <row r="21">
          <cell r="B21">
            <v>16</v>
          </cell>
          <cell r="C21">
            <v>1.5780000000000001</v>
          </cell>
        </row>
        <row r="22">
          <cell r="B22">
            <v>18</v>
          </cell>
          <cell r="C22">
            <v>1.998</v>
          </cell>
        </row>
        <row r="23">
          <cell r="B23">
            <v>20</v>
          </cell>
          <cell r="C23">
            <v>2.4660000000000002</v>
          </cell>
        </row>
        <row r="24">
          <cell r="B24">
            <v>22</v>
          </cell>
          <cell r="C24">
            <v>2.984</v>
          </cell>
        </row>
        <row r="25">
          <cell r="B25">
            <v>25</v>
          </cell>
          <cell r="C25">
            <v>3.8530000000000002</v>
          </cell>
        </row>
        <row r="26">
          <cell r="B26">
            <v>28</v>
          </cell>
          <cell r="C26">
            <v>4.8339999999999996</v>
          </cell>
        </row>
        <row r="27">
          <cell r="B27">
            <v>32</v>
          </cell>
          <cell r="C27">
            <v>6.3129999999999997</v>
          </cell>
        </row>
        <row r="28">
          <cell r="B28">
            <v>36</v>
          </cell>
          <cell r="C28">
            <v>7.99</v>
          </cell>
        </row>
        <row r="29">
          <cell r="B29">
            <v>40</v>
          </cell>
          <cell r="C29">
            <v>9.8650000000000002</v>
          </cell>
        </row>
        <row r="36">
          <cell r="J36">
            <v>1</v>
          </cell>
        </row>
        <row r="37">
          <cell r="B37" t="str">
            <v>Ne-Ne</v>
          </cell>
          <cell r="C37">
            <v>10</v>
          </cell>
          <cell r="D37">
            <v>250</v>
          </cell>
          <cell r="J37">
            <v>50</v>
          </cell>
          <cell r="M37" t="str">
            <v>Ne</v>
          </cell>
          <cell r="N37">
            <v>30</v>
          </cell>
        </row>
        <row r="38">
          <cell r="B38" t="str">
            <v>Ne-Tu</v>
          </cell>
          <cell r="C38">
            <v>14</v>
          </cell>
          <cell r="D38">
            <v>150</v>
          </cell>
          <cell r="M38" t="str">
            <v>Tu</v>
          </cell>
          <cell r="N38">
            <v>0</v>
          </cell>
        </row>
        <row r="39">
          <cell r="B39" t="str">
            <v>Tu-Tu</v>
          </cell>
          <cell r="C39">
            <v>16</v>
          </cell>
          <cell r="D39">
            <v>200</v>
          </cell>
          <cell r="M39" t="str">
            <v>Mo</v>
          </cell>
          <cell r="N39">
            <v>10</v>
          </cell>
        </row>
        <row r="40">
          <cell r="B40" t="str">
            <v>Ne-Mo</v>
          </cell>
          <cell r="M40" t="str">
            <v>Ho</v>
          </cell>
          <cell r="N40">
            <v>210</v>
          </cell>
        </row>
        <row r="41">
          <cell r="B41" t="str">
            <v>Tu-Mo</v>
          </cell>
          <cell r="J41">
            <v>1</v>
          </cell>
        </row>
        <row r="42">
          <cell r="B42" t="str">
            <v>Mo-Mo</v>
          </cell>
        </row>
        <row r="43">
          <cell r="B43" t="str">
            <v>Ho-Ho</v>
          </cell>
        </row>
        <row r="44">
          <cell r="B44" t="str">
            <v>Ne-Ho</v>
          </cell>
        </row>
        <row r="85">
          <cell r="N85">
            <v>4</v>
          </cell>
        </row>
        <row r="86">
          <cell r="N86">
            <v>4.5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Cot"/>
      <sheetName val="Dam"/>
      <sheetName val="save_info"/>
      <sheetName val="Kata-moi-27-02"/>
    </sheetNames>
    <sheetDataSet>
      <sheetData sheetId="0">
        <row r="2">
          <cell r="AJ2">
            <v>400</v>
          </cell>
        </row>
        <row r="6">
          <cell r="AJ6">
            <v>400</v>
          </cell>
        </row>
        <row r="21">
          <cell r="AJ21">
            <v>10</v>
          </cell>
        </row>
      </sheetData>
      <sheetData sheetId="1" refreshError="1"/>
      <sheetData sheetId="2" refreshError="1"/>
      <sheetData sheetId="3" refreshError="1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Cot"/>
      <sheetName val="Dam"/>
      <sheetName val="save_info"/>
      <sheetName val="Kata-05-20"/>
    </sheetNames>
    <sheetDataSet>
      <sheetData sheetId="0">
        <row r="2">
          <cell r="AK2">
            <v>1200</v>
          </cell>
        </row>
        <row r="6">
          <cell r="AK6">
            <v>800</v>
          </cell>
        </row>
        <row r="21">
          <cell r="AK21">
            <v>25</v>
          </cell>
        </row>
      </sheetData>
      <sheetData sheetId="1"/>
      <sheetData sheetId="2"/>
      <sheetData sheetId="3" refreshError="1"/>
    </sheetDataSet>
  </externalBook>
</externalLink>
</file>

<file path=xl/externalLinks/externalLink6.xml><?xml version="1.0" encoding="utf-8"?>
<externalLink xmlns="http://schemas.openxmlformats.org/spreadsheetml/2006/main">
  <externalBook xmlns:r="http://schemas.openxmlformats.org/officeDocument/2006/relationships" r:id="rId1">
    <sheetNames>
      <sheetName val="DATA"/>
      <sheetName val="00000000"/>
      <sheetName val="10000000"/>
      <sheetName val="20000000"/>
      <sheetName val="30000000"/>
      <sheetName val="40000000"/>
      <sheetName val="STA"/>
      <sheetName val="COC"/>
      <sheetName val="MONG"/>
      <sheetName val="DAM"/>
      <sheetName val="COT-VACH"/>
      <sheetName val="TUONG VAY"/>
      <sheetName val="CKDB"/>
      <sheetName val="KCT"/>
      <sheetName val="KT"/>
      <sheetName val="BoQ KC"/>
    </sheetNames>
    <sheetDataSet>
      <sheetData sheetId="0">
        <row r="7">
          <cell r="D7">
            <v>7850</v>
          </cell>
        </row>
        <row r="8">
          <cell r="D8">
            <v>1</v>
          </cell>
        </row>
        <row r="9">
          <cell r="D9" t="str">
            <v>-</v>
          </cell>
        </row>
        <row r="15">
          <cell r="B15">
            <v>45</v>
          </cell>
        </row>
        <row r="16">
          <cell r="B16">
            <v>50</v>
          </cell>
        </row>
        <row r="25">
          <cell r="C25">
            <v>6</v>
          </cell>
          <cell r="D25">
            <v>210</v>
          </cell>
          <cell r="I25">
            <v>6</v>
          </cell>
          <cell r="J25">
            <v>210</v>
          </cell>
        </row>
        <row r="26">
          <cell r="C26">
            <v>8</v>
          </cell>
          <cell r="D26">
            <v>280</v>
          </cell>
          <cell r="I26">
            <v>8</v>
          </cell>
          <cell r="J26">
            <v>280</v>
          </cell>
        </row>
        <row r="27">
          <cell r="C27">
            <v>10</v>
          </cell>
          <cell r="D27">
            <v>350</v>
          </cell>
          <cell r="I27">
            <v>10</v>
          </cell>
          <cell r="J27">
            <v>350</v>
          </cell>
        </row>
        <row r="28">
          <cell r="C28">
            <v>12</v>
          </cell>
          <cell r="D28">
            <v>420</v>
          </cell>
          <cell r="I28">
            <v>12</v>
          </cell>
          <cell r="J28">
            <v>420</v>
          </cell>
        </row>
        <row r="29">
          <cell r="C29">
            <v>14</v>
          </cell>
          <cell r="D29">
            <v>490</v>
          </cell>
          <cell r="I29">
            <v>14</v>
          </cell>
          <cell r="J29">
            <v>490</v>
          </cell>
        </row>
        <row r="30">
          <cell r="C30">
            <v>16</v>
          </cell>
          <cell r="D30">
            <v>560</v>
          </cell>
          <cell r="I30">
            <v>16</v>
          </cell>
          <cell r="J30">
            <v>560</v>
          </cell>
        </row>
        <row r="31">
          <cell r="C31">
            <v>18</v>
          </cell>
          <cell r="D31">
            <v>630</v>
          </cell>
          <cell r="I31">
            <v>18</v>
          </cell>
          <cell r="J31">
            <v>630</v>
          </cell>
        </row>
        <row r="32">
          <cell r="C32">
            <v>20</v>
          </cell>
          <cell r="D32">
            <v>700</v>
          </cell>
          <cell r="I32">
            <v>20</v>
          </cell>
          <cell r="J32">
            <v>700</v>
          </cell>
        </row>
        <row r="33">
          <cell r="C33">
            <v>22</v>
          </cell>
          <cell r="D33">
            <v>770</v>
          </cell>
          <cell r="I33">
            <v>22</v>
          </cell>
          <cell r="J33">
            <v>770</v>
          </cell>
        </row>
        <row r="34">
          <cell r="C34">
            <v>25</v>
          </cell>
          <cell r="D34">
            <v>880</v>
          </cell>
          <cell r="I34">
            <v>25</v>
          </cell>
          <cell r="J34">
            <v>880</v>
          </cell>
        </row>
        <row r="35">
          <cell r="C35">
            <v>28</v>
          </cell>
          <cell r="D35">
            <v>980</v>
          </cell>
          <cell r="I35">
            <v>28</v>
          </cell>
          <cell r="J35">
            <v>980</v>
          </cell>
        </row>
        <row r="36">
          <cell r="C36">
            <v>32</v>
          </cell>
          <cell r="D36">
            <v>1120</v>
          </cell>
          <cell r="I36">
            <v>32</v>
          </cell>
          <cell r="J36">
            <v>1120</v>
          </cell>
        </row>
        <row r="37">
          <cell r="C37">
            <v>36</v>
          </cell>
          <cell r="D37">
            <v>1260</v>
          </cell>
          <cell r="I37">
            <v>36</v>
          </cell>
          <cell r="J37">
            <v>1260</v>
          </cell>
        </row>
        <row r="38">
          <cell r="C38">
            <v>40</v>
          </cell>
          <cell r="D38">
            <v>1400</v>
          </cell>
          <cell r="I38">
            <v>40</v>
          </cell>
          <cell r="J38">
            <v>1400</v>
          </cell>
        </row>
        <row r="40">
          <cell r="F40">
            <v>1</v>
          </cell>
        </row>
        <row r="45">
          <cell r="A45" t="str">
            <v>Ne</v>
          </cell>
          <cell r="C45" t="str">
            <v>BT</v>
          </cell>
          <cell r="E45" t="str">
            <v>CPV</v>
          </cell>
          <cell r="G45" t="str">
            <v>TS</v>
          </cell>
        </row>
        <row r="46">
          <cell r="A46" t="str">
            <v>Tu</v>
          </cell>
          <cell r="C46" t="str">
            <v>BTD</v>
          </cell>
          <cell r="E46" t="str">
            <v>CPS</v>
          </cell>
          <cell r="G46" t="str">
            <v>TC</v>
          </cell>
        </row>
        <row r="47">
          <cell r="A47" t="str">
            <v>Mo</v>
          </cell>
          <cell r="C47" t="str">
            <v>BTC</v>
          </cell>
          <cell r="E47" t="str">
            <v>CPD</v>
          </cell>
          <cell r="G47" t="str">
            <v>TD</v>
          </cell>
        </row>
        <row r="48">
          <cell r="A48" t="str">
            <v>Ho</v>
          </cell>
          <cell r="C48" t="str">
            <v>BTM(Vác góc)</v>
          </cell>
          <cell r="E48" t="str">
            <v>CPM</v>
          </cell>
          <cell r="G48" t="str">
            <v>CC</v>
          </cell>
        </row>
        <row r="49">
          <cell r="A49" t="str">
            <v>Hos</v>
          </cell>
          <cell r="C49" t="str">
            <v>BTV</v>
          </cell>
          <cell r="E49" t="str">
            <v>CPC</v>
          </cell>
          <cell r="G49" t="str">
            <v>TCT</v>
          </cell>
        </row>
        <row r="50">
          <cell r="A50" t="str">
            <v>R</v>
          </cell>
          <cell r="E50" t="str">
            <v>CPCS</v>
          </cell>
        </row>
        <row r="51">
          <cell r="A51" t="str">
            <v>U</v>
          </cell>
        </row>
        <row r="52">
          <cell r="A52" t="str">
            <v>O</v>
          </cell>
        </row>
        <row r="53">
          <cell r="A53" t="str">
            <v>xR</v>
          </cell>
        </row>
        <row r="54">
          <cell r="A54" t="str">
            <v>xU</v>
          </cell>
        </row>
        <row r="55">
          <cell r="A55" t="str">
            <v>Cv</v>
          </cell>
        </row>
        <row r="56">
          <cell r="A56" t="str">
            <v>Ch</v>
          </cell>
        </row>
        <row r="57">
          <cell r="A57" t="str">
            <v>La</v>
          </cell>
        </row>
        <row r="61">
          <cell r="E61">
            <v>0</v>
          </cell>
        </row>
        <row r="63">
          <cell r="E63">
            <v>100</v>
          </cell>
        </row>
        <row r="65">
          <cell r="E65">
            <v>100</v>
          </cell>
        </row>
        <row r="66">
          <cell r="E66">
            <v>500</v>
          </cell>
        </row>
        <row r="67">
          <cell r="E67">
            <v>300</v>
          </cell>
        </row>
        <row r="68">
          <cell r="E68">
            <v>1.3</v>
          </cell>
        </row>
        <row r="79">
          <cell r="E79">
            <v>0</v>
          </cell>
        </row>
        <row r="80">
          <cell r="E80">
            <v>1</v>
          </cell>
        </row>
        <row r="81">
          <cell r="E81">
            <v>0.25</v>
          </cell>
        </row>
        <row r="82">
          <cell r="E82">
            <v>10</v>
          </cell>
        </row>
        <row r="83">
          <cell r="E83">
            <v>0.25</v>
          </cell>
        </row>
        <row r="84">
          <cell r="E84">
            <v>0.16666666666666666</v>
          </cell>
        </row>
        <row r="89">
          <cell r="E89">
            <v>0.25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7.xml><?xml version="1.0" encoding="utf-8"?>
<externalLink xmlns="http://schemas.openxmlformats.org/spreadsheetml/2006/main">
  <externalBook xmlns:r="http://schemas.openxmlformats.org/officeDocument/2006/relationships" r:id="rId1">
    <sheetNames>
      <sheetName val="TONG HOP"/>
      <sheetName val="DIEN TICH"/>
      <sheetName val="HT HAM"/>
      <sheetName val="HT PODIUM"/>
      <sheetName val="HT VAN PHONG"/>
      <sheetName val="3. KC - PODIUM"/>
      <sheetName val="4. KC - THAP VP"/>
    </sheetNames>
    <sheetDataSet>
      <sheetData sheetId="0"/>
      <sheetData sheetId="1">
        <row r="41">
          <cell r="I41">
            <v>0</v>
          </cell>
        </row>
      </sheetData>
      <sheetData sheetId="2"/>
      <sheetData sheetId="3"/>
      <sheetData sheetId="4"/>
      <sheetData sheetId="5">
        <row r="530">
          <cell r="I530">
            <v>0</v>
          </cell>
        </row>
      </sheetData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6.xml"/><Relationship Id="rId4" Type="http://schemas.openxmlformats.org/officeDocument/2006/relationships/comments" Target="../comments1.xm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8.xml"/><Relationship Id="rId10" Type="http://schemas.openxmlformats.org/officeDocument/2006/relationships/ctrlProp" Target="../ctrlProps/ctrlProp13.xml"/><Relationship Id="rId4" Type="http://schemas.openxmlformats.org/officeDocument/2006/relationships/comments" Target="../comments2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13" Type="http://schemas.openxmlformats.org/officeDocument/2006/relationships/ctrlProp" Target="../ctrlProps/ctrlProp22.xml"/><Relationship Id="rId18" Type="http://schemas.openxmlformats.org/officeDocument/2006/relationships/ctrlProp" Target="../ctrlProps/ctrlProp27.xml"/><Relationship Id="rId26" Type="http://schemas.openxmlformats.org/officeDocument/2006/relationships/ctrlProp" Target="../ctrlProps/ctrlProp35.xml"/><Relationship Id="rId3" Type="http://schemas.openxmlformats.org/officeDocument/2006/relationships/drawing" Target="../drawings/drawing5.xml"/><Relationship Id="rId21" Type="http://schemas.openxmlformats.org/officeDocument/2006/relationships/ctrlProp" Target="../ctrlProps/ctrlProp30.xml"/><Relationship Id="rId7" Type="http://schemas.openxmlformats.org/officeDocument/2006/relationships/ctrlProp" Target="../ctrlProps/ctrlProp16.xml"/><Relationship Id="rId12" Type="http://schemas.openxmlformats.org/officeDocument/2006/relationships/ctrlProp" Target="../ctrlProps/ctrlProp21.xml"/><Relationship Id="rId17" Type="http://schemas.openxmlformats.org/officeDocument/2006/relationships/ctrlProp" Target="../ctrlProps/ctrlProp26.xml"/><Relationship Id="rId25" Type="http://schemas.openxmlformats.org/officeDocument/2006/relationships/ctrlProp" Target="../ctrlProps/ctrlProp34.xml"/><Relationship Id="rId2" Type="http://schemas.openxmlformats.org/officeDocument/2006/relationships/printerSettings" Target="../printerSettings/printerSettings3.bin"/><Relationship Id="rId16" Type="http://schemas.openxmlformats.org/officeDocument/2006/relationships/ctrlProp" Target="../ctrlProps/ctrlProp25.xml"/><Relationship Id="rId20" Type="http://schemas.openxmlformats.org/officeDocument/2006/relationships/ctrlProp" Target="../ctrlProps/ctrlProp29.xml"/><Relationship Id="rId1" Type="http://schemas.openxmlformats.org/officeDocument/2006/relationships/hyperlink" Target="http://katapro.net/" TargetMode="External"/><Relationship Id="rId6" Type="http://schemas.openxmlformats.org/officeDocument/2006/relationships/ctrlProp" Target="../ctrlProps/ctrlProp15.xml"/><Relationship Id="rId11" Type="http://schemas.openxmlformats.org/officeDocument/2006/relationships/ctrlProp" Target="../ctrlProps/ctrlProp20.xml"/><Relationship Id="rId24" Type="http://schemas.openxmlformats.org/officeDocument/2006/relationships/ctrlProp" Target="../ctrlProps/ctrlProp33.xml"/><Relationship Id="rId5" Type="http://schemas.openxmlformats.org/officeDocument/2006/relationships/comments" Target="../comments3.xml"/><Relationship Id="rId15" Type="http://schemas.openxmlformats.org/officeDocument/2006/relationships/ctrlProp" Target="../ctrlProps/ctrlProp24.xml"/><Relationship Id="rId23" Type="http://schemas.openxmlformats.org/officeDocument/2006/relationships/ctrlProp" Target="../ctrlProps/ctrlProp32.xml"/><Relationship Id="rId28" Type="http://schemas.openxmlformats.org/officeDocument/2006/relationships/ctrlProp" Target="../ctrlProps/ctrlProp36.xml"/><Relationship Id="rId10" Type="http://schemas.openxmlformats.org/officeDocument/2006/relationships/ctrlProp" Target="../ctrlProps/ctrlProp19.xml"/><Relationship Id="rId19" Type="http://schemas.openxmlformats.org/officeDocument/2006/relationships/ctrlProp" Target="../ctrlProps/ctrlProp28.xml"/><Relationship Id="rId4" Type="http://schemas.openxmlformats.org/officeDocument/2006/relationships/vmlDrawing" Target="../drawings/vmlDrawing3.vml"/><Relationship Id="rId27" Type="http://schemas.openxmlformats.org/officeDocument/2006/relationships/ctrlProp" Target="../ctrlProps/ctrlProp14.xml"/><Relationship Id="rId9" Type="http://schemas.openxmlformats.org/officeDocument/2006/relationships/ctrlProp" Target="../ctrlProps/ctrlProp18.xml"/><Relationship Id="rId14" Type="http://schemas.openxmlformats.org/officeDocument/2006/relationships/ctrlProp" Target="../ctrlProps/ctrlProp23.xml"/><Relationship Id="rId22" Type="http://schemas.openxmlformats.org/officeDocument/2006/relationships/ctrlProp" Target="../ctrlProps/ctrlProp3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mailto:katapro.kinhdoanh@gmail.com" TargetMode="External"/><Relationship Id="rId1" Type="http://schemas.openxmlformats.org/officeDocument/2006/relationships/hyperlink" Target="http://katapro.net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7"/>
  <dimension ref="A1:AV216"/>
  <sheetViews>
    <sheetView workbookViewId="0">
      <selection activeCell="G23" sqref="G23"/>
    </sheetView>
  </sheetViews>
  <sheetFormatPr defaultColWidth="9.140625" defaultRowHeight="12.75" outlineLevelCol="1"/>
  <cols>
    <col min="1" max="1" width="12.5703125" style="4" customWidth="1"/>
    <col min="2" max="2" width="10.5703125" style="28" customWidth="1"/>
    <col min="3" max="4" width="9.140625" style="12"/>
    <col min="5" max="6" width="9.140625" style="4"/>
    <col min="7" max="7" width="10.42578125" style="4" customWidth="1"/>
    <col min="8" max="8" width="9.140625" style="4"/>
    <col min="9" max="9" width="9.140625" style="4" customWidth="1"/>
    <col min="10" max="11" width="9.140625" style="4"/>
    <col min="12" max="13" width="11.42578125" style="4" customWidth="1" outlineLevel="1"/>
    <col min="14" max="14" width="9.140625" style="4" customWidth="1" outlineLevel="1"/>
    <col min="15" max="15" width="9.140625" style="170" customWidth="1" outlineLevel="1"/>
    <col min="16" max="16" width="9.140625" style="4" customWidth="1" outlineLevel="1"/>
    <col min="17" max="17" width="9.140625" style="170" customWidth="1" outlineLevel="1"/>
    <col min="18" max="27" width="9.140625" style="4"/>
    <col min="28" max="29" width="9.140625" style="27"/>
    <col min="30" max="30" width="9.140625" style="178"/>
    <col min="31" max="45" width="9.140625" style="8"/>
    <col min="46" max="47" width="9.140625" style="178"/>
    <col min="48" max="48" width="9.140625" style="27"/>
    <col min="49" max="16384" width="9.140625" style="4"/>
  </cols>
  <sheetData>
    <row r="1" spans="1:48">
      <c r="A1" s="1" t="s">
        <v>172</v>
      </c>
      <c r="B1" s="1"/>
      <c r="C1" s="2">
        <v>800</v>
      </c>
      <c r="D1" s="244" t="s">
        <v>176</v>
      </c>
      <c r="E1" s="245"/>
      <c r="F1" s="14">
        <v>675</v>
      </c>
      <c r="G1" s="3" t="s">
        <v>5</v>
      </c>
      <c r="H1" s="3" t="s">
        <v>6</v>
      </c>
      <c r="I1" s="3" t="s">
        <v>1</v>
      </c>
      <c r="J1" s="3" t="s">
        <v>3</v>
      </c>
      <c r="AN1" s="59" t="s">
        <v>51</v>
      </c>
      <c r="AO1" s="59" t="s">
        <v>53</v>
      </c>
      <c r="AP1" s="59" t="s">
        <v>56</v>
      </c>
      <c r="AQ1" s="59" t="s">
        <v>54</v>
      </c>
      <c r="AR1" s="59" t="s">
        <v>52</v>
      </c>
      <c r="AS1" s="59" t="s">
        <v>55</v>
      </c>
    </row>
    <row r="2" spans="1:48">
      <c r="A2" s="1" t="s">
        <v>147</v>
      </c>
      <c r="B2" s="1"/>
      <c r="C2" s="2">
        <v>200</v>
      </c>
      <c r="D2" s="246" t="s">
        <v>177</v>
      </c>
      <c r="E2" s="246"/>
      <c r="F2" s="6" t="s">
        <v>6</v>
      </c>
      <c r="G2" s="3" t="s">
        <v>4</v>
      </c>
      <c r="H2" s="3" t="s">
        <v>5</v>
      </c>
      <c r="I2" s="3" t="s">
        <v>6</v>
      </c>
      <c r="J2" s="3" t="s">
        <v>0</v>
      </c>
      <c r="AE2" s="175" t="s">
        <v>7</v>
      </c>
      <c r="AF2" s="175">
        <f>VLOOKUP($V$22,$A$10:$J$216,3,0)</f>
        <v>3000</v>
      </c>
      <c r="AG2" s="175" t="s">
        <v>8</v>
      </c>
      <c r="AH2" s="243" t="s">
        <v>9</v>
      </c>
      <c r="AI2" s="243"/>
      <c r="AJ2" s="243"/>
      <c r="AK2" s="243" t="s">
        <v>10</v>
      </c>
      <c r="AL2" s="243"/>
      <c r="AM2" s="243"/>
      <c r="AN2" s="243" t="s">
        <v>11</v>
      </c>
      <c r="AO2" s="243"/>
      <c r="AP2" s="243"/>
      <c r="AQ2" s="243" t="s">
        <v>12</v>
      </c>
      <c r="AR2" s="243"/>
      <c r="AS2" s="243"/>
    </row>
    <row r="3" spans="1:48">
      <c r="A3" s="9" t="s">
        <v>173</v>
      </c>
      <c r="B3" s="10"/>
      <c r="C3" s="11" t="s">
        <v>107</v>
      </c>
      <c r="D3" s="246" t="s">
        <v>137</v>
      </c>
      <c r="E3" s="246"/>
      <c r="F3" s="6" t="s">
        <v>4</v>
      </c>
      <c r="G3" s="7"/>
      <c r="H3" s="5" t="b">
        <v>0</v>
      </c>
      <c r="I3" s="5" t="b">
        <v>0</v>
      </c>
      <c r="J3" s="7">
        <v>2</v>
      </c>
      <c r="K3" s="5"/>
      <c r="AE3" s="8">
        <f>IF(F1&gt;100,F1,F1*AF2)</f>
        <v>675</v>
      </c>
      <c r="AF3" s="8">
        <f>AF2-2*AE3</f>
        <v>1650</v>
      </c>
      <c r="AG3" s="175">
        <v>1</v>
      </c>
      <c r="AH3" s="8">
        <f>$AE$17+50</f>
        <v>-1450</v>
      </c>
      <c r="AI3" s="8">
        <f>$AF$17+50</f>
        <v>-250</v>
      </c>
      <c r="AJ3" s="8">
        <f>-$AI$3</f>
        <v>250</v>
      </c>
      <c r="AK3" s="8">
        <f>$AE$17+50</f>
        <v>-1450</v>
      </c>
      <c r="AL3" s="8">
        <f>$AF$17+50</f>
        <v>-250</v>
      </c>
      <c r="AM3" s="8">
        <f>-$AK$3</f>
        <v>1450</v>
      </c>
      <c r="AN3" s="8">
        <f>-AF3/2+AF10</f>
        <v>-687.5</v>
      </c>
      <c r="AO3" s="8">
        <f>$AI$3</f>
        <v>-250</v>
      </c>
      <c r="AP3" s="8">
        <f>-$AO$3</f>
        <v>250</v>
      </c>
      <c r="AQ3" s="8">
        <f>-AF3/2</f>
        <v>-825</v>
      </c>
      <c r="AR3" s="8">
        <f>AL3</f>
        <v>-250</v>
      </c>
      <c r="AS3" s="8">
        <f>-$AQ$3</f>
        <v>825</v>
      </c>
    </row>
    <row r="4" spans="1:48">
      <c r="A4" s="247" t="s">
        <v>174</v>
      </c>
      <c r="B4" s="248"/>
      <c r="C4" s="14">
        <v>1</v>
      </c>
      <c r="D4" s="249" t="s">
        <v>178</v>
      </c>
      <c r="E4" s="250"/>
      <c r="F4" s="14">
        <v>30</v>
      </c>
      <c r="G4" s="99" t="s">
        <v>180</v>
      </c>
      <c r="H4" s="251" t="s">
        <v>62</v>
      </c>
      <c r="I4" s="251"/>
      <c r="AE4" s="175" t="s">
        <v>110</v>
      </c>
      <c r="AF4" s="175" t="s">
        <v>111</v>
      </c>
      <c r="AG4" s="175">
        <v>2</v>
      </c>
      <c r="AH4" s="8">
        <f t="shared" ref="AH4:AH27" si="0">IF(AG4&gt;$AE$5,AH3,AH3+$AF$9)</f>
        <v>-1345.8333333333333</v>
      </c>
      <c r="AI4" s="8">
        <f>$AI$3</f>
        <v>-250</v>
      </c>
      <c r="AJ4" s="8">
        <f>-$AI$3</f>
        <v>250</v>
      </c>
      <c r="AK4" s="8">
        <f>$AK$3</f>
        <v>-1450</v>
      </c>
      <c r="AL4" s="8">
        <f t="shared" ref="AL4:AL35" si="1">IF(AG4&gt;$AE$8,AL3,AL3+$AF$11)</f>
        <v>-166.66666666666669</v>
      </c>
      <c r="AM4" s="8">
        <f>-$AK$3</f>
        <v>1450</v>
      </c>
      <c r="AN4" s="8">
        <f>IF(AG4&gt;$AF$5,AN3,AN3+$AF$10)</f>
        <v>-550</v>
      </c>
      <c r="AO4" s="8">
        <f>$AI$3</f>
        <v>-250</v>
      </c>
      <c r="AP4" s="8">
        <f>-$AO$3</f>
        <v>250</v>
      </c>
      <c r="AQ4" s="8">
        <f>$AQ$3</f>
        <v>-825</v>
      </c>
      <c r="AR4" s="8">
        <f>IF(AG4&gt;$AF$8,AR3,AR3+$AF$12)</f>
        <v>-166.66666666666669</v>
      </c>
      <c r="AS4" s="8">
        <f>-$AQ$3</f>
        <v>825</v>
      </c>
    </row>
    <row r="5" spans="1:48">
      <c r="A5" s="247" t="s">
        <v>175</v>
      </c>
      <c r="B5" s="248"/>
      <c r="C5" s="15">
        <v>-5.5</v>
      </c>
      <c r="D5" s="249" t="s">
        <v>195</v>
      </c>
      <c r="E5" s="250"/>
      <c r="F5" s="14">
        <v>15</v>
      </c>
      <c r="G5" s="42" t="s">
        <v>181</v>
      </c>
      <c r="H5" s="251" t="s">
        <v>65</v>
      </c>
      <c r="I5" s="251"/>
      <c r="AE5" s="175">
        <f>VLOOKUP($V$22,$A$10:$J$216,5,0)</f>
        <v>7</v>
      </c>
      <c r="AF5" s="175">
        <f>VLOOKUP($V$22,$A$10:$J$216,6,0)</f>
        <v>11</v>
      </c>
      <c r="AG5" s="175">
        <v>3</v>
      </c>
      <c r="AH5" s="8">
        <f t="shared" si="0"/>
        <v>-1241.6666666666665</v>
      </c>
      <c r="AI5" s="8">
        <f t="shared" ref="AI5:AI52" si="2">$AI$3</f>
        <v>-250</v>
      </c>
      <c r="AJ5" s="8">
        <f t="shared" ref="AJ5:AJ52" si="3">-$AI$3</f>
        <v>250</v>
      </c>
      <c r="AK5" s="8">
        <f t="shared" ref="AK5:AK52" si="4">$AK$3</f>
        <v>-1450</v>
      </c>
      <c r="AL5" s="8">
        <f t="shared" si="1"/>
        <v>-83.333333333333357</v>
      </c>
      <c r="AM5" s="8">
        <f t="shared" ref="AM5:AM52" si="5">-$AK$3</f>
        <v>1450</v>
      </c>
      <c r="AN5" s="8">
        <f t="shared" ref="AN5:AN52" si="6">IF(AG5&gt;$AF$5,AN4,AN4+$AF$10)</f>
        <v>-412.5</v>
      </c>
      <c r="AO5" s="8">
        <f t="shared" ref="AO5:AO52" si="7">$AI$3</f>
        <v>-250</v>
      </c>
      <c r="AP5" s="8">
        <f t="shared" ref="AP5:AP52" si="8">-$AO$3</f>
        <v>250</v>
      </c>
      <c r="AQ5" s="8">
        <f t="shared" ref="AQ5:AQ52" si="9">$AQ$3</f>
        <v>-825</v>
      </c>
      <c r="AR5" s="8">
        <f t="shared" ref="AR5:AR52" si="10">IF(AG5&gt;$AF$8,AR4,AR4+$AF$12)</f>
        <v>-83.333333333333357</v>
      </c>
      <c r="AS5" s="8">
        <f t="shared" ref="AS5:AS52" si="11">-$AQ$3</f>
        <v>825</v>
      </c>
    </row>
    <row r="6" spans="1:48">
      <c r="A6" s="252"/>
      <c r="B6" s="253"/>
      <c r="C6" s="253"/>
      <c r="D6" s="253"/>
      <c r="E6" s="253"/>
      <c r="F6" s="253"/>
      <c r="G6" s="253"/>
      <c r="H6" s="253"/>
      <c r="I6" s="253"/>
      <c r="J6" s="253"/>
      <c r="K6" s="253"/>
      <c r="AE6" s="175" t="s">
        <v>15</v>
      </c>
      <c r="AF6" s="175">
        <f>VLOOKUP($V$22,$A$10:$J$216,4,0)</f>
        <v>600</v>
      </c>
      <c r="AG6" s="175">
        <v>4</v>
      </c>
      <c r="AH6" s="8">
        <f t="shared" si="0"/>
        <v>-1137.4999999999998</v>
      </c>
      <c r="AI6" s="8">
        <f t="shared" si="2"/>
        <v>-250</v>
      </c>
      <c r="AJ6" s="8">
        <f t="shared" si="3"/>
        <v>250</v>
      </c>
      <c r="AK6" s="8">
        <f t="shared" si="4"/>
        <v>-1450</v>
      </c>
      <c r="AL6" s="8">
        <f t="shared" si="1"/>
        <v>-2.8421709430404007E-14</v>
      </c>
      <c r="AM6" s="8">
        <f t="shared" si="5"/>
        <v>1450</v>
      </c>
      <c r="AN6" s="8">
        <f t="shared" si="6"/>
        <v>-275</v>
      </c>
      <c r="AO6" s="8">
        <f t="shared" si="7"/>
        <v>-250</v>
      </c>
      <c r="AP6" s="8">
        <f t="shared" si="8"/>
        <v>250</v>
      </c>
      <c r="AQ6" s="8">
        <f t="shared" si="9"/>
        <v>-825</v>
      </c>
      <c r="AR6" s="8">
        <f t="shared" si="10"/>
        <v>-2.8421709430404007E-14</v>
      </c>
      <c r="AS6" s="8">
        <f t="shared" si="11"/>
        <v>825</v>
      </c>
    </row>
    <row r="7" spans="1:48" ht="12.75" customHeight="1">
      <c r="A7" s="254" t="s">
        <v>182</v>
      </c>
      <c r="B7" s="16" t="s">
        <v>183</v>
      </c>
      <c r="C7" s="256" t="s">
        <v>184</v>
      </c>
      <c r="D7" s="257"/>
      <c r="E7" s="258" t="s">
        <v>187</v>
      </c>
      <c r="F7" s="258"/>
      <c r="G7" s="258"/>
      <c r="H7" s="258"/>
      <c r="I7" s="259" t="s">
        <v>188</v>
      </c>
      <c r="J7" s="259" t="s">
        <v>189</v>
      </c>
      <c r="K7" s="259" t="s">
        <v>190</v>
      </c>
      <c r="L7" s="262" t="s">
        <v>109</v>
      </c>
      <c r="M7" s="263"/>
      <c r="N7" s="263"/>
      <c r="O7" s="263"/>
      <c r="P7" s="263"/>
      <c r="Q7" s="264"/>
      <c r="AE7" s="175" t="s">
        <v>13</v>
      </c>
      <c r="AF7" s="175" t="s">
        <v>14</v>
      </c>
      <c r="AG7" s="175">
        <v>5</v>
      </c>
      <c r="AH7" s="8">
        <f t="shared" si="0"/>
        <v>-1033.333333333333</v>
      </c>
      <c r="AI7" s="8">
        <f t="shared" si="2"/>
        <v>-250</v>
      </c>
      <c r="AJ7" s="8">
        <f t="shared" si="3"/>
        <v>250</v>
      </c>
      <c r="AK7" s="8">
        <f t="shared" si="4"/>
        <v>-1450</v>
      </c>
      <c r="AL7" s="8">
        <f t="shared" si="1"/>
        <v>83.3333333333333</v>
      </c>
      <c r="AM7" s="8">
        <f t="shared" si="5"/>
        <v>1450</v>
      </c>
      <c r="AN7" s="8">
        <f t="shared" si="6"/>
        <v>-137.5</v>
      </c>
      <c r="AO7" s="8">
        <f t="shared" si="7"/>
        <v>-250</v>
      </c>
      <c r="AP7" s="8">
        <f t="shared" si="8"/>
        <v>250</v>
      </c>
      <c r="AQ7" s="8">
        <f t="shared" si="9"/>
        <v>-825</v>
      </c>
      <c r="AR7" s="8">
        <f t="shared" si="10"/>
        <v>83.3333333333333</v>
      </c>
      <c r="AS7" s="8">
        <f t="shared" si="11"/>
        <v>825</v>
      </c>
    </row>
    <row r="8" spans="1:48">
      <c r="A8" s="255"/>
      <c r="B8" s="18" t="s">
        <v>21</v>
      </c>
      <c r="C8" s="174" t="s">
        <v>185</v>
      </c>
      <c r="D8" s="174" t="s">
        <v>186</v>
      </c>
      <c r="E8" s="265" t="s">
        <v>185</v>
      </c>
      <c r="F8" s="265"/>
      <c r="G8" s="265" t="s">
        <v>186</v>
      </c>
      <c r="H8" s="265"/>
      <c r="I8" s="259"/>
      <c r="J8" s="259"/>
      <c r="K8" s="259"/>
      <c r="L8" s="176" t="s">
        <v>179</v>
      </c>
      <c r="M8" s="177" t="s">
        <v>260</v>
      </c>
      <c r="N8" s="266" t="s">
        <v>262</v>
      </c>
      <c r="O8" s="267"/>
      <c r="P8" s="266" t="s">
        <v>261</v>
      </c>
      <c r="Q8" s="267"/>
      <c r="AE8" s="175">
        <f>VLOOKUP($V$22,$A$10:$J$216,7,0)</f>
        <v>7</v>
      </c>
      <c r="AF8" s="175">
        <f>VLOOKUP($V$22,$A$10:$J$216,8,0)</f>
        <v>7</v>
      </c>
      <c r="AG8" s="175">
        <v>6</v>
      </c>
      <c r="AH8" s="8">
        <f t="shared" si="0"/>
        <v>-929.1666666666664</v>
      </c>
      <c r="AI8" s="8">
        <f t="shared" si="2"/>
        <v>-250</v>
      </c>
      <c r="AJ8" s="8">
        <f t="shared" si="3"/>
        <v>250</v>
      </c>
      <c r="AK8" s="8">
        <f t="shared" si="4"/>
        <v>-1450</v>
      </c>
      <c r="AL8" s="8">
        <f t="shared" si="1"/>
        <v>166.66666666666663</v>
      </c>
      <c r="AM8" s="8">
        <f t="shared" si="5"/>
        <v>1450</v>
      </c>
      <c r="AN8" s="8">
        <f t="shared" si="6"/>
        <v>0</v>
      </c>
      <c r="AO8" s="8">
        <f t="shared" si="7"/>
        <v>-250</v>
      </c>
      <c r="AP8" s="8">
        <f t="shared" si="8"/>
        <v>250</v>
      </c>
      <c r="AQ8" s="8">
        <f t="shared" si="9"/>
        <v>-825</v>
      </c>
      <c r="AR8" s="8">
        <f t="shared" si="10"/>
        <v>166.66666666666663</v>
      </c>
      <c r="AS8" s="8">
        <f t="shared" si="11"/>
        <v>825</v>
      </c>
    </row>
    <row r="9" spans="1:48" ht="15" customHeight="1">
      <c r="A9" s="20" t="s">
        <v>18</v>
      </c>
      <c r="B9" s="15">
        <v>1.5</v>
      </c>
      <c r="C9" s="174" t="s">
        <v>23</v>
      </c>
      <c r="D9" s="174" t="s">
        <v>23</v>
      </c>
      <c r="E9" s="173" t="s">
        <v>191</v>
      </c>
      <c r="F9" s="173" t="s">
        <v>194</v>
      </c>
      <c r="G9" s="173" t="s">
        <v>192</v>
      </c>
      <c r="H9" s="173" t="s">
        <v>193</v>
      </c>
      <c r="I9" s="174" t="s">
        <v>23</v>
      </c>
      <c r="J9" s="174" t="s">
        <v>23</v>
      </c>
      <c r="K9" s="174" t="s">
        <v>23</v>
      </c>
      <c r="L9" s="174" t="s">
        <v>60</v>
      </c>
      <c r="M9" s="174" t="s">
        <v>60</v>
      </c>
      <c r="N9" s="174" t="s">
        <v>60</v>
      </c>
      <c r="O9" s="171" t="s">
        <v>61</v>
      </c>
      <c r="P9" s="174" t="s">
        <v>60</v>
      </c>
      <c r="Q9" s="171" t="s">
        <v>61</v>
      </c>
      <c r="AE9" s="175" t="s">
        <v>112</v>
      </c>
      <c r="AF9" s="175">
        <f>(AE3-50)/(AE5-1)</f>
        <v>104.16666666666667</v>
      </c>
      <c r="AG9" s="175">
        <v>7</v>
      </c>
      <c r="AH9" s="8">
        <f t="shared" si="0"/>
        <v>-824.99999999999977</v>
      </c>
      <c r="AI9" s="8">
        <f t="shared" si="2"/>
        <v>-250</v>
      </c>
      <c r="AJ9" s="8">
        <f t="shared" si="3"/>
        <v>250</v>
      </c>
      <c r="AK9" s="8">
        <f t="shared" si="4"/>
        <v>-1450</v>
      </c>
      <c r="AL9" s="8">
        <f t="shared" si="1"/>
        <v>249.99999999999994</v>
      </c>
      <c r="AM9" s="8">
        <f t="shared" si="5"/>
        <v>1450</v>
      </c>
      <c r="AN9" s="8">
        <f t="shared" si="6"/>
        <v>137.5</v>
      </c>
      <c r="AO9" s="8">
        <f t="shared" si="7"/>
        <v>-250</v>
      </c>
      <c r="AP9" s="8">
        <f t="shared" si="8"/>
        <v>250</v>
      </c>
      <c r="AQ9" s="8">
        <f t="shared" si="9"/>
        <v>-825</v>
      </c>
      <c r="AR9" s="8">
        <f t="shared" si="10"/>
        <v>249.99999999999994</v>
      </c>
      <c r="AS9" s="8">
        <f t="shared" si="11"/>
        <v>825</v>
      </c>
    </row>
    <row r="10" spans="1:48">
      <c r="A10" s="23" t="s">
        <v>24</v>
      </c>
      <c r="B10" s="24">
        <v>3</v>
      </c>
      <c r="C10" s="14">
        <v>3000</v>
      </c>
      <c r="D10" s="14">
        <v>600</v>
      </c>
      <c r="E10" s="25">
        <v>7</v>
      </c>
      <c r="F10" s="25">
        <v>11</v>
      </c>
      <c r="G10" s="25">
        <v>7</v>
      </c>
      <c r="H10" s="14">
        <v>7</v>
      </c>
      <c r="I10" s="14">
        <v>25</v>
      </c>
      <c r="J10" s="14">
        <v>150</v>
      </c>
      <c r="K10" s="14">
        <v>600</v>
      </c>
      <c r="L10" s="14" t="s">
        <v>62</v>
      </c>
      <c r="M10" s="14" t="s">
        <v>62</v>
      </c>
      <c r="N10" s="14" t="s">
        <v>63</v>
      </c>
      <c r="O10" s="172" t="s">
        <v>106</v>
      </c>
      <c r="P10" s="14" t="s">
        <v>63</v>
      </c>
      <c r="Q10" s="172" t="s">
        <v>91</v>
      </c>
      <c r="AE10" s="175" t="s">
        <v>113</v>
      </c>
      <c r="AF10" s="181">
        <f>AF3/(AF5+1)</f>
        <v>137.5</v>
      </c>
      <c r="AG10" s="175">
        <v>8</v>
      </c>
      <c r="AH10" s="8">
        <f t="shared" si="0"/>
        <v>-824.99999999999977</v>
      </c>
      <c r="AI10" s="8">
        <f t="shared" si="2"/>
        <v>-250</v>
      </c>
      <c r="AJ10" s="8">
        <f t="shared" si="3"/>
        <v>250</v>
      </c>
      <c r="AK10" s="8">
        <f t="shared" si="4"/>
        <v>-1450</v>
      </c>
      <c r="AL10" s="8">
        <f t="shared" si="1"/>
        <v>249.99999999999994</v>
      </c>
      <c r="AM10" s="8">
        <f t="shared" si="5"/>
        <v>1450</v>
      </c>
      <c r="AN10" s="8">
        <f t="shared" si="6"/>
        <v>275</v>
      </c>
      <c r="AO10" s="8">
        <f t="shared" si="7"/>
        <v>-250</v>
      </c>
      <c r="AP10" s="8">
        <f t="shared" si="8"/>
        <v>250</v>
      </c>
      <c r="AQ10" s="8">
        <f t="shared" si="9"/>
        <v>-825</v>
      </c>
      <c r="AR10" s="8">
        <f t="shared" si="10"/>
        <v>249.99999999999994</v>
      </c>
      <c r="AS10" s="8">
        <f t="shared" si="11"/>
        <v>825</v>
      </c>
    </row>
    <row r="11" spans="1:48" s="17" customFormat="1" ht="15" customHeight="1">
      <c r="A11" s="23" t="s">
        <v>25</v>
      </c>
      <c r="B11" s="24">
        <v>3.5</v>
      </c>
      <c r="C11" s="14">
        <v>3000</v>
      </c>
      <c r="D11" s="14">
        <v>600</v>
      </c>
      <c r="E11" s="25">
        <v>7</v>
      </c>
      <c r="F11" s="25">
        <v>11</v>
      </c>
      <c r="G11" s="25">
        <v>7</v>
      </c>
      <c r="H11" s="25">
        <v>7</v>
      </c>
      <c r="I11" s="14">
        <v>25</v>
      </c>
      <c r="J11" s="14">
        <v>150</v>
      </c>
      <c r="K11" s="14">
        <v>600</v>
      </c>
      <c r="L11" s="14" t="s">
        <v>62</v>
      </c>
      <c r="M11" s="14" t="s">
        <v>62</v>
      </c>
      <c r="N11" s="14" t="s">
        <v>63</v>
      </c>
      <c r="O11" s="172" t="s">
        <v>106</v>
      </c>
      <c r="P11" s="14" t="s">
        <v>63</v>
      </c>
      <c r="Q11" s="172" t="s">
        <v>91</v>
      </c>
      <c r="AB11" s="55"/>
      <c r="AC11" s="55"/>
      <c r="AD11" s="179"/>
      <c r="AE11" s="175" t="s">
        <v>20</v>
      </c>
      <c r="AF11" s="175">
        <f>(AF6-100)/(AE8-1)</f>
        <v>83.333333333333329</v>
      </c>
      <c r="AG11" s="175">
        <v>9</v>
      </c>
      <c r="AH11" s="8">
        <f t="shared" si="0"/>
        <v>-824.99999999999977</v>
      </c>
      <c r="AI11" s="8">
        <f t="shared" si="2"/>
        <v>-250</v>
      </c>
      <c r="AJ11" s="8">
        <f t="shared" si="3"/>
        <v>250</v>
      </c>
      <c r="AK11" s="8">
        <f t="shared" si="4"/>
        <v>-1450</v>
      </c>
      <c r="AL11" s="8">
        <f t="shared" si="1"/>
        <v>249.99999999999994</v>
      </c>
      <c r="AM11" s="8">
        <f t="shared" si="5"/>
        <v>1450</v>
      </c>
      <c r="AN11" s="8">
        <f t="shared" si="6"/>
        <v>412.5</v>
      </c>
      <c r="AO11" s="8">
        <f t="shared" si="7"/>
        <v>-250</v>
      </c>
      <c r="AP11" s="8">
        <f t="shared" si="8"/>
        <v>250</v>
      </c>
      <c r="AQ11" s="8">
        <f t="shared" si="9"/>
        <v>-825</v>
      </c>
      <c r="AR11" s="8">
        <f t="shared" si="10"/>
        <v>249.99999999999994</v>
      </c>
      <c r="AS11" s="8">
        <f t="shared" si="11"/>
        <v>825</v>
      </c>
      <c r="AT11" s="179"/>
      <c r="AU11" s="179"/>
      <c r="AV11" s="55"/>
    </row>
    <row r="12" spans="1:48" s="12" customFormat="1" ht="14.25" customHeight="1">
      <c r="A12" s="23" t="s">
        <v>27</v>
      </c>
      <c r="B12" s="24">
        <v>3.9</v>
      </c>
      <c r="C12" s="14">
        <v>3000</v>
      </c>
      <c r="D12" s="14">
        <v>600</v>
      </c>
      <c r="E12" s="25">
        <v>7</v>
      </c>
      <c r="F12" s="25">
        <v>11</v>
      </c>
      <c r="G12" s="25">
        <v>7</v>
      </c>
      <c r="H12" s="25">
        <v>7</v>
      </c>
      <c r="I12" s="14" t="s">
        <v>78</v>
      </c>
      <c r="J12" s="14">
        <v>150</v>
      </c>
      <c r="K12" s="14">
        <v>400</v>
      </c>
      <c r="L12" s="14" t="s">
        <v>62</v>
      </c>
      <c r="M12" s="14" t="s">
        <v>62</v>
      </c>
      <c r="N12" s="14" t="s">
        <v>63</v>
      </c>
      <c r="O12" s="172" t="s">
        <v>106</v>
      </c>
      <c r="P12" s="14" t="s">
        <v>63</v>
      </c>
      <c r="Q12" s="172" t="s">
        <v>91</v>
      </c>
      <c r="R12" s="4"/>
      <c r="S12" s="4"/>
      <c r="T12" s="4"/>
      <c r="U12" s="4"/>
      <c r="V12" s="4"/>
      <c r="W12" s="4"/>
      <c r="X12" s="4"/>
      <c r="Y12" s="4"/>
      <c r="Z12" s="4"/>
      <c r="AA12" s="4"/>
      <c r="AB12" s="27"/>
      <c r="AC12" s="27"/>
      <c r="AD12" s="178"/>
      <c r="AE12" s="182" t="s">
        <v>20</v>
      </c>
      <c r="AF12" s="182">
        <f>(AF6-100)/(AF8-1)</f>
        <v>83.333333333333329</v>
      </c>
      <c r="AG12" s="175">
        <v>10</v>
      </c>
      <c r="AH12" s="8">
        <f t="shared" si="0"/>
        <v>-824.99999999999977</v>
      </c>
      <c r="AI12" s="8">
        <f t="shared" si="2"/>
        <v>-250</v>
      </c>
      <c r="AJ12" s="8">
        <f t="shared" si="3"/>
        <v>250</v>
      </c>
      <c r="AK12" s="8">
        <f t="shared" si="4"/>
        <v>-1450</v>
      </c>
      <c r="AL12" s="8">
        <f t="shared" si="1"/>
        <v>249.99999999999994</v>
      </c>
      <c r="AM12" s="8">
        <f t="shared" si="5"/>
        <v>1450</v>
      </c>
      <c r="AN12" s="8">
        <f t="shared" si="6"/>
        <v>550</v>
      </c>
      <c r="AO12" s="8">
        <f t="shared" si="7"/>
        <v>-250</v>
      </c>
      <c r="AP12" s="8">
        <f t="shared" si="8"/>
        <v>250</v>
      </c>
      <c r="AQ12" s="8">
        <f t="shared" si="9"/>
        <v>-825</v>
      </c>
      <c r="AR12" s="8">
        <f t="shared" si="10"/>
        <v>249.99999999999994</v>
      </c>
      <c r="AS12" s="8">
        <f t="shared" si="11"/>
        <v>825</v>
      </c>
      <c r="AT12" s="112"/>
      <c r="AU12" s="112"/>
      <c r="AV12" s="57"/>
    </row>
    <row r="13" spans="1:48" s="12" customFormat="1">
      <c r="A13" s="23" t="s">
        <v>28</v>
      </c>
      <c r="B13" s="24">
        <v>4.5999999999999996</v>
      </c>
      <c r="C13" s="14">
        <v>3000</v>
      </c>
      <c r="D13" s="14">
        <v>600</v>
      </c>
      <c r="E13" s="25">
        <v>7</v>
      </c>
      <c r="F13" s="25">
        <v>11</v>
      </c>
      <c r="G13" s="25">
        <v>7</v>
      </c>
      <c r="H13" s="25">
        <v>7</v>
      </c>
      <c r="I13" s="14">
        <v>20</v>
      </c>
      <c r="J13" s="14">
        <v>150</v>
      </c>
      <c r="K13" s="14">
        <v>400</v>
      </c>
      <c r="L13" s="14" t="s">
        <v>62</v>
      </c>
      <c r="M13" s="14" t="s">
        <v>62</v>
      </c>
      <c r="N13" s="14" t="s">
        <v>63</v>
      </c>
      <c r="O13" s="172" t="s">
        <v>106</v>
      </c>
      <c r="P13" s="14" t="s">
        <v>63</v>
      </c>
      <c r="Q13" s="172" t="s">
        <v>91</v>
      </c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56"/>
      <c r="AC13" s="56"/>
      <c r="AD13" s="180"/>
      <c r="AE13" s="175" t="s">
        <v>22</v>
      </c>
      <c r="AF13" s="175"/>
      <c r="AG13" s="175">
        <v>11</v>
      </c>
      <c r="AH13" s="8">
        <f t="shared" si="0"/>
        <v>-824.99999999999977</v>
      </c>
      <c r="AI13" s="8">
        <f t="shared" si="2"/>
        <v>-250</v>
      </c>
      <c r="AJ13" s="8">
        <f t="shared" si="3"/>
        <v>250</v>
      </c>
      <c r="AK13" s="8">
        <f t="shared" si="4"/>
        <v>-1450</v>
      </c>
      <c r="AL13" s="8">
        <f t="shared" si="1"/>
        <v>249.99999999999994</v>
      </c>
      <c r="AM13" s="8">
        <f t="shared" si="5"/>
        <v>1450</v>
      </c>
      <c r="AN13" s="8">
        <f t="shared" si="6"/>
        <v>687.5</v>
      </c>
      <c r="AO13" s="8">
        <f t="shared" si="7"/>
        <v>-250</v>
      </c>
      <c r="AP13" s="8">
        <f t="shared" si="8"/>
        <v>250</v>
      </c>
      <c r="AQ13" s="8">
        <f t="shared" si="9"/>
        <v>-825</v>
      </c>
      <c r="AR13" s="8">
        <f t="shared" si="10"/>
        <v>249.99999999999994</v>
      </c>
      <c r="AS13" s="8">
        <f t="shared" si="11"/>
        <v>825</v>
      </c>
      <c r="AT13" s="112"/>
      <c r="AU13" s="112"/>
      <c r="AV13" s="57"/>
    </row>
    <row r="14" spans="1:48">
      <c r="A14" s="23" t="s">
        <v>29</v>
      </c>
      <c r="B14" s="24">
        <v>3.3</v>
      </c>
      <c r="C14" s="14">
        <v>3000</v>
      </c>
      <c r="D14" s="14">
        <v>600</v>
      </c>
      <c r="E14" s="25">
        <v>7</v>
      </c>
      <c r="F14" s="25">
        <v>11</v>
      </c>
      <c r="G14" s="25">
        <v>7</v>
      </c>
      <c r="H14" s="25">
        <v>7</v>
      </c>
      <c r="I14" s="14">
        <v>20</v>
      </c>
      <c r="J14" s="14">
        <v>150</v>
      </c>
      <c r="K14" s="14">
        <v>600</v>
      </c>
      <c r="L14" s="14" t="s">
        <v>62</v>
      </c>
      <c r="M14" s="14" t="s">
        <v>62</v>
      </c>
      <c r="N14" s="14" t="s">
        <v>63</v>
      </c>
      <c r="O14" s="172" t="s">
        <v>106</v>
      </c>
      <c r="P14" s="14" t="s">
        <v>63</v>
      </c>
      <c r="Q14" s="172" t="s">
        <v>91</v>
      </c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56"/>
      <c r="AC14" s="56"/>
      <c r="AD14" s="180"/>
      <c r="AE14" s="175">
        <f>ROUND(MAX(AF2,AF6)/250+0.499,0)*125</f>
        <v>1500</v>
      </c>
      <c r="AF14" s="175">
        <f>AE14</f>
        <v>1500</v>
      </c>
      <c r="AG14" s="175">
        <v>12</v>
      </c>
      <c r="AH14" s="8">
        <f t="shared" si="0"/>
        <v>-824.99999999999977</v>
      </c>
      <c r="AI14" s="8">
        <f t="shared" si="2"/>
        <v>-250</v>
      </c>
      <c r="AJ14" s="8">
        <f t="shared" si="3"/>
        <v>250</v>
      </c>
      <c r="AK14" s="8">
        <f t="shared" si="4"/>
        <v>-1450</v>
      </c>
      <c r="AL14" s="8">
        <f t="shared" si="1"/>
        <v>249.99999999999994</v>
      </c>
      <c r="AM14" s="8">
        <f t="shared" si="5"/>
        <v>1450</v>
      </c>
      <c r="AN14" s="8">
        <f t="shared" si="6"/>
        <v>687.5</v>
      </c>
      <c r="AO14" s="8">
        <f t="shared" si="7"/>
        <v>-250</v>
      </c>
      <c r="AP14" s="8">
        <f t="shared" si="8"/>
        <v>250</v>
      </c>
      <c r="AQ14" s="8">
        <f t="shared" si="9"/>
        <v>-825</v>
      </c>
      <c r="AR14" s="8">
        <f t="shared" si="10"/>
        <v>249.99999999999994</v>
      </c>
      <c r="AS14" s="8">
        <f t="shared" si="11"/>
        <v>825</v>
      </c>
    </row>
    <row r="15" spans="1:48">
      <c r="A15" s="23" t="s">
        <v>30</v>
      </c>
      <c r="B15" s="24">
        <v>3.3</v>
      </c>
      <c r="C15" s="14">
        <v>3000</v>
      </c>
      <c r="D15" s="14">
        <v>600</v>
      </c>
      <c r="E15" s="25">
        <v>7</v>
      </c>
      <c r="F15" s="25">
        <v>11</v>
      </c>
      <c r="G15" s="25">
        <v>7</v>
      </c>
      <c r="H15" s="25">
        <v>7</v>
      </c>
      <c r="I15" s="14">
        <v>20</v>
      </c>
      <c r="J15" s="14">
        <v>150</v>
      </c>
      <c r="K15" s="14">
        <v>400</v>
      </c>
      <c r="L15" s="14" t="s">
        <v>62</v>
      </c>
      <c r="M15" s="14" t="s">
        <v>62</v>
      </c>
      <c r="N15" s="14" t="s">
        <v>63</v>
      </c>
      <c r="O15" s="172" t="s">
        <v>106</v>
      </c>
      <c r="P15" s="14" t="s">
        <v>63</v>
      </c>
      <c r="Q15" s="172" t="s">
        <v>91</v>
      </c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56"/>
      <c r="AC15" s="56"/>
      <c r="AD15" s="180"/>
      <c r="AE15" s="175">
        <f>-AE14</f>
        <v>-1500</v>
      </c>
      <c r="AF15" s="175">
        <f>AE15</f>
        <v>-1500</v>
      </c>
      <c r="AG15" s="175">
        <v>13</v>
      </c>
      <c r="AH15" s="8">
        <f t="shared" si="0"/>
        <v>-824.99999999999977</v>
      </c>
      <c r="AI15" s="8">
        <f t="shared" si="2"/>
        <v>-250</v>
      </c>
      <c r="AJ15" s="8">
        <f t="shared" si="3"/>
        <v>250</v>
      </c>
      <c r="AK15" s="8">
        <f t="shared" si="4"/>
        <v>-1450</v>
      </c>
      <c r="AL15" s="8">
        <f t="shared" si="1"/>
        <v>249.99999999999994</v>
      </c>
      <c r="AM15" s="8">
        <f t="shared" si="5"/>
        <v>1450</v>
      </c>
      <c r="AN15" s="8">
        <f t="shared" si="6"/>
        <v>687.5</v>
      </c>
      <c r="AO15" s="8">
        <f t="shared" si="7"/>
        <v>-250</v>
      </c>
      <c r="AP15" s="8">
        <f t="shared" si="8"/>
        <v>250</v>
      </c>
      <c r="AQ15" s="8">
        <f t="shared" si="9"/>
        <v>-825</v>
      </c>
      <c r="AR15" s="8">
        <f t="shared" si="10"/>
        <v>249.99999999999994</v>
      </c>
      <c r="AS15" s="8">
        <f t="shared" si="11"/>
        <v>825</v>
      </c>
    </row>
    <row r="16" spans="1:48">
      <c r="A16" s="23"/>
      <c r="B16" s="24"/>
      <c r="C16" s="14"/>
      <c r="D16" s="14"/>
      <c r="E16" s="25"/>
      <c r="F16" s="25"/>
      <c r="G16" s="25"/>
      <c r="H16" s="25"/>
      <c r="I16" s="14"/>
      <c r="J16" s="14"/>
      <c r="K16" s="14"/>
      <c r="L16" s="14"/>
      <c r="M16" s="14"/>
      <c r="N16" s="14"/>
      <c r="O16" s="172"/>
      <c r="P16" s="14"/>
      <c r="Q16" s="17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56"/>
      <c r="AC16" s="56"/>
      <c r="AD16" s="180"/>
      <c r="AE16" s="175" t="s">
        <v>26</v>
      </c>
      <c r="AF16" s="175"/>
      <c r="AG16" s="175">
        <v>14</v>
      </c>
      <c r="AH16" s="8">
        <f t="shared" si="0"/>
        <v>-824.99999999999977</v>
      </c>
      <c r="AI16" s="8">
        <f t="shared" si="2"/>
        <v>-250</v>
      </c>
      <c r="AJ16" s="8">
        <f t="shared" si="3"/>
        <v>250</v>
      </c>
      <c r="AK16" s="8">
        <f t="shared" si="4"/>
        <v>-1450</v>
      </c>
      <c r="AL16" s="8">
        <f t="shared" si="1"/>
        <v>249.99999999999994</v>
      </c>
      <c r="AM16" s="8">
        <f t="shared" si="5"/>
        <v>1450</v>
      </c>
      <c r="AN16" s="8">
        <f t="shared" si="6"/>
        <v>687.5</v>
      </c>
      <c r="AO16" s="8">
        <f t="shared" si="7"/>
        <v>-250</v>
      </c>
      <c r="AP16" s="8">
        <f t="shared" si="8"/>
        <v>250</v>
      </c>
      <c r="AQ16" s="8">
        <f t="shared" si="9"/>
        <v>-825</v>
      </c>
      <c r="AR16" s="8">
        <f t="shared" si="10"/>
        <v>249.99999999999994</v>
      </c>
      <c r="AS16" s="8">
        <f t="shared" si="11"/>
        <v>825</v>
      </c>
    </row>
    <row r="17" spans="1:45">
      <c r="A17" s="23"/>
      <c r="B17" s="24"/>
      <c r="C17" s="14"/>
      <c r="D17" s="14"/>
      <c r="E17" s="25"/>
      <c r="F17" s="25"/>
      <c r="G17" s="25"/>
      <c r="H17" s="25"/>
      <c r="I17" s="14"/>
      <c r="J17" s="14"/>
      <c r="K17" s="14"/>
      <c r="L17" s="14"/>
      <c r="M17" s="14"/>
      <c r="N17" s="14"/>
      <c r="O17" s="172"/>
      <c r="P17" s="14"/>
      <c r="Q17" s="17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56"/>
      <c r="AC17" s="56"/>
      <c r="AD17" s="180"/>
      <c r="AE17" s="175">
        <f>-AF2/2</f>
        <v>-1500</v>
      </c>
      <c r="AF17" s="175">
        <f>-AF6/2</f>
        <v>-300</v>
      </c>
      <c r="AG17" s="175">
        <v>15</v>
      </c>
      <c r="AH17" s="8">
        <f t="shared" si="0"/>
        <v>-824.99999999999977</v>
      </c>
      <c r="AI17" s="8">
        <f t="shared" si="2"/>
        <v>-250</v>
      </c>
      <c r="AJ17" s="8">
        <f t="shared" si="3"/>
        <v>250</v>
      </c>
      <c r="AK17" s="8">
        <f t="shared" si="4"/>
        <v>-1450</v>
      </c>
      <c r="AL17" s="8">
        <f t="shared" si="1"/>
        <v>249.99999999999994</v>
      </c>
      <c r="AM17" s="8">
        <f t="shared" si="5"/>
        <v>1450</v>
      </c>
      <c r="AN17" s="8">
        <f t="shared" si="6"/>
        <v>687.5</v>
      </c>
      <c r="AO17" s="8">
        <f t="shared" si="7"/>
        <v>-250</v>
      </c>
      <c r="AP17" s="8">
        <f t="shared" si="8"/>
        <v>250</v>
      </c>
      <c r="AQ17" s="8">
        <f t="shared" si="9"/>
        <v>-825</v>
      </c>
      <c r="AR17" s="8">
        <f t="shared" si="10"/>
        <v>249.99999999999994</v>
      </c>
      <c r="AS17" s="8">
        <f t="shared" si="11"/>
        <v>825</v>
      </c>
    </row>
    <row r="18" spans="1:45">
      <c r="A18" s="23"/>
      <c r="B18" s="24"/>
      <c r="C18" s="14"/>
      <c r="D18" s="14"/>
      <c r="E18" s="25"/>
      <c r="F18" s="25"/>
      <c r="G18" s="25"/>
      <c r="H18" s="25"/>
      <c r="I18" s="14"/>
      <c r="J18" s="14"/>
      <c r="K18" s="14"/>
      <c r="L18" s="14"/>
      <c r="M18" s="14"/>
      <c r="N18" s="14"/>
      <c r="O18" s="172"/>
      <c r="P18" s="14"/>
      <c r="Q18" s="17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56"/>
      <c r="AC18" s="56"/>
      <c r="AD18" s="180"/>
      <c r="AE18" s="175">
        <f>AE17+AF2</f>
        <v>1500</v>
      </c>
      <c r="AF18" s="175">
        <f>AF17</f>
        <v>-300</v>
      </c>
      <c r="AG18" s="175">
        <v>16</v>
      </c>
      <c r="AH18" s="8">
        <f t="shared" si="0"/>
        <v>-824.99999999999977</v>
      </c>
      <c r="AI18" s="8">
        <f t="shared" si="2"/>
        <v>-250</v>
      </c>
      <c r="AJ18" s="8">
        <f t="shared" si="3"/>
        <v>250</v>
      </c>
      <c r="AK18" s="8">
        <f t="shared" si="4"/>
        <v>-1450</v>
      </c>
      <c r="AL18" s="8">
        <f t="shared" si="1"/>
        <v>249.99999999999994</v>
      </c>
      <c r="AM18" s="8">
        <f t="shared" si="5"/>
        <v>1450</v>
      </c>
      <c r="AN18" s="8">
        <f t="shared" si="6"/>
        <v>687.5</v>
      </c>
      <c r="AO18" s="8">
        <f t="shared" si="7"/>
        <v>-250</v>
      </c>
      <c r="AP18" s="8">
        <f t="shared" si="8"/>
        <v>250</v>
      </c>
      <c r="AQ18" s="8">
        <f t="shared" si="9"/>
        <v>-825</v>
      </c>
      <c r="AR18" s="8">
        <f t="shared" si="10"/>
        <v>249.99999999999994</v>
      </c>
      <c r="AS18" s="8">
        <f t="shared" si="11"/>
        <v>825</v>
      </c>
    </row>
    <row r="19" spans="1:45">
      <c r="A19" s="23"/>
      <c r="B19" s="24"/>
      <c r="C19" s="14"/>
      <c r="D19" s="14"/>
      <c r="E19" s="25"/>
      <c r="F19" s="25"/>
      <c r="G19" s="25"/>
      <c r="H19" s="25"/>
      <c r="I19" s="14"/>
      <c r="J19" s="14"/>
      <c r="K19" s="14"/>
      <c r="L19" s="14"/>
      <c r="M19" s="14"/>
      <c r="N19" s="14"/>
      <c r="O19" s="172"/>
      <c r="P19" s="14"/>
      <c r="Q19" s="17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56"/>
      <c r="AC19" s="56"/>
      <c r="AD19" s="180"/>
      <c r="AE19" s="175">
        <f>AE18</f>
        <v>1500</v>
      </c>
      <c r="AF19" s="175">
        <f>AF18+AF6</f>
        <v>300</v>
      </c>
      <c r="AG19" s="175">
        <v>17</v>
      </c>
      <c r="AH19" s="8">
        <f t="shared" si="0"/>
        <v>-824.99999999999977</v>
      </c>
      <c r="AI19" s="8">
        <f t="shared" si="2"/>
        <v>-250</v>
      </c>
      <c r="AJ19" s="8">
        <f t="shared" si="3"/>
        <v>250</v>
      </c>
      <c r="AK19" s="8">
        <f t="shared" si="4"/>
        <v>-1450</v>
      </c>
      <c r="AL19" s="8">
        <f t="shared" si="1"/>
        <v>249.99999999999994</v>
      </c>
      <c r="AM19" s="8">
        <f t="shared" si="5"/>
        <v>1450</v>
      </c>
      <c r="AN19" s="8">
        <f t="shared" si="6"/>
        <v>687.5</v>
      </c>
      <c r="AO19" s="8">
        <f t="shared" si="7"/>
        <v>-250</v>
      </c>
      <c r="AP19" s="8">
        <f t="shared" si="8"/>
        <v>250</v>
      </c>
      <c r="AQ19" s="8">
        <f t="shared" si="9"/>
        <v>-825</v>
      </c>
      <c r="AR19" s="8">
        <f t="shared" si="10"/>
        <v>249.99999999999994</v>
      </c>
      <c r="AS19" s="8">
        <f t="shared" si="11"/>
        <v>825</v>
      </c>
    </row>
    <row r="20" spans="1:45">
      <c r="A20" s="23"/>
      <c r="B20" s="24"/>
      <c r="C20" s="14"/>
      <c r="D20" s="14"/>
      <c r="E20" s="25"/>
      <c r="F20" s="25"/>
      <c r="G20" s="25"/>
      <c r="H20" s="25"/>
      <c r="I20" s="14"/>
      <c r="J20" s="14"/>
      <c r="K20" s="14"/>
      <c r="L20" s="14"/>
      <c r="M20" s="14"/>
      <c r="N20" s="14"/>
      <c r="O20" s="172"/>
      <c r="P20" s="14"/>
      <c r="Q20" s="17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56"/>
      <c r="AC20" s="56"/>
      <c r="AD20" s="180"/>
      <c r="AE20" s="175">
        <f>AE19-AF2</f>
        <v>-1500</v>
      </c>
      <c r="AF20" s="175">
        <f>AF19</f>
        <v>300</v>
      </c>
      <c r="AG20" s="175">
        <v>18</v>
      </c>
      <c r="AH20" s="8">
        <f t="shared" si="0"/>
        <v>-824.99999999999977</v>
      </c>
      <c r="AI20" s="8">
        <f t="shared" si="2"/>
        <v>-250</v>
      </c>
      <c r="AJ20" s="8">
        <f t="shared" si="3"/>
        <v>250</v>
      </c>
      <c r="AK20" s="8">
        <f t="shared" si="4"/>
        <v>-1450</v>
      </c>
      <c r="AL20" s="8">
        <f t="shared" si="1"/>
        <v>249.99999999999994</v>
      </c>
      <c r="AM20" s="8">
        <f t="shared" si="5"/>
        <v>1450</v>
      </c>
      <c r="AN20" s="8">
        <f t="shared" si="6"/>
        <v>687.5</v>
      </c>
      <c r="AO20" s="8">
        <f t="shared" si="7"/>
        <v>-250</v>
      </c>
      <c r="AP20" s="8">
        <f t="shared" si="8"/>
        <v>250</v>
      </c>
      <c r="AQ20" s="8">
        <f t="shared" si="9"/>
        <v>-825</v>
      </c>
      <c r="AR20" s="8">
        <f t="shared" si="10"/>
        <v>249.99999999999994</v>
      </c>
      <c r="AS20" s="8">
        <f t="shared" si="11"/>
        <v>825</v>
      </c>
    </row>
    <row r="21" spans="1:45">
      <c r="A21" s="23"/>
      <c r="B21" s="24"/>
      <c r="C21" s="14"/>
      <c r="D21" s="14"/>
      <c r="E21" s="25"/>
      <c r="F21" s="14"/>
      <c r="G21" s="25"/>
      <c r="H21" s="14"/>
      <c r="I21" s="14"/>
      <c r="J21" s="14"/>
      <c r="K21" s="14"/>
      <c r="L21" s="14"/>
      <c r="M21" s="14"/>
      <c r="N21" s="14"/>
      <c r="O21" s="172"/>
      <c r="P21" s="14"/>
      <c r="Q21" s="17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56"/>
      <c r="AC21" s="56"/>
      <c r="AD21" s="180"/>
      <c r="AE21" s="175">
        <f>AE20</f>
        <v>-1500</v>
      </c>
      <c r="AF21" s="175">
        <f>AF20-AF6</f>
        <v>-300</v>
      </c>
      <c r="AG21" s="175">
        <v>19</v>
      </c>
      <c r="AH21" s="8">
        <f t="shared" si="0"/>
        <v>-824.99999999999977</v>
      </c>
      <c r="AI21" s="8">
        <f t="shared" si="2"/>
        <v>-250</v>
      </c>
      <c r="AJ21" s="8">
        <f t="shared" si="3"/>
        <v>250</v>
      </c>
      <c r="AK21" s="8">
        <f t="shared" si="4"/>
        <v>-1450</v>
      </c>
      <c r="AL21" s="8">
        <f t="shared" si="1"/>
        <v>249.99999999999994</v>
      </c>
      <c r="AM21" s="8">
        <f t="shared" si="5"/>
        <v>1450</v>
      </c>
      <c r="AN21" s="8">
        <f t="shared" si="6"/>
        <v>687.5</v>
      </c>
      <c r="AO21" s="8">
        <f t="shared" si="7"/>
        <v>-250</v>
      </c>
      <c r="AP21" s="8">
        <f t="shared" si="8"/>
        <v>250</v>
      </c>
      <c r="AQ21" s="8">
        <f t="shared" si="9"/>
        <v>-825</v>
      </c>
      <c r="AR21" s="8">
        <f t="shared" si="10"/>
        <v>249.99999999999994</v>
      </c>
      <c r="AS21" s="8">
        <f t="shared" si="11"/>
        <v>825</v>
      </c>
    </row>
    <row r="22" spans="1:45" ht="14.25">
      <c r="A22" s="23"/>
      <c r="B22" s="24"/>
      <c r="C22" s="14"/>
      <c r="D22" s="14"/>
      <c r="E22" s="25"/>
      <c r="F22" s="14"/>
      <c r="G22" s="25"/>
      <c r="H22" s="14"/>
      <c r="I22" s="14"/>
      <c r="J22" s="14"/>
      <c r="K22" s="14"/>
      <c r="L22" s="14"/>
      <c r="M22" s="14"/>
      <c r="N22" s="14"/>
      <c r="O22" s="172"/>
      <c r="P22" s="14"/>
      <c r="Q22" s="172"/>
      <c r="R22" s="22"/>
      <c r="S22" s="4" t="s">
        <v>196</v>
      </c>
      <c r="V22" s="260" t="s">
        <v>25</v>
      </c>
      <c r="W22" s="261"/>
      <c r="X22" s="22"/>
      <c r="Y22" s="22"/>
      <c r="Z22" s="22"/>
      <c r="AA22" s="22"/>
      <c r="AB22" s="56"/>
      <c r="AC22" s="56"/>
      <c r="AD22" s="180"/>
      <c r="AE22" s="59" t="s">
        <v>31</v>
      </c>
      <c r="AF22" s="59">
        <f>AE14/25</f>
        <v>60</v>
      </c>
      <c r="AG22" s="175">
        <v>20</v>
      </c>
      <c r="AH22" s="8">
        <f t="shared" si="0"/>
        <v>-824.99999999999977</v>
      </c>
      <c r="AI22" s="8">
        <f t="shared" si="2"/>
        <v>-250</v>
      </c>
      <c r="AJ22" s="8">
        <f t="shared" si="3"/>
        <v>250</v>
      </c>
      <c r="AK22" s="8">
        <f t="shared" si="4"/>
        <v>-1450</v>
      </c>
      <c r="AL22" s="8">
        <f t="shared" si="1"/>
        <v>249.99999999999994</v>
      </c>
      <c r="AM22" s="8">
        <f t="shared" si="5"/>
        <v>1450</v>
      </c>
      <c r="AN22" s="8">
        <f t="shared" si="6"/>
        <v>687.5</v>
      </c>
      <c r="AO22" s="8">
        <f t="shared" si="7"/>
        <v>-250</v>
      </c>
      <c r="AP22" s="8">
        <f t="shared" si="8"/>
        <v>250</v>
      </c>
      <c r="AQ22" s="8">
        <f t="shared" si="9"/>
        <v>-825</v>
      </c>
      <c r="AR22" s="8">
        <f t="shared" si="10"/>
        <v>249.99999999999994</v>
      </c>
      <c r="AS22" s="8">
        <f t="shared" si="11"/>
        <v>825</v>
      </c>
    </row>
    <row r="23" spans="1:45">
      <c r="A23" s="23"/>
      <c r="B23" s="24"/>
      <c r="C23" s="14"/>
      <c r="D23" s="14"/>
      <c r="E23" s="25"/>
      <c r="F23" s="14"/>
      <c r="G23" s="25"/>
      <c r="H23" s="14"/>
      <c r="I23" s="14"/>
      <c r="J23" s="14"/>
      <c r="K23" s="14"/>
      <c r="L23" s="14"/>
      <c r="M23" s="14"/>
      <c r="N23" s="14"/>
      <c r="O23" s="172"/>
      <c r="P23" s="14"/>
      <c r="Q23" s="17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56"/>
      <c r="AC23" s="56"/>
      <c r="AD23" s="180"/>
      <c r="AE23" s="8" t="s">
        <v>32</v>
      </c>
      <c r="AF23" s="8">
        <f>VLOOKUP($V$22,$A$10:$J$216,9,0)</f>
        <v>25</v>
      </c>
      <c r="AG23" s="175">
        <v>21</v>
      </c>
      <c r="AH23" s="8">
        <f t="shared" si="0"/>
        <v>-824.99999999999977</v>
      </c>
      <c r="AI23" s="8">
        <f t="shared" si="2"/>
        <v>-250</v>
      </c>
      <c r="AJ23" s="8">
        <f t="shared" si="3"/>
        <v>250</v>
      </c>
      <c r="AK23" s="8">
        <f t="shared" si="4"/>
        <v>-1450</v>
      </c>
      <c r="AL23" s="8">
        <f t="shared" si="1"/>
        <v>249.99999999999994</v>
      </c>
      <c r="AM23" s="8">
        <f t="shared" si="5"/>
        <v>1450</v>
      </c>
      <c r="AN23" s="8">
        <f t="shared" si="6"/>
        <v>687.5</v>
      </c>
      <c r="AO23" s="8">
        <f t="shared" si="7"/>
        <v>-250</v>
      </c>
      <c r="AP23" s="8">
        <f t="shared" si="8"/>
        <v>250</v>
      </c>
      <c r="AQ23" s="8">
        <f t="shared" si="9"/>
        <v>-825</v>
      </c>
      <c r="AR23" s="8">
        <f t="shared" si="10"/>
        <v>249.99999999999994</v>
      </c>
      <c r="AS23" s="8">
        <f t="shared" si="11"/>
        <v>825</v>
      </c>
    </row>
    <row r="24" spans="1:45">
      <c r="A24" s="23"/>
      <c r="B24" s="24"/>
      <c r="C24" s="14"/>
      <c r="D24" s="14"/>
      <c r="E24" s="25"/>
      <c r="F24" s="14"/>
      <c r="G24" s="25"/>
      <c r="H24" s="14"/>
      <c r="I24" s="14"/>
      <c r="J24" s="14"/>
      <c r="K24" s="14"/>
      <c r="L24" s="14"/>
      <c r="M24" s="14"/>
      <c r="N24" s="14"/>
      <c r="O24" s="172"/>
      <c r="P24" s="14"/>
      <c r="Q24" s="17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56"/>
      <c r="AC24" s="56"/>
      <c r="AD24" s="180"/>
      <c r="AE24" s="8" t="s">
        <v>33</v>
      </c>
      <c r="AF24" s="8">
        <f>(2*AE5+AF5+2*AE8-4)*2</f>
        <v>70</v>
      </c>
      <c r="AG24" s="175">
        <v>22</v>
      </c>
      <c r="AH24" s="8">
        <f t="shared" si="0"/>
        <v>-824.99999999999977</v>
      </c>
      <c r="AI24" s="8">
        <f t="shared" si="2"/>
        <v>-250</v>
      </c>
      <c r="AJ24" s="8">
        <f t="shared" si="3"/>
        <v>250</v>
      </c>
      <c r="AK24" s="8">
        <f t="shared" si="4"/>
        <v>-1450</v>
      </c>
      <c r="AL24" s="8">
        <f t="shared" si="1"/>
        <v>249.99999999999994</v>
      </c>
      <c r="AM24" s="8">
        <f t="shared" si="5"/>
        <v>1450</v>
      </c>
      <c r="AN24" s="8">
        <f t="shared" si="6"/>
        <v>687.5</v>
      </c>
      <c r="AO24" s="8">
        <f t="shared" si="7"/>
        <v>-250</v>
      </c>
      <c r="AP24" s="8">
        <f t="shared" si="8"/>
        <v>250</v>
      </c>
      <c r="AQ24" s="8">
        <f t="shared" si="9"/>
        <v>-825</v>
      </c>
      <c r="AR24" s="8">
        <f t="shared" si="10"/>
        <v>249.99999999999994</v>
      </c>
      <c r="AS24" s="8">
        <f t="shared" si="11"/>
        <v>825</v>
      </c>
    </row>
    <row r="25" spans="1:45">
      <c r="A25" s="23"/>
      <c r="B25" s="24"/>
      <c r="C25" s="14"/>
      <c r="D25" s="14"/>
      <c r="E25" s="25"/>
      <c r="F25" s="14"/>
      <c r="G25" s="25"/>
      <c r="H25" s="14"/>
      <c r="I25" s="14"/>
      <c r="J25" s="14"/>
      <c r="K25" s="14"/>
      <c r="L25" s="14"/>
      <c r="M25" s="14"/>
      <c r="N25" s="14"/>
      <c r="O25" s="172"/>
      <c r="P25" s="14"/>
      <c r="Q25" s="17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56"/>
      <c r="AC25" s="56"/>
      <c r="AD25" s="180"/>
      <c r="AE25" s="8" t="s">
        <v>34</v>
      </c>
      <c r="AF25" s="60">
        <f>ROUND(AF24*AF23^2/4*PI()/AF2/AF6*100,2)</f>
        <v>1.91</v>
      </c>
      <c r="AG25" s="175">
        <v>23</v>
      </c>
      <c r="AH25" s="8">
        <f t="shared" si="0"/>
        <v>-824.99999999999977</v>
      </c>
      <c r="AI25" s="8">
        <f t="shared" si="2"/>
        <v>-250</v>
      </c>
      <c r="AJ25" s="8">
        <f t="shared" si="3"/>
        <v>250</v>
      </c>
      <c r="AK25" s="8">
        <f t="shared" si="4"/>
        <v>-1450</v>
      </c>
      <c r="AL25" s="8">
        <f t="shared" si="1"/>
        <v>249.99999999999994</v>
      </c>
      <c r="AM25" s="8">
        <f t="shared" si="5"/>
        <v>1450</v>
      </c>
      <c r="AN25" s="8">
        <f t="shared" si="6"/>
        <v>687.5</v>
      </c>
      <c r="AO25" s="8">
        <f t="shared" si="7"/>
        <v>-250</v>
      </c>
      <c r="AP25" s="8">
        <f t="shared" si="8"/>
        <v>250</v>
      </c>
      <c r="AQ25" s="8">
        <f t="shared" si="9"/>
        <v>-825</v>
      </c>
      <c r="AR25" s="8">
        <f t="shared" si="10"/>
        <v>249.99999999999994</v>
      </c>
      <c r="AS25" s="8">
        <f t="shared" si="11"/>
        <v>825</v>
      </c>
    </row>
    <row r="26" spans="1:45">
      <c r="A26" s="23"/>
      <c r="B26" s="24"/>
      <c r="C26" s="14"/>
      <c r="D26" s="14"/>
      <c r="E26" s="25"/>
      <c r="F26" s="14"/>
      <c r="G26" s="25"/>
      <c r="H26" s="14"/>
      <c r="I26" s="14"/>
      <c r="J26" s="14"/>
      <c r="K26" s="14"/>
      <c r="L26" s="14"/>
      <c r="M26" s="14"/>
      <c r="N26" s="14"/>
      <c r="O26" s="172"/>
      <c r="P26" s="14"/>
      <c r="Q26" s="17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56"/>
      <c r="AC26" s="56"/>
      <c r="AD26" s="180"/>
      <c r="AE26" s="8" t="str">
        <f>AF24&amp;AF26&amp;AF23</f>
        <v>70Ø25</v>
      </c>
      <c r="AF26" s="8" t="s">
        <v>35</v>
      </c>
      <c r="AG26" s="175">
        <v>24</v>
      </c>
      <c r="AH26" s="8">
        <f t="shared" si="0"/>
        <v>-824.99999999999977</v>
      </c>
      <c r="AI26" s="8">
        <f t="shared" si="2"/>
        <v>-250</v>
      </c>
      <c r="AJ26" s="8">
        <f t="shared" si="3"/>
        <v>250</v>
      </c>
      <c r="AK26" s="8">
        <f t="shared" si="4"/>
        <v>-1450</v>
      </c>
      <c r="AL26" s="8">
        <f t="shared" si="1"/>
        <v>249.99999999999994</v>
      </c>
      <c r="AM26" s="8">
        <f t="shared" si="5"/>
        <v>1450</v>
      </c>
      <c r="AN26" s="8">
        <f t="shared" si="6"/>
        <v>687.5</v>
      </c>
      <c r="AO26" s="8">
        <f t="shared" si="7"/>
        <v>-250</v>
      </c>
      <c r="AP26" s="8">
        <f t="shared" si="8"/>
        <v>250</v>
      </c>
      <c r="AQ26" s="8">
        <f t="shared" si="9"/>
        <v>-825</v>
      </c>
      <c r="AR26" s="8">
        <f t="shared" si="10"/>
        <v>249.99999999999994</v>
      </c>
      <c r="AS26" s="8">
        <f t="shared" si="11"/>
        <v>825</v>
      </c>
    </row>
    <row r="27" spans="1:45">
      <c r="A27" s="23"/>
      <c r="B27" s="24"/>
      <c r="C27" s="14"/>
      <c r="D27" s="14"/>
      <c r="E27" s="25"/>
      <c r="F27" s="14"/>
      <c r="G27" s="25"/>
      <c r="H27" s="14"/>
      <c r="I27" s="14"/>
      <c r="J27" s="14"/>
      <c r="K27" s="14"/>
      <c r="L27" s="14"/>
      <c r="M27" s="14"/>
      <c r="N27" s="14"/>
      <c r="O27" s="172"/>
      <c r="P27" s="14"/>
      <c r="Q27" s="17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56"/>
      <c r="AC27" s="56"/>
      <c r="AD27" s="180"/>
      <c r="AE27" s="8" t="str">
        <f>AF27&amp;AF25&amp;"%"</f>
        <v>µ=1.91%</v>
      </c>
      <c r="AF27" s="61" t="s">
        <v>36</v>
      </c>
      <c r="AG27" s="175">
        <v>25</v>
      </c>
      <c r="AH27" s="8">
        <f t="shared" si="0"/>
        <v>-824.99999999999977</v>
      </c>
      <c r="AI27" s="8">
        <f t="shared" si="2"/>
        <v>-250</v>
      </c>
      <c r="AJ27" s="8">
        <f t="shared" si="3"/>
        <v>250</v>
      </c>
      <c r="AK27" s="8">
        <f t="shared" si="4"/>
        <v>-1450</v>
      </c>
      <c r="AL27" s="8">
        <f t="shared" si="1"/>
        <v>249.99999999999994</v>
      </c>
      <c r="AM27" s="8">
        <f t="shared" si="5"/>
        <v>1450</v>
      </c>
      <c r="AN27" s="8">
        <f t="shared" si="6"/>
        <v>687.5</v>
      </c>
      <c r="AO27" s="8">
        <f t="shared" si="7"/>
        <v>-250</v>
      </c>
      <c r="AP27" s="8">
        <f t="shared" si="8"/>
        <v>250</v>
      </c>
      <c r="AQ27" s="8">
        <f t="shared" si="9"/>
        <v>-825</v>
      </c>
      <c r="AR27" s="8">
        <f t="shared" si="10"/>
        <v>249.99999999999994</v>
      </c>
      <c r="AS27" s="8">
        <f t="shared" si="11"/>
        <v>825</v>
      </c>
    </row>
    <row r="28" spans="1:45">
      <c r="A28" s="23"/>
      <c r="B28" s="24"/>
      <c r="C28" s="14"/>
      <c r="D28" s="14"/>
      <c r="E28" s="25"/>
      <c r="F28" s="14"/>
      <c r="G28" s="25"/>
      <c r="H28" s="14"/>
      <c r="I28" s="14"/>
      <c r="J28" s="14"/>
      <c r="K28" s="14"/>
      <c r="L28" s="14"/>
      <c r="M28" s="14"/>
      <c r="N28" s="14"/>
      <c r="O28" s="172"/>
      <c r="P28" s="14"/>
      <c r="Q28" s="17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56"/>
      <c r="AC28" s="56"/>
      <c r="AD28" s="180"/>
      <c r="AG28" s="175">
        <v>26</v>
      </c>
      <c r="AH28" s="8">
        <f>$AE$18-50</f>
        <v>1450</v>
      </c>
      <c r="AI28" s="8">
        <f t="shared" si="2"/>
        <v>-250</v>
      </c>
      <c r="AJ28" s="8">
        <f t="shared" si="3"/>
        <v>250</v>
      </c>
      <c r="AK28" s="8">
        <f t="shared" si="4"/>
        <v>-1450</v>
      </c>
      <c r="AL28" s="8">
        <f t="shared" si="1"/>
        <v>249.99999999999994</v>
      </c>
      <c r="AM28" s="8">
        <f t="shared" si="5"/>
        <v>1450</v>
      </c>
      <c r="AN28" s="8">
        <f t="shared" si="6"/>
        <v>687.5</v>
      </c>
      <c r="AO28" s="8">
        <f t="shared" si="7"/>
        <v>-250</v>
      </c>
      <c r="AP28" s="8">
        <f t="shared" si="8"/>
        <v>250</v>
      </c>
      <c r="AQ28" s="8">
        <f t="shared" si="9"/>
        <v>-825</v>
      </c>
      <c r="AR28" s="8">
        <f t="shared" si="10"/>
        <v>249.99999999999994</v>
      </c>
      <c r="AS28" s="8">
        <f t="shared" si="11"/>
        <v>825</v>
      </c>
    </row>
    <row r="29" spans="1:45">
      <c r="A29" s="23"/>
      <c r="B29" s="24"/>
      <c r="C29" s="14"/>
      <c r="D29" s="14"/>
      <c r="E29" s="25"/>
      <c r="F29" s="14"/>
      <c r="G29" s="25"/>
      <c r="H29" s="14"/>
      <c r="I29" s="14"/>
      <c r="J29" s="14"/>
      <c r="K29" s="14"/>
      <c r="L29" s="14"/>
      <c r="M29" s="14"/>
      <c r="N29" s="14"/>
      <c r="O29" s="172"/>
      <c r="P29" s="14"/>
      <c r="Q29" s="17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56"/>
      <c r="AC29" s="56"/>
      <c r="AD29" s="180"/>
      <c r="AG29" s="175">
        <v>27</v>
      </c>
      <c r="AH29" s="8">
        <f>IF(AG29-25&gt;$AE$5,AH28,AH28-$AF$9)</f>
        <v>1345.8333333333333</v>
      </c>
      <c r="AI29" s="8">
        <f t="shared" si="2"/>
        <v>-250</v>
      </c>
      <c r="AJ29" s="8">
        <f t="shared" si="3"/>
        <v>250</v>
      </c>
      <c r="AK29" s="8">
        <f t="shared" si="4"/>
        <v>-1450</v>
      </c>
      <c r="AL29" s="8">
        <f t="shared" si="1"/>
        <v>249.99999999999994</v>
      </c>
      <c r="AM29" s="8">
        <f t="shared" si="5"/>
        <v>1450</v>
      </c>
      <c r="AN29" s="8">
        <f t="shared" si="6"/>
        <v>687.5</v>
      </c>
      <c r="AO29" s="8">
        <f t="shared" si="7"/>
        <v>-250</v>
      </c>
      <c r="AP29" s="8">
        <f t="shared" si="8"/>
        <v>250</v>
      </c>
      <c r="AQ29" s="8">
        <f t="shared" si="9"/>
        <v>-825</v>
      </c>
      <c r="AR29" s="8">
        <f t="shared" si="10"/>
        <v>249.99999999999994</v>
      </c>
      <c r="AS29" s="8">
        <f t="shared" si="11"/>
        <v>825</v>
      </c>
    </row>
    <row r="30" spans="1:45">
      <c r="A30" s="23"/>
      <c r="B30" s="24"/>
      <c r="C30" s="14"/>
      <c r="D30" s="14"/>
      <c r="E30" s="25"/>
      <c r="F30" s="14"/>
      <c r="G30" s="25"/>
      <c r="H30" s="14"/>
      <c r="I30" s="14"/>
      <c r="J30" s="14"/>
      <c r="K30" s="14"/>
      <c r="L30" s="14"/>
      <c r="M30" s="14"/>
      <c r="N30" s="14"/>
      <c r="O30" s="172"/>
      <c r="P30" s="14"/>
      <c r="Q30" s="17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56"/>
      <c r="AC30" s="56"/>
      <c r="AD30" s="180"/>
      <c r="AG30" s="175">
        <v>28</v>
      </c>
      <c r="AH30" s="8">
        <f t="shared" ref="AH30:AH52" si="12">IF(AG30-25&gt;$AE$5,AH29,AH29-$AF$9)</f>
        <v>1241.6666666666665</v>
      </c>
      <c r="AI30" s="8">
        <f t="shared" si="2"/>
        <v>-250</v>
      </c>
      <c r="AJ30" s="8">
        <f t="shared" si="3"/>
        <v>250</v>
      </c>
      <c r="AK30" s="8">
        <f t="shared" si="4"/>
        <v>-1450</v>
      </c>
      <c r="AL30" s="8">
        <f t="shared" si="1"/>
        <v>249.99999999999994</v>
      </c>
      <c r="AM30" s="8">
        <f t="shared" si="5"/>
        <v>1450</v>
      </c>
      <c r="AN30" s="8">
        <f t="shared" si="6"/>
        <v>687.5</v>
      </c>
      <c r="AO30" s="8">
        <f t="shared" si="7"/>
        <v>-250</v>
      </c>
      <c r="AP30" s="8">
        <f t="shared" si="8"/>
        <v>250</v>
      </c>
      <c r="AQ30" s="8">
        <f t="shared" si="9"/>
        <v>-825</v>
      </c>
      <c r="AR30" s="8">
        <f t="shared" si="10"/>
        <v>249.99999999999994</v>
      </c>
      <c r="AS30" s="8">
        <f t="shared" si="11"/>
        <v>825</v>
      </c>
    </row>
    <row r="31" spans="1:45">
      <c r="A31" s="23"/>
      <c r="B31" s="24"/>
      <c r="C31" s="14"/>
      <c r="D31" s="14"/>
      <c r="E31" s="25"/>
      <c r="F31" s="14"/>
      <c r="G31" s="25"/>
      <c r="H31" s="14"/>
      <c r="I31" s="14"/>
      <c r="J31" s="14"/>
      <c r="K31" s="14"/>
      <c r="L31" s="14"/>
      <c r="M31" s="14"/>
      <c r="N31" s="14"/>
      <c r="O31" s="172"/>
      <c r="P31" s="14"/>
      <c r="Q31" s="172"/>
      <c r="AG31" s="175">
        <v>29</v>
      </c>
      <c r="AH31" s="8">
        <f t="shared" si="12"/>
        <v>1137.4999999999998</v>
      </c>
      <c r="AI31" s="8">
        <f t="shared" si="2"/>
        <v>-250</v>
      </c>
      <c r="AJ31" s="8">
        <f t="shared" si="3"/>
        <v>250</v>
      </c>
      <c r="AK31" s="8">
        <f t="shared" si="4"/>
        <v>-1450</v>
      </c>
      <c r="AL31" s="8">
        <f t="shared" si="1"/>
        <v>249.99999999999994</v>
      </c>
      <c r="AM31" s="8">
        <f t="shared" si="5"/>
        <v>1450</v>
      </c>
      <c r="AN31" s="8">
        <f t="shared" si="6"/>
        <v>687.5</v>
      </c>
      <c r="AO31" s="8">
        <f t="shared" si="7"/>
        <v>-250</v>
      </c>
      <c r="AP31" s="8">
        <f t="shared" si="8"/>
        <v>250</v>
      </c>
      <c r="AQ31" s="8">
        <f t="shared" si="9"/>
        <v>-825</v>
      </c>
      <c r="AR31" s="8">
        <f t="shared" si="10"/>
        <v>249.99999999999994</v>
      </c>
      <c r="AS31" s="8">
        <f t="shared" si="11"/>
        <v>825</v>
      </c>
    </row>
    <row r="32" spans="1:45">
      <c r="A32" s="23"/>
      <c r="B32" s="24"/>
      <c r="C32" s="14"/>
      <c r="D32" s="14"/>
      <c r="E32" s="25"/>
      <c r="F32" s="14"/>
      <c r="G32" s="25"/>
      <c r="H32" s="14"/>
      <c r="I32" s="14"/>
      <c r="J32" s="14"/>
      <c r="K32" s="14"/>
      <c r="L32" s="14"/>
      <c r="M32" s="14"/>
      <c r="N32" s="14"/>
      <c r="O32" s="172"/>
      <c r="P32" s="14"/>
      <c r="Q32" s="172"/>
      <c r="AG32" s="175">
        <v>30</v>
      </c>
      <c r="AH32" s="8">
        <f t="shared" si="12"/>
        <v>1033.333333333333</v>
      </c>
      <c r="AI32" s="8">
        <f t="shared" si="2"/>
        <v>-250</v>
      </c>
      <c r="AJ32" s="8">
        <f t="shared" si="3"/>
        <v>250</v>
      </c>
      <c r="AK32" s="8">
        <f t="shared" si="4"/>
        <v>-1450</v>
      </c>
      <c r="AL32" s="8">
        <f t="shared" si="1"/>
        <v>249.99999999999994</v>
      </c>
      <c r="AM32" s="8">
        <f t="shared" si="5"/>
        <v>1450</v>
      </c>
      <c r="AN32" s="8">
        <f t="shared" si="6"/>
        <v>687.5</v>
      </c>
      <c r="AO32" s="8">
        <f t="shared" si="7"/>
        <v>-250</v>
      </c>
      <c r="AP32" s="8">
        <f t="shared" si="8"/>
        <v>250</v>
      </c>
      <c r="AQ32" s="8">
        <f t="shared" si="9"/>
        <v>-825</v>
      </c>
      <c r="AR32" s="8">
        <f t="shared" si="10"/>
        <v>249.99999999999994</v>
      </c>
      <c r="AS32" s="8">
        <f t="shared" si="11"/>
        <v>825</v>
      </c>
    </row>
    <row r="33" spans="1:45">
      <c r="A33" s="23"/>
      <c r="B33" s="24"/>
      <c r="C33" s="14"/>
      <c r="D33" s="14"/>
      <c r="E33" s="25"/>
      <c r="F33" s="14"/>
      <c r="G33" s="25"/>
      <c r="H33" s="14"/>
      <c r="I33" s="14"/>
      <c r="J33" s="14"/>
      <c r="K33" s="14"/>
      <c r="L33" s="14"/>
      <c r="M33" s="14"/>
      <c r="N33" s="14"/>
      <c r="O33" s="172"/>
      <c r="P33" s="14"/>
      <c r="Q33" s="172"/>
      <c r="AG33" s="175">
        <v>31</v>
      </c>
      <c r="AH33" s="8">
        <f t="shared" si="12"/>
        <v>929.1666666666664</v>
      </c>
      <c r="AI33" s="8">
        <f t="shared" si="2"/>
        <v>-250</v>
      </c>
      <c r="AJ33" s="8">
        <f t="shared" si="3"/>
        <v>250</v>
      </c>
      <c r="AK33" s="8">
        <f t="shared" si="4"/>
        <v>-1450</v>
      </c>
      <c r="AL33" s="8">
        <f t="shared" si="1"/>
        <v>249.99999999999994</v>
      </c>
      <c r="AM33" s="8">
        <f t="shared" si="5"/>
        <v>1450</v>
      </c>
      <c r="AN33" s="8">
        <f t="shared" si="6"/>
        <v>687.5</v>
      </c>
      <c r="AO33" s="8">
        <f t="shared" si="7"/>
        <v>-250</v>
      </c>
      <c r="AP33" s="8">
        <f t="shared" si="8"/>
        <v>250</v>
      </c>
      <c r="AQ33" s="8">
        <f t="shared" si="9"/>
        <v>-825</v>
      </c>
      <c r="AR33" s="8">
        <f t="shared" si="10"/>
        <v>249.99999999999994</v>
      </c>
      <c r="AS33" s="8">
        <f t="shared" si="11"/>
        <v>825</v>
      </c>
    </row>
    <row r="34" spans="1:45">
      <c r="A34" s="23"/>
      <c r="B34" s="24"/>
      <c r="C34" s="26"/>
      <c r="D34" s="26"/>
      <c r="E34" s="14"/>
      <c r="F34" s="14"/>
      <c r="G34" s="14"/>
      <c r="H34" s="14"/>
      <c r="I34" s="26"/>
      <c r="J34" s="26"/>
      <c r="K34" s="26"/>
      <c r="L34" s="26"/>
      <c r="M34" s="26"/>
      <c r="N34" s="26"/>
      <c r="O34" s="45"/>
      <c r="P34" s="26"/>
      <c r="Q34" s="45"/>
      <c r="AG34" s="175">
        <v>32</v>
      </c>
      <c r="AH34" s="8">
        <f t="shared" si="12"/>
        <v>824.99999999999977</v>
      </c>
      <c r="AI34" s="8">
        <f t="shared" si="2"/>
        <v>-250</v>
      </c>
      <c r="AJ34" s="8">
        <f t="shared" si="3"/>
        <v>250</v>
      </c>
      <c r="AK34" s="8">
        <f t="shared" si="4"/>
        <v>-1450</v>
      </c>
      <c r="AL34" s="8">
        <f t="shared" si="1"/>
        <v>249.99999999999994</v>
      </c>
      <c r="AM34" s="8">
        <f t="shared" si="5"/>
        <v>1450</v>
      </c>
      <c r="AN34" s="8">
        <f t="shared" si="6"/>
        <v>687.5</v>
      </c>
      <c r="AO34" s="8">
        <f t="shared" si="7"/>
        <v>-250</v>
      </c>
      <c r="AP34" s="8">
        <f t="shared" si="8"/>
        <v>250</v>
      </c>
      <c r="AQ34" s="8">
        <f t="shared" si="9"/>
        <v>-825</v>
      </c>
      <c r="AR34" s="8">
        <f t="shared" si="10"/>
        <v>249.99999999999994</v>
      </c>
      <c r="AS34" s="8">
        <f t="shared" si="11"/>
        <v>825</v>
      </c>
    </row>
    <row r="35" spans="1:45">
      <c r="A35" s="23"/>
      <c r="B35" s="24"/>
      <c r="C35" s="26"/>
      <c r="D35" s="26"/>
      <c r="E35" s="14"/>
      <c r="F35" s="14"/>
      <c r="G35" s="14"/>
      <c r="H35" s="14"/>
      <c r="I35" s="26"/>
      <c r="J35" s="26"/>
      <c r="K35" s="26"/>
      <c r="L35" s="26"/>
      <c r="M35" s="26"/>
      <c r="N35" s="26"/>
      <c r="O35" s="45"/>
      <c r="P35" s="26"/>
      <c r="Q35" s="45"/>
      <c r="AG35" s="175">
        <v>33</v>
      </c>
      <c r="AH35" s="8">
        <f t="shared" si="12"/>
        <v>824.99999999999977</v>
      </c>
      <c r="AI35" s="8">
        <f t="shared" si="2"/>
        <v>-250</v>
      </c>
      <c r="AJ35" s="8">
        <f t="shared" si="3"/>
        <v>250</v>
      </c>
      <c r="AK35" s="8">
        <f t="shared" si="4"/>
        <v>-1450</v>
      </c>
      <c r="AL35" s="8">
        <f t="shared" si="1"/>
        <v>249.99999999999994</v>
      </c>
      <c r="AM35" s="8">
        <f t="shared" si="5"/>
        <v>1450</v>
      </c>
      <c r="AN35" s="8">
        <f t="shared" si="6"/>
        <v>687.5</v>
      </c>
      <c r="AO35" s="8">
        <f t="shared" si="7"/>
        <v>-250</v>
      </c>
      <c r="AP35" s="8">
        <f t="shared" si="8"/>
        <v>250</v>
      </c>
      <c r="AQ35" s="8">
        <f t="shared" si="9"/>
        <v>-825</v>
      </c>
      <c r="AR35" s="8">
        <f t="shared" si="10"/>
        <v>249.99999999999994</v>
      </c>
      <c r="AS35" s="8">
        <f t="shared" si="11"/>
        <v>825</v>
      </c>
    </row>
    <row r="36" spans="1:45">
      <c r="A36" s="23"/>
      <c r="B36" s="24"/>
      <c r="C36" s="26"/>
      <c r="D36" s="26"/>
      <c r="E36" s="14"/>
      <c r="F36" s="14"/>
      <c r="G36" s="14"/>
      <c r="H36" s="14"/>
      <c r="I36" s="26"/>
      <c r="J36" s="26"/>
      <c r="K36" s="26"/>
      <c r="L36" s="26"/>
      <c r="M36" s="26"/>
      <c r="N36" s="26"/>
      <c r="O36" s="45"/>
      <c r="P36" s="26"/>
      <c r="Q36" s="45"/>
      <c r="AG36" s="175">
        <v>34</v>
      </c>
      <c r="AH36" s="8">
        <f t="shared" si="12"/>
        <v>824.99999999999977</v>
      </c>
      <c r="AI36" s="8">
        <f t="shared" si="2"/>
        <v>-250</v>
      </c>
      <c r="AJ36" s="8">
        <f t="shared" si="3"/>
        <v>250</v>
      </c>
      <c r="AK36" s="8">
        <f t="shared" si="4"/>
        <v>-1450</v>
      </c>
      <c r="AL36" s="8">
        <f t="shared" ref="AL36:AL52" si="13">IF(AG36&gt;$AE$8,AL35,AL35+$AF$11)</f>
        <v>249.99999999999994</v>
      </c>
      <c r="AM36" s="8">
        <f t="shared" si="5"/>
        <v>1450</v>
      </c>
      <c r="AN36" s="8">
        <f t="shared" si="6"/>
        <v>687.5</v>
      </c>
      <c r="AO36" s="8">
        <f t="shared" si="7"/>
        <v>-250</v>
      </c>
      <c r="AP36" s="8">
        <f t="shared" si="8"/>
        <v>250</v>
      </c>
      <c r="AQ36" s="8">
        <f t="shared" si="9"/>
        <v>-825</v>
      </c>
      <c r="AR36" s="8">
        <f t="shared" si="10"/>
        <v>249.99999999999994</v>
      </c>
      <c r="AS36" s="8">
        <f t="shared" si="11"/>
        <v>825</v>
      </c>
    </row>
    <row r="37" spans="1:45">
      <c r="A37" s="23"/>
      <c r="B37" s="24"/>
      <c r="C37" s="26"/>
      <c r="D37" s="26"/>
      <c r="E37" s="14"/>
      <c r="F37" s="14"/>
      <c r="G37" s="14"/>
      <c r="H37" s="14"/>
      <c r="I37" s="26"/>
      <c r="J37" s="26"/>
      <c r="K37" s="26"/>
      <c r="L37" s="26"/>
      <c r="M37" s="26"/>
      <c r="N37" s="26"/>
      <c r="O37" s="45"/>
      <c r="P37" s="26"/>
      <c r="Q37" s="45"/>
      <c r="AG37" s="175">
        <v>35</v>
      </c>
      <c r="AH37" s="8">
        <f t="shared" si="12"/>
        <v>824.99999999999977</v>
      </c>
      <c r="AI37" s="8">
        <f t="shared" si="2"/>
        <v>-250</v>
      </c>
      <c r="AJ37" s="8">
        <f t="shared" si="3"/>
        <v>250</v>
      </c>
      <c r="AK37" s="8">
        <f t="shared" si="4"/>
        <v>-1450</v>
      </c>
      <c r="AL37" s="8">
        <f t="shared" si="13"/>
        <v>249.99999999999994</v>
      </c>
      <c r="AM37" s="8">
        <f t="shared" si="5"/>
        <v>1450</v>
      </c>
      <c r="AN37" s="8">
        <f t="shared" si="6"/>
        <v>687.5</v>
      </c>
      <c r="AO37" s="8">
        <f t="shared" si="7"/>
        <v>-250</v>
      </c>
      <c r="AP37" s="8">
        <f t="shared" si="8"/>
        <v>250</v>
      </c>
      <c r="AQ37" s="8">
        <f t="shared" si="9"/>
        <v>-825</v>
      </c>
      <c r="AR37" s="8">
        <f t="shared" si="10"/>
        <v>249.99999999999994</v>
      </c>
      <c r="AS37" s="8">
        <f t="shared" si="11"/>
        <v>825</v>
      </c>
    </row>
    <row r="38" spans="1:45">
      <c r="A38" s="23"/>
      <c r="B38" s="24"/>
      <c r="C38" s="26"/>
      <c r="D38" s="26"/>
      <c r="E38" s="14"/>
      <c r="F38" s="14"/>
      <c r="G38" s="14"/>
      <c r="H38" s="14"/>
      <c r="I38" s="26"/>
      <c r="J38" s="26"/>
      <c r="K38" s="26"/>
      <c r="L38" s="26"/>
      <c r="M38" s="26"/>
      <c r="N38" s="26"/>
      <c r="O38" s="45"/>
      <c r="P38" s="26"/>
      <c r="Q38" s="45"/>
      <c r="AG38" s="175">
        <v>36</v>
      </c>
      <c r="AH38" s="8">
        <f t="shared" si="12"/>
        <v>824.99999999999977</v>
      </c>
      <c r="AI38" s="8">
        <f t="shared" si="2"/>
        <v>-250</v>
      </c>
      <c r="AJ38" s="8">
        <f t="shared" si="3"/>
        <v>250</v>
      </c>
      <c r="AK38" s="8">
        <f t="shared" si="4"/>
        <v>-1450</v>
      </c>
      <c r="AL38" s="8">
        <f t="shared" si="13"/>
        <v>249.99999999999994</v>
      </c>
      <c r="AM38" s="8">
        <f t="shared" si="5"/>
        <v>1450</v>
      </c>
      <c r="AN38" s="8">
        <f t="shared" si="6"/>
        <v>687.5</v>
      </c>
      <c r="AO38" s="8">
        <f t="shared" si="7"/>
        <v>-250</v>
      </c>
      <c r="AP38" s="8">
        <f t="shared" si="8"/>
        <v>250</v>
      </c>
      <c r="AQ38" s="8">
        <f t="shared" si="9"/>
        <v>-825</v>
      </c>
      <c r="AR38" s="8">
        <f t="shared" si="10"/>
        <v>249.99999999999994</v>
      </c>
      <c r="AS38" s="8">
        <f t="shared" si="11"/>
        <v>825</v>
      </c>
    </row>
    <row r="39" spans="1:45">
      <c r="A39" s="23"/>
      <c r="B39" s="24"/>
      <c r="C39" s="26"/>
      <c r="D39" s="26"/>
      <c r="E39" s="14"/>
      <c r="F39" s="14"/>
      <c r="G39" s="14"/>
      <c r="H39" s="14"/>
      <c r="I39" s="26"/>
      <c r="J39" s="26"/>
      <c r="K39" s="26"/>
      <c r="L39" s="26"/>
      <c r="M39" s="26"/>
      <c r="N39" s="26"/>
      <c r="O39" s="45"/>
      <c r="P39" s="26"/>
      <c r="Q39" s="45"/>
      <c r="AG39" s="175">
        <v>37</v>
      </c>
      <c r="AH39" s="8">
        <f t="shared" si="12"/>
        <v>824.99999999999977</v>
      </c>
      <c r="AI39" s="8">
        <f t="shared" si="2"/>
        <v>-250</v>
      </c>
      <c r="AJ39" s="8">
        <f t="shared" si="3"/>
        <v>250</v>
      </c>
      <c r="AK39" s="8">
        <f t="shared" si="4"/>
        <v>-1450</v>
      </c>
      <c r="AL39" s="8">
        <f t="shared" si="13"/>
        <v>249.99999999999994</v>
      </c>
      <c r="AM39" s="8">
        <f t="shared" si="5"/>
        <v>1450</v>
      </c>
      <c r="AN39" s="8">
        <f t="shared" si="6"/>
        <v>687.5</v>
      </c>
      <c r="AO39" s="8">
        <f t="shared" si="7"/>
        <v>-250</v>
      </c>
      <c r="AP39" s="8">
        <f t="shared" si="8"/>
        <v>250</v>
      </c>
      <c r="AQ39" s="8">
        <f t="shared" si="9"/>
        <v>-825</v>
      </c>
      <c r="AR39" s="8">
        <f t="shared" si="10"/>
        <v>249.99999999999994</v>
      </c>
      <c r="AS39" s="8">
        <f t="shared" si="11"/>
        <v>825</v>
      </c>
    </row>
    <row r="40" spans="1:45">
      <c r="A40" s="23"/>
      <c r="B40" s="24"/>
      <c r="C40" s="26"/>
      <c r="D40" s="26"/>
      <c r="E40" s="14"/>
      <c r="F40" s="14"/>
      <c r="G40" s="14"/>
      <c r="H40" s="14"/>
      <c r="I40" s="26"/>
      <c r="J40" s="26"/>
      <c r="K40" s="26"/>
      <c r="L40" s="26"/>
      <c r="M40" s="26"/>
      <c r="N40" s="26"/>
      <c r="O40" s="45"/>
      <c r="P40" s="26"/>
      <c r="Q40" s="45"/>
      <c r="AG40" s="175">
        <v>38</v>
      </c>
      <c r="AH40" s="8">
        <f t="shared" si="12"/>
        <v>824.99999999999977</v>
      </c>
      <c r="AI40" s="8">
        <f t="shared" si="2"/>
        <v>-250</v>
      </c>
      <c r="AJ40" s="8">
        <f t="shared" si="3"/>
        <v>250</v>
      </c>
      <c r="AK40" s="8">
        <f t="shared" si="4"/>
        <v>-1450</v>
      </c>
      <c r="AL40" s="8">
        <f t="shared" si="13"/>
        <v>249.99999999999994</v>
      </c>
      <c r="AM40" s="8">
        <f t="shared" si="5"/>
        <v>1450</v>
      </c>
      <c r="AN40" s="8">
        <f t="shared" si="6"/>
        <v>687.5</v>
      </c>
      <c r="AO40" s="8">
        <f t="shared" si="7"/>
        <v>-250</v>
      </c>
      <c r="AP40" s="8">
        <f t="shared" si="8"/>
        <v>250</v>
      </c>
      <c r="AQ40" s="8">
        <f t="shared" si="9"/>
        <v>-825</v>
      </c>
      <c r="AR40" s="8">
        <f t="shared" si="10"/>
        <v>249.99999999999994</v>
      </c>
      <c r="AS40" s="8">
        <f t="shared" si="11"/>
        <v>825</v>
      </c>
    </row>
    <row r="41" spans="1:45">
      <c r="A41" s="23"/>
      <c r="B41" s="24"/>
      <c r="C41" s="26"/>
      <c r="D41" s="26"/>
      <c r="E41" s="14"/>
      <c r="F41" s="14"/>
      <c r="G41" s="14"/>
      <c r="H41" s="14"/>
      <c r="I41" s="26"/>
      <c r="J41" s="26"/>
      <c r="K41" s="26"/>
      <c r="L41" s="26"/>
      <c r="M41" s="26"/>
      <c r="N41" s="26"/>
      <c r="O41" s="45"/>
      <c r="P41" s="26"/>
      <c r="Q41" s="45"/>
      <c r="AG41" s="175">
        <v>39</v>
      </c>
      <c r="AH41" s="8">
        <f t="shared" si="12"/>
        <v>824.99999999999977</v>
      </c>
      <c r="AI41" s="8">
        <f t="shared" si="2"/>
        <v>-250</v>
      </c>
      <c r="AJ41" s="8">
        <f t="shared" si="3"/>
        <v>250</v>
      </c>
      <c r="AK41" s="8">
        <f t="shared" si="4"/>
        <v>-1450</v>
      </c>
      <c r="AL41" s="8">
        <f t="shared" si="13"/>
        <v>249.99999999999994</v>
      </c>
      <c r="AM41" s="8">
        <f t="shared" si="5"/>
        <v>1450</v>
      </c>
      <c r="AN41" s="8">
        <f t="shared" si="6"/>
        <v>687.5</v>
      </c>
      <c r="AO41" s="8">
        <f t="shared" si="7"/>
        <v>-250</v>
      </c>
      <c r="AP41" s="8">
        <f t="shared" si="8"/>
        <v>250</v>
      </c>
      <c r="AQ41" s="8">
        <f t="shared" si="9"/>
        <v>-825</v>
      </c>
      <c r="AR41" s="8">
        <f t="shared" si="10"/>
        <v>249.99999999999994</v>
      </c>
      <c r="AS41" s="8">
        <f t="shared" si="11"/>
        <v>825</v>
      </c>
    </row>
    <row r="42" spans="1:45">
      <c r="A42" s="23"/>
      <c r="B42" s="24"/>
      <c r="C42" s="26"/>
      <c r="D42" s="26"/>
      <c r="E42" s="14"/>
      <c r="F42" s="14"/>
      <c r="G42" s="14"/>
      <c r="H42" s="14"/>
      <c r="I42" s="26"/>
      <c r="J42" s="26"/>
      <c r="K42" s="26"/>
      <c r="L42" s="26"/>
      <c r="M42" s="26"/>
      <c r="N42" s="26"/>
      <c r="O42" s="45"/>
      <c r="P42" s="26"/>
      <c r="Q42" s="45"/>
      <c r="AG42" s="175">
        <v>40</v>
      </c>
      <c r="AH42" s="8">
        <f t="shared" si="12"/>
        <v>824.99999999999977</v>
      </c>
      <c r="AI42" s="8">
        <f t="shared" si="2"/>
        <v>-250</v>
      </c>
      <c r="AJ42" s="8">
        <f t="shared" si="3"/>
        <v>250</v>
      </c>
      <c r="AK42" s="8">
        <f t="shared" si="4"/>
        <v>-1450</v>
      </c>
      <c r="AL42" s="8">
        <f t="shared" si="13"/>
        <v>249.99999999999994</v>
      </c>
      <c r="AM42" s="8">
        <f t="shared" si="5"/>
        <v>1450</v>
      </c>
      <c r="AN42" s="8">
        <f t="shared" si="6"/>
        <v>687.5</v>
      </c>
      <c r="AO42" s="8">
        <f t="shared" si="7"/>
        <v>-250</v>
      </c>
      <c r="AP42" s="8">
        <f t="shared" si="8"/>
        <v>250</v>
      </c>
      <c r="AQ42" s="8">
        <f t="shared" si="9"/>
        <v>-825</v>
      </c>
      <c r="AR42" s="8">
        <f t="shared" si="10"/>
        <v>249.99999999999994</v>
      </c>
      <c r="AS42" s="8">
        <f t="shared" si="11"/>
        <v>825</v>
      </c>
    </row>
    <row r="43" spans="1:45">
      <c r="A43" s="23"/>
      <c r="B43" s="24"/>
      <c r="C43" s="26"/>
      <c r="D43" s="26"/>
      <c r="E43" s="14"/>
      <c r="F43" s="14"/>
      <c r="G43" s="14"/>
      <c r="H43" s="14"/>
      <c r="I43" s="26"/>
      <c r="J43" s="26"/>
      <c r="K43" s="26"/>
      <c r="L43" s="26"/>
      <c r="M43" s="26"/>
      <c r="N43" s="26"/>
      <c r="O43" s="45"/>
      <c r="P43" s="26"/>
      <c r="Q43" s="45"/>
      <c r="AG43" s="175">
        <v>41</v>
      </c>
      <c r="AH43" s="8">
        <f t="shared" si="12"/>
        <v>824.99999999999977</v>
      </c>
      <c r="AI43" s="8">
        <f t="shared" si="2"/>
        <v>-250</v>
      </c>
      <c r="AJ43" s="8">
        <f t="shared" si="3"/>
        <v>250</v>
      </c>
      <c r="AK43" s="8">
        <f t="shared" si="4"/>
        <v>-1450</v>
      </c>
      <c r="AL43" s="8">
        <f t="shared" si="13"/>
        <v>249.99999999999994</v>
      </c>
      <c r="AM43" s="8">
        <f t="shared" si="5"/>
        <v>1450</v>
      </c>
      <c r="AN43" s="8">
        <f t="shared" si="6"/>
        <v>687.5</v>
      </c>
      <c r="AO43" s="8">
        <f t="shared" si="7"/>
        <v>-250</v>
      </c>
      <c r="AP43" s="8">
        <f t="shared" si="8"/>
        <v>250</v>
      </c>
      <c r="AQ43" s="8">
        <f t="shared" si="9"/>
        <v>-825</v>
      </c>
      <c r="AR43" s="8">
        <f t="shared" si="10"/>
        <v>249.99999999999994</v>
      </c>
      <c r="AS43" s="8">
        <f t="shared" si="11"/>
        <v>825</v>
      </c>
    </row>
    <row r="44" spans="1:45">
      <c r="A44" s="23"/>
      <c r="B44" s="24"/>
      <c r="C44" s="26"/>
      <c r="D44" s="26"/>
      <c r="E44" s="14"/>
      <c r="F44" s="14"/>
      <c r="G44" s="14"/>
      <c r="H44" s="14"/>
      <c r="I44" s="26"/>
      <c r="J44" s="26"/>
      <c r="K44" s="26"/>
      <c r="L44" s="26"/>
      <c r="M44" s="26"/>
      <c r="N44" s="26"/>
      <c r="O44" s="45"/>
      <c r="P44" s="26"/>
      <c r="Q44" s="45"/>
      <c r="AG44" s="175">
        <v>42</v>
      </c>
      <c r="AH44" s="8">
        <f t="shared" si="12"/>
        <v>824.99999999999977</v>
      </c>
      <c r="AI44" s="8">
        <f t="shared" si="2"/>
        <v>-250</v>
      </c>
      <c r="AJ44" s="8">
        <f t="shared" si="3"/>
        <v>250</v>
      </c>
      <c r="AK44" s="8">
        <f t="shared" si="4"/>
        <v>-1450</v>
      </c>
      <c r="AL44" s="8">
        <f t="shared" si="13"/>
        <v>249.99999999999994</v>
      </c>
      <c r="AM44" s="8">
        <f t="shared" si="5"/>
        <v>1450</v>
      </c>
      <c r="AN44" s="8">
        <f t="shared" si="6"/>
        <v>687.5</v>
      </c>
      <c r="AO44" s="8">
        <f t="shared" si="7"/>
        <v>-250</v>
      </c>
      <c r="AP44" s="8">
        <f t="shared" si="8"/>
        <v>250</v>
      </c>
      <c r="AQ44" s="8">
        <f t="shared" si="9"/>
        <v>-825</v>
      </c>
      <c r="AR44" s="8">
        <f t="shared" si="10"/>
        <v>249.99999999999994</v>
      </c>
      <c r="AS44" s="8">
        <f t="shared" si="11"/>
        <v>825</v>
      </c>
    </row>
    <row r="45" spans="1:45">
      <c r="A45" s="23"/>
      <c r="B45" s="24"/>
      <c r="C45" s="26"/>
      <c r="D45" s="26"/>
      <c r="E45" s="14"/>
      <c r="F45" s="14"/>
      <c r="G45" s="14"/>
      <c r="H45" s="14"/>
      <c r="I45" s="26"/>
      <c r="J45" s="26"/>
      <c r="K45" s="26"/>
      <c r="L45" s="26"/>
      <c r="M45" s="26"/>
      <c r="N45" s="26"/>
      <c r="O45" s="45"/>
      <c r="P45" s="26"/>
      <c r="Q45" s="45"/>
      <c r="AG45" s="175">
        <v>43</v>
      </c>
      <c r="AH45" s="8">
        <f t="shared" si="12"/>
        <v>824.99999999999977</v>
      </c>
      <c r="AI45" s="8">
        <f t="shared" si="2"/>
        <v>-250</v>
      </c>
      <c r="AJ45" s="8">
        <f t="shared" si="3"/>
        <v>250</v>
      </c>
      <c r="AK45" s="8">
        <f t="shared" si="4"/>
        <v>-1450</v>
      </c>
      <c r="AL45" s="8">
        <f t="shared" si="13"/>
        <v>249.99999999999994</v>
      </c>
      <c r="AM45" s="8">
        <f t="shared" si="5"/>
        <v>1450</v>
      </c>
      <c r="AN45" s="8">
        <f t="shared" si="6"/>
        <v>687.5</v>
      </c>
      <c r="AO45" s="8">
        <f t="shared" si="7"/>
        <v>-250</v>
      </c>
      <c r="AP45" s="8">
        <f t="shared" si="8"/>
        <v>250</v>
      </c>
      <c r="AQ45" s="8">
        <f t="shared" si="9"/>
        <v>-825</v>
      </c>
      <c r="AR45" s="8">
        <f t="shared" si="10"/>
        <v>249.99999999999994</v>
      </c>
      <c r="AS45" s="8">
        <f t="shared" si="11"/>
        <v>825</v>
      </c>
    </row>
    <row r="46" spans="1:45">
      <c r="A46" s="23"/>
      <c r="B46" s="24"/>
      <c r="C46" s="26"/>
      <c r="D46" s="26"/>
      <c r="E46" s="14"/>
      <c r="F46" s="14"/>
      <c r="G46" s="14"/>
      <c r="H46" s="14"/>
      <c r="I46" s="26"/>
      <c r="J46" s="26"/>
      <c r="K46" s="26"/>
      <c r="L46" s="26"/>
      <c r="M46" s="26"/>
      <c r="N46" s="26"/>
      <c r="O46" s="45"/>
      <c r="P46" s="26"/>
      <c r="Q46" s="45"/>
      <c r="AG46" s="175">
        <v>44</v>
      </c>
      <c r="AH46" s="8">
        <f t="shared" si="12"/>
        <v>824.99999999999977</v>
      </c>
      <c r="AI46" s="8">
        <f t="shared" si="2"/>
        <v>-250</v>
      </c>
      <c r="AJ46" s="8">
        <f t="shared" si="3"/>
        <v>250</v>
      </c>
      <c r="AK46" s="8">
        <f t="shared" si="4"/>
        <v>-1450</v>
      </c>
      <c r="AL46" s="8">
        <f t="shared" si="13"/>
        <v>249.99999999999994</v>
      </c>
      <c r="AM46" s="8">
        <f t="shared" si="5"/>
        <v>1450</v>
      </c>
      <c r="AN46" s="8">
        <f t="shared" si="6"/>
        <v>687.5</v>
      </c>
      <c r="AO46" s="8">
        <f t="shared" si="7"/>
        <v>-250</v>
      </c>
      <c r="AP46" s="8">
        <f t="shared" si="8"/>
        <v>250</v>
      </c>
      <c r="AQ46" s="8">
        <f t="shared" si="9"/>
        <v>-825</v>
      </c>
      <c r="AR46" s="8">
        <f t="shared" si="10"/>
        <v>249.99999999999994</v>
      </c>
      <c r="AS46" s="8">
        <f t="shared" si="11"/>
        <v>825</v>
      </c>
    </row>
    <row r="47" spans="1:45">
      <c r="A47" s="23"/>
      <c r="B47" s="24"/>
      <c r="C47" s="26"/>
      <c r="D47" s="26"/>
      <c r="E47" s="14"/>
      <c r="F47" s="14"/>
      <c r="G47" s="14"/>
      <c r="H47" s="14"/>
      <c r="I47" s="26"/>
      <c r="J47" s="26"/>
      <c r="K47" s="26"/>
      <c r="L47" s="26"/>
      <c r="M47" s="26"/>
      <c r="N47" s="26"/>
      <c r="O47" s="45"/>
      <c r="P47" s="26"/>
      <c r="Q47" s="45"/>
      <c r="AG47" s="175">
        <v>45</v>
      </c>
      <c r="AH47" s="8">
        <f t="shared" si="12"/>
        <v>824.99999999999977</v>
      </c>
      <c r="AI47" s="8">
        <f t="shared" si="2"/>
        <v>-250</v>
      </c>
      <c r="AJ47" s="8">
        <f t="shared" si="3"/>
        <v>250</v>
      </c>
      <c r="AK47" s="8">
        <f t="shared" si="4"/>
        <v>-1450</v>
      </c>
      <c r="AL47" s="8">
        <f t="shared" si="13"/>
        <v>249.99999999999994</v>
      </c>
      <c r="AM47" s="8">
        <f t="shared" si="5"/>
        <v>1450</v>
      </c>
      <c r="AN47" s="8">
        <f t="shared" si="6"/>
        <v>687.5</v>
      </c>
      <c r="AO47" s="8">
        <f t="shared" si="7"/>
        <v>-250</v>
      </c>
      <c r="AP47" s="8">
        <f t="shared" si="8"/>
        <v>250</v>
      </c>
      <c r="AQ47" s="8">
        <f t="shared" si="9"/>
        <v>-825</v>
      </c>
      <c r="AR47" s="8">
        <f t="shared" si="10"/>
        <v>249.99999999999994</v>
      </c>
      <c r="AS47" s="8">
        <f t="shared" si="11"/>
        <v>825</v>
      </c>
    </row>
    <row r="48" spans="1:45">
      <c r="A48" s="23"/>
      <c r="B48" s="24"/>
      <c r="C48" s="26"/>
      <c r="D48" s="26"/>
      <c r="E48" s="14"/>
      <c r="F48" s="14"/>
      <c r="G48" s="14"/>
      <c r="H48" s="14"/>
      <c r="I48" s="26"/>
      <c r="J48" s="26"/>
      <c r="K48" s="26"/>
      <c r="L48" s="26"/>
      <c r="M48" s="26"/>
      <c r="N48" s="26"/>
      <c r="O48" s="45"/>
      <c r="P48" s="26"/>
      <c r="Q48" s="45"/>
      <c r="AG48" s="175">
        <v>46</v>
      </c>
      <c r="AH48" s="8">
        <f t="shared" si="12"/>
        <v>824.99999999999977</v>
      </c>
      <c r="AI48" s="8">
        <f t="shared" si="2"/>
        <v>-250</v>
      </c>
      <c r="AJ48" s="8">
        <f t="shared" si="3"/>
        <v>250</v>
      </c>
      <c r="AK48" s="8">
        <f t="shared" si="4"/>
        <v>-1450</v>
      </c>
      <c r="AL48" s="8">
        <f t="shared" si="13"/>
        <v>249.99999999999994</v>
      </c>
      <c r="AM48" s="8">
        <f t="shared" si="5"/>
        <v>1450</v>
      </c>
      <c r="AN48" s="8">
        <f t="shared" si="6"/>
        <v>687.5</v>
      </c>
      <c r="AO48" s="8">
        <f t="shared" si="7"/>
        <v>-250</v>
      </c>
      <c r="AP48" s="8">
        <f t="shared" si="8"/>
        <v>250</v>
      </c>
      <c r="AQ48" s="8">
        <f t="shared" si="9"/>
        <v>-825</v>
      </c>
      <c r="AR48" s="8">
        <f t="shared" si="10"/>
        <v>249.99999999999994</v>
      </c>
      <c r="AS48" s="8">
        <f t="shared" si="11"/>
        <v>825</v>
      </c>
    </row>
    <row r="49" spans="1:45">
      <c r="A49" s="23"/>
      <c r="B49" s="24"/>
      <c r="C49" s="26"/>
      <c r="D49" s="26"/>
      <c r="E49" s="14"/>
      <c r="F49" s="14"/>
      <c r="G49" s="14"/>
      <c r="H49" s="14"/>
      <c r="I49" s="26"/>
      <c r="J49" s="26"/>
      <c r="K49" s="26"/>
      <c r="L49" s="26"/>
      <c r="M49" s="26"/>
      <c r="N49" s="26"/>
      <c r="O49" s="45"/>
      <c r="P49" s="26"/>
      <c r="Q49" s="45"/>
      <c r="AG49" s="175">
        <v>47</v>
      </c>
      <c r="AH49" s="8">
        <f t="shared" si="12"/>
        <v>824.99999999999977</v>
      </c>
      <c r="AI49" s="8">
        <f t="shared" si="2"/>
        <v>-250</v>
      </c>
      <c r="AJ49" s="8">
        <f t="shared" si="3"/>
        <v>250</v>
      </c>
      <c r="AK49" s="8">
        <f t="shared" si="4"/>
        <v>-1450</v>
      </c>
      <c r="AL49" s="8">
        <f t="shared" si="13"/>
        <v>249.99999999999994</v>
      </c>
      <c r="AM49" s="8">
        <f t="shared" si="5"/>
        <v>1450</v>
      </c>
      <c r="AN49" s="8">
        <f t="shared" si="6"/>
        <v>687.5</v>
      </c>
      <c r="AO49" s="8">
        <f t="shared" si="7"/>
        <v>-250</v>
      </c>
      <c r="AP49" s="8">
        <f t="shared" si="8"/>
        <v>250</v>
      </c>
      <c r="AQ49" s="8">
        <f t="shared" si="9"/>
        <v>-825</v>
      </c>
      <c r="AR49" s="8">
        <f t="shared" si="10"/>
        <v>249.99999999999994</v>
      </c>
      <c r="AS49" s="8">
        <f t="shared" si="11"/>
        <v>825</v>
      </c>
    </row>
    <row r="50" spans="1:45">
      <c r="A50" s="23"/>
      <c r="B50" s="24"/>
      <c r="C50" s="26"/>
      <c r="D50" s="26"/>
      <c r="E50" s="14"/>
      <c r="F50" s="14"/>
      <c r="G50" s="14"/>
      <c r="H50" s="14"/>
      <c r="I50" s="26"/>
      <c r="J50" s="26"/>
      <c r="K50" s="26"/>
      <c r="L50" s="26"/>
      <c r="M50" s="26"/>
      <c r="N50" s="26"/>
      <c r="O50" s="45"/>
      <c r="P50" s="26"/>
      <c r="Q50" s="45"/>
      <c r="AG50" s="175">
        <v>48</v>
      </c>
      <c r="AH50" s="8">
        <f t="shared" si="12"/>
        <v>824.99999999999977</v>
      </c>
      <c r="AI50" s="8">
        <f t="shared" si="2"/>
        <v>-250</v>
      </c>
      <c r="AJ50" s="8">
        <f t="shared" si="3"/>
        <v>250</v>
      </c>
      <c r="AK50" s="8">
        <f t="shared" si="4"/>
        <v>-1450</v>
      </c>
      <c r="AL50" s="8">
        <f t="shared" si="13"/>
        <v>249.99999999999994</v>
      </c>
      <c r="AM50" s="8">
        <f t="shared" si="5"/>
        <v>1450</v>
      </c>
      <c r="AN50" s="8">
        <f t="shared" si="6"/>
        <v>687.5</v>
      </c>
      <c r="AO50" s="8">
        <f t="shared" si="7"/>
        <v>-250</v>
      </c>
      <c r="AP50" s="8">
        <f t="shared" si="8"/>
        <v>250</v>
      </c>
      <c r="AQ50" s="8">
        <f t="shared" si="9"/>
        <v>-825</v>
      </c>
      <c r="AR50" s="8">
        <f t="shared" si="10"/>
        <v>249.99999999999994</v>
      </c>
      <c r="AS50" s="8">
        <f t="shared" si="11"/>
        <v>825</v>
      </c>
    </row>
    <row r="51" spans="1:45">
      <c r="A51" s="23"/>
      <c r="B51" s="24"/>
      <c r="C51" s="26"/>
      <c r="D51" s="26"/>
      <c r="E51" s="14"/>
      <c r="F51" s="14"/>
      <c r="G51" s="14"/>
      <c r="H51" s="14"/>
      <c r="I51" s="26"/>
      <c r="J51" s="26"/>
      <c r="K51" s="26"/>
      <c r="L51" s="26"/>
      <c r="M51" s="26"/>
      <c r="N51" s="26"/>
      <c r="O51" s="45"/>
      <c r="P51" s="26"/>
      <c r="Q51" s="45"/>
      <c r="AG51" s="175">
        <v>49</v>
      </c>
      <c r="AH51" s="8">
        <f t="shared" si="12"/>
        <v>824.99999999999977</v>
      </c>
      <c r="AI51" s="8">
        <f t="shared" si="2"/>
        <v>-250</v>
      </c>
      <c r="AJ51" s="8">
        <f t="shared" si="3"/>
        <v>250</v>
      </c>
      <c r="AK51" s="8">
        <f t="shared" si="4"/>
        <v>-1450</v>
      </c>
      <c r="AL51" s="8">
        <f t="shared" si="13"/>
        <v>249.99999999999994</v>
      </c>
      <c r="AM51" s="8">
        <f t="shared" si="5"/>
        <v>1450</v>
      </c>
      <c r="AN51" s="8">
        <f t="shared" si="6"/>
        <v>687.5</v>
      </c>
      <c r="AO51" s="8">
        <f t="shared" si="7"/>
        <v>-250</v>
      </c>
      <c r="AP51" s="8">
        <f t="shared" si="8"/>
        <v>250</v>
      </c>
      <c r="AQ51" s="8">
        <f t="shared" si="9"/>
        <v>-825</v>
      </c>
      <c r="AR51" s="8">
        <f t="shared" si="10"/>
        <v>249.99999999999994</v>
      </c>
      <c r="AS51" s="8">
        <f t="shared" si="11"/>
        <v>825</v>
      </c>
    </row>
    <row r="52" spans="1:45">
      <c r="A52" s="23"/>
      <c r="B52" s="24"/>
      <c r="C52" s="26"/>
      <c r="D52" s="26"/>
      <c r="E52" s="14"/>
      <c r="F52" s="14"/>
      <c r="G52" s="14"/>
      <c r="H52" s="14"/>
      <c r="I52" s="26"/>
      <c r="J52" s="26"/>
      <c r="K52" s="26"/>
      <c r="L52" s="26"/>
      <c r="M52" s="26"/>
      <c r="N52" s="26"/>
      <c r="O52" s="45"/>
      <c r="P52" s="26"/>
      <c r="Q52" s="45"/>
      <c r="AG52" s="175">
        <v>50</v>
      </c>
      <c r="AH52" s="8">
        <f t="shared" si="12"/>
        <v>824.99999999999977</v>
      </c>
      <c r="AI52" s="8">
        <f t="shared" si="2"/>
        <v>-250</v>
      </c>
      <c r="AJ52" s="8">
        <f t="shared" si="3"/>
        <v>250</v>
      </c>
      <c r="AK52" s="8">
        <f t="shared" si="4"/>
        <v>-1450</v>
      </c>
      <c r="AL52" s="8">
        <f t="shared" si="13"/>
        <v>249.99999999999994</v>
      </c>
      <c r="AM52" s="8">
        <f t="shared" si="5"/>
        <v>1450</v>
      </c>
      <c r="AN52" s="8">
        <f t="shared" si="6"/>
        <v>687.5</v>
      </c>
      <c r="AO52" s="8">
        <f t="shared" si="7"/>
        <v>-250</v>
      </c>
      <c r="AP52" s="8">
        <f t="shared" si="8"/>
        <v>250</v>
      </c>
      <c r="AQ52" s="8">
        <f t="shared" si="9"/>
        <v>-825</v>
      </c>
      <c r="AR52" s="8">
        <f t="shared" si="10"/>
        <v>249.99999999999994</v>
      </c>
      <c r="AS52" s="8">
        <f t="shared" si="11"/>
        <v>825</v>
      </c>
    </row>
    <row r="53" spans="1:45">
      <c r="A53" s="23"/>
      <c r="B53" s="24"/>
      <c r="C53" s="26"/>
      <c r="D53" s="26"/>
      <c r="E53" s="14"/>
      <c r="F53" s="14"/>
      <c r="G53" s="14"/>
      <c r="H53" s="14"/>
      <c r="I53" s="26"/>
      <c r="J53" s="26"/>
      <c r="K53" s="26"/>
      <c r="L53" s="26"/>
      <c r="M53" s="26"/>
      <c r="N53" s="26"/>
      <c r="O53" s="45"/>
      <c r="P53" s="26"/>
      <c r="Q53" s="45"/>
    </row>
    <row r="54" spans="1:45">
      <c r="A54" s="23"/>
      <c r="B54" s="24"/>
      <c r="C54" s="26"/>
      <c r="D54" s="26"/>
      <c r="E54" s="14"/>
      <c r="F54" s="14"/>
      <c r="G54" s="14"/>
      <c r="H54" s="14"/>
      <c r="I54" s="26"/>
      <c r="J54" s="26"/>
      <c r="K54" s="26"/>
      <c r="L54" s="26"/>
      <c r="M54" s="26"/>
      <c r="N54" s="26"/>
      <c r="O54" s="45"/>
      <c r="P54" s="26"/>
      <c r="Q54" s="45"/>
    </row>
    <row r="55" spans="1:45">
      <c r="A55" s="23"/>
      <c r="B55" s="24"/>
      <c r="C55" s="26"/>
      <c r="D55" s="26"/>
      <c r="E55" s="14"/>
      <c r="F55" s="14"/>
      <c r="G55" s="14"/>
      <c r="H55" s="14"/>
      <c r="I55" s="26"/>
      <c r="J55" s="26"/>
      <c r="K55" s="26"/>
      <c r="L55" s="26"/>
      <c r="M55" s="26"/>
      <c r="N55" s="26"/>
      <c r="O55" s="45"/>
      <c r="P55" s="26"/>
      <c r="Q55" s="45"/>
    </row>
    <row r="56" spans="1:45">
      <c r="A56" s="23"/>
      <c r="B56" s="24"/>
      <c r="C56" s="26"/>
      <c r="D56" s="26"/>
      <c r="E56" s="14"/>
      <c r="F56" s="14"/>
      <c r="G56" s="14"/>
      <c r="H56" s="14"/>
      <c r="I56" s="26"/>
      <c r="J56" s="26"/>
      <c r="K56" s="26"/>
      <c r="L56" s="26"/>
      <c r="M56" s="26"/>
      <c r="N56" s="26"/>
      <c r="O56" s="45"/>
      <c r="P56" s="26"/>
      <c r="Q56" s="45"/>
    </row>
    <row r="57" spans="1:45">
      <c r="A57" s="23"/>
      <c r="B57" s="24"/>
      <c r="C57" s="26"/>
      <c r="D57" s="26"/>
      <c r="E57" s="14"/>
      <c r="F57" s="14"/>
      <c r="G57" s="14"/>
      <c r="H57" s="14"/>
      <c r="I57" s="26"/>
      <c r="J57" s="26"/>
      <c r="K57" s="26"/>
      <c r="L57" s="26"/>
      <c r="M57" s="26"/>
      <c r="N57" s="26"/>
      <c r="O57" s="45"/>
      <c r="P57" s="26"/>
      <c r="Q57" s="45"/>
    </row>
    <row r="58" spans="1:45">
      <c r="A58" s="23"/>
      <c r="B58" s="24"/>
      <c r="C58" s="26"/>
      <c r="D58" s="26"/>
      <c r="E58" s="14"/>
      <c r="F58" s="14"/>
      <c r="G58" s="14"/>
      <c r="H58" s="14"/>
      <c r="I58" s="26"/>
      <c r="J58" s="26"/>
      <c r="K58" s="26"/>
      <c r="L58" s="26"/>
      <c r="M58" s="26"/>
      <c r="N58" s="26"/>
      <c r="O58" s="45"/>
      <c r="P58" s="26"/>
      <c r="Q58" s="45"/>
    </row>
    <row r="59" spans="1:45">
      <c r="A59" s="23"/>
      <c r="B59" s="24"/>
      <c r="C59" s="26"/>
      <c r="D59" s="26"/>
      <c r="E59" s="14"/>
      <c r="F59" s="14"/>
      <c r="G59" s="14"/>
      <c r="H59" s="14"/>
      <c r="I59" s="26"/>
      <c r="J59" s="26"/>
      <c r="K59" s="26"/>
      <c r="L59" s="26"/>
      <c r="M59" s="26"/>
      <c r="N59" s="26"/>
      <c r="O59" s="45"/>
      <c r="P59" s="26"/>
      <c r="Q59" s="45"/>
    </row>
    <row r="60" spans="1:45">
      <c r="A60" s="23"/>
      <c r="B60" s="24"/>
      <c r="C60" s="26"/>
      <c r="D60" s="26"/>
      <c r="E60" s="14"/>
      <c r="F60" s="14"/>
      <c r="G60" s="14"/>
      <c r="H60" s="14"/>
      <c r="I60" s="26"/>
      <c r="J60" s="26"/>
      <c r="K60" s="26"/>
      <c r="L60" s="26"/>
      <c r="M60" s="26"/>
      <c r="N60" s="26"/>
      <c r="O60" s="45"/>
      <c r="P60" s="26"/>
      <c r="Q60" s="45"/>
    </row>
    <row r="61" spans="1:45">
      <c r="A61" s="23"/>
      <c r="B61" s="24"/>
      <c r="C61" s="26"/>
      <c r="D61" s="26"/>
      <c r="E61" s="14"/>
      <c r="F61" s="14"/>
      <c r="G61" s="14"/>
      <c r="H61" s="14"/>
      <c r="I61" s="26"/>
      <c r="J61" s="26"/>
      <c r="K61" s="26"/>
      <c r="L61" s="26"/>
      <c r="M61" s="26"/>
      <c r="N61" s="26"/>
      <c r="O61" s="45"/>
      <c r="P61" s="26"/>
      <c r="Q61" s="45"/>
    </row>
    <row r="62" spans="1:45">
      <c r="A62" s="23"/>
      <c r="B62" s="24"/>
      <c r="C62" s="26"/>
      <c r="D62" s="26"/>
      <c r="E62" s="14"/>
      <c r="F62" s="14"/>
      <c r="G62" s="14"/>
      <c r="H62" s="14"/>
      <c r="I62" s="26"/>
      <c r="J62" s="26"/>
      <c r="K62" s="26"/>
      <c r="L62" s="26"/>
      <c r="M62" s="26"/>
      <c r="N62" s="26"/>
      <c r="O62" s="45"/>
      <c r="P62" s="26"/>
      <c r="Q62" s="45"/>
    </row>
    <row r="63" spans="1:45">
      <c r="A63" s="23"/>
      <c r="B63" s="24"/>
      <c r="C63" s="26"/>
      <c r="D63" s="26"/>
      <c r="E63" s="14"/>
      <c r="F63" s="14"/>
      <c r="G63" s="14"/>
      <c r="H63" s="14"/>
      <c r="I63" s="26"/>
      <c r="J63" s="26"/>
      <c r="K63" s="26"/>
      <c r="L63" s="26"/>
      <c r="M63" s="26"/>
      <c r="N63" s="26"/>
      <c r="O63" s="45"/>
      <c r="P63" s="26"/>
      <c r="Q63" s="45"/>
    </row>
    <row r="64" spans="1:45">
      <c r="A64" s="23"/>
      <c r="B64" s="24"/>
      <c r="C64" s="26"/>
      <c r="D64" s="26"/>
      <c r="E64" s="14"/>
      <c r="F64" s="14"/>
      <c r="G64" s="14"/>
      <c r="H64" s="14"/>
      <c r="I64" s="26"/>
      <c r="J64" s="26"/>
      <c r="K64" s="26"/>
      <c r="L64" s="26"/>
      <c r="M64" s="26"/>
      <c r="N64" s="26"/>
      <c r="O64" s="45"/>
      <c r="P64" s="26"/>
      <c r="Q64" s="45"/>
    </row>
    <row r="65" spans="1:17">
      <c r="A65" s="23"/>
      <c r="B65" s="24"/>
      <c r="C65" s="26"/>
      <c r="D65" s="26"/>
      <c r="E65" s="14"/>
      <c r="F65" s="14"/>
      <c r="G65" s="14"/>
      <c r="H65" s="14"/>
      <c r="I65" s="26"/>
      <c r="J65" s="26"/>
      <c r="K65" s="26"/>
      <c r="L65" s="26"/>
      <c r="M65" s="26"/>
      <c r="N65" s="26"/>
      <c r="O65" s="45"/>
      <c r="P65" s="26"/>
      <c r="Q65" s="45"/>
    </row>
    <row r="66" spans="1:17">
      <c r="A66" s="23"/>
      <c r="B66" s="24"/>
      <c r="C66" s="26"/>
      <c r="D66" s="26"/>
      <c r="E66" s="14"/>
      <c r="F66" s="14"/>
      <c r="G66" s="14"/>
      <c r="H66" s="14"/>
      <c r="I66" s="26"/>
      <c r="J66" s="26"/>
      <c r="K66" s="26"/>
      <c r="L66" s="26"/>
      <c r="M66" s="26"/>
      <c r="N66" s="26"/>
      <c r="O66" s="45"/>
      <c r="P66" s="26"/>
      <c r="Q66" s="45"/>
    </row>
    <row r="67" spans="1:17">
      <c r="A67" s="23"/>
      <c r="B67" s="24"/>
      <c r="C67" s="26"/>
      <c r="D67" s="26"/>
      <c r="E67" s="14"/>
      <c r="F67" s="14"/>
      <c r="G67" s="14"/>
      <c r="H67" s="14"/>
      <c r="I67" s="26"/>
      <c r="J67" s="26"/>
      <c r="K67" s="26"/>
      <c r="L67" s="26"/>
      <c r="M67" s="26"/>
      <c r="N67" s="26"/>
      <c r="O67" s="45"/>
      <c r="P67" s="26"/>
      <c r="Q67" s="45"/>
    </row>
    <row r="68" spans="1:17">
      <c r="A68" s="23"/>
      <c r="B68" s="24"/>
      <c r="C68" s="26"/>
      <c r="D68" s="26"/>
      <c r="E68" s="14"/>
      <c r="F68" s="14"/>
      <c r="G68" s="14"/>
      <c r="H68" s="14"/>
      <c r="I68" s="26"/>
      <c r="J68" s="26"/>
      <c r="K68" s="26"/>
      <c r="L68" s="26"/>
      <c r="M68" s="26"/>
      <c r="N68" s="26"/>
      <c r="O68" s="45"/>
      <c r="P68" s="26"/>
      <c r="Q68" s="45"/>
    </row>
    <row r="69" spans="1:17">
      <c r="A69" s="23"/>
      <c r="B69" s="24"/>
      <c r="C69" s="26"/>
      <c r="D69" s="26"/>
      <c r="E69" s="14"/>
      <c r="F69" s="14"/>
      <c r="G69" s="14"/>
      <c r="H69" s="14"/>
      <c r="I69" s="26"/>
      <c r="J69" s="26"/>
      <c r="K69" s="26"/>
      <c r="L69" s="26"/>
      <c r="M69" s="26"/>
      <c r="N69" s="26"/>
      <c r="O69" s="45"/>
      <c r="P69" s="26"/>
      <c r="Q69" s="45"/>
    </row>
    <row r="70" spans="1:17">
      <c r="A70" s="23"/>
      <c r="B70" s="24"/>
      <c r="C70" s="26"/>
      <c r="D70" s="26"/>
      <c r="E70" s="14"/>
      <c r="F70" s="14"/>
      <c r="G70" s="14"/>
      <c r="H70" s="14"/>
      <c r="I70" s="26"/>
      <c r="J70" s="26"/>
      <c r="K70" s="26"/>
      <c r="L70" s="26"/>
      <c r="M70" s="26"/>
      <c r="N70" s="26"/>
      <c r="O70" s="45"/>
      <c r="P70" s="26"/>
      <c r="Q70" s="45"/>
    </row>
    <row r="71" spans="1:17">
      <c r="A71" s="23"/>
      <c r="B71" s="24"/>
      <c r="C71" s="26"/>
      <c r="D71" s="26"/>
      <c r="E71" s="14"/>
      <c r="F71" s="14"/>
      <c r="G71" s="14"/>
      <c r="H71" s="14"/>
      <c r="I71" s="26"/>
      <c r="J71" s="26"/>
      <c r="K71" s="26"/>
      <c r="L71" s="26"/>
      <c r="M71" s="26"/>
      <c r="N71" s="26"/>
      <c r="O71" s="45"/>
      <c r="P71" s="26"/>
      <c r="Q71" s="45"/>
    </row>
    <row r="72" spans="1:17">
      <c r="A72" s="23"/>
      <c r="B72" s="24"/>
      <c r="C72" s="26"/>
      <c r="D72" s="26"/>
      <c r="E72" s="14"/>
      <c r="F72" s="14"/>
      <c r="G72" s="14"/>
      <c r="H72" s="14"/>
      <c r="I72" s="26"/>
      <c r="J72" s="26"/>
      <c r="K72" s="26"/>
      <c r="L72" s="26"/>
      <c r="M72" s="26"/>
      <c r="N72" s="26"/>
      <c r="O72" s="45"/>
      <c r="P72" s="26"/>
      <c r="Q72" s="45"/>
    </row>
    <row r="73" spans="1:17">
      <c r="A73" s="23"/>
      <c r="B73" s="24"/>
      <c r="C73" s="26"/>
      <c r="D73" s="26"/>
      <c r="E73" s="14"/>
      <c r="F73" s="14"/>
      <c r="G73" s="14"/>
      <c r="H73" s="14"/>
      <c r="I73" s="26"/>
      <c r="J73" s="26"/>
      <c r="K73" s="26"/>
      <c r="L73" s="26"/>
      <c r="M73" s="26"/>
      <c r="N73" s="26"/>
      <c r="O73" s="45"/>
      <c r="P73" s="26"/>
      <c r="Q73" s="45"/>
    </row>
    <row r="74" spans="1:17">
      <c r="A74" s="23"/>
      <c r="B74" s="24"/>
      <c r="C74" s="26"/>
      <c r="D74" s="26"/>
      <c r="E74" s="14"/>
      <c r="F74" s="14"/>
      <c r="G74" s="14"/>
      <c r="H74" s="14"/>
      <c r="I74" s="26"/>
      <c r="J74" s="26"/>
      <c r="K74" s="26"/>
      <c r="L74" s="26"/>
      <c r="M74" s="26"/>
      <c r="N74" s="26"/>
      <c r="O74" s="45"/>
      <c r="P74" s="26"/>
      <c r="Q74" s="45"/>
    </row>
    <row r="75" spans="1:17">
      <c r="A75" s="23"/>
      <c r="B75" s="24"/>
      <c r="C75" s="26"/>
      <c r="D75" s="26"/>
      <c r="E75" s="14"/>
      <c r="F75" s="14"/>
      <c r="G75" s="14"/>
      <c r="H75" s="14"/>
      <c r="I75" s="26"/>
      <c r="J75" s="26"/>
      <c r="K75" s="26"/>
      <c r="L75" s="26"/>
      <c r="M75" s="26"/>
      <c r="N75" s="26"/>
      <c r="O75" s="45"/>
      <c r="P75" s="26"/>
      <c r="Q75" s="45"/>
    </row>
    <row r="76" spans="1:17">
      <c r="A76" s="23"/>
      <c r="B76" s="24"/>
      <c r="C76" s="26"/>
      <c r="D76" s="26"/>
      <c r="E76" s="14"/>
      <c r="F76" s="14"/>
      <c r="G76" s="14"/>
      <c r="H76" s="14"/>
      <c r="I76" s="26"/>
      <c r="J76" s="26"/>
      <c r="K76" s="26"/>
      <c r="L76" s="26"/>
      <c r="M76" s="26"/>
      <c r="N76" s="26"/>
      <c r="O76" s="45"/>
      <c r="P76" s="26"/>
      <c r="Q76" s="45"/>
    </row>
    <row r="77" spans="1:17">
      <c r="A77" s="23"/>
      <c r="B77" s="24"/>
      <c r="C77" s="26"/>
      <c r="D77" s="26"/>
      <c r="E77" s="14"/>
      <c r="F77" s="14"/>
      <c r="G77" s="14"/>
      <c r="H77" s="14"/>
      <c r="I77" s="26"/>
      <c r="J77" s="26"/>
      <c r="K77" s="26"/>
      <c r="L77" s="26"/>
      <c r="M77" s="26"/>
      <c r="N77" s="26"/>
      <c r="O77" s="45"/>
      <c r="P77" s="26"/>
      <c r="Q77" s="45"/>
    </row>
    <row r="78" spans="1:17">
      <c r="A78" s="23"/>
      <c r="B78" s="24"/>
      <c r="C78" s="26"/>
      <c r="D78" s="26"/>
      <c r="E78" s="14"/>
      <c r="F78" s="14"/>
      <c r="G78" s="14"/>
      <c r="H78" s="14"/>
      <c r="I78" s="26"/>
      <c r="J78" s="26"/>
      <c r="K78" s="26"/>
      <c r="L78" s="26"/>
      <c r="M78" s="26"/>
      <c r="N78" s="26"/>
      <c r="O78" s="45"/>
      <c r="P78" s="26"/>
      <c r="Q78" s="45"/>
    </row>
    <row r="79" spans="1:17">
      <c r="A79" s="23"/>
      <c r="B79" s="24"/>
      <c r="C79" s="26"/>
      <c r="D79" s="26"/>
      <c r="E79" s="14"/>
      <c r="F79" s="14"/>
      <c r="G79" s="14"/>
      <c r="H79" s="14"/>
      <c r="I79" s="26"/>
      <c r="J79" s="26"/>
      <c r="K79" s="26"/>
      <c r="L79" s="26"/>
      <c r="M79" s="26"/>
      <c r="N79" s="26"/>
      <c r="O79" s="45"/>
      <c r="P79" s="26"/>
      <c r="Q79" s="45"/>
    </row>
    <row r="80" spans="1:17">
      <c r="A80" s="23"/>
      <c r="B80" s="24"/>
      <c r="C80" s="26"/>
      <c r="D80" s="26"/>
      <c r="E80" s="14"/>
      <c r="F80" s="14"/>
      <c r="G80" s="14"/>
      <c r="H80" s="14"/>
      <c r="I80" s="26"/>
      <c r="J80" s="26"/>
      <c r="K80" s="26"/>
      <c r="L80" s="26"/>
      <c r="M80" s="26"/>
      <c r="N80" s="26"/>
      <c r="O80" s="45"/>
      <c r="P80" s="26"/>
      <c r="Q80" s="45"/>
    </row>
    <row r="81" spans="1:17">
      <c r="A81" s="23"/>
      <c r="B81" s="24"/>
      <c r="C81" s="26"/>
      <c r="D81" s="26"/>
      <c r="E81" s="14"/>
      <c r="F81" s="14"/>
      <c r="G81" s="14"/>
      <c r="H81" s="14"/>
      <c r="I81" s="26"/>
      <c r="J81" s="26"/>
      <c r="K81" s="26"/>
      <c r="L81" s="26"/>
      <c r="M81" s="26"/>
      <c r="N81" s="26"/>
      <c r="O81" s="45"/>
      <c r="P81" s="26"/>
      <c r="Q81" s="45"/>
    </row>
    <row r="82" spans="1:17">
      <c r="A82" s="23"/>
      <c r="B82" s="24"/>
      <c r="C82" s="26"/>
      <c r="D82" s="26"/>
      <c r="E82" s="14"/>
      <c r="F82" s="14"/>
      <c r="G82" s="14"/>
      <c r="H82" s="14"/>
      <c r="I82" s="26"/>
      <c r="J82" s="26"/>
      <c r="K82" s="26"/>
      <c r="L82" s="26"/>
      <c r="M82" s="26"/>
      <c r="N82" s="26"/>
      <c r="O82" s="45"/>
      <c r="P82" s="26"/>
      <c r="Q82" s="45"/>
    </row>
    <row r="83" spans="1:17">
      <c r="A83" s="23"/>
      <c r="B83" s="24"/>
      <c r="C83" s="26"/>
      <c r="D83" s="26"/>
      <c r="E83" s="14"/>
      <c r="F83" s="14"/>
      <c r="G83" s="14"/>
      <c r="H83" s="14"/>
      <c r="I83" s="26"/>
      <c r="J83" s="26"/>
      <c r="K83" s="26"/>
      <c r="L83" s="26"/>
      <c r="M83" s="26"/>
      <c r="N83" s="26"/>
      <c r="O83" s="45"/>
      <c r="P83" s="26"/>
      <c r="Q83" s="45"/>
    </row>
    <row r="84" spans="1:17">
      <c r="A84" s="23"/>
      <c r="B84" s="24"/>
      <c r="C84" s="26"/>
      <c r="D84" s="26"/>
      <c r="E84" s="14"/>
      <c r="F84" s="14"/>
      <c r="G84" s="14"/>
      <c r="H84" s="14"/>
      <c r="I84" s="26"/>
      <c r="J84" s="26"/>
      <c r="K84" s="26"/>
      <c r="L84" s="26"/>
      <c r="M84" s="26"/>
      <c r="N84" s="26"/>
      <c r="O84" s="45"/>
      <c r="P84" s="26"/>
      <c r="Q84" s="45"/>
    </row>
    <row r="85" spans="1:17">
      <c r="A85" s="23"/>
      <c r="B85" s="24"/>
      <c r="C85" s="26"/>
      <c r="D85" s="26"/>
      <c r="E85" s="14"/>
      <c r="F85" s="14"/>
      <c r="G85" s="14"/>
      <c r="H85" s="14"/>
      <c r="I85" s="26"/>
      <c r="J85" s="26"/>
      <c r="K85" s="26"/>
      <c r="L85" s="26"/>
      <c r="M85" s="26"/>
      <c r="N85" s="26"/>
      <c r="O85" s="45"/>
      <c r="P85" s="26"/>
      <c r="Q85" s="45"/>
    </row>
    <row r="86" spans="1:17">
      <c r="A86" s="23"/>
      <c r="B86" s="24"/>
      <c r="C86" s="26"/>
      <c r="D86" s="26"/>
      <c r="E86" s="14"/>
      <c r="F86" s="14"/>
      <c r="G86" s="14"/>
      <c r="H86" s="14"/>
      <c r="I86" s="26"/>
      <c r="J86" s="26"/>
      <c r="K86" s="26"/>
      <c r="L86" s="26"/>
      <c r="M86" s="26"/>
      <c r="N86" s="26"/>
      <c r="O86" s="45"/>
      <c r="P86" s="26"/>
      <c r="Q86" s="45"/>
    </row>
    <row r="87" spans="1:17">
      <c r="A87" s="23"/>
      <c r="B87" s="24"/>
      <c r="C87" s="26"/>
      <c r="D87" s="26"/>
      <c r="E87" s="14"/>
      <c r="F87" s="14"/>
      <c r="G87" s="14"/>
      <c r="H87" s="14"/>
      <c r="I87" s="26"/>
      <c r="J87" s="26"/>
      <c r="K87" s="26"/>
      <c r="L87" s="26"/>
      <c r="M87" s="26"/>
      <c r="N87" s="26"/>
      <c r="O87" s="45"/>
      <c r="P87" s="26"/>
      <c r="Q87" s="45"/>
    </row>
    <row r="88" spans="1:17">
      <c r="A88" s="23"/>
      <c r="B88" s="24"/>
      <c r="C88" s="26"/>
      <c r="D88" s="26"/>
      <c r="E88" s="14"/>
      <c r="F88" s="14"/>
      <c r="G88" s="14"/>
      <c r="H88" s="14"/>
      <c r="I88" s="26"/>
      <c r="J88" s="26"/>
      <c r="K88" s="26"/>
      <c r="L88" s="26"/>
      <c r="M88" s="26"/>
      <c r="N88" s="26"/>
      <c r="O88" s="45"/>
      <c r="P88" s="26"/>
      <c r="Q88" s="45"/>
    </row>
    <row r="89" spans="1:17">
      <c r="A89" s="23"/>
      <c r="B89" s="24"/>
      <c r="C89" s="26"/>
      <c r="D89" s="26"/>
      <c r="E89" s="14"/>
      <c r="F89" s="14"/>
      <c r="G89" s="14"/>
      <c r="H89" s="14"/>
      <c r="I89" s="26"/>
      <c r="J89" s="26"/>
      <c r="K89" s="26"/>
      <c r="L89" s="26"/>
      <c r="M89" s="26"/>
      <c r="N89" s="26"/>
      <c r="O89" s="45"/>
      <c r="P89" s="26"/>
      <c r="Q89" s="45"/>
    </row>
    <row r="90" spans="1:17">
      <c r="A90" s="23"/>
      <c r="B90" s="24"/>
      <c r="C90" s="26"/>
      <c r="D90" s="26"/>
      <c r="E90" s="14"/>
      <c r="F90" s="14"/>
      <c r="G90" s="14"/>
      <c r="H90" s="14"/>
      <c r="I90" s="26"/>
      <c r="J90" s="26"/>
      <c r="K90" s="26"/>
      <c r="L90" s="26"/>
      <c r="M90" s="26"/>
      <c r="N90" s="26"/>
      <c r="O90" s="45"/>
      <c r="P90" s="26"/>
      <c r="Q90" s="45"/>
    </row>
    <row r="91" spans="1:17">
      <c r="A91" s="23"/>
      <c r="B91" s="24"/>
      <c r="C91" s="26"/>
      <c r="D91" s="26"/>
      <c r="E91" s="14"/>
      <c r="F91" s="14"/>
      <c r="G91" s="14"/>
      <c r="H91" s="14"/>
      <c r="I91" s="26"/>
      <c r="J91" s="26"/>
      <c r="K91" s="26"/>
      <c r="L91" s="26"/>
      <c r="M91" s="26"/>
      <c r="N91" s="26"/>
      <c r="O91" s="45"/>
      <c r="P91" s="26"/>
      <c r="Q91" s="45"/>
    </row>
    <row r="92" spans="1:17">
      <c r="A92" s="23"/>
      <c r="B92" s="24"/>
      <c r="C92" s="26"/>
      <c r="D92" s="26"/>
      <c r="E92" s="14"/>
      <c r="F92" s="14"/>
      <c r="G92" s="14"/>
      <c r="H92" s="14"/>
      <c r="I92" s="26"/>
      <c r="J92" s="26"/>
      <c r="K92" s="26"/>
      <c r="L92" s="26"/>
      <c r="M92" s="26"/>
      <c r="N92" s="26"/>
      <c r="O92" s="45"/>
      <c r="P92" s="26"/>
      <c r="Q92" s="45"/>
    </row>
    <row r="93" spans="1:17">
      <c r="A93" s="23"/>
      <c r="B93" s="24"/>
      <c r="C93" s="26"/>
      <c r="D93" s="26"/>
      <c r="E93" s="14"/>
      <c r="F93" s="14"/>
      <c r="G93" s="14"/>
      <c r="H93" s="14"/>
      <c r="I93" s="26"/>
      <c r="J93" s="26"/>
      <c r="K93" s="26"/>
      <c r="L93" s="26"/>
      <c r="M93" s="26"/>
      <c r="N93" s="26"/>
      <c r="O93" s="45"/>
      <c r="P93" s="26"/>
      <c r="Q93" s="45"/>
    </row>
    <row r="94" spans="1:17">
      <c r="A94" s="23"/>
      <c r="B94" s="24"/>
      <c r="C94" s="26"/>
      <c r="D94" s="26"/>
      <c r="E94" s="14"/>
      <c r="F94" s="14"/>
      <c r="G94" s="14"/>
      <c r="H94" s="14"/>
      <c r="I94" s="26"/>
      <c r="J94" s="26"/>
      <c r="K94" s="26"/>
      <c r="L94" s="26"/>
      <c r="M94" s="26"/>
      <c r="N94" s="26"/>
      <c r="O94" s="45"/>
      <c r="P94" s="26"/>
      <c r="Q94" s="45"/>
    </row>
    <row r="95" spans="1:17">
      <c r="A95" s="23"/>
      <c r="B95" s="24"/>
      <c r="C95" s="26"/>
      <c r="D95" s="26"/>
      <c r="E95" s="14"/>
      <c r="F95" s="14"/>
      <c r="G95" s="14"/>
      <c r="H95" s="14"/>
      <c r="I95" s="26"/>
      <c r="J95" s="26"/>
      <c r="K95" s="26"/>
      <c r="L95" s="26"/>
      <c r="M95" s="26"/>
      <c r="N95" s="26"/>
      <c r="O95" s="45"/>
      <c r="P95" s="26"/>
      <c r="Q95" s="45"/>
    </row>
    <row r="96" spans="1:17">
      <c r="A96" s="23"/>
      <c r="B96" s="24"/>
      <c r="C96" s="26"/>
      <c r="D96" s="26"/>
      <c r="E96" s="14"/>
      <c r="F96" s="14"/>
      <c r="G96" s="14"/>
      <c r="H96" s="14"/>
      <c r="I96" s="26"/>
      <c r="J96" s="26"/>
      <c r="K96" s="26"/>
      <c r="L96" s="26"/>
      <c r="M96" s="26"/>
      <c r="N96" s="26"/>
      <c r="O96" s="45"/>
      <c r="P96" s="26"/>
      <c r="Q96" s="45"/>
    </row>
    <row r="97" spans="1:17">
      <c r="A97" s="23"/>
      <c r="B97" s="24"/>
      <c r="C97" s="26"/>
      <c r="D97" s="26"/>
      <c r="E97" s="14"/>
      <c r="F97" s="14"/>
      <c r="G97" s="14"/>
      <c r="H97" s="14"/>
      <c r="I97" s="26"/>
      <c r="J97" s="26"/>
      <c r="K97" s="26"/>
      <c r="L97" s="26"/>
      <c r="M97" s="26"/>
      <c r="N97" s="26"/>
      <c r="O97" s="45"/>
      <c r="P97" s="26"/>
      <c r="Q97" s="45"/>
    </row>
    <row r="98" spans="1:17">
      <c r="A98" s="23"/>
      <c r="B98" s="24"/>
      <c r="C98" s="26"/>
      <c r="D98" s="26"/>
      <c r="E98" s="14"/>
      <c r="F98" s="14"/>
      <c r="G98" s="14"/>
      <c r="H98" s="14"/>
      <c r="I98" s="26"/>
      <c r="J98" s="26"/>
      <c r="K98" s="26"/>
      <c r="L98" s="26"/>
      <c r="M98" s="26"/>
      <c r="N98" s="26"/>
      <c r="O98" s="45"/>
      <c r="P98" s="26"/>
      <c r="Q98" s="45"/>
    </row>
    <row r="99" spans="1:17">
      <c r="A99" s="23"/>
      <c r="B99" s="24"/>
      <c r="C99" s="26"/>
      <c r="D99" s="26"/>
      <c r="E99" s="14"/>
      <c r="F99" s="14"/>
      <c r="G99" s="14"/>
      <c r="H99" s="14"/>
      <c r="I99" s="26"/>
      <c r="J99" s="26"/>
      <c r="K99" s="26"/>
      <c r="L99" s="26"/>
      <c r="M99" s="26"/>
      <c r="N99" s="26"/>
      <c r="O99" s="45"/>
      <c r="P99" s="26"/>
      <c r="Q99" s="45"/>
    </row>
    <row r="100" spans="1:17">
      <c r="A100" s="23"/>
      <c r="B100" s="24"/>
      <c r="C100" s="26"/>
      <c r="D100" s="26"/>
      <c r="E100" s="14"/>
      <c r="F100" s="14"/>
      <c r="G100" s="14"/>
      <c r="H100" s="14"/>
      <c r="I100" s="26"/>
      <c r="J100" s="26"/>
      <c r="K100" s="26"/>
      <c r="L100" s="26"/>
      <c r="M100" s="26"/>
      <c r="N100" s="26"/>
      <c r="O100" s="45"/>
      <c r="P100" s="26"/>
      <c r="Q100" s="45"/>
    </row>
    <row r="101" spans="1:17">
      <c r="A101" s="23"/>
      <c r="B101" s="24"/>
      <c r="C101" s="26"/>
      <c r="D101" s="26"/>
      <c r="E101" s="14"/>
      <c r="F101" s="14"/>
      <c r="G101" s="14"/>
      <c r="H101" s="14"/>
      <c r="I101" s="26"/>
      <c r="J101" s="26"/>
      <c r="K101" s="26"/>
      <c r="L101" s="26"/>
      <c r="M101" s="26"/>
      <c r="N101" s="26"/>
      <c r="O101" s="45"/>
      <c r="P101" s="26"/>
      <c r="Q101" s="45"/>
    </row>
    <row r="102" spans="1:17">
      <c r="A102" s="23"/>
      <c r="B102" s="24"/>
      <c r="C102" s="26"/>
      <c r="D102" s="26"/>
      <c r="E102" s="14"/>
      <c r="F102" s="14"/>
      <c r="G102" s="14"/>
      <c r="H102" s="14"/>
      <c r="I102" s="26"/>
      <c r="J102" s="26"/>
      <c r="K102" s="26"/>
      <c r="L102" s="26"/>
      <c r="M102" s="26"/>
      <c r="N102" s="26"/>
      <c r="O102" s="45"/>
      <c r="P102" s="26"/>
      <c r="Q102" s="45"/>
    </row>
    <row r="103" spans="1:17">
      <c r="A103" s="23"/>
      <c r="B103" s="24"/>
      <c r="C103" s="26"/>
      <c r="D103" s="26"/>
      <c r="E103" s="14"/>
      <c r="F103" s="14"/>
      <c r="G103" s="14"/>
      <c r="H103" s="14"/>
      <c r="I103" s="26"/>
      <c r="J103" s="26"/>
      <c r="K103" s="26"/>
      <c r="L103" s="26"/>
      <c r="M103" s="26"/>
      <c r="N103" s="26"/>
      <c r="O103" s="45"/>
      <c r="P103" s="26"/>
      <c r="Q103" s="45"/>
    </row>
    <row r="104" spans="1:17">
      <c r="A104" s="23"/>
      <c r="B104" s="24"/>
      <c r="C104" s="26"/>
      <c r="D104" s="26"/>
      <c r="E104" s="14"/>
      <c r="F104" s="14"/>
      <c r="G104" s="14"/>
      <c r="H104" s="14"/>
      <c r="I104" s="26"/>
      <c r="J104" s="26"/>
      <c r="K104" s="26"/>
      <c r="L104" s="26"/>
      <c r="M104" s="26"/>
      <c r="N104" s="26"/>
      <c r="O104" s="45"/>
      <c r="P104" s="26"/>
      <c r="Q104" s="45"/>
    </row>
    <row r="105" spans="1:17">
      <c r="A105" s="23"/>
      <c r="B105" s="24"/>
      <c r="C105" s="26"/>
      <c r="D105" s="26"/>
      <c r="E105" s="14"/>
      <c r="F105" s="14"/>
      <c r="G105" s="14"/>
      <c r="H105" s="14"/>
      <c r="I105" s="26"/>
      <c r="J105" s="26"/>
      <c r="K105" s="26"/>
      <c r="L105" s="26"/>
      <c r="M105" s="26"/>
      <c r="N105" s="26"/>
      <c r="O105" s="45"/>
      <c r="P105" s="26"/>
      <c r="Q105" s="45"/>
    </row>
    <row r="106" spans="1:17">
      <c r="A106" s="23"/>
      <c r="B106" s="24"/>
      <c r="C106" s="26"/>
      <c r="D106" s="26"/>
      <c r="E106" s="14"/>
      <c r="F106" s="14"/>
      <c r="G106" s="14"/>
      <c r="H106" s="14"/>
      <c r="I106" s="26"/>
      <c r="J106" s="26"/>
      <c r="K106" s="26"/>
      <c r="L106" s="26"/>
      <c r="M106" s="26"/>
      <c r="N106" s="26"/>
      <c r="O106" s="45"/>
      <c r="P106" s="26"/>
      <c r="Q106" s="45"/>
    </row>
    <row r="107" spans="1:17">
      <c r="A107" s="23"/>
      <c r="B107" s="24"/>
      <c r="C107" s="26"/>
      <c r="D107" s="26"/>
      <c r="E107" s="14"/>
      <c r="F107" s="14"/>
      <c r="G107" s="14"/>
      <c r="H107" s="14"/>
      <c r="I107" s="26"/>
      <c r="J107" s="26"/>
      <c r="K107" s="26"/>
      <c r="L107" s="26"/>
      <c r="M107" s="26"/>
      <c r="N107" s="26"/>
      <c r="O107" s="45"/>
      <c r="P107" s="26"/>
      <c r="Q107" s="45"/>
    </row>
    <row r="108" spans="1:17">
      <c r="A108" s="23"/>
      <c r="B108" s="24"/>
      <c r="C108" s="26"/>
      <c r="D108" s="26"/>
      <c r="E108" s="14"/>
      <c r="F108" s="14"/>
      <c r="G108" s="14"/>
      <c r="H108" s="14"/>
      <c r="I108" s="26"/>
      <c r="J108" s="26"/>
      <c r="K108" s="26"/>
      <c r="L108" s="26"/>
      <c r="M108" s="26"/>
      <c r="N108" s="26"/>
      <c r="O108" s="45"/>
      <c r="P108" s="26"/>
      <c r="Q108" s="45"/>
    </row>
    <row r="109" spans="1:17">
      <c r="A109" s="23"/>
      <c r="B109" s="24"/>
      <c r="C109" s="26"/>
      <c r="D109" s="26"/>
      <c r="E109" s="14"/>
      <c r="F109" s="14"/>
      <c r="G109" s="14"/>
      <c r="H109" s="14"/>
      <c r="I109" s="26"/>
      <c r="J109" s="26"/>
      <c r="K109" s="26"/>
      <c r="L109" s="26"/>
      <c r="M109" s="26"/>
      <c r="N109" s="26"/>
      <c r="O109" s="45"/>
      <c r="P109" s="26"/>
      <c r="Q109" s="45"/>
    </row>
    <row r="110" spans="1:17">
      <c r="A110" s="23"/>
      <c r="B110" s="24"/>
      <c r="C110" s="26"/>
      <c r="D110" s="26"/>
      <c r="E110" s="14"/>
      <c r="F110" s="14"/>
      <c r="G110" s="14"/>
      <c r="H110" s="14"/>
      <c r="I110" s="26"/>
      <c r="J110" s="26"/>
      <c r="K110" s="26"/>
      <c r="L110" s="26"/>
      <c r="M110" s="26"/>
      <c r="N110" s="26"/>
      <c r="O110" s="45"/>
      <c r="P110" s="26"/>
      <c r="Q110" s="45"/>
    </row>
    <row r="111" spans="1:17">
      <c r="A111" s="23"/>
      <c r="B111" s="24"/>
      <c r="C111" s="26"/>
      <c r="D111" s="26"/>
      <c r="E111" s="14"/>
      <c r="F111" s="14"/>
      <c r="G111" s="14"/>
      <c r="H111" s="14"/>
      <c r="I111" s="26"/>
      <c r="J111" s="26"/>
      <c r="K111" s="26"/>
      <c r="L111" s="26"/>
      <c r="M111" s="26"/>
      <c r="N111" s="26"/>
      <c r="O111" s="45"/>
      <c r="P111" s="26"/>
      <c r="Q111" s="45"/>
    </row>
    <row r="112" spans="1:17">
      <c r="A112" s="23"/>
      <c r="B112" s="24"/>
      <c r="C112" s="26"/>
      <c r="D112" s="26"/>
      <c r="E112" s="14"/>
      <c r="F112" s="14"/>
      <c r="G112" s="14"/>
      <c r="H112" s="14"/>
      <c r="I112" s="26"/>
      <c r="J112" s="26"/>
      <c r="K112" s="26"/>
      <c r="L112" s="26"/>
      <c r="M112" s="26"/>
      <c r="N112" s="26"/>
      <c r="O112" s="45"/>
      <c r="P112" s="26"/>
      <c r="Q112" s="45"/>
    </row>
    <row r="113" spans="1:17">
      <c r="A113" s="23"/>
      <c r="B113" s="24"/>
      <c r="C113" s="26"/>
      <c r="D113" s="26"/>
      <c r="E113" s="14"/>
      <c r="F113" s="14"/>
      <c r="G113" s="14"/>
      <c r="H113" s="14"/>
      <c r="I113" s="26"/>
      <c r="J113" s="26"/>
      <c r="K113" s="26"/>
      <c r="L113" s="26"/>
      <c r="M113" s="26"/>
      <c r="N113" s="26"/>
      <c r="O113" s="45"/>
      <c r="P113" s="26"/>
      <c r="Q113" s="45"/>
    </row>
    <row r="114" spans="1:17">
      <c r="A114" s="23"/>
      <c r="B114" s="24"/>
      <c r="C114" s="26"/>
      <c r="D114" s="26"/>
      <c r="E114" s="14"/>
      <c r="F114" s="14"/>
      <c r="G114" s="14"/>
      <c r="H114" s="14"/>
      <c r="I114" s="26"/>
      <c r="J114" s="26"/>
      <c r="K114" s="26"/>
      <c r="L114" s="26"/>
      <c r="M114" s="26"/>
      <c r="N114" s="26"/>
      <c r="O114" s="45"/>
      <c r="P114" s="26"/>
      <c r="Q114" s="45"/>
    </row>
    <row r="115" spans="1:17">
      <c r="A115" s="23"/>
      <c r="B115" s="24"/>
      <c r="C115" s="26"/>
      <c r="D115" s="26"/>
      <c r="E115" s="14"/>
      <c r="F115" s="14"/>
      <c r="G115" s="14"/>
      <c r="H115" s="14"/>
      <c r="I115" s="26"/>
      <c r="J115" s="26"/>
      <c r="K115" s="26"/>
      <c r="L115" s="26"/>
      <c r="M115" s="26"/>
      <c r="N115" s="26"/>
      <c r="O115" s="45"/>
      <c r="P115" s="26"/>
      <c r="Q115" s="45"/>
    </row>
    <row r="116" spans="1:17">
      <c r="A116" s="23"/>
      <c r="B116" s="24"/>
      <c r="C116" s="26"/>
      <c r="D116" s="26"/>
      <c r="E116" s="14"/>
      <c r="F116" s="14"/>
      <c r="G116" s="14"/>
      <c r="H116" s="14"/>
      <c r="I116" s="26"/>
      <c r="J116" s="26"/>
      <c r="K116" s="26"/>
      <c r="L116" s="26"/>
      <c r="M116" s="26"/>
      <c r="N116" s="26"/>
      <c r="O116" s="45"/>
      <c r="P116" s="26"/>
      <c r="Q116" s="45"/>
    </row>
    <row r="117" spans="1:17">
      <c r="A117" s="23"/>
      <c r="B117" s="24"/>
      <c r="C117" s="26"/>
      <c r="D117" s="26"/>
      <c r="E117" s="14"/>
      <c r="F117" s="14"/>
      <c r="G117" s="14"/>
      <c r="H117" s="14"/>
      <c r="I117" s="26"/>
      <c r="J117" s="26"/>
      <c r="K117" s="26"/>
      <c r="L117" s="26"/>
      <c r="M117" s="26"/>
      <c r="N117" s="26"/>
      <c r="O117" s="45"/>
      <c r="P117" s="26"/>
      <c r="Q117" s="45"/>
    </row>
    <row r="118" spans="1:17">
      <c r="A118" s="23"/>
      <c r="B118" s="24"/>
      <c r="C118" s="26"/>
      <c r="D118" s="26"/>
      <c r="E118" s="14"/>
      <c r="F118" s="14"/>
      <c r="G118" s="14"/>
      <c r="H118" s="14"/>
      <c r="I118" s="26"/>
      <c r="J118" s="26"/>
      <c r="K118" s="26"/>
      <c r="L118" s="26"/>
      <c r="M118" s="26"/>
      <c r="N118" s="26"/>
      <c r="O118" s="45"/>
      <c r="P118" s="26"/>
      <c r="Q118" s="45"/>
    </row>
    <row r="119" spans="1:17">
      <c r="A119" s="23"/>
      <c r="B119" s="24"/>
      <c r="C119" s="26"/>
      <c r="D119" s="26"/>
      <c r="E119" s="14"/>
      <c r="F119" s="14"/>
      <c r="G119" s="14"/>
      <c r="H119" s="14"/>
      <c r="I119" s="26"/>
      <c r="J119" s="26"/>
      <c r="K119" s="26"/>
      <c r="L119" s="26"/>
      <c r="M119" s="26"/>
      <c r="N119" s="26"/>
      <c r="O119" s="45"/>
      <c r="P119" s="26"/>
      <c r="Q119" s="45"/>
    </row>
    <row r="120" spans="1:17">
      <c r="A120" s="23"/>
      <c r="B120" s="24"/>
      <c r="C120" s="26"/>
      <c r="D120" s="26"/>
      <c r="E120" s="14"/>
      <c r="F120" s="14"/>
      <c r="G120" s="14"/>
      <c r="H120" s="14"/>
      <c r="I120" s="26"/>
      <c r="J120" s="26"/>
      <c r="K120" s="26"/>
      <c r="L120" s="26"/>
      <c r="M120" s="26"/>
      <c r="N120" s="26"/>
      <c r="O120" s="45"/>
      <c r="P120" s="26"/>
      <c r="Q120" s="45"/>
    </row>
    <row r="121" spans="1:17">
      <c r="A121" s="23"/>
      <c r="B121" s="24"/>
      <c r="C121" s="26"/>
      <c r="D121" s="26"/>
      <c r="E121" s="14"/>
      <c r="F121" s="14"/>
      <c r="G121" s="14"/>
      <c r="H121" s="14"/>
      <c r="I121" s="26"/>
      <c r="J121" s="26"/>
      <c r="K121" s="26"/>
      <c r="L121" s="26"/>
      <c r="M121" s="26"/>
      <c r="N121" s="26"/>
      <c r="O121" s="45"/>
      <c r="P121" s="26"/>
      <c r="Q121" s="45"/>
    </row>
    <row r="122" spans="1:17">
      <c r="A122" s="23"/>
      <c r="B122" s="24"/>
      <c r="C122" s="26"/>
      <c r="D122" s="26"/>
      <c r="E122" s="14"/>
      <c r="F122" s="14"/>
      <c r="G122" s="14"/>
      <c r="H122" s="14"/>
      <c r="I122" s="26"/>
      <c r="J122" s="26"/>
      <c r="K122" s="26"/>
      <c r="L122" s="26"/>
      <c r="M122" s="26"/>
      <c r="N122" s="26"/>
      <c r="O122" s="45"/>
      <c r="P122" s="26"/>
      <c r="Q122" s="45"/>
    </row>
    <row r="123" spans="1:17">
      <c r="A123" s="23"/>
      <c r="B123" s="24"/>
      <c r="C123" s="26"/>
      <c r="D123" s="26"/>
      <c r="E123" s="14"/>
      <c r="F123" s="14"/>
      <c r="G123" s="14"/>
      <c r="H123" s="14"/>
      <c r="I123" s="26"/>
      <c r="J123" s="26"/>
      <c r="K123" s="26"/>
      <c r="L123" s="26"/>
      <c r="M123" s="26"/>
      <c r="N123" s="26"/>
      <c r="O123" s="45"/>
      <c r="P123" s="26"/>
      <c r="Q123" s="45"/>
    </row>
    <row r="124" spans="1:17">
      <c r="A124" s="23"/>
      <c r="B124" s="24"/>
      <c r="C124" s="26"/>
      <c r="D124" s="26"/>
      <c r="E124" s="14"/>
      <c r="F124" s="14"/>
      <c r="G124" s="14"/>
      <c r="H124" s="14"/>
      <c r="I124" s="26"/>
      <c r="J124" s="26"/>
      <c r="K124" s="26"/>
      <c r="L124" s="26"/>
      <c r="M124" s="26"/>
      <c r="N124" s="26"/>
      <c r="O124" s="45"/>
      <c r="P124" s="26"/>
      <c r="Q124" s="45"/>
    </row>
    <row r="125" spans="1:17">
      <c r="A125" s="23"/>
      <c r="B125" s="24"/>
      <c r="C125" s="26"/>
      <c r="D125" s="26"/>
      <c r="E125" s="14"/>
      <c r="F125" s="14"/>
      <c r="G125" s="14"/>
      <c r="H125" s="14"/>
      <c r="I125" s="26"/>
      <c r="J125" s="26"/>
      <c r="K125" s="26"/>
      <c r="L125" s="26"/>
      <c r="M125" s="26"/>
      <c r="N125" s="26"/>
      <c r="O125" s="45"/>
      <c r="P125" s="26"/>
      <c r="Q125" s="45"/>
    </row>
    <row r="126" spans="1:17">
      <c r="A126" s="23"/>
      <c r="B126" s="24"/>
      <c r="C126" s="26"/>
      <c r="D126" s="26"/>
      <c r="E126" s="14"/>
      <c r="F126" s="14"/>
      <c r="G126" s="14"/>
      <c r="H126" s="14"/>
      <c r="I126" s="26"/>
      <c r="J126" s="26"/>
      <c r="K126" s="26"/>
      <c r="L126" s="26"/>
      <c r="M126" s="26"/>
      <c r="N126" s="26"/>
      <c r="O126" s="45"/>
      <c r="P126" s="26"/>
      <c r="Q126" s="45"/>
    </row>
    <row r="127" spans="1:17">
      <c r="A127" s="23"/>
      <c r="B127" s="24"/>
      <c r="C127" s="26"/>
      <c r="D127" s="26"/>
      <c r="E127" s="14"/>
      <c r="F127" s="14"/>
      <c r="G127" s="14"/>
      <c r="H127" s="14"/>
      <c r="I127" s="26"/>
      <c r="J127" s="26"/>
      <c r="K127" s="26"/>
      <c r="L127" s="26"/>
      <c r="M127" s="26"/>
      <c r="N127" s="26"/>
      <c r="O127" s="45"/>
      <c r="P127" s="26"/>
      <c r="Q127" s="45"/>
    </row>
    <row r="128" spans="1:17">
      <c r="A128" s="23"/>
      <c r="B128" s="24"/>
      <c r="C128" s="26"/>
      <c r="D128" s="26"/>
      <c r="E128" s="14"/>
      <c r="F128" s="14"/>
      <c r="G128" s="14"/>
      <c r="H128" s="14"/>
      <c r="I128" s="26"/>
      <c r="J128" s="26"/>
      <c r="K128" s="26"/>
      <c r="L128" s="26"/>
      <c r="M128" s="26"/>
      <c r="N128" s="26"/>
      <c r="O128" s="45"/>
      <c r="P128" s="26"/>
      <c r="Q128" s="45"/>
    </row>
    <row r="129" spans="1:17">
      <c r="A129" s="23"/>
      <c r="B129" s="24"/>
      <c r="C129" s="26"/>
      <c r="D129" s="26"/>
      <c r="E129" s="14"/>
      <c r="F129" s="14"/>
      <c r="G129" s="14"/>
      <c r="H129" s="14"/>
      <c r="I129" s="26"/>
      <c r="J129" s="26"/>
      <c r="K129" s="26"/>
      <c r="L129" s="26"/>
      <c r="M129" s="26"/>
      <c r="N129" s="26"/>
      <c r="O129" s="45"/>
      <c r="P129" s="26"/>
      <c r="Q129" s="45"/>
    </row>
    <row r="130" spans="1:17">
      <c r="A130" s="23"/>
      <c r="B130" s="24"/>
      <c r="C130" s="26"/>
      <c r="D130" s="26"/>
      <c r="E130" s="14"/>
      <c r="F130" s="14"/>
      <c r="G130" s="14"/>
      <c r="H130" s="14"/>
      <c r="I130" s="26"/>
      <c r="J130" s="26"/>
      <c r="K130" s="26"/>
      <c r="L130" s="26"/>
      <c r="M130" s="26"/>
      <c r="N130" s="26"/>
      <c r="O130" s="45"/>
      <c r="P130" s="26"/>
      <c r="Q130" s="45"/>
    </row>
    <row r="131" spans="1:17">
      <c r="A131" s="23"/>
      <c r="B131" s="24"/>
      <c r="C131" s="26"/>
      <c r="D131" s="26"/>
      <c r="E131" s="14"/>
      <c r="F131" s="14"/>
      <c r="G131" s="14"/>
      <c r="H131" s="14"/>
      <c r="I131" s="26"/>
      <c r="J131" s="26"/>
      <c r="K131" s="26"/>
      <c r="L131" s="26"/>
      <c r="M131" s="26"/>
      <c r="N131" s="26"/>
      <c r="O131" s="45"/>
      <c r="P131" s="26"/>
      <c r="Q131" s="45"/>
    </row>
    <row r="132" spans="1:17">
      <c r="A132" s="23"/>
      <c r="B132" s="24"/>
      <c r="C132" s="26"/>
      <c r="D132" s="26"/>
      <c r="E132" s="14"/>
      <c r="F132" s="14"/>
      <c r="G132" s="14"/>
      <c r="H132" s="14"/>
      <c r="I132" s="26"/>
      <c r="J132" s="26"/>
      <c r="K132" s="26"/>
      <c r="L132" s="26"/>
      <c r="M132" s="26"/>
      <c r="N132" s="26"/>
      <c r="O132" s="45"/>
      <c r="P132" s="26"/>
      <c r="Q132" s="45"/>
    </row>
    <row r="133" spans="1:17">
      <c r="A133" s="23"/>
      <c r="B133" s="24"/>
      <c r="C133" s="26"/>
      <c r="D133" s="26"/>
      <c r="E133" s="14"/>
      <c r="F133" s="14"/>
      <c r="G133" s="14"/>
      <c r="H133" s="14"/>
      <c r="I133" s="26"/>
      <c r="J133" s="26"/>
      <c r="K133" s="26"/>
      <c r="L133" s="26"/>
      <c r="M133" s="26"/>
      <c r="N133" s="26"/>
      <c r="O133" s="45"/>
      <c r="P133" s="26"/>
      <c r="Q133" s="45"/>
    </row>
    <row r="134" spans="1:17">
      <c r="A134" s="23"/>
      <c r="B134" s="24"/>
      <c r="C134" s="26"/>
      <c r="D134" s="26"/>
      <c r="E134" s="14"/>
      <c r="F134" s="14"/>
      <c r="G134" s="14"/>
      <c r="H134" s="14"/>
      <c r="I134" s="26"/>
      <c r="J134" s="26"/>
      <c r="K134" s="26"/>
      <c r="L134" s="26"/>
      <c r="M134" s="26"/>
      <c r="N134" s="26"/>
      <c r="O134" s="45"/>
      <c r="P134" s="26"/>
      <c r="Q134" s="45"/>
    </row>
    <row r="135" spans="1:17">
      <c r="A135" s="23"/>
      <c r="B135" s="24"/>
      <c r="C135" s="26"/>
      <c r="D135" s="26"/>
      <c r="E135" s="14"/>
      <c r="F135" s="14"/>
      <c r="G135" s="14"/>
      <c r="H135" s="14"/>
      <c r="I135" s="26"/>
      <c r="J135" s="26"/>
      <c r="K135" s="26"/>
      <c r="L135" s="26"/>
      <c r="M135" s="26"/>
      <c r="N135" s="26"/>
      <c r="O135" s="45"/>
      <c r="P135" s="26"/>
      <c r="Q135" s="45"/>
    </row>
    <row r="136" spans="1:17">
      <c r="A136" s="23"/>
      <c r="B136" s="24"/>
      <c r="C136" s="26"/>
      <c r="D136" s="26"/>
      <c r="E136" s="14"/>
      <c r="F136" s="14"/>
      <c r="G136" s="14"/>
      <c r="H136" s="14"/>
      <c r="I136" s="26"/>
      <c r="J136" s="26"/>
      <c r="K136" s="26"/>
      <c r="L136" s="26"/>
      <c r="M136" s="26"/>
      <c r="N136" s="26"/>
      <c r="O136" s="45"/>
      <c r="P136" s="26"/>
      <c r="Q136" s="45"/>
    </row>
    <row r="137" spans="1:17">
      <c r="A137" s="23"/>
      <c r="B137" s="24"/>
      <c r="C137" s="26"/>
      <c r="D137" s="26"/>
      <c r="E137" s="14"/>
      <c r="F137" s="14"/>
      <c r="G137" s="14"/>
      <c r="H137" s="14"/>
      <c r="I137" s="26"/>
      <c r="J137" s="26"/>
      <c r="K137" s="26"/>
      <c r="L137" s="26"/>
      <c r="M137" s="26"/>
      <c r="N137" s="26"/>
      <c r="O137" s="45"/>
      <c r="P137" s="26"/>
      <c r="Q137" s="45"/>
    </row>
    <row r="138" spans="1:17">
      <c r="A138" s="23"/>
      <c r="B138" s="24"/>
      <c r="C138" s="26"/>
      <c r="D138" s="26"/>
      <c r="E138" s="14"/>
      <c r="F138" s="14"/>
      <c r="G138" s="14"/>
      <c r="H138" s="14"/>
      <c r="I138" s="26"/>
      <c r="J138" s="26"/>
      <c r="K138" s="26"/>
      <c r="L138" s="26"/>
      <c r="M138" s="26"/>
      <c r="N138" s="26"/>
      <c r="O138" s="45"/>
      <c r="P138" s="26"/>
      <c r="Q138" s="45"/>
    </row>
    <row r="139" spans="1:17">
      <c r="A139" s="23"/>
      <c r="B139" s="24"/>
      <c r="C139" s="26"/>
      <c r="D139" s="26"/>
      <c r="E139" s="14"/>
      <c r="F139" s="14"/>
      <c r="G139" s="14"/>
      <c r="H139" s="14"/>
      <c r="I139" s="26"/>
      <c r="J139" s="26"/>
      <c r="K139" s="26"/>
      <c r="L139" s="26"/>
      <c r="M139" s="26"/>
      <c r="N139" s="26"/>
      <c r="O139" s="45"/>
      <c r="P139" s="26"/>
      <c r="Q139" s="45"/>
    </row>
    <row r="140" spans="1:17">
      <c r="A140" s="23"/>
      <c r="B140" s="24"/>
      <c r="C140" s="26"/>
      <c r="D140" s="26"/>
      <c r="E140" s="14"/>
      <c r="F140" s="14"/>
      <c r="G140" s="14"/>
      <c r="H140" s="14"/>
      <c r="I140" s="26"/>
      <c r="J140" s="26"/>
      <c r="K140" s="26"/>
      <c r="L140" s="26"/>
      <c r="M140" s="26"/>
      <c r="N140" s="26"/>
      <c r="O140" s="45"/>
      <c r="P140" s="26"/>
      <c r="Q140" s="45"/>
    </row>
    <row r="141" spans="1:17">
      <c r="A141" s="23"/>
      <c r="B141" s="24"/>
      <c r="C141" s="26"/>
      <c r="D141" s="26"/>
      <c r="E141" s="14"/>
      <c r="F141" s="14"/>
      <c r="G141" s="14"/>
      <c r="H141" s="14"/>
      <c r="I141" s="26"/>
      <c r="J141" s="26"/>
      <c r="K141" s="26"/>
      <c r="L141" s="26"/>
      <c r="M141" s="26"/>
      <c r="N141" s="26"/>
      <c r="O141" s="45"/>
      <c r="P141" s="26"/>
      <c r="Q141" s="45"/>
    </row>
    <row r="142" spans="1:17">
      <c r="A142" s="23"/>
      <c r="B142" s="24"/>
      <c r="C142" s="26"/>
      <c r="D142" s="26"/>
      <c r="E142" s="14"/>
      <c r="F142" s="14"/>
      <c r="G142" s="14"/>
      <c r="H142" s="14"/>
      <c r="I142" s="26"/>
      <c r="J142" s="26"/>
      <c r="K142" s="26"/>
      <c r="L142" s="26"/>
      <c r="M142" s="26"/>
      <c r="N142" s="26"/>
      <c r="O142" s="45"/>
      <c r="P142" s="26"/>
      <c r="Q142" s="45"/>
    </row>
    <row r="143" spans="1:17">
      <c r="A143" s="23"/>
      <c r="B143" s="24"/>
      <c r="C143" s="26"/>
      <c r="D143" s="26"/>
      <c r="E143" s="14"/>
      <c r="F143" s="14"/>
      <c r="G143" s="14"/>
      <c r="H143" s="14"/>
      <c r="I143" s="26"/>
      <c r="J143" s="26"/>
      <c r="K143" s="26"/>
      <c r="L143" s="26"/>
      <c r="M143" s="26"/>
      <c r="N143" s="26"/>
      <c r="O143" s="45"/>
      <c r="P143" s="26"/>
      <c r="Q143" s="45"/>
    </row>
    <row r="144" spans="1:17">
      <c r="A144" s="23"/>
      <c r="B144" s="24"/>
      <c r="C144" s="26"/>
      <c r="D144" s="26"/>
      <c r="E144" s="14"/>
      <c r="F144" s="14"/>
      <c r="G144" s="14"/>
      <c r="H144" s="14"/>
      <c r="I144" s="26"/>
      <c r="J144" s="26"/>
      <c r="K144" s="26"/>
      <c r="L144" s="26"/>
      <c r="M144" s="26"/>
      <c r="N144" s="26"/>
      <c r="O144" s="45"/>
      <c r="P144" s="26"/>
      <c r="Q144" s="45"/>
    </row>
    <row r="145" spans="1:17">
      <c r="A145" s="23"/>
      <c r="B145" s="24"/>
      <c r="C145" s="26"/>
      <c r="D145" s="26"/>
      <c r="E145" s="14"/>
      <c r="F145" s="14"/>
      <c r="G145" s="14"/>
      <c r="H145" s="14"/>
      <c r="I145" s="26"/>
      <c r="J145" s="26"/>
      <c r="K145" s="26"/>
      <c r="L145" s="26"/>
      <c r="M145" s="26"/>
      <c r="N145" s="26"/>
      <c r="O145" s="45"/>
      <c r="P145" s="26"/>
      <c r="Q145" s="45"/>
    </row>
    <row r="146" spans="1:17">
      <c r="A146" s="23"/>
      <c r="B146" s="24"/>
      <c r="C146" s="26"/>
      <c r="D146" s="26"/>
      <c r="E146" s="14"/>
      <c r="F146" s="14"/>
      <c r="G146" s="14"/>
      <c r="H146" s="14"/>
      <c r="I146" s="26"/>
      <c r="J146" s="26"/>
      <c r="K146" s="26"/>
      <c r="L146" s="26"/>
      <c r="M146" s="26"/>
      <c r="N146" s="26"/>
      <c r="O146" s="45"/>
      <c r="P146" s="26"/>
      <c r="Q146" s="45"/>
    </row>
    <row r="147" spans="1:17">
      <c r="A147" s="23"/>
      <c r="B147" s="24"/>
      <c r="C147" s="26"/>
      <c r="D147" s="26"/>
      <c r="E147" s="14"/>
      <c r="F147" s="14"/>
      <c r="G147" s="14"/>
      <c r="H147" s="14"/>
      <c r="I147" s="26"/>
      <c r="J147" s="26"/>
      <c r="K147" s="26"/>
      <c r="L147" s="26"/>
      <c r="M147" s="26"/>
      <c r="N147" s="26"/>
      <c r="O147" s="45"/>
      <c r="P147" s="26"/>
      <c r="Q147" s="45"/>
    </row>
    <row r="148" spans="1:17">
      <c r="A148" s="23"/>
      <c r="B148" s="24"/>
      <c r="C148" s="26"/>
      <c r="D148" s="26"/>
      <c r="E148" s="14"/>
      <c r="F148" s="14"/>
      <c r="G148" s="14"/>
      <c r="H148" s="14"/>
      <c r="I148" s="26"/>
      <c r="J148" s="26"/>
      <c r="K148" s="26"/>
      <c r="L148" s="26"/>
      <c r="M148" s="26"/>
      <c r="N148" s="26"/>
      <c r="O148" s="45"/>
      <c r="P148" s="26"/>
      <c r="Q148" s="45"/>
    </row>
    <row r="149" spans="1:17">
      <c r="A149" s="23"/>
      <c r="B149" s="24"/>
      <c r="C149" s="26"/>
      <c r="D149" s="26"/>
      <c r="E149" s="14"/>
      <c r="F149" s="14"/>
      <c r="G149" s="14"/>
      <c r="H149" s="14"/>
      <c r="I149" s="26"/>
      <c r="J149" s="26"/>
      <c r="K149" s="26"/>
      <c r="L149" s="26"/>
      <c r="M149" s="26"/>
      <c r="N149" s="26"/>
      <c r="O149" s="45"/>
      <c r="P149" s="26"/>
      <c r="Q149" s="45"/>
    </row>
    <row r="150" spans="1:17">
      <c r="A150" s="23"/>
      <c r="B150" s="24"/>
      <c r="C150" s="26"/>
      <c r="D150" s="26"/>
      <c r="E150" s="14"/>
      <c r="F150" s="14"/>
      <c r="G150" s="14"/>
      <c r="H150" s="14"/>
      <c r="I150" s="26"/>
      <c r="J150" s="26"/>
      <c r="K150" s="26"/>
      <c r="L150" s="26"/>
      <c r="M150" s="26"/>
      <c r="N150" s="26"/>
      <c r="O150" s="45"/>
      <c r="P150" s="26"/>
      <c r="Q150" s="45"/>
    </row>
    <row r="151" spans="1:17">
      <c r="A151" s="23"/>
      <c r="B151" s="24"/>
      <c r="C151" s="26"/>
      <c r="D151" s="26"/>
      <c r="E151" s="14"/>
      <c r="F151" s="14"/>
      <c r="G151" s="14"/>
      <c r="H151" s="14"/>
      <c r="I151" s="26"/>
      <c r="J151" s="26"/>
      <c r="K151" s="26"/>
      <c r="L151" s="26"/>
      <c r="M151" s="26"/>
      <c r="N151" s="26"/>
      <c r="O151" s="45"/>
      <c r="P151" s="26"/>
      <c r="Q151" s="45"/>
    </row>
    <row r="152" spans="1:17">
      <c r="A152" s="23"/>
      <c r="B152" s="24"/>
      <c r="C152" s="26"/>
      <c r="D152" s="26"/>
      <c r="E152" s="14"/>
      <c r="F152" s="14"/>
      <c r="G152" s="14"/>
      <c r="H152" s="14"/>
      <c r="I152" s="26"/>
      <c r="J152" s="26"/>
      <c r="K152" s="26"/>
      <c r="L152" s="26"/>
      <c r="M152" s="26"/>
      <c r="N152" s="26"/>
      <c r="O152" s="45"/>
      <c r="P152" s="26"/>
      <c r="Q152" s="45"/>
    </row>
    <row r="153" spans="1:17">
      <c r="A153" s="23"/>
      <c r="B153" s="24"/>
      <c r="C153" s="26"/>
      <c r="D153" s="26"/>
      <c r="E153" s="14"/>
      <c r="F153" s="14"/>
      <c r="G153" s="14"/>
      <c r="H153" s="14"/>
      <c r="I153" s="26"/>
      <c r="J153" s="26"/>
      <c r="K153" s="26"/>
      <c r="L153" s="26"/>
      <c r="M153" s="26"/>
      <c r="N153" s="26"/>
      <c r="O153" s="45"/>
      <c r="P153" s="26"/>
      <c r="Q153" s="45"/>
    </row>
    <row r="154" spans="1:17">
      <c r="A154" s="23"/>
      <c r="B154" s="24"/>
      <c r="C154" s="26"/>
      <c r="D154" s="26"/>
      <c r="E154" s="14"/>
      <c r="F154" s="14"/>
      <c r="G154" s="14"/>
      <c r="H154" s="14"/>
      <c r="I154" s="26"/>
      <c r="J154" s="26"/>
      <c r="K154" s="26"/>
      <c r="L154" s="26"/>
      <c r="M154" s="26"/>
      <c r="N154" s="26"/>
      <c r="O154" s="45"/>
      <c r="P154" s="26"/>
      <c r="Q154" s="45"/>
    </row>
    <row r="155" spans="1:17">
      <c r="A155" s="23"/>
      <c r="B155" s="24"/>
      <c r="C155" s="26"/>
      <c r="D155" s="26"/>
      <c r="E155" s="14"/>
      <c r="F155" s="14"/>
      <c r="G155" s="14"/>
      <c r="H155" s="14"/>
      <c r="I155" s="26"/>
      <c r="J155" s="26"/>
      <c r="K155" s="26"/>
      <c r="L155" s="26"/>
      <c r="M155" s="26"/>
      <c r="N155" s="26"/>
      <c r="O155" s="45"/>
      <c r="P155" s="26"/>
      <c r="Q155" s="45"/>
    </row>
    <row r="156" spans="1:17">
      <c r="A156" s="23"/>
      <c r="B156" s="24"/>
      <c r="C156" s="26"/>
      <c r="D156" s="26"/>
      <c r="E156" s="14"/>
      <c r="F156" s="14"/>
      <c r="G156" s="14"/>
      <c r="H156" s="14"/>
      <c r="I156" s="26"/>
      <c r="J156" s="26"/>
      <c r="K156" s="26"/>
      <c r="L156" s="26"/>
      <c r="M156" s="26"/>
      <c r="N156" s="26"/>
      <c r="O156" s="45"/>
      <c r="P156" s="26"/>
      <c r="Q156" s="45"/>
    </row>
    <row r="157" spans="1:17">
      <c r="A157" s="23"/>
      <c r="B157" s="24"/>
      <c r="C157" s="26"/>
      <c r="D157" s="26"/>
      <c r="E157" s="14"/>
      <c r="F157" s="14"/>
      <c r="G157" s="14"/>
      <c r="H157" s="14"/>
      <c r="I157" s="26"/>
      <c r="J157" s="26"/>
      <c r="K157" s="26"/>
      <c r="L157" s="26"/>
      <c r="M157" s="26"/>
      <c r="N157" s="26"/>
      <c r="O157" s="45"/>
      <c r="P157" s="26"/>
      <c r="Q157" s="45"/>
    </row>
    <row r="158" spans="1:17">
      <c r="A158" s="23"/>
      <c r="B158" s="24"/>
      <c r="C158" s="26"/>
      <c r="D158" s="26"/>
      <c r="E158" s="14"/>
      <c r="F158" s="14"/>
      <c r="G158" s="14"/>
      <c r="H158" s="14"/>
      <c r="I158" s="26"/>
      <c r="J158" s="26"/>
      <c r="K158" s="26"/>
      <c r="L158" s="26"/>
      <c r="M158" s="26"/>
      <c r="N158" s="26"/>
      <c r="O158" s="45"/>
      <c r="P158" s="26"/>
      <c r="Q158" s="45"/>
    </row>
    <row r="159" spans="1:17">
      <c r="A159" s="23"/>
      <c r="B159" s="24"/>
      <c r="C159" s="26"/>
      <c r="D159" s="26"/>
      <c r="E159" s="14"/>
      <c r="F159" s="14"/>
      <c r="G159" s="14"/>
      <c r="H159" s="14"/>
      <c r="I159" s="26"/>
      <c r="J159" s="26"/>
      <c r="K159" s="26"/>
      <c r="L159" s="26"/>
      <c r="M159" s="26"/>
      <c r="N159" s="26"/>
      <c r="O159" s="45"/>
      <c r="P159" s="26"/>
      <c r="Q159" s="45"/>
    </row>
    <row r="160" spans="1:17">
      <c r="A160" s="23"/>
      <c r="B160" s="24"/>
      <c r="C160" s="26"/>
      <c r="D160" s="26"/>
      <c r="E160" s="14"/>
      <c r="F160" s="14"/>
      <c r="G160" s="14"/>
      <c r="H160" s="14"/>
      <c r="I160" s="26"/>
      <c r="J160" s="26"/>
      <c r="K160" s="26"/>
      <c r="L160" s="26"/>
      <c r="M160" s="26"/>
      <c r="N160" s="26"/>
      <c r="O160" s="45"/>
      <c r="P160" s="26"/>
      <c r="Q160" s="45"/>
    </row>
    <row r="161" spans="1:17">
      <c r="A161" s="23"/>
      <c r="B161" s="24"/>
      <c r="C161" s="26"/>
      <c r="D161" s="26"/>
      <c r="E161" s="14"/>
      <c r="F161" s="14"/>
      <c r="G161" s="14"/>
      <c r="H161" s="14"/>
      <c r="I161" s="26"/>
      <c r="J161" s="26"/>
      <c r="K161" s="26"/>
      <c r="L161" s="26"/>
      <c r="M161" s="26"/>
      <c r="N161" s="26"/>
      <c r="O161" s="45"/>
      <c r="P161" s="26"/>
      <c r="Q161" s="45"/>
    </row>
    <row r="162" spans="1:17">
      <c r="A162" s="23"/>
      <c r="B162" s="24"/>
      <c r="C162" s="26"/>
      <c r="D162" s="26"/>
      <c r="E162" s="14"/>
      <c r="F162" s="14"/>
      <c r="G162" s="14"/>
      <c r="H162" s="14"/>
      <c r="I162" s="26"/>
      <c r="J162" s="26"/>
      <c r="K162" s="26"/>
      <c r="L162" s="26"/>
      <c r="M162" s="26"/>
      <c r="N162" s="26"/>
      <c r="O162" s="45"/>
      <c r="P162" s="26"/>
      <c r="Q162" s="45"/>
    </row>
    <row r="163" spans="1:17">
      <c r="A163" s="23"/>
      <c r="B163" s="24"/>
      <c r="C163" s="26"/>
      <c r="D163" s="26"/>
      <c r="E163" s="14"/>
      <c r="F163" s="14"/>
      <c r="G163" s="14"/>
      <c r="H163" s="14"/>
      <c r="I163" s="26"/>
      <c r="J163" s="26"/>
      <c r="K163" s="26"/>
      <c r="L163" s="26"/>
      <c r="M163" s="26"/>
      <c r="N163" s="26"/>
      <c r="O163" s="45"/>
      <c r="P163" s="26"/>
      <c r="Q163" s="45"/>
    </row>
    <row r="164" spans="1:17">
      <c r="A164" s="23"/>
      <c r="B164" s="24"/>
      <c r="C164" s="26"/>
      <c r="D164" s="26"/>
      <c r="E164" s="14"/>
      <c r="F164" s="14"/>
      <c r="G164" s="14"/>
      <c r="H164" s="14"/>
      <c r="I164" s="26"/>
      <c r="J164" s="26"/>
      <c r="K164" s="26"/>
      <c r="L164" s="26"/>
      <c r="M164" s="26"/>
      <c r="N164" s="26"/>
      <c r="O164" s="45"/>
      <c r="P164" s="26"/>
      <c r="Q164" s="45"/>
    </row>
    <row r="165" spans="1:17">
      <c r="A165" s="23"/>
      <c r="B165" s="24"/>
      <c r="C165" s="26"/>
      <c r="D165" s="26"/>
      <c r="E165" s="14"/>
      <c r="F165" s="14"/>
      <c r="G165" s="14"/>
      <c r="H165" s="14"/>
      <c r="I165" s="26"/>
      <c r="J165" s="26"/>
      <c r="K165" s="26"/>
      <c r="L165" s="26"/>
      <c r="M165" s="26"/>
      <c r="N165" s="26"/>
      <c r="O165" s="45"/>
      <c r="P165" s="26"/>
      <c r="Q165" s="45"/>
    </row>
    <row r="166" spans="1:17">
      <c r="A166" s="23"/>
      <c r="B166" s="24"/>
      <c r="C166" s="26"/>
      <c r="D166" s="26"/>
      <c r="E166" s="14"/>
      <c r="F166" s="14"/>
      <c r="G166" s="14"/>
      <c r="H166" s="14"/>
      <c r="I166" s="26"/>
      <c r="J166" s="26"/>
      <c r="K166" s="26"/>
      <c r="L166" s="26"/>
      <c r="M166" s="26"/>
      <c r="N166" s="26"/>
      <c r="O166" s="45"/>
      <c r="P166" s="26"/>
      <c r="Q166" s="45"/>
    </row>
    <row r="167" spans="1:17">
      <c r="A167" s="23"/>
      <c r="B167" s="24"/>
      <c r="C167" s="26"/>
      <c r="D167" s="26"/>
      <c r="E167" s="14"/>
      <c r="F167" s="14"/>
      <c r="G167" s="14"/>
      <c r="H167" s="14"/>
      <c r="I167" s="26"/>
      <c r="J167" s="26"/>
      <c r="K167" s="26"/>
      <c r="L167" s="26"/>
      <c r="M167" s="26"/>
      <c r="N167" s="26"/>
      <c r="O167" s="45"/>
      <c r="P167" s="26"/>
      <c r="Q167" s="45"/>
    </row>
    <row r="168" spans="1:17">
      <c r="A168" s="23"/>
      <c r="B168" s="24"/>
      <c r="C168" s="26"/>
      <c r="D168" s="26"/>
      <c r="E168" s="14"/>
      <c r="F168" s="14"/>
      <c r="G168" s="14"/>
      <c r="H168" s="14"/>
      <c r="I168" s="26"/>
      <c r="J168" s="26"/>
      <c r="K168" s="26"/>
      <c r="L168" s="26"/>
      <c r="M168" s="26"/>
      <c r="N168" s="26"/>
      <c r="O168" s="45"/>
      <c r="P168" s="26"/>
      <c r="Q168" s="45"/>
    </row>
    <row r="169" spans="1:17">
      <c r="A169" s="23"/>
      <c r="B169" s="24"/>
      <c r="C169" s="26"/>
      <c r="D169" s="26"/>
      <c r="E169" s="14"/>
      <c r="F169" s="14"/>
      <c r="G169" s="14"/>
      <c r="H169" s="14"/>
      <c r="I169" s="26"/>
      <c r="J169" s="26"/>
      <c r="K169" s="26"/>
      <c r="L169" s="26"/>
      <c r="M169" s="26"/>
      <c r="N169" s="26"/>
      <c r="O169" s="45"/>
      <c r="P169" s="26"/>
      <c r="Q169" s="45"/>
    </row>
    <row r="170" spans="1:17">
      <c r="A170" s="23"/>
      <c r="B170" s="24"/>
      <c r="C170" s="26"/>
      <c r="D170" s="26"/>
      <c r="E170" s="14"/>
      <c r="F170" s="14"/>
      <c r="G170" s="14"/>
      <c r="H170" s="14"/>
      <c r="I170" s="26"/>
      <c r="J170" s="26"/>
      <c r="K170" s="26"/>
      <c r="L170" s="26"/>
      <c r="M170" s="26"/>
      <c r="N170" s="26"/>
      <c r="O170" s="45"/>
      <c r="P170" s="26"/>
      <c r="Q170" s="45"/>
    </row>
    <row r="171" spans="1:17">
      <c r="A171" s="23"/>
      <c r="B171" s="24"/>
      <c r="C171" s="26"/>
      <c r="D171" s="26"/>
      <c r="E171" s="14"/>
      <c r="F171" s="14"/>
      <c r="G171" s="14"/>
      <c r="H171" s="14"/>
      <c r="I171" s="26"/>
      <c r="J171" s="26"/>
      <c r="K171" s="26"/>
      <c r="L171" s="26"/>
      <c r="M171" s="26"/>
      <c r="N171" s="26"/>
      <c r="O171" s="45"/>
      <c r="P171" s="26"/>
      <c r="Q171" s="45"/>
    </row>
    <row r="172" spans="1:17">
      <c r="A172" s="23"/>
      <c r="B172" s="24"/>
      <c r="C172" s="26"/>
      <c r="D172" s="26"/>
      <c r="E172" s="14"/>
      <c r="F172" s="14"/>
      <c r="G172" s="14"/>
      <c r="H172" s="14"/>
      <c r="I172" s="26"/>
      <c r="J172" s="26"/>
      <c r="K172" s="26"/>
      <c r="L172" s="26"/>
      <c r="M172" s="26"/>
      <c r="N172" s="26"/>
      <c r="O172" s="45"/>
      <c r="P172" s="26"/>
      <c r="Q172" s="45"/>
    </row>
    <row r="173" spans="1:17">
      <c r="A173" s="23"/>
      <c r="B173" s="24"/>
      <c r="C173" s="26"/>
      <c r="D173" s="26"/>
      <c r="E173" s="14"/>
      <c r="F173" s="14"/>
      <c r="G173" s="14"/>
      <c r="H173" s="14"/>
      <c r="I173" s="26"/>
      <c r="J173" s="26"/>
      <c r="K173" s="26"/>
      <c r="L173" s="26"/>
      <c r="M173" s="26"/>
      <c r="N173" s="26"/>
      <c r="O173" s="45"/>
      <c r="P173" s="26"/>
      <c r="Q173" s="45"/>
    </row>
    <row r="174" spans="1:17">
      <c r="A174" s="23"/>
      <c r="B174" s="24"/>
      <c r="C174" s="26"/>
      <c r="D174" s="26"/>
      <c r="E174" s="14"/>
      <c r="F174" s="14"/>
      <c r="G174" s="14"/>
      <c r="H174" s="14"/>
      <c r="I174" s="26"/>
      <c r="J174" s="26"/>
      <c r="K174" s="26"/>
      <c r="L174" s="26"/>
      <c r="M174" s="26"/>
      <c r="N174" s="26"/>
      <c r="O174" s="45"/>
      <c r="P174" s="26"/>
      <c r="Q174" s="45"/>
    </row>
    <row r="175" spans="1:17">
      <c r="A175" s="23"/>
      <c r="B175" s="24"/>
      <c r="C175" s="26"/>
      <c r="D175" s="26"/>
      <c r="E175" s="14"/>
      <c r="F175" s="14"/>
      <c r="G175" s="14"/>
      <c r="H175" s="14"/>
      <c r="I175" s="26"/>
      <c r="J175" s="26"/>
      <c r="K175" s="26"/>
      <c r="L175" s="26"/>
      <c r="M175" s="26"/>
      <c r="N175" s="26"/>
      <c r="O175" s="45"/>
      <c r="P175" s="26"/>
      <c r="Q175" s="45"/>
    </row>
    <row r="176" spans="1:17">
      <c r="A176" s="23"/>
      <c r="B176" s="24"/>
      <c r="C176" s="26"/>
      <c r="D176" s="26"/>
      <c r="E176" s="14"/>
      <c r="F176" s="14"/>
      <c r="G176" s="14"/>
      <c r="H176" s="14"/>
      <c r="I176" s="26"/>
      <c r="J176" s="26"/>
      <c r="K176" s="26"/>
      <c r="L176" s="26"/>
      <c r="M176" s="26"/>
      <c r="N176" s="26"/>
      <c r="O176" s="45"/>
      <c r="P176" s="26"/>
      <c r="Q176" s="45"/>
    </row>
    <row r="177" spans="1:17">
      <c r="A177" s="23"/>
      <c r="B177" s="24"/>
      <c r="C177" s="26"/>
      <c r="D177" s="26"/>
      <c r="E177" s="14"/>
      <c r="F177" s="14"/>
      <c r="G177" s="14"/>
      <c r="H177" s="14"/>
      <c r="I177" s="26"/>
      <c r="J177" s="26"/>
      <c r="K177" s="26"/>
      <c r="L177" s="26"/>
      <c r="M177" s="26"/>
      <c r="N177" s="26"/>
      <c r="O177" s="45"/>
      <c r="P177" s="26"/>
      <c r="Q177" s="45"/>
    </row>
    <row r="178" spans="1:17">
      <c r="A178" s="23"/>
      <c r="B178" s="24"/>
      <c r="C178" s="26"/>
      <c r="D178" s="26"/>
      <c r="E178" s="14"/>
      <c r="F178" s="14"/>
      <c r="G178" s="14"/>
      <c r="H178" s="14"/>
      <c r="I178" s="26"/>
      <c r="J178" s="26"/>
      <c r="K178" s="26"/>
      <c r="L178" s="26"/>
      <c r="M178" s="26"/>
      <c r="N178" s="26"/>
      <c r="O178" s="45"/>
      <c r="P178" s="26"/>
      <c r="Q178" s="45"/>
    </row>
    <row r="179" spans="1:17">
      <c r="A179" s="23"/>
      <c r="B179" s="24"/>
      <c r="C179" s="26"/>
      <c r="D179" s="26"/>
      <c r="E179" s="14"/>
      <c r="F179" s="14"/>
      <c r="G179" s="14"/>
      <c r="H179" s="14"/>
      <c r="I179" s="26"/>
      <c r="J179" s="26"/>
      <c r="K179" s="26"/>
      <c r="L179" s="26"/>
      <c r="M179" s="26"/>
      <c r="N179" s="26"/>
      <c r="O179" s="45"/>
      <c r="P179" s="26"/>
      <c r="Q179" s="45"/>
    </row>
    <row r="180" spans="1:17">
      <c r="A180" s="23"/>
      <c r="B180" s="24"/>
      <c r="C180" s="26"/>
      <c r="D180" s="26"/>
      <c r="E180" s="14"/>
      <c r="F180" s="14"/>
      <c r="G180" s="14"/>
      <c r="H180" s="14"/>
      <c r="I180" s="26"/>
      <c r="J180" s="26"/>
      <c r="K180" s="26"/>
      <c r="L180" s="26"/>
      <c r="M180" s="26"/>
      <c r="N180" s="26"/>
      <c r="O180" s="45"/>
      <c r="P180" s="26"/>
      <c r="Q180" s="45"/>
    </row>
    <row r="181" spans="1:17">
      <c r="A181" s="23"/>
      <c r="B181" s="24"/>
      <c r="C181" s="26"/>
      <c r="D181" s="26"/>
      <c r="E181" s="14"/>
      <c r="F181" s="14"/>
      <c r="G181" s="14"/>
      <c r="H181" s="14"/>
      <c r="I181" s="26"/>
      <c r="J181" s="26"/>
      <c r="K181" s="26"/>
      <c r="L181" s="26"/>
      <c r="M181" s="26"/>
      <c r="N181" s="26"/>
      <c r="O181" s="45"/>
      <c r="P181" s="26"/>
      <c r="Q181" s="45"/>
    </row>
    <row r="182" spans="1:17">
      <c r="A182" s="23"/>
      <c r="B182" s="24"/>
      <c r="C182" s="26"/>
      <c r="D182" s="26"/>
      <c r="E182" s="14"/>
      <c r="F182" s="14"/>
      <c r="G182" s="14"/>
      <c r="H182" s="14"/>
      <c r="I182" s="26"/>
      <c r="J182" s="26"/>
      <c r="K182" s="26"/>
      <c r="L182" s="26"/>
      <c r="M182" s="26"/>
      <c r="N182" s="26"/>
      <c r="O182" s="45"/>
      <c r="P182" s="26"/>
      <c r="Q182" s="45"/>
    </row>
    <row r="183" spans="1:17">
      <c r="A183" s="23"/>
      <c r="B183" s="24"/>
      <c r="C183" s="26"/>
      <c r="D183" s="26"/>
      <c r="E183" s="14"/>
      <c r="F183" s="14"/>
      <c r="G183" s="14"/>
      <c r="H183" s="14"/>
      <c r="I183" s="26"/>
      <c r="J183" s="26"/>
      <c r="K183" s="26"/>
      <c r="L183" s="26"/>
      <c r="M183" s="26"/>
      <c r="N183" s="26"/>
      <c r="O183" s="45"/>
      <c r="P183" s="26"/>
      <c r="Q183" s="45"/>
    </row>
    <row r="184" spans="1:17">
      <c r="A184" s="23"/>
      <c r="B184" s="24"/>
      <c r="C184" s="26"/>
      <c r="D184" s="26"/>
      <c r="E184" s="14"/>
      <c r="F184" s="14"/>
      <c r="G184" s="14"/>
      <c r="H184" s="14"/>
      <c r="I184" s="26"/>
      <c r="J184" s="26"/>
      <c r="K184" s="26"/>
      <c r="L184" s="26"/>
      <c r="M184" s="26"/>
      <c r="N184" s="26"/>
      <c r="O184" s="45"/>
      <c r="P184" s="26"/>
      <c r="Q184" s="45"/>
    </row>
    <row r="185" spans="1:17">
      <c r="A185" s="23"/>
      <c r="B185" s="24"/>
      <c r="C185" s="26"/>
      <c r="D185" s="26"/>
      <c r="E185" s="14"/>
      <c r="F185" s="14"/>
      <c r="G185" s="14"/>
      <c r="H185" s="14"/>
      <c r="I185" s="26"/>
      <c r="J185" s="26"/>
      <c r="K185" s="26"/>
      <c r="L185" s="26"/>
      <c r="M185" s="26"/>
      <c r="N185" s="26"/>
      <c r="O185" s="45"/>
      <c r="P185" s="26"/>
      <c r="Q185" s="45"/>
    </row>
    <row r="186" spans="1:17">
      <c r="A186" s="23"/>
      <c r="B186" s="24"/>
      <c r="C186" s="26"/>
      <c r="D186" s="26"/>
      <c r="E186" s="14"/>
      <c r="F186" s="14"/>
      <c r="G186" s="14"/>
      <c r="H186" s="14"/>
      <c r="I186" s="26"/>
      <c r="J186" s="26"/>
      <c r="K186" s="26"/>
      <c r="L186" s="26"/>
      <c r="M186" s="26"/>
      <c r="N186" s="26"/>
      <c r="O186" s="45"/>
      <c r="P186" s="26"/>
      <c r="Q186" s="45"/>
    </row>
    <row r="187" spans="1:17">
      <c r="A187" s="23"/>
      <c r="B187" s="24"/>
      <c r="C187" s="26"/>
      <c r="D187" s="26"/>
      <c r="E187" s="14"/>
      <c r="F187" s="14"/>
      <c r="G187" s="14"/>
      <c r="H187" s="14"/>
      <c r="I187" s="26"/>
      <c r="J187" s="26"/>
      <c r="K187" s="26"/>
      <c r="L187" s="26"/>
      <c r="M187" s="26"/>
      <c r="N187" s="26"/>
      <c r="O187" s="45"/>
      <c r="P187" s="26"/>
      <c r="Q187" s="45"/>
    </row>
    <row r="188" spans="1:17">
      <c r="A188" s="23"/>
      <c r="B188" s="24"/>
      <c r="C188" s="26"/>
      <c r="D188" s="26"/>
      <c r="E188" s="14"/>
      <c r="F188" s="14"/>
      <c r="G188" s="14"/>
      <c r="H188" s="14"/>
      <c r="I188" s="26"/>
      <c r="J188" s="26"/>
      <c r="K188" s="26"/>
      <c r="L188" s="26"/>
      <c r="M188" s="26"/>
      <c r="N188" s="26"/>
      <c r="O188" s="45"/>
      <c r="P188" s="26"/>
      <c r="Q188" s="45"/>
    </row>
    <row r="189" spans="1:17">
      <c r="A189" s="23"/>
      <c r="B189" s="24"/>
      <c r="C189" s="26"/>
      <c r="D189" s="26"/>
      <c r="E189" s="14"/>
      <c r="F189" s="14"/>
      <c r="G189" s="14"/>
      <c r="H189" s="14"/>
      <c r="I189" s="26"/>
      <c r="J189" s="26"/>
      <c r="K189" s="26"/>
      <c r="L189" s="26"/>
      <c r="M189" s="26"/>
      <c r="N189" s="26"/>
      <c r="O189" s="45"/>
      <c r="P189" s="26"/>
      <c r="Q189" s="45"/>
    </row>
    <row r="190" spans="1:17">
      <c r="A190" s="23"/>
      <c r="B190" s="24"/>
      <c r="C190" s="26"/>
      <c r="D190" s="26"/>
      <c r="E190" s="14"/>
      <c r="F190" s="14"/>
      <c r="G190" s="14"/>
      <c r="H190" s="14"/>
      <c r="I190" s="26"/>
      <c r="J190" s="26"/>
      <c r="K190" s="26"/>
      <c r="L190" s="26"/>
      <c r="M190" s="26"/>
      <c r="N190" s="26"/>
      <c r="O190" s="45"/>
      <c r="P190" s="26"/>
      <c r="Q190" s="45"/>
    </row>
    <row r="191" spans="1:17">
      <c r="A191" s="23"/>
      <c r="B191" s="24"/>
      <c r="C191" s="26"/>
      <c r="D191" s="26"/>
      <c r="E191" s="14"/>
      <c r="F191" s="14"/>
      <c r="G191" s="14"/>
      <c r="H191" s="14"/>
      <c r="I191" s="26"/>
      <c r="J191" s="26"/>
      <c r="K191" s="26"/>
      <c r="L191" s="26"/>
      <c r="M191" s="26"/>
      <c r="N191" s="26"/>
      <c r="O191" s="45"/>
      <c r="P191" s="26"/>
      <c r="Q191" s="45"/>
    </row>
    <row r="192" spans="1:17">
      <c r="A192" s="23"/>
      <c r="B192" s="24"/>
      <c r="C192" s="26"/>
      <c r="D192" s="26"/>
      <c r="E192" s="14"/>
      <c r="F192" s="14"/>
      <c r="G192" s="14"/>
      <c r="H192" s="14"/>
      <c r="I192" s="26"/>
      <c r="J192" s="26"/>
      <c r="K192" s="26"/>
      <c r="L192" s="26"/>
      <c r="M192" s="26"/>
      <c r="N192" s="26"/>
      <c r="O192" s="45"/>
      <c r="P192" s="26"/>
      <c r="Q192" s="45"/>
    </row>
    <row r="193" spans="1:17">
      <c r="A193" s="23"/>
      <c r="B193" s="24"/>
      <c r="C193" s="26"/>
      <c r="D193" s="26"/>
      <c r="E193" s="14"/>
      <c r="F193" s="14"/>
      <c r="G193" s="14"/>
      <c r="H193" s="14"/>
      <c r="I193" s="26"/>
      <c r="J193" s="26"/>
      <c r="K193" s="26"/>
      <c r="L193" s="26"/>
      <c r="M193" s="26"/>
      <c r="N193" s="26"/>
      <c r="O193" s="45"/>
      <c r="P193" s="26"/>
      <c r="Q193" s="45"/>
    </row>
    <row r="194" spans="1:17">
      <c r="A194" s="23"/>
      <c r="B194" s="24"/>
      <c r="C194" s="26"/>
      <c r="D194" s="26"/>
      <c r="E194" s="14"/>
      <c r="F194" s="14"/>
      <c r="G194" s="14"/>
      <c r="H194" s="14"/>
      <c r="I194" s="26"/>
      <c r="J194" s="26"/>
      <c r="K194" s="26"/>
      <c r="L194" s="26"/>
      <c r="M194" s="26"/>
      <c r="N194" s="26"/>
      <c r="O194" s="45"/>
      <c r="P194" s="26"/>
      <c r="Q194" s="45"/>
    </row>
    <row r="195" spans="1:17">
      <c r="A195" s="23"/>
      <c r="B195" s="24"/>
      <c r="C195" s="26"/>
      <c r="D195" s="26"/>
      <c r="E195" s="14"/>
      <c r="F195" s="14"/>
      <c r="G195" s="14"/>
      <c r="H195" s="14"/>
      <c r="I195" s="26"/>
      <c r="J195" s="26"/>
      <c r="K195" s="26"/>
      <c r="L195" s="26"/>
      <c r="M195" s="26"/>
      <c r="N195" s="26"/>
      <c r="O195" s="45"/>
      <c r="P195" s="26"/>
      <c r="Q195" s="45"/>
    </row>
    <row r="196" spans="1:17">
      <c r="A196" s="23"/>
      <c r="B196" s="24"/>
      <c r="C196" s="26"/>
      <c r="D196" s="26"/>
      <c r="E196" s="14"/>
      <c r="F196" s="14"/>
      <c r="G196" s="14"/>
      <c r="H196" s="14"/>
      <c r="I196" s="26"/>
      <c r="J196" s="26"/>
      <c r="K196" s="26"/>
      <c r="L196" s="26"/>
      <c r="M196" s="26"/>
      <c r="N196" s="26"/>
      <c r="O196" s="45"/>
      <c r="P196" s="26"/>
      <c r="Q196" s="45"/>
    </row>
    <row r="197" spans="1:17">
      <c r="A197" s="23"/>
      <c r="B197" s="24"/>
      <c r="C197" s="26"/>
      <c r="D197" s="26"/>
      <c r="E197" s="14"/>
      <c r="F197" s="14"/>
      <c r="G197" s="14"/>
      <c r="H197" s="14"/>
      <c r="I197" s="26"/>
      <c r="J197" s="26"/>
      <c r="K197" s="26"/>
      <c r="L197" s="26"/>
      <c r="M197" s="26"/>
      <c r="N197" s="26"/>
      <c r="O197" s="45"/>
      <c r="P197" s="26"/>
      <c r="Q197" s="45"/>
    </row>
    <row r="198" spans="1:17">
      <c r="A198" s="23"/>
      <c r="B198" s="24"/>
      <c r="C198" s="26"/>
      <c r="D198" s="26"/>
      <c r="E198" s="14"/>
      <c r="F198" s="14"/>
      <c r="G198" s="14"/>
      <c r="H198" s="14"/>
      <c r="I198" s="26"/>
      <c r="J198" s="26"/>
      <c r="K198" s="26"/>
      <c r="L198" s="26"/>
      <c r="M198" s="26"/>
      <c r="N198" s="26"/>
      <c r="O198" s="45"/>
      <c r="P198" s="26"/>
      <c r="Q198" s="45"/>
    </row>
    <row r="199" spans="1:17">
      <c r="A199" s="23"/>
      <c r="B199" s="24"/>
      <c r="C199" s="26"/>
      <c r="D199" s="26"/>
      <c r="E199" s="14"/>
      <c r="F199" s="14"/>
      <c r="G199" s="14"/>
      <c r="H199" s="14"/>
      <c r="I199" s="26"/>
      <c r="J199" s="26"/>
      <c r="K199" s="26"/>
      <c r="L199" s="26"/>
      <c r="M199" s="26"/>
      <c r="N199" s="26"/>
      <c r="O199" s="45"/>
      <c r="P199" s="26"/>
      <c r="Q199" s="45"/>
    </row>
    <row r="200" spans="1:17">
      <c r="A200" s="23"/>
      <c r="B200" s="24"/>
      <c r="C200" s="26"/>
      <c r="D200" s="26"/>
      <c r="E200" s="14"/>
      <c r="F200" s="14"/>
      <c r="G200" s="14"/>
      <c r="H200" s="14"/>
      <c r="I200" s="26"/>
      <c r="J200" s="26"/>
      <c r="K200" s="26"/>
      <c r="L200" s="26"/>
      <c r="M200" s="26"/>
      <c r="N200" s="26"/>
      <c r="O200" s="45"/>
      <c r="P200" s="26"/>
      <c r="Q200" s="45"/>
    </row>
    <row r="201" spans="1:17">
      <c r="A201" s="23"/>
      <c r="B201" s="24"/>
      <c r="C201" s="26"/>
      <c r="D201" s="26"/>
      <c r="E201" s="14"/>
      <c r="F201" s="14"/>
      <c r="G201" s="14"/>
      <c r="H201" s="14"/>
      <c r="I201" s="26"/>
      <c r="J201" s="26"/>
      <c r="K201" s="26"/>
      <c r="L201" s="26"/>
      <c r="M201" s="26"/>
      <c r="N201" s="26"/>
      <c r="O201" s="45"/>
      <c r="P201" s="26"/>
      <c r="Q201" s="45"/>
    </row>
    <row r="202" spans="1:17">
      <c r="A202" s="23"/>
      <c r="B202" s="24"/>
      <c r="C202" s="26"/>
      <c r="D202" s="26"/>
      <c r="E202" s="14"/>
      <c r="F202" s="14"/>
      <c r="G202" s="14"/>
      <c r="H202" s="14"/>
      <c r="I202" s="26"/>
      <c r="J202" s="26"/>
      <c r="K202" s="26"/>
      <c r="L202" s="26"/>
      <c r="M202" s="26"/>
      <c r="N202" s="26"/>
      <c r="O202" s="45"/>
      <c r="P202" s="26"/>
      <c r="Q202" s="45"/>
    </row>
    <row r="203" spans="1:17">
      <c r="A203" s="23"/>
      <c r="B203" s="24"/>
      <c r="C203" s="26"/>
      <c r="D203" s="26"/>
      <c r="E203" s="14"/>
      <c r="F203" s="14"/>
      <c r="G203" s="14"/>
      <c r="H203" s="14"/>
      <c r="I203" s="26"/>
      <c r="J203" s="26"/>
      <c r="K203" s="26"/>
      <c r="L203" s="26"/>
      <c r="M203" s="26"/>
      <c r="N203" s="26"/>
      <c r="O203" s="45"/>
      <c r="P203" s="26"/>
      <c r="Q203" s="45"/>
    </row>
    <row r="204" spans="1:17">
      <c r="A204" s="23"/>
      <c r="B204" s="24"/>
      <c r="C204" s="26"/>
      <c r="D204" s="26"/>
      <c r="E204" s="14"/>
      <c r="F204" s="14"/>
      <c r="G204" s="14"/>
      <c r="H204" s="14"/>
      <c r="I204" s="26"/>
      <c r="J204" s="26"/>
      <c r="K204" s="26"/>
      <c r="L204" s="26"/>
      <c r="M204" s="26"/>
      <c r="N204" s="26"/>
      <c r="O204" s="45"/>
      <c r="P204" s="26"/>
      <c r="Q204" s="45"/>
    </row>
    <row r="205" spans="1:17">
      <c r="A205" s="23"/>
      <c r="B205" s="24"/>
      <c r="C205" s="26"/>
      <c r="D205" s="26"/>
      <c r="E205" s="14"/>
      <c r="F205" s="14"/>
      <c r="G205" s="14"/>
      <c r="H205" s="14"/>
      <c r="I205" s="26"/>
      <c r="J205" s="26"/>
      <c r="K205" s="26"/>
      <c r="L205" s="26"/>
      <c r="M205" s="26"/>
      <c r="N205" s="26"/>
      <c r="O205" s="45"/>
      <c r="P205" s="26"/>
      <c r="Q205" s="45"/>
    </row>
    <row r="206" spans="1:17">
      <c r="A206" s="23"/>
      <c r="B206" s="24"/>
      <c r="C206" s="26"/>
      <c r="D206" s="26"/>
      <c r="E206" s="14"/>
      <c r="F206" s="14"/>
      <c r="G206" s="14"/>
      <c r="H206" s="14"/>
      <c r="I206" s="26"/>
      <c r="J206" s="26"/>
      <c r="K206" s="26"/>
      <c r="L206" s="26"/>
      <c r="M206" s="26"/>
      <c r="N206" s="26"/>
      <c r="O206" s="45"/>
      <c r="P206" s="26"/>
      <c r="Q206" s="45"/>
    </row>
    <row r="207" spans="1:17">
      <c r="A207" s="23"/>
      <c r="B207" s="24"/>
      <c r="C207" s="26"/>
      <c r="D207" s="26"/>
      <c r="E207" s="14"/>
      <c r="F207" s="14"/>
      <c r="G207" s="14"/>
      <c r="H207" s="14"/>
      <c r="I207" s="26"/>
      <c r="J207" s="26"/>
      <c r="K207" s="26"/>
      <c r="L207" s="26"/>
      <c r="M207" s="26"/>
      <c r="N207" s="26"/>
      <c r="O207" s="45"/>
      <c r="P207" s="26"/>
      <c r="Q207" s="45"/>
    </row>
    <row r="208" spans="1:17">
      <c r="A208" s="23"/>
      <c r="B208" s="24"/>
      <c r="C208" s="26"/>
      <c r="D208" s="26"/>
      <c r="E208" s="14"/>
      <c r="F208" s="14"/>
      <c r="G208" s="14"/>
      <c r="H208" s="14"/>
      <c r="I208" s="26"/>
      <c r="J208" s="26"/>
      <c r="K208" s="26"/>
      <c r="L208" s="26"/>
      <c r="M208" s="26"/>
      <c r="N208" s="26"/>
      <c r="O208" s="45"/>
      <c r="P208" s="26"/>
      <c r="Q208" s="45"/>
    </row>
    <row r="209" spans="1:17">
      <c r="A209" s="23"/>
      <c r="B209" s="24"/>
      <c r="C209" s="26"/>
      <c r="D209" s="26"/>
      <c r="E209" s="14"/>
      <c r="F209" s="14"/>
      <c r="G209" s="14"/>
      <c r="H209" s="14"/>
      <c r="I209" s="26"/>
      <c r="J209" s="26"/>
      <c r="K209" s="26"/>
      <c r="L209" s="26"/>
      <c r="M209" s="26"/>
      <c r="N209" s="26"/>
      <c r="O209" s="45"/>
      <c r="P209" s="26"/>
      <c r="Q209" s="45"/>
    </row>
    <row r="210" spans="1:17">
      <c r="A210" s="23"/>
      <c r="B210" s="24"/>
      <c r="C210" s="26"/>
      <c r="D210" s="26"/>
      <c r="E210" s="14"/>
      <c r="F210" s="14"/>
      <c r="G210" s="14"/>
      <c r="H210" s="14"/>
      <c r="I210" s="26"/>
      <c r="J210" s="26"/>
      <c r="K210" s="26"/>
      <c r="L210" s="26"/>
      <c r="M210" s="26"/>
      <c r="N210" s="26"/>
      <c r="O210" s="45"/>
      <c r="P210" s="26"/>
      <c r="Q210" s="45"/>
    </row>
    <row r="211" spans="1:17">
      <c r="A211" s="23"/>
      <c r="B211" s="24"/>
      <c r="C211" s="26"/>
      <c r="D211" s="26"/>
      <c r="E211" s="14"/>
      <c r="F211" s="14"/>
      <c r="G211" s="14"/>
      <c r="H211" s="14"/>
      <c r="I211" s="26"/>
      <c r="J211" s="26"/>
      <c r="K211" s="26"/>
      <c r="L211" s="26"/>
      <c r="M211" s="26"/>
      <c r="N211" s="26"/>
      <c r="O211" s="45"/>
      <c r="P211" s="26"/>
      <c r="Q211" s="45"/>
    </row>
    <row r="212" spans="1:17">
      <c r="A212" s="23"/>
      <c r="B212" s="24"/>
      <c r="C212" s="26"/>
      <c r="D212" s="26"/>
      <c r="E212" s="14"/>
      <c r="F212" s="14"/>
      <c r="G212" s="14"/>
      <c r="H212" s="14"/>
      <c r="I212" s="26"/>
      <c r="J212" s="26"/>
      <c r="K212" s="26"/>
      <c r="L212" s="26"/>
      <c r="M212" s="26"/>
      <c r="N212" s="26"/>
      <c r="O212" s="45"/>
      <c r="P212" s="26"/>
      <c r="Q212" s="45"/>
    </row>
    <row r="213" spans="1:17">
      <c r="A213" s="23"/>
      <c r="B213" s="24"/>
      <c r="C213" s="26"/>
      <c r="D213" s="26"/>
      <c r="E213" s="14"/>
      <c r="F213" s="14"/>
      <c r="G213" s="14"/>
      <c r="H213" s="14"/>
      <c r="I213" s="26"/>
      <c r="J213" s="26"/>
      <c r="K213" s="26"/>
      <c r="L213" s="26"/>
      <c r="M213" s="26"/>
      <c r="N213" s="26"/>
      <c r="O213" s="45"/>
      <c r="P213" s="26"/>
      <c r="Q213" s="45"/>
    </row>
    <row r="214" spans="1:17">
      <c r="A214" s="23"/>
      <c r="B214" s="24"/>
      <c r="C214" s="26"/>
      <c r="D214" s="26"/>
      <c r="E214" s="14"/>
      <c r="F214" s="14"/>
      <c r="G214" s="14"/>
      <c r="H214" s="14"/>
      <c r="I214" s="26"/>
      <c r="J214" s="26"/>
      <c r="K214" s="26"/>
      <c r="L214" s="26"/>
      <c r="M214" s="26"/>
      <c r="N214" s="26"/>
      <c r="O214" s="45"/>
      <c r="P214" s="26"/>
      <c r="Q214" s="45"/>
    </row>
    <row r="215" spans="1:17">
      <c r="A215" s="23"/>
      <c r="B215" s="24"/>
      <c r="C215" s="26"/>
      <c r="D215" s="26"/>
      <c r="E215" s="14"/>
      <c r="F215" s="14"/>
      <c r="G215" s="14"/>
      <c r="H215" s="14"/>
      <c r="I215" s="26"/>
      <c r="J215" s="26"/>
      <c r="K215" s="26"/>
      <c r="L215" s="26"/>
      <c r="M215" s="26"/>
      <c r="N215" s="26"/>
      <c r="O215" s="45"/>
      <c r="P215" s="26"/>
      <c r="Q215" s="45"/>
    </row>
    <row r="216" spans="1:17">
      <c r="A216" s="23"/>
      <c r="B216" s="24"/>
      <c r="C216" s="26"/>
      <c r="D216" s="26"/>
      <c r="E216" s="14"/>
      <c r="F216" s="14"/>
      <c r="G216" s="14"/>
      <c r="H216" s="14"/>
      <c r="I216" s="26"/>
      <c r="J216" s="26"/>
      <c r="K216" s="26"/>
      <c r="L216" s="26"/>
      <c r="M216" s="26"/>
      <c r="N216" s="26"/>
      <c r="O216" s="45"/>
      <c r="P216" s="26"/>
      <c r="Q216" s="45"/>
    </row>
  </sheetData>
  <sheetProtection selectLockedCells="1"/>
  <dataConsolidate/>
  <mergeCells count="26">
    <mergeCell ref="V22:W22"/>
    <mergeCell ref="L7:Q7"/>
    <mergeCell ref="E8:F8"/>
    <mergeCell ref="G8:H8"/>
    <mergeCell ref="N8:O8"/>
    <mergeCell ref="P8:Q8"/>
    <mergeCell ref="A6:K6"/>
    <mergeCell ref="A7:A8"/>
    <mergeCell ref="C7:D7"/>
    <mergeCell ref="E7:H7"/>
    <mergeCell ref="I7:I8"/>
    <mergeCell ref="J7:J8"/>
    <mergeCell ref="K7:K8"/>
    <mergeCell ref="D3:E3"/>
    <mergeCell ref="A4:B4"/>
    <mergeCell ref="D4:E4"/>
    <mergeCell ref="H4:I4"/>
    <mergeCell ref="A5:B5"/>
    <mergeCell ref="D5:E5"/>
    <mergeCell ref="H5:I5"/>
    <mergeCell ref="AQ2:AS2"/>
    <mergeCell ref="D1:E1"/>
    <mergeCell ref="D2:E2"/>
    <mergeCell ref="AH2:AJ2"/>
    <mergeCell ref="AK2:AM2"/>
    <mergeCell ref="AN2:AP2"/>
  </mergeCells>
  <dataValidations disablePrompts="1" count="3">
    <dataValidation type="list" allowBlank="1" showInputMessage="1" showErrorMessage="1" sqref="F2">
      <formula1>$G$1:$J$1</formula1>
    </dataValidation>
    <dataValidation type="list" allowBlank="1" showInputMessage="1" showErrorMessage="1" sqref="F3">
      <formula1>$G$2:$J$2</formula1>
    </dataValidation>
    <dataValidation type="list" allowBlank="1" showInputMessage="1" showErrorMessage="1" sqref="V22">
      <formula1>$A$10:$A$216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A216"/>
  <sheetViews>
    <sheetView workbookViewId="0">
      <selection activeCell="K24" sqref="K24"/>
    </sheetView>
  </sheetViews>
  <sheetFormatPr defaultColWidth="9.140625" defaultRowHeight="12.75" outlineLevelCol="1"/>
  <cols>
    <col min="1" max="1" width="12.5703125" style="4" customWidth="1"/>
    <col min="2" max="2" width="10.5703125" style="28" customWidth="1"/>
    <col min="3" max="4" width="9.140625" style="12"/>
    <col min="5" max="8" width="9.140625" style="4"/>
    <col min="9" max="9" width="9.140625" style="4" customWidth="1"/>
    <col min="10" max="11" width="9.140625" style="4"/>
    <col min="12" max="12" width="14.28515625" style="4" customWidth="1" outlineLevel="1"/>
    <col min="13" max="14" width="9.140625" style="4" customWidth="1" outlineLevel="1"/>
    <col min="15" max="15" width="9.140625" style="170" customWidth="1" outlineLevel="1"/>
    <col min="16" max="17" width="9.140625" style="4" customWidth="1" outlineLevel="1"/>
    <col min="18" max="18" width="9.140625" style="170" customWidth="1" outlineLevel="1"/>
    <col min="19" max="19" width="9.140625" style="4" customWidth="1" outlineLevel="1"/>
    <col min="20" max="20" width="9.140625" style="170" customWidth="1" outlineLevel="1"/>
    <col min="21" max="21" width="9.140625" style="4" customWidth="1" outlineLevel="1"/>
    <col min="22" max="22" width="9.140625" style="170" customWidth="1" outlineLevel="1"/>
    <col min="23" max="32" width="9.140625" style="4"/>
    <col min="33" max="35" width="9.140625" style="27"/>
    <col min="36" max="50" width="9.140625" style="8"/>
    <col min="51" max="53" width="9.140625" style="27"/>
    <col min="54" max="16384" width="9.140625" style="4"/>
  </cols>
  <sheetData>
    <row r="1" spans="1:53" ht="15" customHeight="1">
      <c r="A1" s="1" t="s">
        <v>172</v>
      </c>
      <c r="B1" s="1"/>
      <c r="C1" s="2">
        <v>800</v>
      </c>
      <c r="D1" s="268" t="b">
        <v>1</v>
      </c>
      <c r="E1" s="269"/>
      <c r="F1" s="270"/>
      <c r="G1" s="3" t="s">
        <v>5</v>
      </c>
      <c r="H1" s="3" t="s">
        <v>6</v>
      </c>
      <c r="I1" s="3" t="s">
        <v>1</v>
      </c>
      <c r="J1" s="3" t="s">
        <v>3</v>
      </c>
      <c r="AS1" s="59" t="s">
        <v>51</v>
      </c>
      <c r="AT1" s="59" t="s">
        <v>53</v>
      </c>
      <c r="AU1" s="59" t="s">
        <v>56</v>
      </c>
      <c r="AV1" s="59" t="s">
        <v>54</v>
      </c>
      <c r="AW1" s="59" t="s">
        <v>52</v>
      </c>
      <c r="AX1" s="59" t="s">
        <v>55</v>
      </c>
    </row>
    <row r="2" spans="1:53">
      <c r="A2" s="1" t="s">
        <v>147</v>
      </c>
      <c r="B2" s="1"/>
      <c r="C2" s="2">
        <v>200</v>
      </c>
      <c r="D2" s="244" t="s">
        <v>177</v>
      </c>
      <c r="E2" s="245"/>
      <c r="F2" s="6" t="s">
        <v>6</v>
      </c>
      <c r="G2" s="3" t="s">
        <v>4</v>
      </c>
      <c r="H2" s="3" t="s">
        <v>5</v>
      </c>
      <c r="I2" s="3" t="s">
        <v>6</v>
      </c>
      <c r="J2" s="3" t="s">
        <v>0</v>
      </c>
      <c r="N2" s="27"/>
      <c r="AJ2" s="58" t="s">
        <v>7</v>
      </c>
      <c r="AK2" s="58">
        <f>VLOOKUP($AA$22,$A$10:$J$216,3,0)</f>
        <v>1000</v>
      </c>
      <c r="AL2" s="58" t="s">
        <v>8</v>
      </c>
      <c r="AM2" s="243" t="s">
        <v>9</v>
      </c>
      <c r="AN2" s="243"/>
      <c r="AO2" s="243"/>
      <c r="AP2" s="243" t="s">
        <v>10</v>
      </c>
      <c r="AQ2" s="243"/>
      <c r="AR2" s="243"/>
      <c r="AS2" s="243" t="s">
        <v>11</v>
      </c>
      <c r="AT2" s="243"/>
      <c r="AU2" s="243"/>
      <c r="AV2" s="243" t="s">
        <v>12</v>
      </c>
      <c r="AW2" s="243"/>
      <c r="AX2" s="243"/>
    </row>
    <row r="3" spans="1:53">
      <c r="A3" s="9" t="s">
        <v>173</v>
      </c>
      <c r="B3" s="10"/>
      <c r="C3" s="11" t="s">
        <v>108</v>
      </c>
      <c r="D3" s="244" t="s">
        <v>137</v>
      </c>
      <c r="E3" s="245"/>
      <c r="F3" s="6" t="s">
        <v>4</v>
      </c>
      <c r="G3" s="7" t="b">
        <v>0</v>
      </c>
      <c r="H3" s="5" t="b">
        <v>0</v>
      </c>
      <c r="I3" s="5" t="b">
        <v>1</v>
      </c>
      <c r="J3" s="7">
        <v>2</v>
      </c>
      <c r="K3" s="5"/>
      <c r="AJ3" s="58" t="s">
        <v>13</v>
      </c>
      <c r="AK3" s="58" t="s">
        <v>14</v>
      </c>
      <c r="AL3" s="58">
        <v>1</v>
      </c>
      <c r="AM3" s="8">
        <f>$AJ$16+50</f>
        <v>-450</v>
      </c>
      <c r="AN3" s="8">
        <f>$AK$16+50</f>
        <v>-350</v>
      </c>
      <c r="AO3" s="8">
        <f>-AN3</f>
        <v>350</v>
      </c>
      <c r="AP3" s="8">
        <f>$AJ$16+50</f>
        <v>-450</v>
      </c>
      <c r="AQ3" s="8">
        <f>$AK$16+50</f>
        <v>-350</v>
      </c>
      <c r="AR3" s="8">
        <f>-AP3</f>
        <v>450</v>
      </c>
      <c r="AS3" s="8">
        <f>IF(AJ5&gt;0,0,AM3)</f>
        <v>0</v>
      </c>
      <c r="AT3" s="8">
        <f>IF(AJ5=0,AN3,AT4)</f>
        <v>-233.33333333333331</v>
      </c>
      <c r="AU3" s="8">
        <f>-AT3</f>
        <v>233.33333333333331</v>
      </c>
      <c r="AV3" s="8">
        <f>IF(AJ9=0,AP3,AV4)</f>
        <v>-300</v>
      </c>
      <c r="AW3" s="8">
        <f>IF(AJ9&gt;0,0,AQ3)</f>
        <v>0</v>
      </c>
      <c r="AX3" s="8">
        <f>-AV3</f>
        <v>300</v>
      </c>
    </row>
    <row r="4" spans="1:53">
      <c r="A4" s="247" t="s">
        <v>174</v>
      </c>
      <c r="B4" s="248"/>
      <c r="C4" s="14">
        <v>1</v>
      </c>
      <c r="D4" s="249" t="s">
        <v>178</v>
      </c>
      <c r="E4" s="250"/>
      <c r="F4" s="14">
        <v>30</v>
      </c>
      <c r="G4" s="99" t="s">
        <v>179</v>
      </c>
      <c r="H4" s="251" t="s">
        <v>62</v>
      </c>
      <c r="I4" s="251"/>
      <c r="AJ4" s="58">
        <f>VLOOKUP($AA$22,$A$10:$J$216,5,0)</f>
        <v>7</v>
      </c>
      <c r="AK4" s="58">
        <f>MIN(VLOOKUP($AA$22,$A$10:$J$216,6,0),IF(G3,AJ4-2,AJ4))</f>
        <v>7</v>
      </c>
      <c r="AL4" s="58">
        <v>2</v>
      </c>
      <c r="AM4" s="8">
        <f>IF(AL4&gt;$AJ$4,AM3,AM3+$AK$10)</f>
        <v>-300</v>
      </c>
      <c r="AN4" s="8">
        <f>AN3</f>
        <v>-350</v>
      </c>
      <c r="AO4" s="8">
        <f t="shared" ref="AO4:AO52" si="0">-AN4</f>
        <v>350</v>
      </c>
      <c r="AP4" s="8">
        <f>AP3</f>
        <v>-450</v>
      </c>
      <c r="AQ4" s="8">
        <f t="shared" ref="AQ4:AQ52" si="1">IF(AL4&gt;$AJ$8,AQ3,AQ3+$AK$11)</f>
        <v>-233.33333333333331</v>
      </c>
      <c r="AR4" s="8">
        <f t="shared" ref="AR4:AR52" si="2">-AP4</f>
        <v>450</v>
      </c>
      <c r="AS4" s="8">
        <f>IF($AK$5&gt;=AL3,AM4,AM3)</f>
        <v>-300</v>
      </c>
      <c r="AT4" s="8">
        <f>AN3+IF(AK4&gt;0,IF(G3,25,AK11))</f>
        <v>-233.33333333333331</v>
      </c>
      <c r="AU4" s="8">
        <f>-AT4</f>
        <v>233.33333333333331</v>
      </c>
      <c r="AV4" s="8">
        <f>AP3+IF(AK8&gt;0,IF(G3,25,AK10))</f>
        <v>-300</v>
      </c>
      <c r="AW4" s="8">
        <f>IF($AK$9&gt;=AL3,IF(OR(AK5&lt;1,G3),AQ4,AQ5),AW3)</f>
        <v>-116.66666666666664</v>
      </c>
      <c r="AX4" s="8">
        <f>-AV4</f>
        <v>300</v>
      </c>
    </row>
    <row r="5" spans="1:53">
      <c r="A5" s="247" t="s">
        <v>175</v>
      </c>
      <c r="B5" s="248"/>
      <c r="C5" s="15">
        <v>-5.5</v>
      </c>
      <c r="D5" s="249" t="s">
        <v>195</v>
      </c>
      <c r="E5" s="250"/>
      <c r="F5" s="14">
        <v>15</v>
      </c>
      <c r="G5" s="42" t="s">
        <v>181</v>
      </c>
      <c r="H5" s="251" t="s">
        <v>65</v>
      </c>
      <c r="I5" s="251"/>
      <c r="AJ5" s="59">
        <f>MOD(AK4,2)</f>
        <v>1</v>
      </c>
      <c r="AK5" s="59">
        <f>MAX(ROUND(AK4/2-0.499,0)-IF(G3,0,1),0)</f>
        <v>2</v>
      </c>
      <c r="AL5" s="58">
        <v>3</v>
      </c>
      <c r="AM5" s="8">
        <f t="shared" ref="AM5:AM52" si="3">IF(AL5&gt;$AJ$4,AM4,AM4+$AK$10)</f>
        <v>-150</v>
      </c>
      <c r="AN5" s="8">
        <f t="shared" ref="AN5:AN52" si="4">AN4</f>
        <v>-350</v>
      </c>
      <c r="AO5" s="8">
        <f t="shared" si="0"/>
        <v>350</v>
      </c>
      <c r="AP5" s="8">
        <f t="shared" ref="AP5:AP52" si="5">AP4</f>
        <v>-450</v>
      </c>
      <c r="AQ5" s="8">
        <f t="shared" si="1"/>
        <v>-116.66666666666664</v>
      </c>
      <c r="AR5" s="8">
        <f t="shared" si="2"/>
        <v>450</v>
      </c>
      <c r="AS5" s="8">
        <f t="shared" ref="AS5:AS26" si="6">IF($AK$5&gt;=AL4,AM5,AS4)</f>
        <v>-150</v>
      </c>
      <c r="AT5" s="8">
        <f>AT4</f>
        <v>-233.33333333333331</v>
      </c>
      <c r="AU5" s="8">
        <f t="shared" ref="AU5:AU52" si="7">-AT5</f>
        <v>233.33333333333331</v>
      </c>
      <c r="AV5" s="8">
        <f t="shared" ref="AV5:AV52" si="8">AV4</f>
        <v>-300</v>
      </c>
      <c r="AW5" s="8">
        <f>IF(AL4&gt;$AK$9,AW4,AW4+$AK$11)</f>
        <v>-116.66666666666664</v>
      </c>
      <c r="AX5" s="8">
        <f t="shared" ref="AX5:AX52" si="9">-AV5</f>
        <v>300</v>
      </c>
    </row>
    <row r="6" spans="1:53">
      <c r="A6" s="252"/>
      <c r="B6" s="253"/>
      <c r="C6" s="253"/>
      <c r="D6" s="253"/>
      <c r="E6" s="253"/>
      <c r="F6" s="253"/>
      <c r="G6" s="253"/>
      <c r="H6" s="253"/>
      <c r="I6" s="253"/>
      <c r="J6" s="253"/>
      <c r="K6" s="253"/>
      <c r="AJ6" s="58" t="s">
        <v>15</v>
      </c>
      <c r="AK6" s="58">
        <f>VLOOKUP($AA$22,$A$10:$J$216,4,0)</f>
        <v>800</v>
      </c>
      <c r="AL6" s="58">
        <v>4</v>
      </c>
      <c r="AM6" s="8">
        <f t="shared" si="3"/>
        <v>0</v>
      </c>
      <c r="AN6" s="8">
        <f t="shared" si="4"/>
        <v>-350</v>
      </c>
      <c r="AO6" s="8">
        <f t="shared" si="0"/>
        <v>350</v>
      </c>
      <c r="AP6" s="8">
        <f t="shared" si="5"/>
        <v>-450</v>
      </c>
      <c r="AQ6" s="8">
        <f t="shared" si="1"/>
        <v>2.8421709430404007E-14</v>
      </c>
      <c r="AR6" s="8">
        <f t="shared" si="2"/>
        <v>450</v>
      </c>
      <c r="AS6" s="8">
        <f t="shared" si="6"/>
        <v>-150</v>
      </c>
      <c r="AT6" s="8">
        <f t="shared" ref="AT6:AT52" si="10">AT5</f>
        <v>-233.33333333333331</v>
      </c>
      <c r="AU6" s="8">
        <f t="shared" si="7"/>
        <v>233.33333333333331</v>
      </c>
      <c r="AV6" s="8">
        <f t="shared" si="8"/>
        <v>-300</v>
      </c>
      <c r="AW6" s="8">
        <f t="shared" ref="AW6:AW26" si="11">IF(AL5&gt;$AK$9,AW5,AW5+$AK$11)</f>
        <v>-116.66666666666664</v>
      </c>
      <c r="AX6" s="8">
        <f t="shared" si="9"/>
        <v>300</v>
      </c>
    </row>
    <row r="7" spans="1:53" ht="13.15" customHeight="1">
      <c r="A7" s="254" t="s">
        <v>182</v>
      </c>
      <c r="B7" s="16" t="s">
        <v>183</v>
      </c>
      <c r="C7" s="256" t="s">
        <v>184</v>
      </c>
      <c r="D7" s="257"/>
      <c r="E7" s="258" t="s">
        <v>187</v>
      </c>
      <c r="F7" s="258"/>
      <c r="G7" s="258"/>
      <c r="H7" s="258"/>
      <c r="I7" s="259" t="s">
        <v>188</v>
      </c>
      <c r="J7" s="259" t="s">
        <v>189</v>
      </c>
      <c r="K7" s="259" t="s">
        <v>190</v>
      </c>
      <c r="L7" s="259" t="s">
        <v>253</v>
      </c>
      <c r="M7" s="259" t="s">
        <v>64</v>
      </c>
      <c r="N7" s="259"/>
      <c r="O7" s="259"/>
      <c r="P7" s="259"/>
      <c r="Q7" s="259"/>
      <c r="R7" s="259"/>
      <c r="S7" s="259"/>
      <c r="T7" s="259"/>
      <c r="U7" s="259"/>
      <c r="V7" s="259"/>
      <c r="AJ7" s="58" t="s">
        <v>13</v>
      </c>
      <c r="AK7" s="58" t="s">
        <v>14</v>
      </c>
      <c r="AL7" s="58">
        <v>5</v>
      </c>
      <c r="AM7" s="8">
        <f t="shared" si="3"/>
        <v>150</v>
      </c>
      <c r="AN7" s="8">
        <f t="shared" si="4"/>
        <v>-350</v>
      </c>
      <c r="AO7" s="8">
        <f t="shared" si="0"/>
        <v>350</v>
      </c>
      <c r="AP7" s="8">
        <f t="shared" si="5"/>
        <v>-450</v>
      </c>
      <c r="AQ7" s="8">
        <f t="shared" si="1"/>
        <v>116.6666666666667</v>
      </c>
      <c r="AR7" s="8">
        <f t="shared" si="2"/>
        <v>450</v>
      </c>
      <c r="AS7" s="8">
        <f t="shared" si="6"/>
        <v>-150</v>
      </c>
      <c r="AT7" s="8">
        <f t="shared" si="10"/>
        <v>-233.33333333333331</v>
      </c>
      <c r="AU7" s="8">
        <f t="shared" si="7"/>
        <v>233.33333333333331</v>
      </c>
      <c r="AV7" s="8">
        <f t="shared" si="8"/>
        <v>-300</v>
      </c>
      <c r="AW7" s="8">
        <f t="shared" si="11"/>
        <v>-116.66666666666664</v>
      </c>
      <c r="AX7" s="8">
        <f t="shared" si="9"/>
        <v>300</v>
      </c>
    </row>
    <row r="8" spans="1:53" ht="13.15" customHeight="1">
      <c r="A8" s="255"/>
      <c r="B8" s="18" t="s">
        <v>21</v>
      </c>
      <c r="C8" s="200" t="s">
        <v>185</v>
      </c>
      <c r="D8" s="200" t="s">
        <v>186</v>
      </c>
      <c r="E8" s="265" t="s">
        <v>185</v>
      </c>
      <c r="F8" s="265"/>
      <c r="G8" s="265" t="s">
        <v>186</v>
      </c>
      <c r="H8" s="265"/>
      <c r="I8" s="259"/>
      <c r="J8" s="259"/>
      <c r="K8" s="259"/>
      <c r="L8" s="259"/>
      <c r="M8" s="271" t="s">
        <v>255</v>
      </c>
      <c r="N8" s="266"/>
      <c r="O8" s="267"/>
      <c r="P8" s="271" t="s">
        <v>256</v>
      </c>
      <c r="Q8" s="266"/>
      <c r="R8" s="267"/>
      <c r="S8" s="266" t="s">
        <v>258</v>
      </c>
      <c r="T8" s="267"/>
      <c r="U8" s="266" t="s">
        <v>259</v>
      </c>
      <c r="V8" s="267"/>
      <c r="AJ8" s="58">
        <f>VLOOKUP($AA$22,$A$10:$J$216,7,0)</f>
        <v>7</v>
      </c>
      <c r="AK8" s="58">
        <f>MIN(VLOOKUP($AA$22,$A$10:$J$216,8,0),IF(G3,AJ8-2,AJ8))</f>
        <v>7</v>
      </c>
      <c r="AL8" s="58">
        <v>6</v>
      </c>
      <c r="AM8" s="8">
        <f t="shared" si="3"/>
        <v>300</v>
      </c>
      <c r="AN8" s="8">
        <f t="shared" si="4"/>
        <v>-350</v>
      </c>
      <c r="AO8" s="8">
        <f t="shared" si="0"/>
        <v>350</v>
      </c>
      <c r="AP8" s="8">
        <f t="shared" si="5"/>
        <v>-450</v>
      </c>
      <c r="AQ8" s="8">
        <f t="shared" si="1"/>
        <v>233.33333333333337</v>
      </c>
      <c r="AR8" s="8">
        <f t="shared" si="2"/>
        <v>450</v>
      </c>
      <c r="AS8" s="8">
        <f t="shared" si="6"/>
        <v>-150</v>
      </c>
      <c r="AT8" s="8">
        <f t="shared" si="10"/>
        <v>-233.33333333333331</v>
      </c>
      <c r="AU8" s="8">
        <f t="shared" si="7"/>
        <v>233.33333333333331</v>
      </c>
      <c r="AV8" s="8">
        <f t="shared" si="8"/>
        <v>-300</v>
      </c>
      <c r="AW8" s="8">
        <f>IF(AL7&gt;$AK$9,AW7,AW7+$AK$11)</f>
        <v>-116.66666666666664</v>
      </c>
      <c r="AX8" s="8">
        <f t="shared" si="9"/>
        <v>300</v>
      </c>
    </row>
    <row r="9" spans="1:53" ht="15" customHeight="1">
      <c r="A9" s="20" t="s">
        <v>18</v>
      </c>
      <c r="B9" s="15">
        <v>1.5</v>
      </c>
      <c r="C9" s="19" t="s">
        <v>23</v>
      </c>
      <c r="D9" s="19" t="s">
        <v>23</v>
      </c>
      <c r="E9" s="21" t="str">
        <f>IF(D1&gt;0,"Biên", "Lớp 1")</f>
        <v>Biên</v>
      </c>
      <c r="F9" s="21" t="str">
        <f>IF(D1&gt;0,"Giữa", "Lớp 2")</f>
        <v>Giữa</v>
      </c>
      <c r="G9" s="21" t="s">
        <v>13</v>
      </c>
      <c r="H9" s="169" t="s">
        <v>14</v>
      </c>
      <c r="I9" s="19" t="s">
        <v>23</v>
      </c>
      <c r="J9" s="19" t="s">
        <v>23</v>
      </c>
      <c r="K9" s="19" t="s">
        <v>23</v>
      </c>
      <c r="L9" s="98" t="s">
        <v>254</v>
      </c>
      <c r="M9" s="98" t="s">
        <v>257</v>
      </c>
      <c r="N9" s="208" t="s">
        <v>254</v>
      </c>
      <c r="O9" s="171" t="s">
        <v>234</v>
      </c>
      <c r="P9" s="98" t="s">
        <v>257</v>
      </c>
      <c r="Q9" s="208" t="s">
        <v>254</v>
      </c>
      <c r="R9" s="171" t="s">
        <v>234</v>
      </c>
      <c r="S9" s="208" t="s">
        <v>254</v>
      </c>
      <c r="T9" s="171" t="s">
        <v>234</v>
      </c>
      <c r="U9" s="208" t="s">
        <v>254</v>
      </c>
      <c r="V9" s="171" t="s">
        <v>234</v>
      </c>
      <c r="AJ9" s="59">
        <f>MOD(AK8,2)</f>
        <v>1</v>
      </c>
      <c r="AK9" s="59">
        <f>MAX(ROUND(AK8/2-0.499,0)-IF(G3,0,IF(AK5&gt;0,2,1)),0)</f>
        <v>1</v>
      </c>
      <c r="AL9" s="58">
        <v>7</v>
      </c>
      <c r="AM9" s="8">
        <f t="shared" si="3"/>
        <v>450</v>
      </c>
      <c r="AN9" s="8">
        <f t="shared" si="4"/>
        <v>-350</v>
      </c>
      <c r="AO9" s="8">
        <f t="shared" si="0"/>
        <v>350</v>
      </c>
      <c r="AP9" s="8">
        <f t="shared" si="5"/>
        <v>-450</v>
      </c>
      <c r="AQ9" s="8">
        <f t="shared" si="1"/>
        <v>350.00000000000006</v>
      </c>
      <c r="AR9" s="8">
        <f t="shared" si="2"/>
        <v>450</v>
      </c>
      <c r="AS9" s="8">
        <f t="shared" si="6"/>
        <v>-150</v>
      </c>
      <c r="AT9" s="8">
        <f t="shared" si="10"/>
        <v>-233.33333333333331</v>
      </c>
      <c r="AU9" s="8">
        <f t="shared" si="7"/>
        <v>233.33333333333331</v>
      </c>
      <c r="AV9" s="8">
        <f t="shared" si="8"/>
        <v>-300</v>
      </c>
      <c r="AW9" s="8">
        <f t="shared" si="11"/>
        <v>-116.66666666666664</v>
      </c>
      <c r="AX9" s="8">
        <f t="shared" si="9"/>
        <v>300</v>
      </c>
    </row>
    <row r="10" spans="1:53">
      <c r="A10" s="23" t="s">
        <v>24</v>
      </c>
      <c r="B10" s="24">
        <v>3</v>
      </c>
      <c r="C10" s="14">
        <v>1000</v>
      </c>
      <c r="D10" s="14">
        <v>800</v>
      </c>
      <c r="E10" s="25">
        <v>7</v>
      </c>
      <c r="F10" s="25">
        <v>7</v>
      </c>
      <c r="G10" s="25">
        <v>7</v>
      </c>
      <c r="H10" s="14">
        <v>7</v>
      </c>
      <c r="I10" s="14">
        <v>25</v>
      </c>
      <c r="J10" s="14">
        <v>150</v>
      </c>
      <c r="K10" s="14">
        <v>600</v>
      </c>
      <c r="L10" s="14" t="s">
        <v>62</v>
      </c>
      <c r="M10" s="14">
        <v>0.5</v>
      </c>
      <c r="N10" s="14" t="s">
        <v>63</v>
      </c>
      <c r="O10" s="172"/>
      <c r="P10" s="14">
        <v>0.5</v>
      </c>
      <c r="Q10" s="14" t="s">
        <v>63</v>
      </c>
      <c r="R10" s="172"/>
      <c r="S10" s="14" t="s">
        <v>63</v>
      </c>
      <c r="T10" s="172" t="s">
        <v>91</v>
      </c>
      <c r="U10" s="14" t="s">
        <v>63</v>
      </c>
      <c r="V10" s="172" t="s">
        <v>91</v>
      </c>
      <c r="AJ10" s="58" t="s">
        <v>19</v>
      </c>
      <c r="AK10" s="58">
        <f>(AK2-100)/(AJ4-1)</f>
        <v>150</v>
      </c>
      <c r="AL10" s="58">
        <v>8</v>
      </c>
      <c r="AM10" s="8">
        <f t="shared" si="3"/>
        <v>450</v>
      </c>
      <c r="AN10" s="8">
        <f t="shared" si="4"/>
        <v>-350</v>
      </c>
      <c r="AO10" s="8">
        <f t="shared" si="0"/>
        <v>350</v>
      </c>
      <c r="AP10" s="8">
        <f t="shared" si="5"/>
        <v>-450</v>
      </c>
      <c r="AQ10" s="8">
        <f t="shared" si="1"/>
        <v>350.00000000000006</v>
      </c>
      <c r="AR10" s="8">
        <f t="shared" si="2"/>
        <v>450</v>
      </c>
      <c r="AS10" s="8">
        <f t="shared" si="6"/>
        <v>-150</v>
      </c>
      <c r="AT10" s="8">
        <f t="shared" si="10"/>
        <v>-233.33333333333331</v>
      </c>
      <c r="AU10" s="8">
        <f t="shared" si="7"/>
        <v>233.33333333333331</v>
      </c>
      <c r="AV10" s="8">
        <f t="shared" si="8"/>
        <v>-300</v>
      </c>
      <c r="AW10" s="8">
        <f t="shared" si="11"/>
        <v>-116.66666666666664</v>
      </c>
      <c r="AX10" s="8">
        <f t="shared" si="9"/>
        <v>300</v>
      </c>
    </row>
    <row r="11" spans="1:53" s="17" customFormat="1" ht="15" customHeight="1">
      <c r="A11" s="23" t="s">
        <v>25</v>
      </c>
      <c r="B11" s="24">
        <v>3.5</v>
      </c>
      <c r="C11" s="14">
        <v>1000</v>
      </c>
      <c r="D11" s="14">
        <v>800</v>
      </c>
      <c r="E11" s="25">
        <v>7</v>
      </c>
      <c r="F11" s="25">
        <v>7</v>
      </c>
      <c r="G11" s="25">
        <v>7</v>
      </c>
      <c r="H11" s="25">
        <v>7</v>
      </c>
      <c r="I11" s="14">
        <v>25</v>
      </c>
      <c r="J11" s="14">
        <v>150</v>
      </c>
      <c r="K11" s="14">
        <v>600</v>
      </c>
      <c r="L11" s="14" t="s">
        <v>62</v>
      </c>
      <c r="M11" s="14">
        <v>0.5</v>
      </c>
      <c r="N11" s="14" t="s">
        <v>63</v>
      </c>
      <c r="O11" s="172"/>
      <c r="P11" s="14">
        <v>0.5</v>
      </c>
      <c r="Q11" s="14" t="s">
        <v>63</v>
      </c>
      <c r="R11" s="172"/>
      <c r="S11" s="14" t="s">
        <v>63</v>
      </c>
      <c r="T11" s="172" t="s">
        <v>91</v>
      </c>
      <c r="U11" s="14" t="s">
        <v>63</v>
      </c>
      <c r="V11" s="172" t="s">
        <v>91</v>
      </c>
      <c r="AG11" s="55"/>
      <c r="AH11" s="55"/>
      <c r="AI11" s="55"/>
      <c r="AJ11" s="58" t="s">
        <v>20</v>
      </c>
      <c r="AK11" s="58">
        <f>(AK6-100)/(AJ8-1)</f>
        <v>116.66666666666667</v>
      </c>
      <c r="AL11" s="58">
        <v>9</v>
      </c>
      <c r="AM11" s="8">
        <f t="shared" si="3"/>
        <v>450</v>
      </c>
      <c r="AN11" s="8">
        <f t="shared" si="4"/>
        <v>-350</v>
      </c>
      <c r="AO11" s="8">
        <f t="shared" si="0"/>
        <v>350</v>
      </c>
      <c r="AP11" s="8">
        <f t="shared" si="5"/>
        <v>-450</v>
      </c>
      <c r="AQ11" s="8">
        <f t="shared" si="1"/>
        <v>350.00000000000006</v>
      </c>
      <c r="AR11" s="8">
        <f t="shared" si="2"/>
        <v>450</v>
      </c>
      <c r="AS11" s="8">
        <f t="shared" si="6"/>
        <v>-150</v>
      </c>
      <c r="AT11" s="8">
        <f t="shared" si="10"/>
        <v>-233.33333333333331</v>
      </c>
      <c r="AU11" s="8">
        <f t="shared" si="7"/>
        <v>233.33333333333331</v>
      </c>
      <c r="AV11" s="8">
        <f t="shared" si="8"/>
        <v>-300</v>
      </c>
      <c r="AW11" s="8">
        <f t="shared" si="11"/>
        <v>-116.66666666666664</v>
      </c>
      <c r="AX11" s="8">
        <f t="shared" si="9"/>
        <v>300</v>
      </c>
      <c r="AY11" s="55"/>
      <c r="AZ11" s="55"/>
      <c r="BA11" s="55"/>
    </row>
    <row r="12" spans="1:53" s="12" customFormat="1" ht="14.25" customHeight="1">
      <c r="A12" s="23" t="s">
        <v>27</v>
      </c>
      <c r="B12" s="24">
        <v>3.9</v>
      </c>
      <c r="C12" s="14">
        <v>1000</v>
      </c>
      <c r="D12" s="14">
        <v>800</v>
      </c>
      <c r="E12" s="25">
        <v>7</v>
      </c>
      <c r="F12" s="25">
        <v>7</v>
      </c>
      <c r="G12" s="25">
        <v>7</v>
      </c>
      <c r="H12" s="25">
        <v>7</v>
      </c>
      <c r="I12" s="14" t="s">
        <v>78</v>
      </c>
      <c r="J12" s="14">
        <v>150</v>
      </c>
      <c r="K12" s="14">
        <v>400</v>
      </c>
      <c r="L12" s="14" t="s">
        <v>62</v>
      </c>
      <c r="M12" s="14">
        <v>0.5</v>
      </c>
      <c r="N12" s="14" t="s">
        <v>63</v>
      </c>
      <c r="O12" s="172"/>
      <c r="P12" s="14">
        <v>0.5</v>
      </c>
      <c r="Q12" s="14" t="s">
        <v>63</v>
      </c>
      <c r="R12" s="172"/>
      <c r="S12" s="14" t="s">
        <v>63</v>
      </c>
      <c r="T12" s="172" t="s">
        <v>91</v>
      </c>
      <c r="U12" s="14" t="s">
        <v>63</v>
      </c>
      <c r="V12" s="172" t="s">
        <v>91</v>
      </c>
      <c r="W12" s="4"/>
      <c r="X12" s="4"/>
      <c r="Y12" s="4"/>
      <c r="Z12" s="4"/>
      <c r="AA12" s="4"/>
      <c r="AB12" s="4"/>
      <c r="AC12" s="4"/>
      <c r="AD12" s="4"/>
      <c r="AE12" s="4"/>
      <c r="AF12" s="4"/>
      <c r="AG12" s="27"/>
      <c r="AH12" s="27"/>
      <c r="AI12" s="27"/>
      <c r="AJ12" s="58" t="s">
        <v>22</v>
      </c>
      <c r="AK12" s="58"/>
      <c r="AL12" s="58">
        <v>10</v>
      </c>
      <c r="AM12" s="8">
        <f t="shared" si="3"/>
        <v>450</v>
      </c>
      <c r="AN12" s="8">
        <f t="shared" si="4"/>
        <v>-350</v>
      </c>
      <c r="AO12" s="8">
        <f t="shared" si="0"/>
        <v>350</v>
      </c>
      <c r="AP12" s="8">
        <f t="shared" si="5"/>
        <v>-450</v>
      </c>
      <c r="AQ12" s="8">
        <f t="shared" si="1"/>
        <v>350.00000000000006</v>
      </c>
      <c r="AR12" s="8">
        <f t="shared" si="2"/>
        <v>450</v>
      </c>
      <c r="AS12" s="8">
        <f t="shared" si="6"/>
        <v>-150</v>
      </c>
      <c r="AT12" s="8">
        <f t="shared" si="10"/>
        <v>-233.33333333333331</v>
      </c>
      <c r="AU12" s="8">
        <f t="shared" si="7"/>
        <v>233.33333333333331</v>
      </c>
      <c r="AV12" s="8">
        <f t="shared" si="8"/>
        <v>-300</v>
      </c>
      <c r="AW12" s="8">
        <f t="shared" si="11"/>
        <v>-116.66666666666664</v>
      </c>
      <c r="AX12" s="8">
        <f t="shared" si="9"/>
        <v>300</v>
      </c>
      <c r="AY12" s="57"/>
      <c r="AZ12" s="57"/>
      <c r="BA12" s="57"/>
    </row>
    <row r="13" spans="1:53" s="12" customFormat="1">
      <c r="A13" s="23" t="s">
        <v>28</v>
      </c>
      <c r="B13" s="24">
        <v>4.5999999999999996</v>
      </c>
      <c r="C13" s="14">
        <v>1000</v>
      </c>
      <c r="D13" s="14">
        <v>800</v>
      </c>
      <c r="E13" s="25">
        <v>7</v>
      </c>
      <c r="F13" s="25">
        <v>7</v>
      </c>
      <c r="G13" s="25">
        <v>7</v>
      </c>
      <c r="H13" s="25">
        <v>7</v>
      </c>
      <c r="I13" s="14">
        <v>20</v>
      </c>
      <c r="J13" s="14">
        <v>150</v>
      </c>
      <c r="K13" s="14">
        <v>400</v>
      </c>
      <c r="L13" s="14" t="s">
        <v>62</v>
      </c>
      <c r="M13" s="14">
        <v>0.5</v>
      </c>
      <c r="N13" s="14" t="s">
        <v>63</v>
      </c>
      <c r="O13" s="172"/>
      <c r="P13" s="14">
        <v>0.5</v>
      </c>
      <c r="Q13" s="14" t="s">
        <v>63</v>
      </c>
      <c r="R13" s="172"/>
      <c r="S13" s="14" t="s">
        <v>63</v>
      </c>
      <c r="T13" s="172" t="s">
        <v>91</v>
      </c>
      <c r="U13" s="14" t="s">
        <v>63</v>
      </c>
      <c r="V13" s="172" t="s">
        <v>91</v>
      </c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56"/>
      <c r="AH13" s="56"/>
      <c r="AI13" s="56"/>
      <c r="AJ13" s="58">
        <f>ROUND(MAX(AK2,AK6)/250+0.499,0)*125</f>
        <v>500</v>
      </c>
      <c r="AK13" s="58">
        <f>AJ13</f>
        <v>500</v>
      </c>
      <c r="AL13" s="58">
        <v>11</v>
      </c>
      <c r="AM13" s="8">
        <f t="shared" si="3"/>
        <v>450</v>
      </c>
      <c r="AN13" s="8">
        <f t="shared" si="4"/>
        <v>-350</v>
      </c>
      <c r="AO13" s="8">
        <f t="shared" si="0"/>
        <v>350</v>
      </c>
      <c r="AP13" s="8">
        <f t="shared" si="5"/>
        <v>-450</v>
      </c>
      <c r="AQ13" s="8">
        <f t="shared" si="1"/>
        <v>350.00000000000006</v>
      </c>
      <c r="AR13" s="8">
        <f t="shared" si="2"/>
        <v>450</v>
      </c>
      <c r="AS13" s="8">
        <f t="shared" si="6"/>
        <v>-150</v>
      </c>
      <c r="AT13" s="8">
        <f t="shared" si="10"/>
        <v>-233.33333333333331</v>
      </c>
      <c r="AU13" s="8">
        <f t="shared" si="7"/>
        <v>233.33333333333331</v>
      </c>
      <c r="AV13" s="8">
        <f t="shared" si="8"/>
        <v>-300</v>
      </c>
      <c r="AW13" s="8">
        <f t="shared" si="11"/>
        <v>-116.66666666666664</v>
      </c>
      <c r="AX13" s="8">
        <f t="shared" si="9"/>
        <v>300</v>
      </c>
      <c r="AY13" s="57"/>
      <c r="AZ13" s="57"/>
      <c r="BA13" s="57"/>
    </row>
    <row r="14" spans="1:53">
      <c r="A14" s="23" t="s">
        <v>29</v>
      </c>
      <c r="B14" s="24">
        <v>3.3</v>
      </c>
      <c r="C14" s="14">
        <v>1000</v>
      </c>
      <c r="D14" s="14">
        <v>800</v>
      </c>
      <c r="E14" s="25">
        <v>7</v>
      </c>
      <c r="F14" s="25">
        <v>7</v>
      </c>
      <c r="G14" s="25">
        <v>7</v>
      </c>
      <c r="H14" s="25">
        <v>7</v>
      </c>
      <c r="I14" s="14">
        <v>20</v>
      </c>
      <c r="J14" s="14">
        <v>150</v>
      </c>
      <c r="K14" s="14">
        <v>600</v>
      </c>
      <c r="L14" s="14" t="s">
        <v>62</v>
      </c>
      <c r="M14" s="14">
        <v>0.5</v>
      </c>
      <c r="N14" s="14" t="s">
        <v>63</v>
      </c>
      <c r="O14" s="172"/>
      <c r="P14" s="14">
        <v>0.5</v>
      </c>
      <c r="Q14" s="14" t="s">
        <v>63</v>
      </c>
      <c r="R14" s="172"/>
      <c r="S14" s="14" t="s">
        <v>63</v>
      </c>
      <c r="T14" s="172" t="s">
        <v>91</v>
      </c>
      <c r="U14" s="14" t="s">
        <v>63</v>
      </c>
      <c r="V14" s="172" t="s">
        <v>91</v>
      </c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56"/>
      <c r="AH14" s="56"/>
      <c r="AI14" s="56"/>
      <c r="AJ14" s="58">
        <f>-AJ13</f>
        <v>-500</v>
      </c>
      <c r="AK14" s="58">
        <f>AJ14</f>
        <v>-500</v>
      </c>
      <c r="AL14" s="58">
        <v>12</v>
      </c>
      <c r="AM14" s="8">
        <f t="shared" si="3"/>
        <v>450</v>
      </c>
      <c r="AN14" s="8">
        <f t="shared" si="4"/>
        <v>-350</v>
      </c>
      <c r="AO14" s="8">
        <f t="shared" si="0"/>
        <v>350</v>
      </c>
      <c r="AP14" s="8">
        <f t="shared" si="5"/>
        <v>-450</v>
      </c>
      <c r="AQ14" s="8">
        <f t="shared" si="1"/>
        <v>350.00000000000006</v>
      </c>
      <c r="AR14" s="8">
        <f t="shared" si="2"/>
        <v>450</v>
      </c>
      <c r="AS14" s="8">
        <f t="shared" si="6"/>
        <v>-150</v>
      </c>
      <c r="AT14" s="8">
        <f>AT13</f>
        <v>-233.33333333333331</v>
      </c>
      <c r="AU14" s="8">
        <f t="shared" si="7"/>
        <v>233.33333333333331</v>
      </c>
      <c r="AV14" s="8">
        <f t="shared" si="8"/>
        <v>-300</v>
      </c>
      <c r="AW14" s="8">
        <f t="shared" si="11"/>
        <v>-116.66666666666664</v>
      </c>
      <c r="AX14" s="8">
        <f t="shared" si="9"/>
        <v>300</v>
      </c>
    </row>
    <row r="15" spans="1:53">
      <c r="A15" s="23" t="s">
        <v>30</v>
      </c>
      <c r="B15" s="24">
        <v>3.3</v>
      </c>
      <c r="C15" s="14">
        <v>1000</v>
      </c>
      <c r="D15" s="14">
        <v>800</v>
      </c>
      <c r="E15" s="25">
        <v>7</v>
      </c>
      <c r="F15" s="25">
        <v>7</v>
      </c>
      <c r="G15" s="25">
        <v>7</v>
      </c>
      <c r="H15" s="25">
        <v>7</v>
      </c>
      <c r="I15" s="14">
        <v>20</v>
      </c>
      <c r="J15" s="14">
        <v>150</v>
      </c>
      <c r="K15" s="14">
        <v>400</v>
      </c>
      <c r="L15" s="14" t="s">
        <v>62</v>
      </c>
      <c r="M15" s="14">
        <v>0.5</v>
      </c>
      <c r="N15" s="14" t="s">
        <v>63</v>
      </c>
      <c r="O15" s="172"/>
      <c r="P15" s="14">
        <v>0.5</v>
      </c>
      <c r="Q15" s="14" t="s">
        <v>63</v>
      </c>
      <c r="R15" s="172"/>
      <c r="S15" s="14" t="s">
        <v>63</v>
      </c>
      <c r="T15" s="172" t="s">
        <v>91</v>
      </c>
      <c r="U15" s="14" t="s">
        <v>63</v>
      </c>
      <c r="V15" s="172" t="s">
        <v>91</v>
      </c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56"/>
      <c r="AH15" s="56"/>
      <c r="AI15" s="56"/>
      <c r="AJ15" s="58" t="s">
        <v>26</v>
      </c>
      <c r="AK15" s="58"/>
      <c r="AL15" s="58">
        <v>13</v>
      </c>
      <c r="AM15" s="8">
        <f t="shared" si="3"/>
        <v>450</v>
      </c>
      <c r="AN15" s="8">
        <f t="shared" si="4"/>
        <v>-350</v>
      </c>
      <c r="AO15" s="8">
        <f t="shared" si="0"/>
        <v>350</v>
      </c>
      <c r="AP15" s="8">
        <f t="shared" si="5"/>
        <v>-450</v>
      </c>
      <c r="AQ15" s="8">
        <f t="shared" si="1"/>
        <v>350.00000000000006</v>
      </c>
      <c r="AR15" s="8">
        <f t="shared" si="2"/>
        <v>450</v>
      </c>
      <c r="AS15" s="8">
        <f t="shared" si="6"/>
        <v>-150</v>
      </c>
      <c r="AT15" s="8">
        <f t="shared" si="10"/>
        <v>-233.33333333333331</v>
      </c>
      <c r="AU15" s="8">
        <f t="shared" si="7"/>
        <v>233.33333333333331</v>
      </c>
      <c r="AV15" s="8">
        <f t="shared" si="8"/>
        <v>-300</v>
      </c>
      <c r="AW15" s="8">
        <f t="shared" si="11"/>
        <v>-116.66666666666664</v>
      </c>
      <c r="AX15" s="8">
        <f t="shared" si="9"/>
        <v>300</v>
      </c>
    </row>
    <row r="16" spans="1:53">
      <c r="A16" s="23"/>
      <c r="B16" s="24"/>
      <c r="C16" s="14"/>
      <c r="D16" s="14"/>
      <c r="E16" s="25"/>
      <c r="F16" s="25"/>
      <c r="G16" s="25"/>
      <c r="H16" s="25"/>
      <c r="I16" s="14"/>
      <c r="J16" s="14"/>
      <c r="K16" s="14"/>
      <c r="L16" s="14"/>
      <c r="M16" s="14"/>
      <c r="N16" s="14"/>
      <c r="O16" s="172"/>
      <c r="P16" s="14"/>
      <c r="Q16" s="14"/>
      <c r="R16" s="172"/>
      <c r="S16" s="14"/>
      <c r="T16" s="172"/>
      <c r="U16" s="14"/>
      <c r="V16" s="17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56"/>
      <c r="AH16" s="56"/>
      <c r="AI16" s="56"/>
      <c r="AJ16" s="58">
        <f>-AK2/2</f>
        <v>-500</v>
      </c>
      <c r="AK16" s="58">
        <f>-AK6/2</f>
        <v>-400</v>
      </c>
      <c r="AL16" s="58">
        <v>14</v>
      </c>
      <c r="AM16" s="8">
        <f t="shared" si="3"/>
        <v>450</v>
      </c>
      <c r="AN16" s="8">
        <f t="shared" si="4"/>
        <v>-350</v>
      </c>
      <c r="AO16" s="8">
        <f t="shared" si="0"/>
        <v>350</v>
      </c>
      <c r="AP16" s="8">
        <f t="shared" si="5"/>
        <v>-450</v>
      </c>
      <c r="AQ16" s="8">
        <f t="shared" si="1"/>
        <v>350.00000000000006</v>
      </c>
      <c r="AR16" s="8">
        <f t="shared" si="2"/>
        <v>450</v>
      </c>
      <c r="AS16" s="8">
        <f t="shared" si="6"/>
        <v>-150</v>
      </c>
      <c r="AT16" s="8">
        <f t="shared" si="10"/>
        <v>-233.33333333333331</v>
      </c>
      <c r="AU16" s="8">
        <f t="shared" si="7"/>
        <v>233.33333333333331</v>
      </c>
      <c r="AV16" s="8">
        <f t="shared" si="8"/>
        <v>-300</v>
      </c>
      <c r="AW16" s="8">
        <f t="shared" si="11"/>
        <v>-116.66666666666664</v>
      </c>
      <c r="AX16" s="8">
        <f t="shared" si="9"/>
        <v>300</v>
      </c>
    </row>
    <row r="17" spans="1:50">
      <c r="A17" s="23"/>
      <c r="B17" s="24"/>
      <c r="C17" s="14"/>
      <c r="D17" s="14"/>
      <c r="E17" s="25"/>
      <c r="F17" s="25"/>
      <c r="G17" s="25"/>
      <c r="H17" s="25"/>
      <c r="I17" s="14"/>
      <c r="J17" s="14"/>
      <c r="K17" s="14"/>
      <c r="L17" s="14"/>
      <c r="M17" s="14"/>
      <c r="N17" s="14"/>
      <c r="O17" s="172"/>
      <c r="P17" s="14"/>
      <c r="Q17" s="14"/>
      <c r="R17" s="172"/>
      <c r="S17" s="14"/>
      <c r="T17" s="172"/>
      <c r="U17" s="14"/>
      <c r="V17" s="17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56"/>
      <c r="AH17" s="56"/>
      <c r="AI17" s="56"/>
      <c r="AJ17" s="58">
        <f>AJ16+AK2</f>
        <v>500</v>
      </c>
      <c r="AK17" s="58">
        <f>AK16</f>
        <v>-400</v>
      </c>
      <c r="AL17" s="58">
        <v>15</v>
      </c>
      <c r="AM17" s="8">
        <f t="shared" si="3"/>
        <v>450</v>
      </c>
      <c r="AN17" s="8">
        <f t="shared" si="4"/>
        <v>-350</v>
      </c>
      <c r="AO17" s="8">
        <f t="shared" si="0"/>
        <v>350</v>
      </c>
      <c r="AP17" s="8">
        <f t="shared" si="5"/>
        <v>-450</v>
      </c>
      <c r="AQ17" s="8">
        <f t="shared" si="1"/>
        <v>350.00000000000006</v>
      </c>
      <c r="AR17" s="8">
        <f t="shared" si="2"/>
        <v>450</v>
      </c>
      <c r="AS17" s="8">
        <f t="shared" si="6"/>
        <v>-150</v>
      </c>
      <c r="AT17" s="8">
        <f t="shared" si="10"/>
        <v>-233.33333333333331</v>
      </c>
      <c r="AU17" s="8">
        <f t="shared" si="7"/>
        <v>233.33333333333331</v>
      </c>
      <c r="AV17" s="8">
        <f t="shared" si="8"/>
        <v>-300</v>
      </c>
      <c r="AW17" s="8">
        <f t="shared" si="11"/>
        <v>-116.66666666666664</v>
      </c>
      <c r="AX17" s="8">
        <f t="shared" si="9"/>
        <v>300</v>
      </c>
    </row>
    <row r="18" spans="1:50">
      <c r="A18" s="23"/>
      <c r="B18" s="24"/>
      <c r="C18" s="14"/>
      <c r="D18" s="14"/>
      <c r="E18" s="25"/>
      <c r="F18" s="25"/>
      <c r="G18" s="25"/>
      <c r="H18" s="25"/>
      <c r="I18" s="14"/>
      <c r="J18" s="14"/>
      <c r="K18" s="14"/>
      <c r="L18" s="14"/>
      <c r="M18" s="14"/>
      <c r="N18" s="14"/>
      <c r="O18" s="172"/>
      <c r="P18" s="14"/>
      <c r="Q18" s="14"/>
      <c r="R18" s="172"/>
      <c r="S18" s="14"/>
      <c r="T18" s="172"/>
      <c r="U18" s="14"/>
      <c r="V18" s="17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56"/>
      <c r="AH18" s="56"/>
      <c r="AI18" s="56"/>
      <c r="AJ18" s="58">
        <f>AJ17</f>
        <v>500</v>
      </c>
      <c r="AK18" s="58">
        <f>AK17+AK6</f>
        <v>400</v>
      </c>
      <c r="AL18" s="58">
        <v>16</v>
      </c>
      <c r="AM18" s="8">
        <f t="shared" si="3"/>
        <v>450</v>
      </c>
      <c r="AN18" s="8">
        <f t="shared" si="4"/>
        <v>-350</v>
      </c>
      <c r="AO18" s="8">
        <f t="shared" si="0"/>
        <v>350</v>
      </c>
      <c r="AP18" s="8">
        <f t="shared" si="5"/>
        <v>-450</v>
      </c>
      <c r="AQ18" s="8">
        <f t="shared" si="1"/>
        <v>350.00000000000006</v>
      </c>
      <c r="AR18" s="8">
        <f t="shared" si="2"/>
        <v>450</v>
      </c>
      <c r="AS18" s="8">
        <f t="shared" si="6"/>
        <v>-150</v>
      </c>
      <c r="AT18" s="8">
        <f t="shared" si="10"/>
        <v>-233.33333333333331</v>
      </c>
      <c r="AU18" s="8">
        <f t="shared" si="7"/>
        <v>233.33333333333331</v>
      </c>
      <c r="AV18" s="8">
        <f t="shared" si="8"/>
        <v>-300</v>
      </c>
      <c r="AW18" s="8">
        <f t="shared" si="11"/>
        <v>-116.66666666666664</v>
      </c>
      <c r="AX18" s="8">
        <f t="shared" si="9"/>
        <v>300</v>
      </c>
    </row>
    <row r="19" spans="1:50">
      <c r="A19" s="23"/>
      <c r="B19" s="24"/>
      <c r="C19" s="14"/>
      <c r="D19" s="14"/>
      <c r="E19" s="25"/>
      <c r="F19" s="25"/>
      <c r="G19" s="25"/>
      <c r="H19" s="25"/>
      <c r="I19" s="14"/>
      <c r="J19" s="14"/>
      <c r="K19" s="14"/>
      <c r="L19" s="14"/>
      <c r="M19" s="14"/>
      <c r="N19" s="14"/>
      <c r="O19" s="172"/>
      <c r="P19" s="14"/>
      <c r="Q19" s="14"/>
      <c r="R19" s="172"/>
      <c r="S19" s="14"/>
      <c r="T19" s="172"/>
      <c r="U19" s="14"/>
      <c r="V19" s="17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56"/>
      <c r="AH19" s="56"/>
      <c r="AI19" s="56"/>
      <c r="AJ19" s="58">
        <f>AJ18-AK2</f>
        <v>-500</v>
      </c>
      <c r="AK19" s="58">
        <f>AK18</f>
        <v>400</v>
      </c>
      <c r="AL19" s="58">
        <v>17</v>
      </c>
      <c r="AM19" s="8">
        <f t="shared" si="3"/>
        <v>450</v>
      </c>
      <c r="AN19" s="8">
        <f t="shared" si="4"/>
        <v>-350</v>
      </c>
      <c r="AO19" s="8">
        <f t="shared" si="0"/>
        <v>350</v>
      </c>
      <c r="AP19" s="8">
        <f t="shared" si="5"/>
        <v>-450</v>
      </c>
      <c r="AQ19" s="8">
        <f t="shared" si="1"/>
        <v>350.00000000000006</v>
      </c>
      <c r="AR19" s="8">
        <f t="shared" si="2"/>
        <v>450</v>
      </c>
      <c r="AS19" s="8">
        <f t="shared" si="6"/>
        <v>-150</v>
      </c>
      <c r="AT19" s="8">
        <f t="shared" si="10"/>
        <v>-233.33333333333331</v>
      </c>
      <c r="AU19" s="8">
        <f t="shared" si="7"/>
        <v>233.33333333333331</v>
      </c>
      <c r="AV19" s="8">
        <f t="shared" si="8"/>
        <v>-300</v>
      </c>
      <c r="AW19" s="8">
        <f t="shared" si="11"/>
        <v>-116.66666666666664</v>
      </c>
      <c r="AX19" s="8">
        <f t="shared" si="9"/>
        <v>300</v>
      </c>
    </row>
    <row r="20" spans="1:50">
      <c r="A20" s="23"/>
      <c r="B20" s="24"/>
      <c r="C20" s="14"/>
      <c r="D20" s="14"/>
      <c r="E20" s="25"/>
      <c r="F20" s="25"/>
      <c r="G20" s="25"/>
      <c r="H20" s="25"/>
      <c r="I20" s="14"/>
      <c r="J20" s="14"/>
      <c r="K20" s="14"/>
      <c r="L20" s="14"/>
      <c r="M20" s="14"/>
      <c r="N20" s="14"/>
      <c r="O20" s="172"/>
      <c r="P20" s="14"/>
      <c r="Q20" s="14"/>
      <c r="R20" s="172"/>
      <c r="S20" s="14"/>
      <c r="T20" s="172"/>
      <c r="U20" s="14"/>
      <c r="V20" s="17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56"/>
      <c r="AH20" s="56"/>
      <c r="AI20" s="56"/>
      <c r="AJ20" s="58">
        <f>AJ19</f>
        <v>-500</v>
      </c>
      <c r="AK20" s="58">
        <f>AK19-AK6</f>
        <v>-400</v>
      </c>
      <c r="AL20" s="58">
        <v>18</v>
      </c>
      <c r="AM20" s="8">
        <f t="shared" si="3"/>
        <v>450</v>
      </c>
      <c r="AN20" s="8">
        <f t="shared" si="4"/>
        <v>-350</v>
      </c>
      <c r="AO20" s="8">
        <f t="shared" si="0"/>
        <v>350</v>
      </c>
      <c r="AP20" s="8">
        <f t="shared" si="5"/>
        <v>-450</v>
      </c>
      <c r="AQ20" s="8">
        <f t="shared" si="1"/>
        <v>350.00000000000006</v>
      </c>
      <c r="AR20" s="8">
        <f t="shared" si="2"/>
        <v>450</v>
      </c>
      <c r="AS20" s="8">
        <f t="shared" si="6"/>
        <v>-150</v>
      </c>
      <c r="AT20" s="8">
        <f t="shared" si="10"/>
        <v>-233.33333333333331</v>
      </c>
      <c r="AU20" s="8">
        <f t="shared" si="7"/>
        <v>233.33333333333331</v>
      </c>
      <c r="AV20" s="8">
        <f t="shared" si="8"/>
        <v>-300</v>
      </c>
      <c r="AW20" s="8">
        <f t="shared" si="11"/>
        <v>-116.66666666666664</v>
      </c>
      <c r="AX20" s="8">
        <f t="shared" si="9"/>
        <v>300</v>
      </c>
    </row>
    <row r="21" spans="1:50">
      <c r="A21" s="23"/>
      <c r="B21" s="24"/>
      <c r="C21" s="14"/>
      <c r="D21" s="14"/>
      <c r="E21" s="25"/>
      <c r="F21" s="14"/>
      <c r="G21" s="25"/>
      <c r="H21" s="14"/>
      <c r="I21" s="14"/>
      <c r="J21" s="14"/>
      <c r="K21" s="14"/>
      <c r="L21" s="14"/>
      <c r="M21" s="14"/>
      <c r="N21" s="14"/>
      <c r="O21" s="172"/>
      <c r="P21" s="14"/>
      <c r="Q21" s="14"/>
      <c r="R21" s="172"/>
      <c r="S21" s="14"/>
      <c r="T21" s="172"/>
      <c r="U21" s="14"/>
      <c r="V21" s="17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56"/>
      <c r="AH21" s="56"/>
      <c r="AI21" s="56"/>
      <c r="AJ21" s="59" t="s">
        <v>31</v>
      </c>
      <c r="AK21" s="59">
        <f>AJ13/25</f>
        <v>20</v>
      </c>
      <c r="AL21" s="58">
        <v>19</v>
      </c>
      <c r="AM21" s="8">
        <f t="shared" si="3"/>
        <v>450</v>
      </c>
      <c r="AN21" s="8">
        <f t="shared" si="4"/>
        <v>-350</v>
      </c>
      <c r="AO21" s="8">
        <f t="shared" si="0"/>
        <v>350</v>
      </c>
      <c r="AP21" s="8">
        <f t="shared" si="5"/>
        <v>-450</v>
      </c>
      <c r="AQ21" s="8">
        <f t="shared" si="1"/>
        <v>350.00000000000006</v>
      </c>
      <c r="AR21" s="8">
        <f t="shared" si="2"/>
        <v>450</v>
      </c>
      <c r="AS21" s="8">
        <f t="shared" si="6"/>
        <v>-150</v>
      </c>
      <c r="AT21" s="8">
        <f t="shared" si="10"/>
        <v>-233.33333333333331</v>
      </c>
      <c r="AU21" s="8">
        <f t="shared" si="7"/>
        <v>233.33333333333331</v>
      </c>
      <c r="AV21" s="8">
        <f t="shared" si="8"/>
        <v>-300</v>
      </c>
      <c r="AW21" s="8">
        <f>IF(AL20&gt;$AK$9,AW20,AW20+$AK$11)</f>
        <v>-116.66666666666664</v>
      </c>
      <c r="AX21" s="8">
        <f t="shared" si="9"/>
        <v>300</v>
      </c>
    </row>
    <row r="22" spans="1:50" ht="14.25">
      <c r="A22" s="23"/>
      <c r="B22" s="24"/>
      <c r="C22" s="14"/>
      <c r="D22" s="14"/>
      <c r="E22" s="25"/>
      <c r="F22" s="14"/>
      <c r="G22" s="25"/>
      <c r="H22" s="14"/>
      <c r="I22" s="14"/>
      <c r="J22" s="14"/>
      <c r="K22" s="14"/>
      <c r="L22" s="14"/>
      <c r="M22" s="14"/>
      <c r="N22" s="14"/>
      <c r="O22" s="172"/>
      <c r="P22" s="14"/>
      <c r="Q22" s="14"/>
      <c r="R22" s="172"/>
      <c r="S22" s="14"/>
      <c r="T22" s="172"/>
      <c r="U22" s="14"/>
      <c r="V22" s="172"/>
      <c r="W22" s="22"/>
      <c r="X22" s="4" t="s">
        <v>196</v>
      </c>
      <c r="AA22" s="260" t="s">
        <v>25</v>
      </c>
      <c r="AB22" s="261"/>
      <c r="AC22" s="22"/>
      <c r="AD22" s="22"/>
      <c r="AE22" s="22"/>
      <c r="AF22" s="22"/>
      <c r="AG22" s="56"/>
      <c r="AH22" s="56"/>
      <c r="AI22" s="56"/>
      <c r="AJ22" s="8" t="s">
        <v>32</v>
      </c>
      <c r="AK22" s="8">
        <f>VLOOKUP($AA$22,$A$10:$J$216,9,0)</f>
        <v>25</v>
      </c>
      <c r="AL22" s="58">
        <v>20</v>
      </c>
      <c r="AM22" s="8">
        <f t="shared" si="3"/>
        <v>450</v>
      </c>
      <c r="AN22" s="8">
        <f t="shared" si="4"/>
        <v>-350</v>
      </c>
      <c r="AO22" s="8">
        <f t="shared" si="0"/>
        <v>350</v>
      </c>
      <c r="AP22" s="8">
        <f t="shared" si="5"/>
        <v>-450</v>
      </c>
      <c r="AQ22" s="8">
        <f t="shared" si="1"/>
        <v>350.00000000000006</v>
      </c>
      <c r="AR22" s="8">
        <f t="shared" si="2"/>
        <v>450</v>
      </c>
      <c r="AS22" s="8">
        <f t="shared" si="6"/>
        <v>-150</v>
      </c>
      <c r="AT22" s="8">
        <f t="shared" si="10"/>
        <v>-233.33333333333331</v>
      </c>
      <c r="AU22" s="8">
        <f t="shared" si="7"/>
        <v>233.33333333333331</v>
      </c>
      <c r="AV22" s="8">
        <f t="shared" si="8"/>
        <v>-300</v>
      </c>
      <c r="AW22" s="8">
        <f t="shared" si="11"/>
        <v>-116.66666666666664</v>
      </c>
      <c r="AX22" s="8">
        <f t="shared" si="9"/>
        <v>300</v>
      </c>
    </row>
    <row r="23" spans="1:50">
      <c r="A23" s="23"/>
      <c r="B23" s="24"/>
      <c r="C23" s="14"/>
      <c r="D23" s="14"/>
      <c r="E23" s="25"/>
      <c r="F23" s="14"/>
      <c r="G23" s="25"/>
      <c r="H23" s="14"/>
      <c r="I23" s="14"/>
      <c r="J23" s="14"/>
      <c r="K23" s="14"/>
      <c r="L23" s="14"/>
      <c r="M23" s="14"/>
      <c r="N23" s="14"/>
      <c r="O23" s="172"/>
      <c r="P23" s="14"/>
      <c r="Q23" s="14"/>
      <c r="R23" s="172"/>
      <c r="S23" s="14"/>
      <c r="T23" s="172"/>
      <c r="U23" s="14"/>
      <c r="V23" s="17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56"/>
      <c r="AH23" s="56"/>
      <c r="AI23" s="56"/>
      <c r="AJ23" s="8" t="s">
        <v>33</v>
      </c>
      <c r="AK23" s="8">
        <f>(AJ4+AJ8)*2-4+2*(AJ5+AJ9)+4*(AK5+AK9)</f>
        <v>40</v>
      </c>
      <c r="AL23" s="58">
        <v>21</v>
      </c>
      <c r="AM23" s="8">
        <f t="shared" si="3"/>
        <v>450</v>
      </c>
      <c r="AN23" s="8">
        <f t="shared" si="4"/>
        <v>-350</v>
      </c>
      <c r="AO23" s="8">
        <f t="shared" si="0"/>
        <v>350</v>
      </c>
      <c r="AP23" s="8">
        <f t="shared" si="5"/>
        <v>-450</v>
      </c>
      <c r="AQ23" s="8">
        <f t="shared" si="1"/>
        <v>350.00000000000006</v>
      </c>
      <c r="AR23" s="8">
        <f t="shared" si="2"/>
        <v>450</v>
      </c>
      <c r="AS23" s="8">
        <f t="shared" si="6"/>
        <v>-150</v>
      </c>
      <c r="AT23" s="8">
        <f t="shared" si="10"/>
        <v>-233.33333333333331</v>
      </c>
      <c r="AU23" s="8">
        <f t="shared" si="7"/>
        <v>233.33333333333331</v>
      </c>
      <c r="AV23" s="8">
        <f t="shared" si="8"/>
        <v>-300</v>
      </c>
      <c r="AW23" s="8">
        <f t="shared" si="11"/>
        <v>-116.66666666666664</v>
      </c>
      <c r="AX23" s="8">
        <f t="shared" si="9"/>
        <v>300</v>
      </c>
    </row>
    <row r="24" spans="1:50">
      <c r="A24" s="23"/>
      <c r="B24" s="24"/>
      <c r="C24" s="14"/>
      <c r="D24" s="14"/>
      <c r="E24" s="25"/>
      <c r="F24" s="14"/>
      <c r="G24" s="25"/>
      <c r="H24" s="14"/>
      <c r="I24" s="14"/>
      <c r="J24" s="14"/>
      <c r="K24" s="14"/>
      <c r="L24" s="14"/>
      <c r="M24" s="14"/>
      <c r="N24" s="14"/>
      <c r="O24" s="172"/>
      <c r="P24" s="14"/>
      <c r="Q24" s="14"/>
      <c r="R24" s="172"/>
      <c r="S24" s="14"/>
      <c r="T24" s="172"/>
      <c r="U24" s="14"/>
      <c r="V24" s="17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56"/>
      <c r="AH24" s="56"/>
      <c r="AI24" s="56"/>
      <c r="AJ24" s="8" t="s">
        <v>34</v>
      </c>
      <c r="AK24" s="60">
        <f>ROUND(AK23*AK22^2/4*PI()/AK2/AK6*100,2)</f>
        <v>2.4500000000000002</v>
      </c>
      <c r="AL24" s="58">
        <v>22</v>
      </c>
      <c r="AM24" s="8">
        <f t="shared" si="3"/>
        <v>450</v>
      </c>
      <c r="AN24" s="8">
        <f t="shared" si="4"/>
        <v>-350</v>
      </c>
      <c r="AO24" s="8">
        <f t="shared" si="0"/>
        <v>350</v>
      </c>
      <c r="AP24" s="8">
        <f t="shared" si="5"/>
        <v>-450</v>
      </c>
      <c r="AQ24" s="8">
        <f t="shared" si="1"/>
        <v>350.00000000000006</v>
      </c>
      <c r="AR24" s="8">
        <f t="shared" si="2"/>
        <v>450</v>
      </c>
      <c r="AS24" s="8">
        <f t="shared" si="6"/>
        <v>-150</v>
      </c>
      <c r="AT24" s="8">
        <f t="shared" si="10"/>
        <v>-233.33333333333331</v>
      </c>
      <c r="AU24" s="8">
        <f t="shared" si="7"/>
        <v>233.33333333333331</v>
      </c>
      <c r="AV24" s="8">
        <f t="shared" si="8"/>
        <v>-300</v>
      </c>
      <c r="AW24" s="8">
        <f t="shared" si="11"/>
        <v>-116.66666666666664</v>
      </c>
      <c r="AX24" s="8">
        <f t="shared" si="9"/>
        <v>300</v>
      </c>
    </row>
    <row r="25" spans="1:50">
      <c r="A25" s="23"/>
      <c r="B25" s="24"/>
      <c r="C25" s="14"/>
      <c r="D25" s="14"/>
      <c r="E25" s="25"/>
      <c r="F25" s="14"/>
      <c r="G25" s="25"/>
      <c r="H25" s="14"/>
      <c r="I25" s="14"/>
      <c r="J25" s="14"/>
      <c r="K25" s="14"/>
      <c r="L25" s="14"/>
      <c r="M25" s="14"/>
      <c r="N25" s="14"/>
      <c r="O25" s="172"/>
      <c r="P25" s="14"/>
      <c r="Q25" s="14"/>
      <c r="R25" s="172"/>
      <c r="S25" s="14"/>
      <c r="T25" s="172"/>
      <c r="U25" s="14"/>
      <c r="V25" s="17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56"/>
      <c r="AH25" s="56"/>
      <c r="AI25" s="56"/>
      <c r="AJ25" s="8" t="str">
        <f>AK23&amp;AK25&amp;AK22</f>
        <v>40Ø25</v>
      </c>
      <c r="AK25" s="8" t="s">
        <v>35</v>
      </c>
      <c r="AL25" s="58">
        <v>23</v>
      </c>
      <c r="AM25" s="8">
        <f t="shared" si="3"/>
        <v>450</v>
      </c>
      <c r="AN25" s="8">
        <f t="shared" si="4"/>
        <v>-350</v>
      </c>
      <c r="AO25" s="8">
        <f t="shared" si="0"/>
        <v>350</v>
      </c>
      <c r="AP25" s="8">
        <f t="shared" si="5"/>
        <v>-450</v>
      </c>
      <c r="AQ25" s="8">
        <f t="shared" si="1"/>
        <v>350.00000000000006</v>
      </c>
      <c r="AR25" s="8">
        <f t="shared" si="2"/>
        <v>450</v>
      </c>
      <c r="AS25" s="8">
        <f t="shared" si="6"/>
        <v>-150</v>
      </c>
      <c r="AT25" s="8">
        <f t="shared" si="10"/>
        <v>-233.33333333333331</v>
      </c>
      <c r="AU25" s="8">
        <f t="shared" si="7"/>
        <v>233.33333333333331</v>
      </c>
      <c r="AV25" s="8">
        <f t="shared" si="8"/>
        <v>-300</v>
      </c>
      <c r="AW25" s="8">
        <f t="shared" si="11"/>
        <v>-116.66666666666664</v>
      </c>
      <c r="AX25" s="8">
        <f t="shared" si="9"/>
        <v>300</v>
      </c>
    </row>
    <row r="26" spans="1:50">
      <c r="A26" s="23"/>
      <c r="B26" s="24"/>
      <c r="C26" s="14"/>
      <c r="D26" s="14"/>
      <c r="E26" s="25"/>
      <c r="F26" s="14"/>
      <c r="G26" s="25"/>
      <c r="H26" s="14"/>
      <c r="I26" s="14"/>
      <c r="J26" s="14"/>
      <c r="K26" s="14"/>
      <c r="L26" s="14"/>
      <c r="M26" s="14"/>
      <c r="N26" s="14"/>
      <c r="O26" s="172"/>
      <c r="P26" s="14"/>
      <c r="Q26" s="14"/>
      <c r="R26" s="172"/>
      <c r="S26" s="14"/>
      <c r="T26" s="172"/>
      <c r="U26" s="14"/>
      <c r="V26" s="17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56"/>
      <c r="AH26" s="56"/>
      <c r="AI26" s="56"/>
      <c r="AJ26" s="8" t="str">
        <f>AK26&amp;AK24&amp;"%"</f>
        <v>µ=2.45%</v>
      </c>
      <c r="AK26" s="61" t="s">
        <v>36</v>
      </c>
      <c r="AL26" s="58">
        <v>24</v>
      </c>
      <c r="AM26" s="8">
        <f t="shared" si="3"/>
        <v>450</v>
      </c>
      <c r="AN26" s="8">
        <f t="shared" si="4"/>
        <v>-350</v>
      </c>
      <c r="AO26" s="8">
        <f t="shared" si="0"/>
        <v>350</v>
      </c>
      <c r="AP26" s="8">
        <f t="shared" si="5"/>
        <v>-450</v>
      </c>
      <c r="AQ26" s="8">
        <f t="shared" si="1"/>
        <v>350.00000000000006</v>
      </c>
      <c r="AR26" s="8">
        <f t="shared" si="2"/>
        <v>450</v>
      </c>
      <c r="AS26" s="8">
        <f t="shared" si="6"/>
        <v>-150</v>
      </c>
      <c r="AT26" s="8">
        <f t="shared" si="10"/>
        <v>-233.33333333333331</v>
      </c>
      <c r="AU26" s="8">
        <f t="shared" si="7"/>
        <v>233.33333333333331</v>
      </c>
      <c r="AV26" s="8">
        <f t="shared" si="8"/>
        <v>-300</v>
      </c>
      <c r="AW26" s="8">
        <f t="shared" si="11"/>
        <v>-116.66666666666664</v>
      </c>
      <c r="AX26" s="8">
        <f t="shared" si="9"/>
        <v>300</v>
      </c>
    </row>
    <row r="27" spans="1:50">
      <c r="A27" s="23"/>
      <c r="B27" s="24"/>
      <c r="C27" s="14"/>
      <c r="D27" s="14"/>
      <c r="E27" s="25"/>
      <c r="F27" s="14"/>
      <c r="G27" s="25"/>
      <c r="H27" s="14"/>
      <c r="I27" s="14"/>
      <c r="J27" s="14"/>
      <c r="K27" s="14"/>
      <c r="L27" s="14"/>
      <c r="M27" s="14"/>
      <c r="N27" s="14"/>
      <c r="O27" s="172"/>
      <c r="P27" s="14"/>
      <c r="Q27" s="14"/>
      <c r="R27" s="172"/>
      <c r="S27" s="14"/>
      <c r="T27" s="172"/>
      <c r="U27" s="14"/>
      <c r="V27" s="17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56"/>
      <c r="AH27" s="56"/>
      <c r="AI27" s="56"/>
      <c r="AL27" s="58">
        <v>25</v>
      </c>
      <c r="AM27" s="8">
        <f t="shared" si="3"/>
        <v>450</v>
      </c>
      <c r="AN27" s="8">
        <f t="shared" si="4"/>
        <v>-350</v>
      </c>
      <c r="AO27" s="8">
        <f t="shared" si="0"/>
        <v>350</v>
      </c>
      <c r="AP27" s="8">
        <f t="shared" si="5"/>
        <v>-450</v>
      </c>
      <c r="AQ27" s="8">
        <f t="shared" si="1"/>
        <v>350.00000000000006</v>
      </c>
      <c r="AR27" s="8">
        <f t="shared" si="2"/>
        <v>450</v>
      </c>
      <c r="AS27" s="8">
        <f>-AS4</f>
        <v>300</v>
      </c>
      <c r="AT27" s="8">
        <f>AT26</f>
        <v>-233.33333333333331</v>
      </c>
      <c r="AU27" s="8">
        <f t="shared" si="7"/>
        <v>233.33333333333331</v>
      </c>
      <c r="AV27" s="8">
        <f>AV26</f>
        <v>-300</v>
      </c>
      <c r="AW27" s="8">
        <f>-AW4</f>
        <v>116.66666666666664</v>
      </c>
      <c r="AX27" s="8">
        <f t="shared" si="9"/>
        <v>300</v>
      </c>
    </row>
    <row r="28" spans="1:50">
      <c r="A28" s="23"/>
      <c r="B28" s="24"/>
      <c r="C28" s="14"/>
      <c r="D28" s="14"/>
      <c r="E28" s="25"/>
      <c r="F28" s="14"/>
      <c r="G28" s="25"/>
      <c r="H28" s="14"/>
      <c r="I28" s="14"/>
      <c r="J28" s="14"/>
      <c r="K28" s="14"/>
      <c r="L28" s="14"/>
      <c r="M28" s="14"/>
      <c r="N28" s="14"/>
      <c r="O28" s="172"/>
      <c r="P28" s="14"/>
      <c r="Q28" s="14"/>
      <c r="R28" s="172"/>
      <c r="S28" s="14"/>
      <c r="T28" s="172"/>
      <c r="U28" s="14"/>
      <c r="V28" s="17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56"/>
      <c r="AH28" s="56"/>
      <c r="AI28" s="56"/>
      <c r="AL28" s="58">
        <v>26</v>
      </c>
      <c r="AM28" s="8">
        <f t="shared" si="3"/>
        <v>450</v>
      </c>
      <c r="AN28" s="8">
        <f t="shared" si="4"/>
        <v>-350</v>
      </c>
      <c r="AO28" s="8">
        <f t="shared" si="0"/>
        <v>350</v>
      </c>
      <c r="AP28" s="8">
        <f t="shared" si="5"/>
        <v>-450</v>
      </c>
      <c r="AQ28" s="8">
        <f t="shared" si="1"/>
        <v>350.00000000000006</v>
      </c>
      <c r="AR28" s="8">
        <f t="shared" si="2"/>
        <v>450</v>
      </c>
      <c r="AS28" s="8">
        <f>-AS5</f>
        <v>150</v>
      </c>
      <c r="AT28" s="8">
        <f t="shared" si="10"/>
        <v>-233.33333333333331</v>
      </c>
      <c r="AU28" s="8">
        <f t="shared" si="7"/>
        <v>233.33333333333331</v>
      </c>
      <c r="AV28" s="8">
        <f>AV27</f>
        <v>-300</v>
      </c>
      <c r="AW28" s="8">
        <f>-AW5</f>
        <v>116.66666666666664</v>
      </c>
      <c r="AX28" s="8">
        <f t="shared" si="9"/>
        <v>300</v>
      </c>
    </row>
    <row r="29" spans="1:50">
      <c r="A29" s="23"/>
      <c r="B29" s="24"/>
      <c r="C29" s="14"/>
      <c r="D29" s="14"/>
      <c r="E29" s="25"/>
      <c r="F29" s="14"/>
      <c r="G29" s="25"/>
      <c r="H29" s="14"/>
      <c r="I29" s="14"/>
      <c r="J29" s="14"/>
      <c r="K29" s="14"/>
      <c r="L29" s="14"/>
      <c r="M29" s="14"/>
      <c r="N29" s="14"/>
      <c r="O29" s="172"/>
      <c r="P29" s="14"/>
      <c r="Q29" s="14"/>
      <c r="R29" s="172"/>
      <c r="S29" s="14"/>
      <c r="T29" s="172"/>
      <c r="U29" s="14"/>
      <c r="V29" s="17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56"/>
      <c r="AH29" s="56"/>
      <c r="AI29" s="56"/>
      <c r="AL29" s="58">
        <v>27</v>
      </c>
      <c r="AM29" s="8">
        <f t="shared" si="3"/>
        <v>450</v>
      </c>
      <c r="AN29" s="8">
        <f t="shared" si="4"/>
        <v>-350</v>
      </c>
      <c r="AO29" s="8">
        <f t="shared" si="0"/>
        <v>350</v>
      </c>
      <c r="AP29" s="8">
        <f t="shared" si="5"/>
        <v>-450</v>
      </c>
      <c r="AQ29" s="8">
        <f t="shared" si="1"/>
        <v>350.00000000000006</v>
      </c>
      <c r="AR29" s="8">
        <f t="shared" si="2"/>
        <v>450</v>
      </c>
      <c r="AS29" s="8">
        <f t="shared" ref="AS29:AS51" si="12">-AS6</f>
        <v>150</v>
      </c>
      <c r="AT29" s="8">
        <f t="shared" si="10"/>
        <v>-233.33333333333331</v>
      </c>
      <c r="AU29" s="8">
        <f t="shared" si="7"/>
        <v>233.33333333333331</v>
      </c>
      <c r="AV29" s="8">
        <f t="shared" si="8"/>
        <v>-300</v>
      </c>
      <c r="AW29" s="8">
        <f t="shared" ref="AW29:AW52" si="13">-AW6</f>
        <v>116.66666666666664</v>
      </c>
      <c r="AX29" s="8">
        <f t="shared" si="9"/>
        <v>300</v>
      </c>
    </row>
    <row r="30" spans="1:50">
      <c r="A30" s="23"/>
      <c r="B30" s="24"/>
      <c r="C30" s="14"/>
      <c r="D30" s="14"/>
      <c r="E30" s="25"/>
      <c r="F30" s="14"/>
      <c r="G30" s="25"/>
      <c r="H30" s="14"/>
      <c r="I30" s="14"/>
      <c r="J30" s="14"/>
      <c r="K30" s="14"/>
      <c r="L30" s="14"/>
      <c r="M30" s="14"/>
      <c r="N30" s="14"/>
      <c r="O30" s="172"/>
      <c r="P30" s="14"/>
      <c r="Q30" s="14"/>
      <c r="R30" s="172"/>
      <c r="S30" s="14"/>
      <c r="T30" s="172"/>
      <c r="U30" s="14"/>
      <c r="V30" s="17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56"/>
      <c r="AH30" s="56"/>
      <c r="AI30" s="56"/>
      <c r="AL30" s="58">
        <v>28</v>
      </c>
      <c r="AM30" s="8">
        <f t="shared" si="3"/>
        <v>450</v>
      </c>
      <c r="AN30" s="8">
        <f t="shared" si="4"/>
        <v>-350</v>
      </c>
      <c r="AO30" s="8">
        <f t="shared" si="0"/>
        <v>350</v>
      </c>
      <c r="AP30" s="8">
        <f t="shared" si="5"/>
        <v>-450</v>
      </c>
      <c r="AQ30" s="8">
        <f t="shared" si="1"/>
        <v>350.00000000000006</v>
      </c>
      <c r="AR30" s="8">
        <f t="shared" si="2"/>
        <v>450</v>
      </c>
      <c r="AS30" s="8">
        <f t="shared" si="12"/>
        <v>150</v>
      </c>
      <c r="AT30" s="8">
        <f t="shared" si="10"/>
        <v>-233.33333333333331</v>
      </c>
      <c r="AU30" s="8">
        <f t="shared" si="7"/>
        <v>233.33333333333331</v>
      </c>
      <c r="AV30" s="8">
        <f t="shared" si="8"/>
        <v>-300</v>
      </c>
      <c r="AW30" s="8">
        <f t="shared" si="13"/>
        <v>116.66666666666664</v>
      </c>
      <c r="AX30" s="8">
        <f t="shared" si="9"/>
        <v>300</v>
      </c>
    </row>
    <row r="31" spans="1:50">
      <c r="A31" s="23"/>
      <c r="B31" s="24"/>
      <c r="C31" s="14"/>
      <c r="D31" s="14"/>
      <c r="E31" s="25"/>
      <c r="F31" s="14"/>
      <c r="G31" s="25"/>
      <c r="H31" s="14"/>
      <c r="I31" s="14"/>
      <c r="J31" s="14"/>
      <c r="K31" s="14"/>
      <c r="L31" s="14"/>
      <c r="M31" s="14"/>
      <c r="N31" s="14"/>
      <c r="O31" s="172"/>
      <c r="P31" s="14"/>
      <c r="Q31" s="14"/>
      <c r="R31" s="172"/>
      <c r="S31" s="14"/>
      <c r="T31" s="172"/>
      <c r="U31" s="14"/>
      <c r="V31" s="172"/>
      <c r="AL31" s="58">
        <v>29</v>
      </c>
      <c r="AM31" s="8">
        <f t="shared" si="3"/>
        <v>450</v>
      </c>
      <c r="AN31" s="8">
        <f t="shared" si="4"/>
        <v>-350</v>
      </c>
      <c r="AO31" s="8">
        <f t="shared" si="0"/>
        <v>350</v>
      </c>
      <c r="AP31" s="8">
        <f t="shared" si="5"/>
        <v>-450</v>
      </c>
      <c r="AQ31" s="8">
        <f t="shared" si="1"/>
        <v>350.00000000000006</v>
      </c>
      <c r="AR31" s="8">
        <f t="shared" si="2"/>
        <v>450</v>
      </c>
      <c r="AS31" s="8">
        <f t="shared" si="12"/>
        <v>150</v>
      </c>
      <c r="AT31" s="8">
        <f t="shared" si="10"/>
        <v>-233.33333333333331</v>
      </c>
      <c r="AU31" s="8">
        <f t="shared" si="7"/>
        <v>233.33333333333331</v>
      </c>
      <c r="AV31" s="8">
        <f t="shared" si="8"/>
        <v>-300</v>
      </c>
      <c r="AW31" s="8">
        <f t="shared" si="13"/>
        <v>116.66666666666664</v>
      </c>
      <c r="AX31" s="8">
        <f t="shared" si="9"/>
        <v>300</v>
      </c>
    </row>
    <row r="32" spans="1:50">
      <c r="A32" s="23"/>
      <c r="B32" s="24"/>
      <c r="C32" s="14"/>
      <c r="D32" s="14"/>
      <c r="E32" s="25"/>
      <c r="F32" s="14"/>
      <c r="G32" s="25"/>
      <c r="H32" s="14"/>
      <c r="I32" s="14"/>
      <c r="J32" s="14"/>
      <c r="K32" s="14"/>
      <c r="L32" s="14"/>
      <c r="M32" s="14"/>
      <c r="N32" s="14"/>
      <c r="O32" s="172"/>
      <c r="P32" s="14"/>
      <c r="Q32" s="14"/>
      <c r="R32" s="172"/>
      <c r="S32" s="14"/>
      <c r="T32" s="172"/>
      <c r="U32" s="14"/>
      <c r="V32" s="172"/>
      <c r="AL32" s="58">
        <v>30</v>
      </c>
      <c r="AM32" s="8">
        <f t="shared" si="3"/>
        <v>450</v>
      </c>
      <c r="AN32" s="8">
        <f t="shared" si="4"/>
        <v>-350</v>
      </c>
      <c r="AO32" s="8">
        <f t="shared" si="0"/>
        <v>350</v>
      </c>
      <c r="AP32" s="8">
        <f t="shared" si="5"/>
        <v>-450</v>
      </c>
      <c r="AQ32" s="8">
        <f t="shared" si="1"/>
        <v>350.00000000000006</v>
      </c>
      <c r="AR32" s="8">
        <f t="shared" si="2"/>
        <v>450</v>
      </c>
      <c r="AS32" s="8">
        <f t="shared" si="12"/>
        <v>150</v>
      </c>
      <c r="AT32" s="8">
        <f t="shared" si="10"/>
        <v>-233.33333333333331</v>
      </c>
      <c r="AU32" s="8">
        <f t="shared" si="7"/>
        <v>233.33333333333331</v>
      </c>
      <c r="AV32" s="8">
        <f t="shared" si="8"/>
        <v>-300</v>
      </c>
      <c r="AW32" s="8">
        <f t="shared" si="13"/>
        <v>116.66666666666664</v>
      </c>
      <c r="AX32" s="8">
        <f t="shared" si="9"/>
        <v>300</v>
      </c>
    </row>
    <row r="33" spans="1:50">
      <c r="A33" s="23"/>
      <c r="B33" s="24"/>
      <c r="C33" s="14"/>
      <c r="D33" s="14"/>
      <c r="E33" s="25"/>
      <c r="F33" s="14"/>
      <c r="G33" s="25"/>
      <c r="H33" s="14"/>
      <c r="I33" s="14"/>
      <c r="J33" s="14"/>
      <c r="K33" s="14"/>
      <c r="L33" s="14"/>
      <c r="M33" s="14"/>
      <c r="N33" s="14"/>
      <c r="O33" s="172"/>
      <c r="P33" s="14"/>
      <c r="Q33" s="14"/>
      <c r="R33" s="172"/>
      <c r="S33" s="14"/>
      <c r="T33" s="172"/>
      <c r="U33" s="14"/>
      <c r="V33" s="172"/>
      <c r="AL33" s="58">
        <v>31</v>
      </c>
      <c r="AM33" s="8">
        <f t="shared" si="3"/>
        <v>450</v>
      </c>
      <c r="AN33" s="8">
        <f t="shared" si="4"/>
        <v>-350</v>
      </c>
      <c r="AO33" s="8">
        <f t="shared" si="0"/>
        <v>350</v>
      </c>
      <c r="AP33" s="8">
        <f t="shared" si="5"/>
        <v>-450</v>
      </c>
      <c r="AQ33" s="8">
        <f t="shared" si="1"/>
        <v>350.00000000000006</v>
      </c>
      <c r="AR33" s="8">
        <f t="shared" si="2"/>
        <v>450</v>
      </c>
      <c r="AS33" s="8">
        <f t="shared" si="12"/>
        <v>150</v>
      </c>
      <c r="AT33" s="8">
        <f t="shared" si="10"/>
        <v>-233.33333333333331</v>
      </c>
      <c r="AU33" s="8">
        <f t="shared" si="7"/>
        <v>233.33333333333331</v>
      </c>
      <c r="AV33" s="8">
        <f t="shared" si="8"/>
        <v>-300</v>
      </c>
      <c r="AW33" s="8">
        <f t="shared" si="13"/>
        <v>116.66666666666664</v>
      </c>
      <c r="AX33" s="8">
        <f t="shared" si="9"/>
        <v>300</v>
      </c>
    </row>
    <row r="34" spans="1:50">
      <c r="A34" s="23"/>
      <c r="B34" s="24"/>
      <c r="C34" s="26"/>
      <c r="D34" s="26"/>
      <c r="E34" s="14"/>
      <c r="F34" s="14"/>
      <c r="G34" s="14"/>
      <c r="H34" s="14"/>
      <c r="I34" s="26"/>
      <c r="J34" s="26"/>
      <c r="K34" s="26"/>
      <c r="L34" s="26"/>
      <c r="M34" s="26"/>
      <c r="N34" s="26"/>
      <c r="O34" s="45"/>
      <c r="P34" s="26"/>
      <c r="Q34" s="26"/>
      <c r="R34" s="45"/>
      <c r="S34" s="26"/>
      <c r="T34" s="45"/>
      <c r="U34" s="26"/>
      <c r="V34" s="45"/>
      <c r="AL34" s="58">
        <v>32</v>
      </c>
      <c r="AM34" s="8">
        <f t="shared" si="3"/>
        <v>450</v>
      </c>
      <c r="AN34" s="8">
        <f t="shared" si="4"/>
        <v>-350</v>
      </c>
      <c r="AO34" s="8">
        <f t="shared" si="0"/>
        <v>350</v>
      </c>
      <c r="AP34" s="8">
        <f t="shared" si="5"/>
        <v>-450</v>
      </c>
      <c r="AQ34" s="8">
        <f t="shared" si="1"/>
        <v>350.00000000000006</v>
      </c>
      <c r="AR34" s="8">
        <f t="shared" si="2"/>
        <v>450</v>
      </c>
      <c r="AS34" s="8">
        <f t="shared" si="12"/>
        <v>150</v>
      </c>
      <c r="AT34" s="8">
        <f t="shared" si="10"/>
        <v>-233.33333333333331</v>
      </c>
      <c r="AU34" s="8">
        <f t="shared" si="7"/>
        <v>233.33333333333331</v>
      </c>
      <c r="AV34" s="8">
        <f t="shared" si="8"/>
        <v>-300</v>
      </c>
      <c r="AW34" s="8">
        <f t="shared" si="13"/>
        <v>116.66666666666664</v>
      </c>
      <c r="AX34" s="8">
        <f t="shared" si="9"/>
        <v>300</v>
      </c>
    </row>
    <row r="35" spans="1:50">
      <c r="A35" s="23"/>
      <c r="B35" s="24"/>
      <c r="C35" s="26"/>
      <c r="D35" s="26"/>
      <c r="E35" s="14"/>
      <c r="F35" s="14"/>
      <c r="G35" s="14"/>
      <c r="H35" s="14"/>
      <c r="I35" s="26"/>
      <c r="J35" s="26"/>
      <c r="K35" s="26"/>
      <c r="L35" s="26"/>
      <c r="M35" s="26"/>
      <c r="N35" s="26"/>
      <c r="O35" s="45"/>
      <c r="P35" s="26"/>
      <c r="Q35" s="26"/>
      <c r="R35" s="45"/>
      <c r="S35" s="26"/>
      <c r="T35" s="45"/>
      <c r="U35" s="26"/>
      <c r="V35" s="45"/>
      <c r="AL35" s="58">
        <v>33</v>
      </c>
      <c r="AM35" s="8">
        <f t="shared" si="3"/>
        <v>450</v>
      </c>
      <c r="AN35" s="8">
        <f t="shared" si="4"/>
        <v>-350</v>
      </c>
      <c r="AO35" s="8">
        <f t="shared" si="0"/>
        <v>350</v>
      </c>
      <c r="AP35" s="8">
        <f t="shared" si="5"/>
        <v>-450</v>
      </c>
      <c r="AQ35" s="8">
        <f t="shared" si="1"/>
        <v>350.00000000000006</v>
      </c>
      <c r="AR35" s="8">
        <f t="shared" si="2"/>
        <v>450</v>
      </c>
      <c r="AS35" s="8">
        <f t="shared" si="12"/>
        <v>150</v>
      </c>
      <c r="AT35" s="8">
        <f t="shared" si="10"/>
        <v>-233.33333333333331</v>
      </c>
      <c r="AU35" s="8">
        <f t="shared" si="7"/>
        <v>233.33333333333331</v>
      </c>
      <c r="AV35" s="8">
        <f t="shared" si="8"/>
        <v>-300</v>
      </c>
      <c r="AW35" s="8">
        <f t="shared" si="13"/>
        <v>116.66666666666664</v>
      </c>
      <c r="AX35" s="8">
        <f t="shared" si="9"/>
        <v>300</v>
      </c>
    </row>
    <row r="36" spans="1:50">
      <c r="A36" s="23"/>
      <c r="B36" s="24"/>
      <c r="C36" s="26"/>
      <c r="D36" s="26"/>
      <c r="E36" s="14"/>
      <c r="F36" s="14"/>
      <c r="G36" s="14"/>
      <c r="H36" s="14"/>
      <c r="I36" s="26"/>
      <c r="J36" s="26"/>
      <c r="K36" s="26"/>
      <c r="L36" s="26"/>
      <c r="M36" s="26"/>
      <c r="N36" s="26"/>
      <c r="O36" s="45"/>
      <c r="P36" s="26"/>
      <c r="Q36" s="26"/>
      <c r="R36" s="45"/>
      <c r="S36" s="26"/>
      <c r="T36" s="45"/>
      <c r="U36" s="26"/>
      <c r="V36" s="45"/>
      <c r="AL36" s="58">
        <v>34</v>
      </c>
      <c r="AM36" s="8">
        <f t="shared" si="3"/>
        <v>450</v>
      </c>
      <c r="AN36" s="8">
        <f t="shared" si="4"/>
        <v>-350</v>
      </c>
      <c r="AO36" s="8">
        <f t="shared" si="0"/>
        <v>350</v>
      </c>
      <c r="AP36" s="8">
        <f t="shared" si="5"/>
        <v>-450</v>
      </c>
      <c r="AQ36" s="8">
        <f t="shared" si="1"/>
        <v>350.00000000000006</v>
      </c>
      <c r="AR36" s="8">
        <f t="shared" si="2"/>
        <v>450</v>
      </c>
      <c r="AS36" s="8">
        <f t="shared" si="12"/>
        <v>150</v>
      </c>
      <c r="AT36" s="8">
        <f t="shared" si="10"/>
        <v>-233.33333333333331</v>
      </c>
      <c r="AU36" s="8">
        <f t="shared" si="7"/>
        <v>233.33333333333331</v>
      </c>
      <c r="AV36" s="8">
        <f t="shared" si="8"/>
        <v>-300</v>
      </c>
      <c r="AW36" s="8">
        <f t="shared" si="13"/>
        <v>116.66666666666664</v>
      </c>
      <c r="AX36" s="8">
        <f t="shared" si="9"/>
        <v>300</v>
      </c>
    </row>
    <row r="37" spans="1:50">
      <c r="A37" s="23"/>
      <c r="B37" s="24"/>
      <c r="C37" s="26"/>
      <c r="D37" s="26"/>
      <c r="E37" s="14"/>
      <c r="F37" s="14"/>
      <c r="G37" s="14"/>
      <c r="H37" s="14"/>
      <c r="I37" s="26"/>
      <c r="J37" s="26"/>
      <c r="K37" s="26"/>
      <c r="L37" s="26"/>
      <c r="M37" s="26"/>
      <c r="N37" s="26"/>
      <c r="O37" s="45"/>
      <c r="P37" s="26"/>
      <c r="Q37" s="26"/>
      <c r="R37" s="45"/>
      <c r="S37" s="26"/>
      <c r="T37" s="45"/>
      <c r="U37" s="26"/>
      <c r="V37" s="45"/>
      <c r="AL37" s="58">
        <v>35</v>
      </c>
      <c r="AM37" s="8">
        <f t="shared" si="3"/>
        <v>450</v>
      </c>
      <c r="AN37" s="8">
        <f t="shared" si="4"/>
        <v>-350</v>
      </c>
      <c r="AO37" s="8">
        <f t="shared" si="0"/>
        <v>350</v>
      </c>
      <c r="AP37" s="8">
        <f t="shared" si="5"/>
        <v>-450</v>
      </c>
      <c r="AQ37" s="8">
        <f t="shared" si="1"/>
        <v>350.00000000000006</v>
      </c>
      <c r="AR37" s="8">
        <f t="shared" si="2"/>
        <v>450</v>
      </c>
      <c r="AS37" s="8">
        <f t="shared" si="12"/>
        <v>150</v>
      </c>
      <c r="AT37" s="8">
        <f t="shared" si="10"/>
        <v>-233.33333333333331</v>
      </c>
      <c r="AU37" s="8">
        <f t="shared" si="7"/>
        <v>233.33333333333331</v>
      </c>
      <c r="AV37" s="8">
        <f t="shared" si="8"/>
        <v>-300</v>
      </c>
      <c r="AW37" s="8">
        <f t="shared" si="13"/>
        <v>116.66666666666664</v>
      </c>
      <c r="AX37" s="8">
        <f t="shared" si="9"/>
        <v>300</v>
      </c>
    </row>
    <row r="38" spans="1:50">
      <c r="A38" s="23"/>
      <c r="B38" s="24"/>
      <c r="C38" s="26"/>
      <c r="D38" s="26"/>
      <c r="E38" s="14"/>
      <c r="F38" s="14"/>
      <c r="G38" s="14"/>
      <c r="H38" s="14"/>
      <c r="I38" s="26"/>
      <c r="J38" s="26"/>
      <c r="K38" s="26"/>
      <c r="L38" s="26"/>
      <c r="M38" s="26"/>
      <c r="N38" s="26"/>
      <c r="O38" s="45"/>
      <c r="P38" s="26"/>
      <c r="Q38" s="26"/>
      <c r="R38" s="45"/>
      <c r="S38" s="26"/>
      <c r="T38" s="45"/>
      <c r="U38" s="26"/>
      <c r="V38" s="45"/>
      <c r="AL38" s="58">
        <v>36</v>
      </c>
      <c r="AM38" s="8">
        <f t="shared" si="3"/>
        <v>450</v>
      </c>
      <c r="AN38" s="8">
        <f t="shared" si="4"/>
        <v>-350</v>
      </c>
      <c r="AO38" s="8">
        <f t="shared" si="0"/>
        <v>350</v>
      </c>
      <c r="AP38" s="8">
        <f t="shared" si="5"/>
        <v>-450</v>
      </c>
      <c r="AQ38" s="8">
        <f t="shared" si="1"/>
        <v>350.00000000000006</v>
      </c>
      <c r="AR38" s="8">
        <f t="shared" si="2"/>
        <v>450</v>
      </c>
      <c r="AS38" s="8">
        <f t="shared" si="12"/>
        <v>150</v>
      </c>
      <c r="AT38" s="8">
        <f t="shared" si="10"/>
        <v>-233.33333333333331</v>
      </c>
      <c r="AU38" s="8">
        <f t="shared" si="7"/>
        <v>233.33333333333331</v>
      </c>
      <c r="AV38" s="8">
        <f t="shared" si="8"/>
        <v>-300</v>
      </c>
      <c r="AW38" s="8">
        <f t="shared" si="13"/>
        <v>116.66666666666664</v>
      </c>
      <c r="AX38" s="8">
        <f t="shared" si="9"/>
        <v>300</v>
      </c>
    </row>
    <row r="39" spans="1:50">
      <c r="A39" s="23"/>
      <c r="B39" s="24"/>
      <c r="C39" s="26"/>
      <c r="D39" s="26"/>
      <c r="E39" s="14"/>
      <c r="F39" s="14"/>
      <c r="G39" s="14"/>
      <c r="H39" s="14"/>
      <c r="I39" s="26"/>
      <c r="J39" s="26"/>
      <c r="K39" s="26"/>
      <c r="L39" s="26"/>
      <c r="M39" s="26"/>
      <c r="N39" s="26"/>
      <c r="O39" s="45"/>
      <c r="P39" s="26"/>
      <c r="Q39" s="26"/>
      <c r="R39" s="45"/>
      <c r="S39" s="26"/>
      <c r="T39" s="45"/>
      <c r="U39" s="26"/>
      <c r="V39" s="45"/>
      <c r="AL39" s="58">
        <v>37</v>
      </c>
      <c r="AM39" s="8">
        <f t="shared" si="3"/>
        <v>450</v>
      </c>
      <c r="AN39" s="8">
        <f t="shared" si="4"/>
        <v>-350</v>
      </c>
      <c r="AO39" s="8">
        <f t="shared" si="0"/>
        <v>350</v>
      </c>
      <c r="AP39" s="8">
        <f t="shared" si="5"/>
        <v>-450</v>
      </c>
      <c r="AQ39" s="8">
        <f t="shared" si="1"/>
        <v>350.00000000000006</v>
      </c>
      <c r="AR39" s="8">
        <f t="shared" si="2"/>
        <v>450</v>
      </c>
      <c r="AS39" s="8">
        <f t="shared" si="12"/>
        <v>150</v>
      </c>
      <c r="AT39" s="8">
        <f t="shared" si="10"/>
        <v>-233.33333333333331</v>
      </c>
      <c r="AU39" s="8">
        <f t="shared" si="7"/>
        <v>233.33333333333331</v>
      </c>
      <c r="AV39" s="8">
        <f t="shared" si="8"/>
        <v>-300</v>
      </c>
      <c r="AW39" s="8">
        <f t="shared" si="13"/>
        <v>116.66666666666664</v>
      </c>
      <c r="AX39" s="8">
        <f t="shared" si="9"/>
        <v>300</v>
      </c>
    </row>
    <row r="40" spans="1:50">
      <c r="A40" s="23"/>
      <c r="B40" s="24"/>
      <c r="C40" s="26"/>
      <c r="D40" s="26"/>
      <c r="E40" s="14"/>
      <c r="F40" s="14"/>
      <c r="G40" s="14"/>
      <c r="H40" s="14"/>
      <c r="I40" s="26"/>
      <c r="J40" s="26"/>
      <c r="K40" s="26"/>
      <c r="L40" s="26"/>
      <c r="M40" s="26"/>
      <c r="N40" s="26"/>
      <c r="O40" s="45"/>
      <c r="P40" s="26"/>
      <c r="Q40" s="26"/>
      <c r="R40" s="45"/>
      <c r="S40" s="26"/>
      <c r="T40" s="45"/>
      <c r="U40" s="26"/>
      <c r="V40" s="45"/>
      <c r="AL40" s="58">
        <v>38</v>
      </c>
      <c r="AM40" s="8">
        <f t="shared" si="3"/>
        <v>450</v>
      </c>
      <c r="AN40" s="8">
        <f t="shared" si="4"/>
        <v>-350</v>
      </c>
      <c r="AO40" s="8">
        <f t="shared" si="0"/>
        <v>350</v>
      </c>
      <c r="AP40" s="8">
        <f t="shared" si="5"/>
        <v>-450</v>
      </c>
      <c r="AQ40" s="8">
        <f t="shared" si="1"/>
        <v>350.00000000000006</v>
      </c>
      <c r="AR40" s="8">
        <f t="shared" si="2"/>
        <v>450</v>
      </c>
      <c r="AS40" s="8">
        <f t="shared" si="12"/>
        <v>150</v>
      </c>
      <c r="AT40" s="8">
        <f t="shared" si="10"/>
        <v>-233.33333333333331</v>
      </c>
      <c r="AU40" s="8">
        <f t="shared" si="7"/>
        <v>233.33333333333331</v>
      </c>
      <c r="AV40" s="8">
        <f t="shared" si="8"/>
        <v>-300</v>
      </c>
      <c r="AW40" s="8">
        <f t="shared" si="13"/>
        <v>116.66666666666664</v>
      </c>
      <c r="AX40" s="8">
        <f t="shared" si="9"/>
        <v>300</v>
      </c>
    </row>
    <row r="41" spans="1:50">
      <c r="A41" s="23"/>
      <c r="B41" s="24"/>
      <c r="C41" s="26"/>
      <c r="D41" s="26"/>
      <c r="E41" s="14"/>
      <c r="F41" s="14"/>
      <c r="G41" s="14"/>
      <c r="H41" s="14"/>
      <c r="I41" s="26"/>
      <c r="J41" s="26"/>
      <c r="K41" s="26"/>
      <c r="L41" s="26"/>
      <c r="M41" s="26"/>
      <c r="N41" s="26"/>
      <c r="O41" s="45"/>
      <c r="P41" s="26"/>
      <c r="Q41" s="26"/>
      <c r="R41" s="45"/>
      <c r="S41" s="26"/>
      <c r="T41" s="45"/>
      <c r="U41" s="26"/>
      <c r="V41" s="45"/>
      <c r="AL41" s="58">
        <v>39</v>
      </c>
      <c r="AM41" s="8">
        <f t="shared" si="3"/>
        <v>450</v>
      </c>
      <c r="AN41" s="8">
        <f t="shared" si="4"/>
        <v>-350</v>
      </c>
      <c r="AO41" s="8">
        <f t="shared" si="0"/>
        <v>350</v>
      </c>
      <c r="AP41" s="8">
        <f t="shared" si="5"/>
        <v>-450</v>
      </c>
      <c r="AQ41" s="8">
        <f t="shared" si="1"/>
        <v>350.00000000000006</v>
      </c>
      <c r="AR41" s="8">
        <f t="shared" si="2"/>
        <v>450</v>
      </c>
      <c r="AS41" s="8">
        <f t="shared" si="12"/>
        <v>150</v>
      </c>
      <c r="AT41" s="8">
        <f t="shared" si="10"/>
        <v>-233.33333333333331</v>
      </c>
      <c r="AU41" s="8">
        <f t="shared" si="7"/>
        <v>233.33333333333331</v>
      </c>
      <c r="AV41" s="8">
        <f t="shared" si="8"/>
        <v>-300</v>
      </c>
      <c r="AW41" s="8">
        <f t="shared" si="13"/>
        <v>116.66666666666664</v>
      </c>
      <c r="AX41" s="8">
        <f t="shared" si="9"/>
        <v>300</v>
      </c>
    </row>
    <row r="42" spans="1:50">
      <c r="A42" s="23"/>
      <c r="B42" s="24"/>
      <c r="C42" s="26"/>
      <c r="D42" s="26"/>
      <c r="E42" s="14"/>
      <c r="F42" s="14"/>
      <c r="G42" s="14"/>
      <c r="H42" s="14"/>
      <c r="I42" s="26"/>
      <c r="J42" s="26"/>
      <c r="K42" s="26"/>
      <c r="L42" s="26"/>
      <c r="M42" s="26"/>
      <c r="N42" s="26"/>
      <c r="O42" s="45"/>
      <c r="P42" s="26"/>
      <c r="Q42" s="26"/>
      <c r="R42" s="45"/>
      <c r="S42" s="26"/>
      <c r="T42" s="45"/>
      <c r="U42" s="26"/>
      <c r="V42" s="45"/>
      <c r="AL42" s="58">
        <v>40</v>
      </c>
      <c r="AM42" s="8">
        <f t="shared" si="3"/>
        <v>450</v>
      </c>
      <c r="AN42" s="8">
        <f t="shared" si="4"/>
        <v>-350</v>
      </c>
      <c r="AO42" s="8">
        <f t="shared" si="0"/>
        <v>350</v>
      </c>
      <c r="AP42" s="8">
        <f t="shared" si="5"/>
        <v>-450</v>
      </c>
      <c r="AQ42" s="8">
        <f t="shared" si="1"/>
        <v>350.00000000000006</v>
      </c>
      <c r="AR42" s="8">
        <f t="shared" si="2"/>
        <v>450</v>
      </c>
      <c r="AS42" s="8">
        <f t="shared" si="12"/>
        <v>150</v>
      </c>
      <c r="AT42" s="8">
        <f t="shared" si="10"/>
        <v>-233.33333333333331</v>
      </c>
      <c r="AU42" s="8">
        <f t="shared" si="7"/>
        <v>233.33333333333331</v>
      </c>
      <c r="AV42" s="8">
        <f t="shared" si="8"/>
        <v>-300</v>
      </c>
      <c r="AW42" s="8">
        <f t="shared" si="13"/>
        <v>116.66666666666664</v>
      </c>
      <c r="AX42" s="8">
        <f t="shared" si="9"/>
        <v>300</v>
      </c>
    </row>
    <row r="43" spans="1:50">
      <c r="A43" s="23"/>
      <c r="B43" s="24"/>
      <c r="C43" s="26"/>
      <c r="D43" s="26"/>
      <c r="E43" s="14"/>
      <c r="F43" s="14"/>
      <c r="G43" s="14"/>
      <c r="H43" s="14"/>
      <c r="I43" s="26"/>
      <c r="J43" s="26"/>
      <c r="K43" s="26"/>
      <c r="L43" s="26"/>
      <c r="M43" s="26"/>
      <c r="N43" s="26"/>
      <c r="O43" s="45"/>
      <c r="P43" s="26"/>
      <c r="Q43" s="26"/>
      <c r="R43" s="45"/>
      <c r="S43" s="26"/>
      <c r="T43" s="45"/>
      <c r="U43" s="26"/>
      <c r="V43" s="45"/>
      <c r="AL43" s="58">
        <v>41</v>
      </c>
      <c r="AM43" s="8">
        <f t="shared" si="3"/>
        <v>450</v>
      </c>
      <c r="AN43" s="8">
        <f t="shared" si="4"/>
        <v>-350</v>
      </c>
      <c r="AO43" s="8">
        <f t="shared" si="0"/>
        <v>350</v>
      </c>
      <c r="AP43" s="8">
        <f t="shared" si="5"/>
        <v>-450</v>
      </c>
      <c r="AQ43" s="8">
        <f t="shared" si="1"/>
        <v>350.00000000000006</v>
      </c>
      <c r="AR43" s="8">
        <f t="shared" si="2"/>
        <v>450</v>
      </c>
      <c r="AS43" s="8">
        <f t="shared" si="12"/>
        <v>150</v>
      </c>
      <c r="AT43" s="8">
        <f t="shared" si="10"/>
        <v>-233.33333333333331</v>
      </c>
      <c r="AU43" s="8">
        <f t="shared" si="7"/>
        <v>233.33333333333331</v>
      </c>
      <c r="AV43" s="8">
        <f t="shared" si="8"/>
        <v>-300</v>
      </c>
      <c r="AW43" s="8">
        <f t="shared" si="13"/>
        <v>116.66666666666664</v>
      </c>
      <c r="AX43" s="8">
        <f t="shared" si="9"/>
        <v>300</v>
      </c>
    </row>
    <row r="44" spans="1:50">
      <c r="A44" s="23"/>
      <c r="B44" s="24"/>
      <c r="C44" s="26"/>
      <c r="D44" s="26"/>
      <c r="E44" s="14"/>
      <c r="F44" s="14"/>
      <c r="G44" s="14"/>
      <c r="H44" s="14"/>
      <c r="I44" s="26"/>
      <c r="J44" s="26"/>
      <c r="K44" s="26"/>
      <c r="L44" s="26"/>
      <c r="M44" s="26"/>
      <c r="N44" s="26"/>
      <c r="O44" s="45"/>
      <c r="P44" s="26"/>
      <c r="Q44" s="26"/>
      <c r="R44" s="45"/>
      <c r="S44" s="26"/>
      <c r="T44" s="45"/>
      <c r="U44" s="26"/>
      <c r="V44" s="45"/>
      <c r="AL44" s="58">
        <v>42</v>
      </c>
      <c r="AM44" s="8">
        <f t="shared" si="3"/>
        <v>450</v>
      </c>
      <c r="AN44" s="8">
        <f t="shared" si="4"/>
        <v>-350</v>
      </c>
      <c r="AO44" s="8">
        <f t="shared" si="0"/>
        <v>350</v>
      </c>
      <c r="AP44" s="8">
        <f t="shared" si="5"/>
        <v>-450</v>
      </c>
      <c r="AQ44" s="8">
        <f t="shared" si="1"/>
        <v>350.00000000000006</v>
      </c>
      <c r="AR44" s="8">
        <f t="shared" si="2"/>
        <v>450</v>
      </c>
      <c r="AS44" s="8">
        <f t="shared" si="12"/>
        <v>150</v>
      </c>
      <c r="AT44" s="8">
        <f t="shared" si="10"/>
        <v>-233.33333333333331</v>
      </c>
      <c r="AU44" s="8">
        <f t="shared" si="7"/>
        <v>233.33333333333331</v>
      </c>
      <c r="AV44" s="8">
        <f t="shared" si="8"/>
        <v>-300</v>
      </c>
      <c r="AW44" s="8">
        <f t="shared" si="13"/>
        <v>116.66666666666664</v>
      </c>
      <c r="AX44" s="8">
        <f t="shared" si="9"/>
        <v>300</v>
      </c>
    </row>
    <row r="45" spans="1:50">
      <c r="A45" s="23"/>
      <c r="B45" s="24"/>
      <c r="C45" s="26"/>
      <c r="D45" s="26"/>
      <c r="E45" s="14"/>
      <c r="F45" s="14"/>
      <c r="G45" s="14"/>
      <c r="H45" s="14"/>
      <c r="I45" s="26"/>
      <c r="J45" s="26"/>
      <c r="K45" s="26"/>
      <c r="L45" s="26"/>
      <c r="M45" s="26"/>
      <c r="N45" s="26"/>
      <c r="O45" s="45"/>
      <c r="P45" s="26"/>
      <c r="Q45" s="26"/>
      <c r="R45" s="45"/>
      <c r="S45" s="26"/>
      <c r="T45" s="45"/>
      <c r="U45" s="26"/>
      <c r="V45" s="45"/>
      <c r="AL45" s="58">
        <v>43</v>
      </c>
      <c r="AM45" s="8">
        <f t="shared" si="3"/>
        <v>450</v>
      </c>
      <c r="AN45" s="8">
        <f t="shared" si="4"/>
        <v>-350</v>
      </c>
      <c r="AO45" s="8">
        <f t="shared" si="0"/>
        <v>350</v>
      </c>
      <c r="AP45" s="8">
        <f t="shared" si="5"/>
        <v>-450</v>
      </c>
      <c r="AQ45" s="8">
        <f t="shared" si="1"/>
        <v>350.00000000000006</v>
      </c>
      <c r="AR45" s="8">
        <f t="shared" si="2"/>
        <v>450</v>
      </c>
      <c r="AS45" s="8">
        <f t="shared" si="12"/>
        <v>150</v>
      </c>
      <c r="AT45" s="8">
        <f t="shared" si="10"/>
        <v>-233.33333333333331</v>
      </c>
      <c r="AU45" s="8">
        <f t="shared" si="7"/>
        <v>233.33333333333331</v>
      </c>
      <c r="AV45" s="8">
        <f t="shared" si="8"/>
        <v>-300</v>
      </c>
      <c r="AW45" s="8">
        <f t="shared" si="13"/>
        <v>116.66666666666664</v>
      </c>
      <c r="AX45" s="8">
        <f t="shared" si="9"/>
        <v>300</v>
      </c>
    </row>
    <row r="46" spans="1:50">
      <c r="A46" s="23"/>
      <c r="B46" s="24"/>
      <c r="C46" s="26"/>
      <c r="D46" s="26"/>
      <c r="E46" s="14"/>
      <c r="F46" s="14"/>
      <c r="G46" s="14"/>
      <c r="H46" s="14"/>
      <c r="I46" s="26"/>
      <c r="J46" s="26"/>
      <c r="K46" s="26"/>
      <c r="L46" s="26"/>
      <c r="M46" s="26"/>
      <c r="N46" s="26"/>
      <c r="O46" s="45"/>
      <c r="P46" s="26"/>
      <c r="Q46" s="26"/>
      <c r="R46" s="45"/>
      <c r="S46" s="26"/>
      <c r="T46" s="45"/>
      <c r="U46" s="26"/>
      <c r="V46" s="45"/>
      <c r="AL46" s="58">
        <v>44</v>
      </c>
      <c r="AM46" s="8">
        <f t="shared" si="3"/>
        <v>450</v>
      </c>
      <c r="AN46" s="8">
        <f t="shared" si="4"/>
        <v>-350</v>
      </c>
      <c r="AO46" s="8">
        <f t="shared" si="0"/>
        <v>350</v>
      </c>
      <c r="AP46" s="8">
        <f t="shared" si="5"/>
        <v>-450</v>
      </c>
      <c r="AQ46" s="8">
        <f t="shared" si="1"/>
        <v>350.00000000000006</v>
      </c>
      <c r="AR46" s="8">
        <f t="shared" si="2"/>
        <v>450</v>
      </c>
      <c r="AS46" s="8">
        <f t="shared" si="12"/>
        <v>150</v>
      </c>
      <c r="AT46" s="8">
        <f t="shared" si="10"/>
        <v>-233.33333333333331</v>
      </c>
      <c r="AU46" s="8">
        <f t="shared" si="7"/>
        <v>233.33333333333331</v>
      </c>
      <c r="AV46" s="8">
        <f t="shared" si="8"/>
        <v>-300</v>
      </c>
      <c r="AW46" s="8">
        <f t="shared" si="13"/>
        <v>116.66666666666664</v>
      </c>
      <c r="AX46" s="8">
        <f t="shared" si="9"/>
        <v>300</v>
      </c>
    </row>
    <row r="47" spans="1:50">
      <c r="A47" s="23"/>
      <c r="B47" s="24"/>
      <c r="C47" s="26"/>
      <c r="D47" s="26"/>
      <c r="E47" s="14"/>
      <c r="F47" s="14"/>
      <c r="G47" s="14"/>
      <c r="H47" s="14"/>
      <c r="I47" s="26"/>
      <c r="J47" s="26"/>
      <c r="K47" s="26"/>
      <c r="L47" s="26"/>
      <c r="M47" s="26"/>
      <c r="N47" s="26"/>
      <c r="O47" s="45"/>
      <c r="P47" s="26"/>
      <c r="Q47" s="26"/>
      <c r="R47" s="45"/>
      <c r="S47" s="26"/>
      <c r="T47" s="45"/>
      <c r="U47" s="26"/>
      <c r="V47" s="45"/>
      <c r="AL47" s="58">
        <v>45</v>
      </c>
      <c r="AM47" s="8">
        <f t="shared" si="3"/>
        <v>450</v>
      </c>
      <c r="AN47" s="8">
        <f t="shared" si="4"/>
        <v>-350</v>
      </c>
      <c r="AO47" s="8">
        <f t="shared" si="0"/>
        <v>350</v>
      </c>
      <c r="AP47" s="8">
        <f t="shared" si="5"/>
        <v>-450</v>
      </c>
      <c r="AQ47" s="8">
        <f t="shared" si="1"/>
        <v>350.00000000000006</v>
      </c>
      <c r="AR47" s="8">
        <f t="shared" si="2"/>
        <v>450</v>
      </c>
      <c r="AS47" s="8">
        <f t="shared" si="12"/>
        <v>150</v>
      </c>
      <c r="AT47" s="8">
        <f t="shared" si="10"/>
        <v>-233.33333333333331</v>
      </c>
      <c r="AU47" s="8">
        <f t="shared" si="7"/>
        <v>233.33333333333331</v>
      </c>
      <c r="AV47" s="8">
        <f t="shared" si="8"/>
        <v>-300</v>
      </c>
      <c r="AW47" s="8">
        <f t="shared" si="13"/>
        <v>116.66666666666664</v>
      </c>
      <c r="AX47" s="8">
        <f t="shared" si="9"/>
        <v>300</v>
      </c>
    </row>
    <row r="48" spans="1:50">
      <c r="A48" s="23"/>
      <c r="B48" s="24"/>
      <c r="C48" s="26"/>
      <c r="D48" s="26"/>
      <c r="E48" s="14"/>
      <c r="F48" s="14"/>
      <c r="G48" s="14"/>
      <c r="H48" s="14"/>
      <c r="I48" s="26"/>
      <c r="J48" s="26"/>
      <c r="K48" s="26"/>
      <c r="L48" s="26"/>
      <c r="M48" s="26"/>
      <c r="N48" s="26"/>
      <c r="O48" s="45"/>
      <c r="P48" s="26"/>
      <c r="Q48" s="26"/>
      <c r="R48" s="45"/>
      <c r="S48" s="26"/>
      <c r="T48" s="45"/>
      <c r="U48" s="26"/>
      <c r="V48" s="45"/>
      <c r="AL48" s="58">
        <v>46</v>
      </c>
      <c r="AM48" s="8">
        <f t="shared" si="3"/>
        <v>450</v>
      </c>
      <c r="AN48" s="8">
        <f t="shared" si="4"/>
        <v>-350</v>
      </c>
      <c r="AO48" s="8">
        <f t="shared" si="0"/>
        <v>350</v>
      </c>
      <c r="AP48" s="8">
        <f t="shared" si="5"/>
        <v>-450</v>
      </c>
      <c r="AQ48" s="8">
        <f t="shared" si="1"/>
        <v>350.00000000000006</v>
      </c>
      <c r="AR48" s="8">
        <f t="shared" si="2"/>
        <v>450</v>
      </c>
      <c r="AS48" s="8">
        <f t="shared" si="12"/>
        <v>150</v>
      </c>
      <c r="AT48" s="8">
        <f t="shared" si="10"/>
        <v>-233.33333333333331</v>
      </c>
      <c r="AU48" s="8">
        <f t="shared" si="7"/>
        <v>233.33333333333331</v>
      </c>
      <c r="AV48" s="8">
        <f t="shared" si="8"/>
        <v>-300</v>
      </c>
      <c r="AW48" s="8">
        <f t="shared" si="13"/>
        <v>116.66666666666664</v>
      </c>
      <c r="AX48" s="8">
        <f t="shared" si="9"/>
        <v>300</v>
      </c>
    </row>
    <row r="49" spans="1:50">
      <c r="A49" s="23"/>
      <c r="B49" s="24"/>
      <c r="C49" s="26"/>
      <c r="D49" s="26"/>
      <c r="E49" s="14"/>
      <c r="F49" s="14"/>
      <c r="G49" s="14"/>
      <c r="H49" s="14"/>
      <c r="I49" s="26"/>
      <c r="J49" s="26"/>
      <c r="K49" s="26"/>
      <c r="L49" s="26"/>
      <c r="M49" s="26"/>
      <c r="N49" s="26"/>
      <c r="O49" s="45"/>
      <c r="P49" s="26"/>
      <c r="Q49" s="26"/>
      <c r="R49" s="45"/>
      <c r="S49" s="26"/>
      <c r="T49" s="45"/>
      <c r="U49" s="26"/>
      <c r="V49" s="45"/>
      <c r="AL49" s="58">
        <v>47</v>
      </c>
      <c r="AM49" s="8">
        <f t="shared" si="3"/>
        <v>450</v>
      </c>
      <c r="AN49" s="8">
        <f t="shared" si="4"/>
        <v>-350</v>
      </c>
      <c r="AO49" s="8">
        <f t="shared" si="0"/>
        <v>350</v>
      </c>
      <c r="AP49" s="8">
        <f t="shared" si="5"/>
        <v>-450</v>
      </c>
      <c r="AQ49" s="8">
        <f t="shared" si="1"/>
        <v>350.00000000000006</v>
      </c>
      <c r="AR49" s="8">
        <f t="shared" si="2"/>
        <v>450</v>
      </c>
      <c r="AS49" s="8">
        <f t="shared" si="12"/>
        <v>150</v>
      </c>
      <c r="AT49" s="8">
        <f t="shared" si="10"/>
        <v>-233.33333333333331</v>
      </c>
      <c r="AU49" s="8">
        <f t="shared" si="7"/>
        <v>233.33333333333331</v>
      </c>
      <c r="AV49" s="8">
        <f t="shared" si="8"/>
        <v>-300</v>
      </c>
      <c r="AW49" s="8">
        <f t="shared" si="13"/>
        <v>116.66666666666664</v>
      </c>
      <c r="AX49" s="8">
        <f t="shared" si="9"/>
        <v>300</v>
      </c>
    </row>
    <row r="50" spans="1:50">
      <c r="A50" s="23"/>
      <c r="B50" s="24"/>
      <c r="C50" s="26"/>
      <c r="D50" s="26"/>
      <c r="E50" s="14"/>
      <c r="F50" s="14"/>
      <c r="G50" s="14"/>
      <c r="H50" s="14"/>
      <c r="I50" s="26"/>
      <c r="J50" s="26"/>
      <c r="K50" s="26"/>
      <c r="L50" s="26"/>
      <c r="M50" s="26"/>
      <c r="N50" s="26"/>
      <c r="O50" s="45"/>
      <c r="P50" s="26"/>
      <c r="Q50" s="26"/>
      <c r="R50" s="45"/>
      <c r="S50" s="26"/>
      <c r="T50" s="45"/>
      <c r="U50" s="26"/>
      <c r="V50" s="45"/>
      <c r="AL50" s="58">
        <v>48</v>
      </c>
      <c r="AM50" s="8">
        <f t="shared" si="3"/>
        <v>450</v>
      </c>
      <c r="AN50" s="8">
        <f t="shared" si="4"/>
        <v>-350</v>
      </c>
      <c r="AO50" s="8">
        <f t="shared" si="0"/>
        <v>350</v>
      </c>
      <c r="AP50" s="8">
        <f t="shared" si="5"/>
        <v>-450</v>
      </c>
      <c r="AQ50" s="8">
        <f t="shared" si="1"/>
        <v>350.00000000000006</v>
      </c>
      <c r="AR50" s="8">
        <f t="shared" si="2"/>
        <v>450</v>
      </c>
      <c r="AS50" s="8">
        <f t="shared" si="12"/>
        <v>-300</v>
      </c>
      <c r="AT50" s="8">
        <f t="shared" si="10"/>
        <v>-233.33333333333331</v>
      </c>
      <c r="AU50" s="8">
        <f t="shared" si="7"/>
        <v>233.33333333333331</v>
      </c>
      <c r="AV50" s="8">
        <f t="shared" si="8"/>
        <v>-300</v>
      </c>
      <c r="AW50" s="8">
        <f t="shared" si="13"/>
        <v>-116.66666666666664</v>
      </c>
      <c r="AX50" s="8">
        <f t="shared" si="9"/>
        <v>300</v>
      </c>
    </row>
    <row r="51" spans="1:50">
      <c r="A51" s="23"/>
      <c r="B51" s="24"/>
      <c r="C51" s="26"/>
      <c r="D51" s="26"/>
      <c r="E51" s="14"/>
      <c r="F51" s="14"/>
      <c r="G51" s="14"/>
      <c r="H51" s="14"/>
      <c r="I51" s="26"/>
      <c r="J51" s="26"/>
      <c r="K51" s="26"/>
      <c r="L51" s="26"/>
      <c r="M51" s="26"/>
      <c r="N51" s="26"/>
      <c r="O51" s="45"/>
      <c r="P51" s="26"/>
      <c r="Q51" s="26"/>
      <c r="R51" s="45"/>
      <c r="S51" s="26"/>
      <c r="T51" s="45"/>
      <c r="U51" s="26"/>
      <c r="V51" s="45"/>
      <c r="AL51" s="58">
        <v>49</v>
      </c>
      <c r="AM51" s="8">
        <f t="shared" si="3"/>
        <v>450</v>
      </c>
      <c r="AN51" s="8">
        <f t="shared" si="4"/>
        <v>-350</v>
      </c>
      <c r="AO51" s="8">
        <f t="shared" si="0"/>
        <v>350</v>
      </c>
      <c r="AP51" s="8">
        <f t="shared" si="5"/>
        <v>-450</v>
      </c>
      <c r="AQ51" s="8">
        <f t="shared" si="1"/>
        <v>350.00000000000006</v>
      </c>
      <c r="AR51" s="8">
        <f t="shared" si="2"/>
        <v>450</v>
      </c>
      <c r="AS51" s="8">
        <f t="shared" si="12"/>
        <v>-150</v>
      </c>
      <c r="AT51" s="8">
        <f t="shared" si="10"/>
        <v>-233.33333333333331</v>
      </c>
      <c r="AU51" s="8">
        <f t="shared" si="7"/>
        <v>233.33333333333331</v>
      </c>
      <c r="AV51" s="8">
        <f t="shared" si="8"/>
        <v>-300</v>
      </c>
      <c r="AW51" s="8">
        <f t="shared" si="13"/>
        <v>-116.66666666666664</v>
      </c>
      <c r="AX51" s="8">
        <f t="shared" si="9"/>
        <v>300</v>
      </c>
    </row>
    <row r="52" spans="1:50">
      <c r="A52" s="23"/>
      <c r="B52" s="24"/>
      <c r="C52" s="26"/>
      <c r="D52" s="26"/>
      <c r="E52" s="14"/>
      <c r="F52" s="14"/>
      <c r="G52" s="14"/>
      <c r="H52" s="14"/>
      <c r="I52" s="26"/>
      <c r="J52" s="26"/>
      <c r="K52" s="26"/>
      <c r="L52" s="26"/>
      <c r="M52" s="26"/>
      <c r="N52" s="26"/>
      <c r="O52" s="45"/>
      <c r="P52" s="26"/>
      <c r="Q52" s="26"/>
      <c r="R52" s="45"/>
      <c r="S52" s="26"/>
      <c r="T52" s="45"/>
      <c r="U52" s="26"/>
      <c r="V52" s="45"/>
      <c r="AL52" s="58">
        <v>50</v>
      </c>
      <c r="AM52" s="8">
        <f t="shared" si="3"/>
        <v>450</v>
      </c>
      <c r="AN52" s="8">
        <f t="shared" si="4"/>
        <v>-350</v>
      </c>
      <c r="AO52" s="8">
        <f t="shared" si="0"/>
        <v>350</v>
      </c>
      <c r="AP52" s="8">
        <f t="shared" si="5"/>
        <v>-450</v>
      </c>
      <c r="AQ52" s="8">
        <f t="shared" si="1"/>
        <v>350.00000000000006</v>
      </c>
      <c r="AR52" s="8">
        <f t="shared" si="2"/>
        <v>450</v>
      </c>
      <c r="AS52" s="8">
        <f>-AS29</f>
        <v>-150</v>
      </c>
      <c r="AT52" s="8">
        <f t="shared" si="10"/>
        <v>-233.33333333333331</v>
      </c>
      <c r="AU52" s="8">
        <f t="shared" si="7"/>
        <v>233.33333333333331</v>
      </c>
      <c r="AV52" s="8">
        <f t="shared" si="8"/>
        <v>-300</v>
      </c>
      <c r="AW52" s="8">
        <f t="shared" si="13"/>
        <v>-116.66666666666664</v>
      </c>
      <c r="AX52" s="8">
        <f t="shared" si="9"/>
        <v>300</v>
      </c>
    </row>
    <row r="53" spans="1:50">
      <c r="A53" s="23"/>
      <c r="B53" s="24"/>
      <c r="C53" s="26"/>
      <c r="D53" s="26"/>
      <c r="E53" s="14"/>
      <c r="F53" s="14"/>
      <c r="G53" s="14"/>
      <c r="H53" s="14"/>
      <c r="I53" s="26"/>
      <c r="J53" s="26"/>
      <c r="K53" s="26"/>
      <c r="L53" s="26"/>
      <c r="M53" s="26"/>
      <c r="N53" s="26"/>
      <c r="O53" s="45"/>
      <c r="P53" s="26"/>
      <c r="Q53" s="26"/>
      <c r="R53" s="45"/>
      <c r="S53" s="26"/>
      <c r="T53" s="45"/>
      <c r="U53" s="26"/>
      <c r="V53" s="45"/>
    </row>
    <row r="54" spans="1:50">
      <c r="A54" s="23"/>
      <c r="B54" s="24"/>
      <c r="C54" s="26"/>
      <c r="D54" s="26"/>
      <c r="E54" s="14"/>
      <c r="F54" s="14"/>
      <c r="G54" s="14"/>
      <c r="H54" s="14"/>
      <c r="I54" s="26"/>
      <c r="J54" s="26"/>
      <c r="K54" s="26"/>
      <c r="L54" s="26"/>
      <c r="M54" s="26"/>
      <c r="N54" s="26"/>
      <c r="O54" s="45"/>
      <c r="P54" s="26"/>
      <c r="Q54" s="26"/>
      <c r="R54" s="45"/>
      <c r="S54" s="26"/>
      <c r="T54" s="45"/>
      <c r="U54" s="26"/>
      <c r="V54" s="45"/>
    </row>
    <row r="55" spans="1:50">
      <c r="A55" s="23"/>
      <c r="B55" s="24"/>
      <c r="C55" s="26"/>
      <c r="D55" s="26"/>
      <c r="E55" s="14"/>
      <c r="F55" s="14"/>
      <c r="G55" s="14"/>
      <c r="H55" s="14"/>
      <c r="I55" s="26"/>
      <c r="J55" s="26"/>
      <c r="K55" s="26"/>
      <c r="L55" s="26"/>
      <c r="M55" s="26"/>
      <c r="N55" s="26"/>
      <c r="O55" s="45"/>
      <c r="P55" s="26"/>
      <c r="Q55" s="26"/>
      <c r="R55" s="45"/>
      <c r="S55" s="26"/>
      <c r="T55" s="45"/>
      <c r="U55" s="26"/>
      <c r="V55" s="45"/>
    </row>
    <row r="56" spans="1:50">
      <c r="A56" s="23"/>
      <c r="B56" s="24"/>
      <c r="C56" s="26"/>
      <c r="D56" s="26"/>
      <c r="E56" s="14"/>
      <c r="F56" s="14"/>
      <c r="G56" s="14"/>
      <c r="H56" s="14"/>
      <c r="I56" s="26"/>
      <c r="J56" s="26"/>
      <c r="K56" s="26"/>
      <c r="L56" s="26"/>
      <c r="M56" s="26"/>
      <c r="N56" s="26"/>
      <c r="O56" s="45"/>
      <c r="P56" s="26"/>
      <c r="Q56" s="26"/>
      <c r="R56" s="45"/>
      <c r="S56" s="26"/>
      <c r="T56" s="45"/>
      <c r="U56" s="26"/>
      <c r="V56" s="45"/>
    </row>
    <row r="57" spans="1:50">
      <c r="A57" s="23"/>
      <c r="B57" s="24"/>
      <c r="C57" s="26"/>
      <c r="D57" s="26"/>
      <c r="E57" s="14"/>
      <c r="F57" s="14"/>
      <c r="G57" s="14"/>
      <c r="H57" s="14"/>
      <c r="I57" s="26"/>
      <c r="J57" s="26"/>
      <c r="K57" s="26"/>
      <c r="L57" s="26"/>
      <c r="M57" s="26"/>
      <c r="N57" s="26"/>
      <c r="O57" s="45"/>
      <c r="P57" s="26"/>
      <c r="Q57" s="26"/>
      <c r="R57" s="45"/>
      <c r="S57" s="26"/>
      <c r="T57" s="45"/>
      <c r="U57" s="26"/>
      <c r="V57" s="45"/>
    </row>
    <row r="58" spans="1:50">
      <c r="A58" s="23"/>
      <c r="B58" s="24"/>
      <c r="C58" s="26"/>
      <c r="D58" s="26"/>
      <c r="E58" s="14"/>
      <c r="F58" s="14"/>
      <c r="G58" s="14"/>
      <c r="H58" s="14"/>
      <c r="I58" s="26"/>
      <c r="J58" s="26"/>
      <c r="K58" s="26"/>
      <c r="L58" s="26"/>
      <c r="M58" s="26"/>
      <c r="N58" s="26"/>
      <c r="O58" s="45"/>
      <c r="P58" s="26"/>
      <c r="Q58" s="26"/>
      <c r="R58" s="45"/>
      <c r="S58" s="26"/>
      <c r="T58" s="45"/>
      <c r="U58" s="26"/>
      <c r="V58" s="45"/>
    </row>
    <row r="59" spans="1:50">
      <c r="A59" s="23"/>
      <c r="B59" s="24"/>
      <c r="C59" s="26"/>
      <c r="D59" s="26"/>
      <c r="E59" s="14"/>
      <c r="F59" s="14"/>
      <c r="G59" s="14"/>
      <c r="H59" s="14"/>
      <c r="I59" s="26"/>
      <c r="J59" s="26"/>
      <c r="K59" s="26"/>
      <c r="L59" s="26"/>
      <c r="M59" s="26"/>
      <c r="N59" s="26"/>
      <c r="O59" s="45"/>
      <c r="P59" s="26"/>
      <c r="Q59" s="26"/>
      <c r="R59" s="45"/>
      <c r="S59" s="26"/>
      <c r="T59" s="45"/>
      <c r="U59" s="26"/>
      <c r="V59" s="45"/>
    </row>
    <row r="60" spans="1:50">
      <c r="A60" s="23"/>
      <c r="B60" s="24"/>
      <c r="C60" s="26"/>
      <c r="D60" s="26"/>
      <c r="E60" s="14"/>
      <c r="F60" s="14"/>
      <c r="G60" s="14"/>
      <c r="H60" s="14"/>
      <c r="I60" s="26"/>
      <c r="J60" s="26"/>
      <c r="K60" s="26"/>
      <c r="L60" s="26"/>
      <c r="M60" s="26"/>
      <c r="N60" s="26"/>
      <c r="O60" s="45"/>
      <c r="P60" s="26"/>
      <c r="Q60" s="26"/>
      <c r="R60" s="45"/>
      <c r="S60" s="26"/>
      <c r="T60" s="45"/>
      <c r="U60" s="26"/>
      <c r="V60" s="45"/>
    </row>
    <row r="61" spans="1:50">
      <c r="A61" s="23"/>
      <c r="B61" s="24"/>
      <c r="C61" s="26"/>
      <c r="D61" s="26"/>
      <c r="E61" s="14"/>
      <c r="F61" s="14"/>
      <c r="G61" s="14"/>
      <c r="H61" s="14"/>
      <c r="I61" s="26"/>
      <c r="J61" s="26"/>
      <c r="K61" s="26"/>
      <c r="L61" s="26"/>
      <c r="M61" s="26"/>
      <c r="N61" s="26"/>
      <c r="O61" s="45"/>
      <c r="P61" s="26"/>
      <c r="Q61" s="26"/>
      <c r="R61" s="45"/>
      <c r="S61" s="26"/>
      <c r="T61" s="45"/>
      <c r="U61" s="26"/>
      <c r="V61" s="45"/>
    </row>
    <row r="62" spans="1:50">
      <c r="A62" s="23"/>
      <c r="B62" s="24"/>
      <c r="C62" s="26"/>
      <c r="D62" s="26"/>
      <c r="E62" s="14"/>
      <c r="F62" s="14"/>
      <c r="G62" s="14"/>
      <c r="H62" s="14"/>
      <c r="I62" s="26"/>
      <c r="J62" s="26"/>
      <c r="K62" s="26"/>
      <c r="L62" s="26"/>
      <c r="M62" s="26"/>
      <c r="N62" s="26"/>
      <c r="O62" s="45"/>
      <c r="P62" s="26"/>
      <c r="Q62" s="26"/>
      <c r="R62" s="45"/>
      <c r="S62" s="26"/>
      <c r="T62" s="45"/>
      <c r="U62" s="26"/>
      <c r="V62" s="45"/>
    </row>
    <row r="63" spans="1:50">
      <c r="A63" s="23"/>
      <c r="B63" s="24"/>
      <c r="C63" s="26"/>
      <c r="D63" s="26"/>
      <c r="E63" s="14"/>
      <c r="F63" s="14"/>
      <c r="G63" s="14"/>
      <c r="H63" s="14"/>
      <c r="I63" s="26"/>
      <c r="J63" s="26"/>
      <c r="K63" s="26"/>
      <c r="L63" s="26"/>
      <c r="M63" s="26"/>
      <c r="N63" s="26"/>
      <c r="O63" s="45"/>
      <c r="P63" s="26"/>
      <c r="Q63" s="26"/>
      <c r="R63" s="45"/>
      <c r="S63" s="26"/>
      <c r="T63" s="45"/>
      <c r="U63" s="26"/>
      <c r="V63" s="45"/>
    </row>
    <row r="64" spans="1:50">
      <c r="A64" s="23"/>
      <c r="B64" s="24"/>
      <c r="C64" s="26"/>
      <c r="D64" s="26"/>
      <c r="E64" s="14"/>
      <c r="F64" s="14"/>
      <c r="G64" s="14"/>
      <c r="H64" s="14"/>
      <c r="I64" s="26"/>
      <c r="J64" s="26"/>
      <c r="K64" s="26"/>
      <c r="L64" s="26"/>
      <c r="M64" s="26"/>
      <c r="N64" s="26"/>
      <c r="O64" s="45"/>
      <c r="P64" s="26"/>
      <c r="Q64" s="26"/>
      <c r="R64" s="45"/>
      <c r="S64" s="26"/>
      <c r="T64" s="45"/>
      <c r="U64" s="26"/>
      <c r="V64" s="45"/>
    </row>
    <row r="65" spans="1:22">
      <c r="A65" s="23"/>
      <c r="B65" s="24"/>
      <c r="C65" s="26"/>
      <c r="D65" s="26"/>
      <c r="E65" s="14"/>
      <c r="F65" s="14"/>
      <c r="G65" s="14"/>
      <c r="H65" s="14"/>
      <c r="I65" s="26"/>
      <c r="J65" s="26"/>
      <c r="K65" s="26"/>
      <c r="L65" s="26"/>
      <c r="M65" s="26"/>
      <c r="N65" s="26"/>
      <c r="O65" s="45"/>
      <c r="P65" s="26"/>
      <c r="Q65" s="26"/>
      <c r="R65" s="45"/>
      <c r="S65" s="26"/>
      <c r="T65" s="45"/>
      <c r="U65" s="26"/>
      <c r="V65" s="45"/>
    </row>
    <row r="66" spans="1:22">
      <c r="A66" s="23"/>
      <c r="B66" s="24"/>
      <c r="C66" s="26"/>
      <c r="D66" s="26"/>
      <c r="E66" s="14"/>
      <c r="F66" s="14"/>
      <c r="G66" s="14"/>
      <c r="H66" s="14"/>
      <c r="I66" s="26"/>
      <c r="J66" s="26"/>
      <c r="K66" s="26"/>
      <c r="L66" s="26"/>
      <c r="M66" s="26"/>
      <c r="N66" s="26"/>
      <c r="O66" s="45"/>
      <c r="P66" s="26"/>
      <c r="Q66" s="26"/>
      <c r="R66" s="45"/>
      <c r="S66" s="26"/>
      <c r="T66" s="45"/>
      <c r="U66" s="26"/>
      <c r="V66" s="45"/>
    </row>
    <row r="67" spans="1:22">
      <c r="A67" s="23"/>
      <c r="B67" s="24"/>
      <c r="C67" s="26"/>
      <c r="D67" s="26"/>
      <c r="E67" s="14"/>
      <c r="F67" s="14"/>
      <c r="G67" s="14"/>
      <c r="H67" s="14"/>
      <c r="I67" s="26"/>
      <c r="J67" s="26"/>
      <c r="K67" s="26"/>
      <c r="L67" s="26"/>
      <c r="M67" s="26"/>
      <c r="N67" s="26"/>
      <c r="O67" s="45"/>
      <c r="P67" s="26"/>
      <c r="Q67" s="26"/>
      <c r="R67" s="45"/>
      <c r="S67" s="26"/>
      <c r="T67" s="45"/>
      <c r="U67" s="26"/>
      <c r="V67" s="45"/>
    </row>
    <row r="68" spans="1:22">
      <c r="A68" s="23"/>
      <c r="B68" s="24"/>
      <c r="C68" s="26"/>
      <c r="D68" s="26"/>
      <c r="E68" s="14"/>
      <c r="F68" s="14"/>
      <c r="G68" s="14"/>
      <c r="H68" s="14"/>
      <c r="I68" s="26"/>
      <c r="J68" s="26"/>
      <c r="K68" s="26"/>
      <c r="L68" s="26"/>
      <c r="M68" s="26"/>
      <c r="N68" s="26"/>
      <c r="O68" s="45"/>
      <c r="P68" s="26"/>
      <c r="Q68" s="26"/>
      <c r="R68" s="45"/>
      <c r="S68" s="26"/>
      <c r="T68" s="45"/>
      <c r="U68" s="26"/>
      <c r="V68" s="45"/>
    </row>
    <row r="69" spans="1:22">
      <c r="A69" s="23"/>
      <c r="B69" s="24"/>
      <c r="C69" s="26"/>
      <c r="D69" s="26"/>
      <c r="E69" s="14"/>
      <c r="F69" s="14"/>
      <c r="G69" s="14"/>
      <c r="H69" s="14"/>
      <c r="I69" s="26"/>
      <c r="J69" s="26"/>
      <c r="K69" s="26"/>
      <c r="L69" s="26"/>
      <c r="M69" s="26"/>
      <c r="N69" s="26"/>
      <c r="O69" s="45"/>
      <c r="P69" s="26"/>
      <c r="Q69" s="26"/>
      <c r="R69" s="45"/>
      <c r="S69" s="26"/>
      <c r="T69" s="45"/>
      <c r="U69" s="26"/>
      <c r="V69" s="45"/>
    </row>
    <row r="70" spans="1:22">
      <c r="A70" s="23"/>
      <c r="B70" s="24"/>
      <c r="C70" s="26"/>
      <c r="D70" s="26"/>
      <c r="E70" s="14"/>
      <c r="F70" s="14"/>
      <c r="G70" s="14"/>
      <c r="H70" s="14"/>
      <c r="I70" s="26"/>
      <c r="J70" s="26"/>
      <c r="K70" s="26"/>
      <c r="L70" s="26"/>
      <c r="M70" s="26"/>
      <c r="N70" s="26"/>
      <c r="O70" s="45"/>
      <c r="P70" s="26"/>
      <c r="Q70" s="26"/>
      <c r="R70" s="45"/>
      <c r="S70" s="26"/>
      <c r="T70" s="45"/>
      <c r="U70" s="26"/>
      <c r="V70" s="45"/>
    </row>
    <row r="71" spans="1:22">
      <c r="A71" s="23"/>
      <c r="B71" s="24"/>
      <c r="C71" s="26"/>
      <c r="D71" s="26"/>
      <c r="E71" s="14"/>
      <c r="F71" s="14"/>
      <c r="G71" s="14"/>
      <c r="H71" s="14"/>
      <c r="I71" s="26"/>
      <c r="J71" s="26"/>
      <c r="K71" s="26"/>
      <c r="L71" s="26"/>
      <c r="M71" s="26"/>
      <c r="N71" s="26"/>
      <c r="O71" s="45"/>
      <c r="P71" s="26"/>
      <c r="Q71" s="26"/>
      <c r="R71" s="45"/>
      <c r="S71" s="26"/>
      <c r="T71" s="45"/>
      <c r="U71" s="26"/>
      <c r="V71" s="45"/>
    </row>
    <row r="72" spans="1:22">
      <c r="A72" s="23"/>
      <c r="B72" s="24"/>
      <c r="C72" s="26"/>
      <c r="D72" s="26"/>
      <c r="E72" s="14"/>
      <c r="F72" s="14"/>
      <c r="G72" s="14"/>
      <c r="H72" s="14"/>
      <c r="I72" s="26"/>
      <c r="J72" s="26"/>
      <c r="K72" s="26"/>
      <c r="L72" s="26"/>
      <c r="M72" s="26"/>
      <c r="N72" s="26"/>
      <c r="O72" s="45"/>
      <c r="P72" s="26"/>
      <c r="Q72" s="26"/>
      <c r="R72" s="45"/>
      <c r="S72" s="26"/>
      <c r="T72" s="45"/>
      <c r="U72" s="26"/>
      <c r="V72" s="45"/>
    </row>
    <row r="73" spans="1:22">
      <c r="A73" s="23"/>
      <c r="B73" s="24"/>
      <c r="C73" s="26"/>
      <c r="D73" s="26"/>
      <c r="E73" s="14"/>
      <c r="F73" s="14"/>
      <c r="G73" s="14"/>
      <c r="H73" s="14"/>
      <c r="I73" s="26"/>
      <c r="J73" s="26"/>
      <c r="K73" s="26"/>
      <c r="L73" s="26"/>
      <c r="M73" s="26"/>
      <c r="N73" s="26"/>
      <c r="O73" s="45"/>
      <c r="P73" s="26"/>
      <c r="Q73" s="26"/>
      <c r="R73" s="45"/>
      <c r="S73" s="26"/>
      <c r="T73" s="45"/>
      <c r="U73" s="26"/>
      <c r="V73" s="45"/>
    </row>
    <row r="74" spans="1:22">
      <c r="A74" s="23"/>
      <c r="B74" s="24"/>
      <c r="C74" s="26"/>
      <c r="D74" s="26"/>
      <c r="E74" s="14"/>
      <c r="F74" s="14"/>
      <c r="G74" s="14"/>
      <c r="H74" s="14"/>
      <c r="I74" s="26"/>
      <c r="J74" s="26"/>
      <c r="K74" s="26"/>
      <c r="L74" s="26"/>
      <c r="M74" s="26"/>
      <c r="N74" s="26"/>
      <c r="O74" s="45"/>
      <c r="P74" s="26"/>
      <c r="Q74" s="26"/>
      <c r="R74" s="45"/>
      <c r="S74" s="26"/>
      <c r="T74" s="45"/>
      <c r="U74" s="26"/>
      <c r="V74" s="45"/>
    </row>
    <row r="75" spans="1:22">
      <c r="A75" s="23"/>
      <c r="B75" s="24"/>
      <c r="C75" s="26"/>
      <c r="D75" s="26"/>
      <c r="E75" s="14"/>
      <c r="F75" s="14"/>
      <c r="G75" s="14"/>
      <c r="H75" s="14"/>
      <c r="I75" s="26"/>
      <c r="J75" s="26"/>
      <c r="K75" s="26"/>
      <c r="L75" s="26"/>
      <c r="M75" s="26"/>
      <c r="N75" s="26"/>
      <c r="O75" s="45"/>
      <c r="P75" s="26"/>
      <c r="Q75" s="26"/>
      <c r="R75" s="45"/>
      <c r="S75" s="26"/>
      <c r="T75" s="45"/>
      <c r="U75" s="26"/>
      <c r="V75" s="45"/>
    </row>
    <row r="76" spans="1:22">
      <c r="A76" s="23"/>
      <c r="B76" s="24"/>
      <c r="C76" s="26"/>
      <c r="D76" s="26"/>
      <c r="E76" s="14"/>
      <c r="F76" s="14"/>
      <c r="G76" s="14"/>
      <c r="H76" s="14"/>
      <c r="I76" s="26"/>
      <c r="J76" s="26"/>
      <c r="K76" s="26"/>
      <c r="L76" s="26"/>
      <c r="M76" s="26"/>
      <c r="N76" s="26"/>
      <c r="O76" s="45"/>
      <c r="P76" s="26"/>
      <c r="Q76" s="26"/>
      <c r="R76" s="45"/>
      <c r="S76" s="26"/>
      <c r="T76" s="45"/>
      <c r="U76" s="26"/>
      <c r="V76" s="45"/>
    </row>
    <row r="77" spans="1:22">
      <c r="A77" s="23"/>
      <c r="B77" s="24"/>
      <c r="C77" s="26"/>
      <c r="D77" s="26"/>
      <c r="E77" s="14"/>
      <c r="F77" s="14"/>
      <c r="G77" s="14"/>
      <c r="H77" s="14"/>
      <c r="I77" s="26"/>
      <c r="J77" s="26"/>
      <c r="K77" s="26"/>
      <c r="L77" s="26"/>
      <c r="M77" s="26"/>
      <c r="N77" s="26"/>
      <c r="O77" s="45"/>
      <c r="P77" s="26"/>
      <c r="Q77" s="26"/>
      <c r="R77" s="45"/>
      <c r="S77" s="26"/>
      <c r="T77" s="45"/>
      <c r="U77" s="26"/>
      <c r="V77" s="45"/>
    </row>
    <row r="78" spans="1:22">
      <c r="A78" s="23"/>
      <c r="B78" s="24"/>
      <c r="C78" s="26"/>
      <c r="D78" s="26"/>
      <c r="E78" s="14"/>
      <c r="F78" s="14"/>
      <c r="G78" s="14"/>
      <c r="H78" s="14"/>
      <c r="I78" s="26"/>
      <c r="J78" s="26"/>
      <c r="K78" s="26"/>
      <c r="L78" s="26"/>
      <c r="M78" s="26"/>
      <c r="N78" s="26"/>
      <c r="O78" s="45"/>
      <c r="P78" s="26"/>
      <c r="Q78" s="26"/>
      <c r="R78" s="45"/>
      <c r="S78" s="26"/>
      <c r="T78" s="45"/>
      <c r="U78" s="26"/>
      <c r="V78" s="45"/>
    </row>
    <row r="79" spans="1:22">
      <c r="A79" s="23"/>
      <c r="B79" s="24"/>
      <c r="C79" s="26"/>
      <c r="D79" s="26"/>
      <c r="E79" s="14"/>
      <c r="F79" s="14"/>
      <c r="G79" s="14"/>
      <c r="H79" s="14"/>
      <c r="I79" s="26"/>
      <c r="J79" s="26"/>
      <c r="K79" s="26"/>
      <c r="L79" s="26"/>
      <c r="M79" s="26"/>
      <c r="N79" s="26"/>
      <c r="O79" s="45"/>
      <c r="P79" s="26"/>
      <c r="Q79" s="26"/>
      <c r="R79" s="45"/>
      <c r="S79" s="26"/>
      <c r="T79" s="45"/>
      <c r="U79" s="26"/>
      <c r="V79" s="45"/>
    </row>
    <row r="80" spans="1:22">
      <c r="A80" s="23"/>
      <c r="B80" s="24"/>
      <c r="C80" s="26"/>
      <c r="D80" s="26"/>
      <c r="E80" s="14"/>
      <c r="F80" s="14"/>
      <c r="G80" s="14"/>
      <c r="H80" s="14"/>
      <c r="I80" s="26"/>
      <c r="J80" s="26"/>
      <c r="K80" s="26"/>
      <c r="L80" s="26"/>
      <c r="M80" s="26"/>
      <c r="N80" s="26"/>
      <c r="O80" s="45"/>
      <c r="P80" s="26"/>
      <c r="Q80" s="26"/>
      <c r="R80" s="45"/>
      <c r="S80" s="26"/>
      <c r="T80" s="45"/>
      <c r="U80" s="26"/>
      <c r="V80" s="45"/>
    </row>
    <row r="81" spans="1:22">
      <c r="A81" s="23"/>
      <c r="B81" s="24"/>
      <c r="C81" s="26"/>
      <c r="D81" s="26"/>
      <c r="E81" s="14"/>
      <c r="F81" s="14"/>
      <c r="G81" s="14"/>
      <c r="H81" s="14"/>
      <c r="I81" s="26"/>
      <c r="J81" s="26"/>
      <c r="K81" s="26"/>
      <c r="L81" s="26"/>
      <c r="M81" s="26"/>
      <c r="N81" s="26"/>
      <c r="O81" s="45"/>
      <c r="P81" s="26"/>
      <c r="Q81" s="26"/>
      <c r="R81" s="45"/>
      <c r="S81" s="26"/>
      <c r="T81" s="45"/>
      <c r="U81" s="26"/>
      <c r="V81" s="45"/>
    </row>
    <row r="82" spans="1:22">
      <c r="A82" s="23"/>
      <c r="B82" s="24"/>
      <c r="C82" s="26"/>
      <c r="D82" s="26"/>
      <c r="E82" s="14"/>
      <c r="F82" s="14"/>
      <c r="G82" s="14"/>
      <c r="H82" s="14"/>
      <c r="I82" s="26"/>
      <c r="J82" s="26"/>
      <c r="K82" s="26"/>
      <c r="L82" s="26"/>
      <c r="M82" s="26"/>
      <c r="N82" s="26"/>
      <c r="O82" s="45"/>
      <c r="P82" s="26"/>
      <c r="Q82" s="26"/>
      <c r="R82" s="45"/>
      <c r="S82" s="26"/>
      <c r="T82" s="45"/>
      <c r="U82" s="26"/>
      <c r="V82" s="45"/>
    </row>
    <row r="83" spans="1:22">
      <c r="A83" s="23"/>
      <c r="B83" s="24"/>
      <c r="C83" s="26"/>
      <c r="D83" s="26"/>
      <c r="E83" s="14"/>
      <c r="F83" s="14"/>
      <c r="G83" s="14"/>
      <c r="H83" s="14"/>
      <c r="I83" s="26"/>
      <c r="J83" s="26"/>
      <c r="K83" s="26"/>
      <c r="L83" s="26"/>
      <c r="M83" s="26"/>
      <c r="N83" s="26"/>
      <c r="O83" s="45"/>
      <c r="P83" s="26"/>
      <c r="Q83" s="26"/>
      <c r="R83" s="45"/>
      <c r="S83" s="26"/>
      <c r="T83" s="45"/>
      <c r="U83" s="26"/>
      <c r="V83" s="45"/>
    </row>
    <row r="84" spans="1:22">
      <c r="A84" s="23"/>
      <c r="B84" s="24"/>
      <c r="C84" s="26"/>
      <c r="D84" s="26"/>
      <c r="E84" s="14"/>
      <c r="F84" s="14"/>
      <c r="G84" s="14"/>
      <c r="H84" s="14"/>
      <c r="I84" s="26"/>
      <c r="J84" s="26"/>
      <c r="K84" s="26"/>
      <c r="L84" s="26"/>
      <c r="M84" s="26"/>
      <c r="N84" s="26"/>
      <c r="O84" s="45"/>
      <c r="P84" s="26"/>
      <c r="Q84" s="26"/>
      <c r="R84" s="45"/>
      <c r="S84" s="26"/>
      <c r="T84" s="45"/>
      <c r="U84" s="26"/>
      <c r="V84" s="45"/>
    </row>
    <row r="85" spans="1:22">
      <c r="A85" s="23"/>
      <c r="B85" s="24"/>
      <c r="C85" s="26"/>
      <c r="D85" s="26"/>
      <c r="E85" s="14"/>
      <c r="F85" s="14"/>
      <c r="G85" s="14"/>
      <c r="H85" s="14"/>
      <c r="I85" s="26"/>
      <c r="J85" s="26"/>
      <c r="K85" s="26"/>
      <c r="L85" s="26"/>
      <c r="M85" s="26"/>
      <c r="N85" s="26"/>
      <c r="O85" s="45"/>
      <c r="P85" s="26"/>
      <c r="Q85" s="26"/>
      <c r="R85" s="45"/>
      <c r="S85" s="26"/>
      <c r="T85" s="45"/>
      <c r="U85" s="26"/>
      <c r="V85" s="45"/>
    </row>
    <row r="86" spans="1:22">
      <c r="A86" s="23"/>
      <c r="B86" s="24"/>
      <c r="C86" s="26"/>
      <c r="D86" s="26"/>
      <c r="E86" s="14"/>
      <c r="F86" s="14"/>
      <c r="G86" s="14"/>
      <c r="H86" s="14"/>
      <c r="I86" s="26"/>
      <c r="J86" s="26"/>
      <c r="K86" s="26"/>
      <c r="L86" s="26"/>
      <c r="M86" s="26"/>
      <c r="N86" s="26"/>
      <c r="O86" s="45"/>
      <c r="P86" s="26"/>
      <c r="Q86" s="26"/>
      <c r="R86" s="45"/>
      <c r="S86" s="26"/>
      <c r="T86" s="45"/>
      <c r="U86" s="26"/>
      <c r="V86" s="45"/>
    </row>
    <row r="87" spans="1:22">
      <c r="A87" s="23"/>
      <c r="B87" s="24"/>
      <c r="C87" s="26"/>
      <c r="D87" s="26"/>
      <c r="E87" s="14"/>
      <c r="F87" s="14"/>
      <c r="G87" s="14"/>
      <c r="H87" s="14"/>
      <c r="I87" s="26"/>
      <c r="J87" s="26"/>
      <c r="K87" s="26"/>
      <c r="L87" s="26"/>
      <c r="M87" s="26"/>
      <c r="N87" s="26"/>
      <c r="O87" s="45"/>
      <c r="P87" s="26"/>
      <c r="Q87" s="26"/>
      <c r="R87" s="45"/>
      <c r="S87" s="26"/>
      <c r="T87" s="45"/>
      <c r="U87" s="26"/>
      <c r="V87" s="45"/>
    </row>
    <row r="88" spans="1:22">
      <c r="A88" s="23"/>
      <c r="B88" s="24"/>
      <c r="C88" s="26"/>
      <c r="D88" s="26"/>
      <c r="E88" s="14"/>
      <c r="F88" s="14"/>
      <c r="G88" s="14"/>
      <c r="H88" s="14"/>
      <c r="I88" s="26"/>
      <c r="J88" s="26"/>
      <c r="K88" s="26"/>
      <c r="L88" s="26"/>
      <c r="M88" s="26"/>
      <c r="N88" s="26"/>
      <c r="O88" s="45"/>
      <c r="P88" s="26"/>
      <c r="Q88" s="26"/>
      <c r="R88" s="45"/>
      <c r="S88" s="26"/>
      <c r="T88" s="45"/>
      <c r="U88" s="26"/>
      <c r="V88" s="45"/>
    </row>
    <row r="89" spans="1:22">
      <c r="A89" s="23"/>
      <c r="B89" s="24"/>
      <c r="C89" s="26"/>
      <c r="D89" s="26"/>
      <c r="E89" s="14"/>
      <c r="F89" s="14"/>
      <c r="G89" s="14"/>
      <c r="H89" s="14"/>
      <c r="I89" s="26"/>
      <c r="J89" s="26"/>
      <c r="K89" s="26"/>
      <c r="L89" s="26"/>
      <c r="M89" s="26"/>
      <c r="N89" s="26"/>
      <c r="O89" s="45"/>
      <c r="P89" s="26"/>
      <c r="Q89" s="26"/>
      <c r="R89" s="45"/>
      <c r="S89" s="26"/>
      <c r="T89" s="45"/>
      <c r="U89" s="26"/>
      <c r="V89" s="45"/>
    </row>
    <row r="90" spans="1:22">
      <c r="A90" s="23"/>
      <c r="B90" s="24"/>
      <c r="C90" s="26"/>
      <c r="D90" s="26"/>
      <c r="E90" s="14"/>
      <c r="F90" s="14"/>
      <c r="G90" s="14"/>
      <c r="H90" s="14"/>
      <c r="I90" s="26"/>
      <c r="J90" s="26"/>
      <c r="K90" s="26"/>
      <c r="L90" s="26"/>
      <c r="M90" s="26"/>
      <c r="N90" s="26"/>
      <c r="O90" s="45"/>
      <c r="P90" s="26"/>
      <c r="Q90" s="26"/>
      <c r="R90" s="45"/>
      <c r="S90" s="26"/>
      <c r="T90" s="45"/>
      <c r="U90" s="26"/>
      <c r="V90" s="45"/>
    </row>
    <row r="91" spans="1:22">
      <c r="A91" s="23"/>
      <c r="B91" s="24"/>
      <c r="C91" s="26"/>
      <c r="D91" s="26"/>
      <c r="E91" s="14"/>
      <c r="F91" s="14"/>
      <c r="G91" s="14"/>
      <c r="H91" s="14"/>
      <c r="I91" s="26"/>
      <c r="J91" s="26"/>
      <c r="K91" s="26"/>
      <c r="L91" s="26"/>
      <c r="M91" s="26"/>
      <c r="N91" s="26"/>
      <c r="O91" s="45"/>
      <c r="P91" s="26"/>
      <c r="Q91" s="26"/>
      <c r="R91" s="45"/>
      <c r="S91" s="26"/>
      <c r="T91" s="45"/>
      <c r="U91" s="26"/>
      <c r="V91" s="45"/>
    </row>
    <row r="92" spans="1:22">
      <c r="A92" s="23"/>
      <c r="B92" s="24"/>
      <c r="C92" s="26"/>
      <c r="D92" s="26"/>
      <c r="E92" s="14"/>
      <c r="F92" s="14"/>
      <c r="G92" s="14"/>
      <c r="H92" s="14"/>
      <c r="I92" s="26"/>
      <c r="J92" s="26"/>
      <c r="K92" s="26"/>
      <c r="L92" s="26"/>
      <c r="M92" s="26"/>
      <c r="N92" s="26"/>
      <c r="O92" s="45"/>
      <c r="P92" s="26"/>
      <c r="Q92" s="26"/>
      <c r="R92" s="45"/>
      <c r="S92" s="26"/>
      <c r="T92" s="45"/>
      <c r="U92" s="26"/>
      <c r="V92" s="45"/>
    </row>
    <row r="93" spans="1:22">
      <c r="A93" s="23"/>
      <c r="B93" s="24"/>
      <c r="C93" s="26"/>
      <c r="D93" s="26"/>
      <c r="E93" s="14"/>
      <c r="F93" s="14"/>
      <c r="G93" s="14"/>
      <c r="H93" s="14"/>
      <c r="I93" s="26"/>
      <c r="J93" s="26"/>
      <c r="K93" s="26"/>
      <c r="L93" s="26"/>
      <c r="M93" s="26"/>
      <c r="N93" s="26"/>
      <c r="O93" s="45"/>
      <c r="P93" s="26"/>
      <c r="Q93" s="26"/>
      <c r="R93" s="45"/>
      <c r="S93" s="26"/>
      <c r="T93" s="45"/>
      <c r="U93" s="26"/>
      <c r="V93" s="45"/>
    </row>
    <row r="94" spans="1:22">
      <c r="A94" s="23"/>
      <c r="B94" s="24"/>
      <c r="C94" s="26"/>
      <c r="D94" s="26"/>
      <c r="E94" s="14"/>
      <c r="F94" s="14"/>
      <c r="G94" s="14"/>
      <c r="H94" s="14"/>
      <c r="I94" s="26"/>
      <c r="J94" s="26"/>
      <c r="K94" s="26"/>
      <c r="L94" s="26"/>
      <c r="M94" s="26"/>
      <c r="N94" s="26"/>
      <c r="O94" s="45"/>
      <c r="P94" s="26"/>
      <c r="Q94" s="26"/>
      <c r="R94" s="45"/>
      <c r="S94" s="26"/>
      <c r="T94" s="45"/>
      <c r="U94" s="26"/>
      <c r="V94" s="45"/>
    </row>
    <row r="95" spans="1:22">
      <c r="A95" s="23"/>
      <c r="B95" s="24"/>
      <c r="C95" s="26"/>
      <c r="D95" s="26"/>
      <c r="E95" s="14"/>
      <c r="F95" s="14"/>
      <c r="G95" s="14"/>
      <c r="H95" s="14"/>
      <c r="I95" s="26"/>
      <c r="J95" s="26"/>
      <c r="K95" s="26"/>
      <c r="L95" s="26"/>
      <c r="M95" s="26"/>
      <c r="N95" s="26"/>
      <c r="O95" s="45"/>
      <c r="P95" s="26"/>
      <c r="Q95" s="26"/>
      <c r="R95" s="45"/>
      <c r="S95" s="26"/>
      <c r="T95" s="45"/>
      <c r="U95" s="26"/>
      <c r="V95" s="45"/>
    </row>
    <row r="96" spans="1:22">
      <c r="A96" s="23"/>
      <c r="B96" s="24"/>
      <c r="C96" s="26"/>
      <c r="D96" s="26"/>
      <c r="E96" s="14"/>
      <c r="F96" s="14"/>
      <c r="G96" s="14"/>
      <c r="H96" s="14"/>
      <c r="I96" s="26"/>
      <c r="J96" s="26"/>
      <c r="K96" s="26"/>
      <c r="L96" s="26"/>
      <c r="M96" s="26"/>
      <c r="N96" s="26"/>
      <c r="O96" s="45"/>
      <c r="P96" s="26"/>
      <c r="Q96" s="26"/>
      <c r="R96" s="45"/>
      <c r="S96" s="26"/>
      <c r="T96" s="45"/>
      <c r="U96" s="26"/>
      <c r="V96" s="45"/>
    </row>
    <row r="97" spans="1:22">
      <c r="A97" s="23"/>
      <c r="B97" s="24"/>
      <c r="C97" s="26"/>
      <c r="D97" s="26"/>
      <c r="E97" s="14"/>
      <c r="F97" s="14"/>
      <c r="G97" s="14"/>
      <c r="H97" s="14"/>
      <c r="I97" s="26"/>
      <c r="J97" s="26"/>
      <c r="K97" s="26"/>
      <c r="L97" s="26"/>
      <c r="M97" s="26"/>
      <c r="N97" s="26"/>
      <c r="O97" s="45"/>
      <c r="P97" s="26"/>
      <c r="Q97" s="26"/>
      <c r="R97" s="45"/>
      <c r="S97" s="26"/>
      <c r="T97" s="45"/>
      <c r="U97" s="26"/>
      <c r="V97" s="45"/>
    </row>
    <row r="98" spans="1:22">
      <c r="A98" s="23"/>
      <c r="B98" s="24"/>
      <c r="C98" s="26"/>
      <c r="D98" s="26"/>
      <c r="E98" s="14"/>
      <c r="F98" s="14"/>
      <c r="G98" s="14"/>
      <c r="H98" s="14"/>
      <c r="I98" s="26"/>
      <c r="J98" s="26"/>
      <c r="K98" s="26"/>
      <c r="L98" s="26"/>
      <c r="M98" s="26"/>
      <c r="N98" s="26"/>
      <c r="O98" s="45"/>
      <c r="P98" s="26"/>
      <c r="Q98" s="26"/>
      <c r="R98" s="45"/>
      <c r="S98" s="26"/>
      <c r="T98" s="45"/>
      <c r="U98" s="26"/>
      <c r="V98" s="45"/>
    </row>
    <row r="99" spans="1:22">
      <c r="A99" s="23"/>
      <c r="B99" s="24"/>
      <c r="C99" s="26"/>
      <c r="D99" s="26"/>
      <c r="E99" s="14"/>
      <c r="F99" s="14"/>
      <c r="G99" s="14"/>
      <c r="H99" s="14"/>
      <c r="I99" s="26"/>
      <c r="J99" s="26"/>
      <c r="K99" s="26"/>
      <c r="L99" s="26"/>
      <c r="M99" s="26"/>
      <c r="N99" s="26"/>
      <c r="O99" s="45"/>
      <c r="P99" s="26"/>
      <c r="Q99" s="26"/>
      <c r="R99" s="45"/>
      <c r="S99" s="26"/>
      <c r="T99" s="45"/>
      <c r="U99" s="26"/>
      <c r="V99" s="45"/>
    </row>
    <row r="100" spans="1:22">
      <c r="A100" s="23"/>
      <c r="B100" s="24"/>
      <c r="C100" s="26"/>
      <c r="D100" s="26"/>
      <c r="E100" s="14"/>
      <c r="F100" s="14"/>
      <c r="G100" s="14"/>
      <c r="H100" s="14"/>
      <c r="I100" s="26"/>
      <c r="J100" s="26"/>
      <c r="K100" s="26"/>
      <c r="L100" s="26"/>
      <c r="M100" s="26"/>
      <c r="N100" s="26"/>
      <c r="O100" s="45"/>
      <c r="P100" s="26"/>
      <c r="Q100" s="26"/>
      <c r="R100" s="45"/>
      <c r="S100" s="26"/>
      <c r="T100" s="45"/>
      <c r="U100" s="26"/>
      <c r="V100" s="45"/>
    </row>
    <row r="101" spans="1:22">
      <c r="A101" s="23"/>
      <c r="B101" s="24"/>
      <c r="C101" s="26"/>
      <c r="D101" s="26"/>
      <c r="E101" s="14"/>
      <c r="F101" s="14"/>
      <c r="G101" s="14"/>
      <c r="H101" s="14"/>
      <c r="I101" s="26"/>
      <c r="J101" s="26"/>
      <c r="K101" s="26"/>
      <c r="L101" s="26"/>
      <c r="M101" s="26"/>
      <c r="N101" s="26"/>
      <c r="O101" s="45"/>
      <c r="P101" s="26"/>
      <c r="Q101" s="26"/>
      <c r="R101" s="45"/>
      <c r="S101" s="26"/>
      <c r="T101" s="45"/>
      <c r="U101" s="26"/>
      <c r="V101" s="45"/>
    </row>
    <row r="102" spans="1:22">
      <c r="A102" s="23"/>
      <c r="B102" s="24"/>
      <c r="C102" s="26"/>
      <c r="D102" s="26"/>
      <c r="E102" s="14"/>
      <c r="F102" s="14"/>
      <c r="G102" s="14"/>
      <c r="H102" s="14"/>
      <c r="I102" s="26"/>
      <c r="J102" s="26"/>
      <c r="K102" s="26"/>
      <c r="L102" s="26"/>
      <c r="M102" s="26"/>
      <c r="N102" s="26"/>
      <c r="O102" s="45"/>
      <c r="P102" s="26"/>
      <c r="Q102" s="26"/>
      <c r="R102" s="45"/>
      <c r="S102" s="26"/>
      <c r="T102" s="45"/>
      <c r="U102" s="26"/>
      <c r="V102" s="45"/>
    </row>
    <row r="103" spans="1:22">
      <c r="A103" s="23"/>
      <c r="B103" s="24"/>
      <c r="C103" s="26"/>
      <c r="D103" s="26"/>
      <c r="E103" s="14"/>
      <c r="F103" s="14"/>
      <c r="G103" s="14"/>
      <c r="H103" s="14"/>
      <c r="I103" s="26"/>
      <c r="J103" s="26"/>
      <c r="K103" s="26"/>
      <c r="L103" s="26"/>
      <c r="M103" s="26"/>
      <c r="N103" s="26"/>
      <c r="O103" s="45"/>
      <c r="P103" s="26"/>
      <c r="Q103" s="26"/>
      <c r="R103" s="45"/>
      <c r="S103" s="26"/>
      <c r="T103" s="45"/>
      <c r="U103" s="26"/>
      <c r="V103" s="45"/>
    </row>
    <row r="104" spans="1:22">
      <c r="A104" s="23"/>
      <c r="B104" s="24"/>
      <c r="C104" s="26"/>
      <c r="D104" s="26"/>
      <c r="E104" s="14"/>
      <c r="F104" s="14"/>
      <c r="G104" s="14"/>
      <c r="H104" s="14"/>
      <c r="I104" s="26"/>
      <c r="J104" s="26"/>
      <c r="K104" s="26"/>
      <c r="L104" s="26"/>
      <c r="M104" s="26"/>
      <c r="N104" s="26"/>
      <c r="O104" s="45"/>
      <c r="P104" s="26"/>
      <c r="Q104" s="26"/>
      <c r="R104" s="45"/>
      <c r="S104" s="26"/>
      <c r="T104" s="45"/>
      <c r="U104" s="26"/>
      <c r="V104" s="45"/>
    </row>
    <row r="105" spans="1:22">
      <c r="A105" s="23"/>
      <c r="B105" s="24"/>
      <c r="C105" s="26"/>
      <c r="D105" s="26"/>
      <c r="E105" s="14"/>
      <c r="F105" s="14"/>
      <c r="G105" s="14"/>
      <c r="H105" s="14"/>
      <c r="I105" s="26"/>
      <c r="J105" s="26"/>
      <c r="K105" s="26"/>
      <c r="L105" s="26"/>
      <c r="M105" s="26"/>
      <c r="N105" s="26"/>
      <c r="O105" s="45"/>
      <c r="P105" s="26"/>
      <c r="Q105" s="26"/>
      <c r="R105" s="45"/>
      <c r="S105" s="26"/>
      <c r="T105" s="45"/>
      <c r="U105" s="26"/>
      <c r="V105" s="45"/>
    </row>
    <row r="106" spans="1:22">
      <c r="A106" s="23"/>
      <c r="B106" s="24"/>
      <c r="C106" s="26"/>
      <c r="D106" s="26"/>
      <c r="E106" s="14"/>
      <c r="F106" s="14"/>
      <c r="G106" s="14"/>
      <c r="H106" s="14"/>
      <c r="I106" s="26"/>
      <c r="J106" s="26"/>
      <c r="K106" s="26"/>
      <c r="L106" s="26"/>
      <c r="M106" s="26"/>
      <c r="N106" s="26"/>
      <c r="O106" s="45"/>
      <c r="P106" s="26"/>
      <c r="Q106" s="26"/>
      <c r="R106" s="45"/>
      <c r="S106" s="26"/>
      <c r="T106" s="45"/>
      <c r="U106" s="26"/>
      <c r="V106" s="45"/>
    </row>
    <row r="107" spans="1:22">
      <c r="A107" s="23"/>
      <c r="B107" s="24"/>
      <c r="C107" s="26"/>
      <c r="D107" s="26"/>
      <c r="E107" s="14"/>
      <c r="F107" s="14"/>
      <c r="G107" s="14"/>
      <c r="H107" s="14"/>
      <c r="I107" s="26"/>
      <c r="J107" s="26"/>
      <c r="K107" s="26"/>
      <c r="L107" s="26"/>
      <c r="M107" s="26"/>
      <c r="N107" s="26"/>
      <c r="O107" s="45"/>
      <c r="P107" s="26"/>
      <c r="Q107" s="26"/>
      <c r="R107" s="45"/>
      <c r="S107" s="26"/>
      <c r="T107" s="45"/>
      <c r="U107" s="26"/>
      <c r="V107" s="45"/>
    </row>
    <row r="108" spans="1:22">
      <c r="A108" s="23"/>
      <c r="B108" s="24"/>
      <c r="C108" s="26"/>
      <c r="D108" s="26"/>
      <c r="E108" s="14"/>
      <c r="F108" s="14"/>
      <c r="G108" s="14"/>
      <c r="H108" s="14"/>
      <c r="I108" s="26"/>
      <c r="J108" s="26"/>
      <c r="K108" s="26"/>
      <c r="L108" s="26"/>
      <c r="M108" s="26"/>
      <c r="N108" s="26"/>
      <c r="O108" s="45"/>
      <c r="P108" s="26"/>
      <c r="Q108" s="26"/>
      <c r="R108" s="45"/>
      <c r="S108" s="26"/>
      <c r="T108" s="45"/>
      <c r="U108" s="26"/>
      <c r="V108" s="45"/>
    </row>
    <row r="109" spans="1:22">
      <c r="A109" s="23"/>
      <c r="B109" s="24"/>
      <c r="C109" s="26"/>
      <c r="D109" s="26"/>
      <c r="E109" s="14"/>
      <c r="F109" s="14"/>
      <c r="G109" s="14"/>
      <c r="H109" s="14"/>
      <c r="I109" s="26"/>
      <c r="J109" s="26"/>
      <c r="K109" s="26"/>
      <c r="L109" s="26"/>
      <c r="M109" s="26"/>
      <c r="N109" s="26"/>
      <c r="O109" s="45"/>
      <c r="P109" s="26"/>
      <c r="Q109" s="26"/>
      <c r="R109" s="45"/>
      <c r="S109" s="26"/>
      <c r="T109" s="45"/>
      <c r="U109" s="26"/>
      <c r="V109" s="45"/>
    </row>
    <row r="110" spans="1:22">
      <c r="A110" s="23"/>
      <c r="B110" s="24"/>
      <c r="C110" s="26"/>
      <c r="D110" s="26"/>
      <c r="E110" s="14"/>
      <c r="F110" s="14"/>
      <c r="G110" s="14"/>
      <c r="H110" s="14"/>
      <c r="I110" s="26"/>
      <c r="J110" s="26"/>
      <c r="K110" s="26"/>
      <c r="L110" s="26"/>
      <c r="M110" s="26"/>
      <c r="N110" s="26"/>
      <c r="O110" s="45"/>
      <c r="P110" s="26"/>
      <c r="Q110" s="26"/>
      <c r="R110" s="45"/>
      <c r="S110" s="26"/>
      <c r="T110" s="45"/>
      <c r="U110" s="26"/>
      <c r="V110" s="45"/>
    </row>
    <row r="111" spans="1:22">
      <c r="A111" s="23"/>
      <c r="B111" s="24"/>
      <c r="C111" s="26"/>
      <c r="D111" s="26"/>
      <c r="E111" s="14"/>
      <c r="F111" s="14"/>
      <c r="G111" s="14"/>
      <c r="H111" s="14"/>
      <c r="I111" s="26"/>
      <c r="J111" s="26"/>
      <c r="K111" s="26"/>
      <c r="L111" s="26"/>
      <c r="M111" s="26"/>
      <c r="N111" s="26"/>
      <c r="O111" s="45"/>
      <c r="P111" s="26"/>
      <c r="Q111" s="26"/>
      <c r="R111" s="45"/>
      <c r="S111" s="26"/>
      <c r="T111" s="45"/>
      <c r="U111" s="26"/>
      <c r="V111" s="45"/>
    </row>
    <row r="112" spans="1:22">
      <c r="A112" s="23"/>
      <c r="B112" s="24"/>
      <c r="C112" s="26"/>
      <c r="D112" s="26"/>
      <c r="E112" s="14"/>
      <c r="F112" s="14"/>
      <c r="G112" s="14"/>
      <c r="H112" s="14"/>
      <c r="I112" s="26"/>
      <c r="J112" s="26"/>
      <c r="K112" s="26"/>
      <c r="L112" s="26"/>
      <c r="M112" s="26"/>
      <c r="N112" s="26"/>
      <c r="O112" s="45"/>
      <c r="P112" s="26"/>
      <c r="Q112" s="26"/>
      <c r="R112" s="45"/>
      <c r="S112" s="26"/>
      <c r="T112" s="45"/>
      <c r="U112" s="26"/>
      <c r="V112" s="45"/>
    </row>
    <row r="113" spans="1:22">
      <c r="A113" s="23"/>
      <c r="B113" s="24"/>
      <c r="C113" s="26"/>
      <c r="D113" s="26"/>
      <c r="E113" s="14"/>
      <c r="F113" s="14"/>
      <c r="G113" s="14"/>
      <c r="H113" s="14"/>
      <c r="I113" s="26"/>
      <c r="J113" s="26"/>
      <c r="K113" s="26"/>
      <c r="L113" s="26"/>
      <c r="M113" s="26"/>
      <c r="N113" s="26"/>
      <c r="O113" s="45"/>
      <c r="P113" s="26"/>
      <c r="Q113" s="26"/>
      <c r="R113" s="45"/>
      <c r="S113" s="26"/>
      <c r="T113" s="45"/>
      <c r="U113" s="26"/>
      <c r="V113" s="45"/>
    </row>
    <row r="114" spans="1:22">
      <c r="A114" s="23"/>
      <c r="B114" s="24"/>
      <c r="C114" s="26"/>
      <c r="D114" s="26"/>
      <c r="E114" s="14"/>
      <c r="F114" s="14"/>
      <c r="G114" s="14"/>
      <c r="H114" s="14"/>
      <c r="I114" s="26"/>
      <c r="J114" s="26"/>
      <c r="K114" s="26"/>
      <c r="L114" s="26"/>
      <c r="M114" s="26"/>
      <c r="N114" s="26"/>
      <c r="O114" s="45"/>
      <c r="P114" s="26"/>
      <c r="Q114" s="26"/>
      <c r="R114" s="45"/>
      <c r="S114" s="26"/>
      <c r="T114" s="45"/>
      <c r="U114" s="26"/>
      <c r="V114" s="45"/>
    </row>
    <row r="115" spans="1:22">
      <c r="A115" s="23"/>
      <c r="B115" s="24"/>
      <c r="C115" s="26"/>
      <c r="D115" s="26"/>
      <c r="E115" s="14"/>
      <c r="F115" s="14"/>
      <c r="G115" s="14"/>
      <c r="H115" s="14"/>
      <c r="I115" s="26"/>
      <c r="J115" s="26"/>
      <c r="K115" s="26"/>
      <c r="L115" s="26"/>
      <c r="M115" s="26"/>
      <c r="N115" s="26"/>
      <c r="O115" s="45"/>
      <c r="P115" s="26"/>
      <c r="Q115" s="26"/>
      <c r="R115" s="45"/>
      <c r="S115" s="26"/>
      <c r="T115" s="45"/>
      <c r="U115" s="26"/>
      <c r="V115" s="45"/>
    </row>
    <row r="116" spans="1:22">
      <c r="A116" s="23"/>
      <c r="B116" s="24"/>
      <c r="C116" s="26"/>
      <c r="D116" s="26"/>
      <c r="E116" s="14"/>
      <c r="F116" s="14"/>
      <c r="G116" s="14"/>
      <c r="H116" s="14"/>
      <c r="I116" s="26"/>
      <c r="J116" s="26"/>
      <c r="K116" s="26"/>
      <c r="L116" s="26"/>
      <c r="M116" s="26"/>
      <c r="N116" s="26"/>
      <c r="O116" s="45"/>
      <c r="P116" s="26"/>
      <c r="Q116" s="26"/>
      <c r="R116" s="45"/>
      <c r="S116" s="26"/>
      <c r="T116" s="45"/>
      <c r="U116" s="26"/>
      <c r="V116" s="45"/>
    </row>
    <row r="117" spans="1:22">
      <c r="A117" s="23"/>
      <c r="B117" s="24"/>
      <c r="C117" s="26"/>
      <c r="D117" s="26"/>
      <c r="E117" s="14"/>
      <c r="F117" s="14"/>
      <c r="G117" s="14"/>
      <c r="H117" s="14"/>
      <c r="I117" s="26"/>
      <c r="J117" s="26"/>
      <c r="K117" s="26"/>
      <c r="L117" s="26"/>
      <c r="M117" s="26"/>
      <c r="N117" s="26"/>
      <c r="O117" s="45"/>
      <c r="P117" s="26"/>
      <c r="Q117" s="26"/>
      <c r="R117" s="45"/>
      <c r="S117" s="26"/>
      <c r="T117" s="45"/>
      <c r="U117" s="26"/>
      <c r="V117" s="45"/>
    </row>
    <row r="118" spans="1:22">
      <c r="A118" s="23"/>
      <c r="B118" s="24"/>
      <c r="C118" s="26"/>
      <c r="D118" s="26"/>
      <c r="E118" s="14"/>
      <c r="F118" s="14"/>
      <c r="G118" s="14"/>
      <c r="H118" s="14"/>
      <c r="I118" s="26"/>
      <c r="J118" s="26"/>
      <c r="K118" s="26"/>
      <c r="L118" s="26"/>
      <c r="M118" s="26"/>
      <c r="N118" s="26"/>
      <c r="O118" s="45"/>
      <c r="P118" s="26"/>
      <c r="Q118" s="26"/>
      <c r="R118" s="45"/>
      <c r="S118" s="26"/>
      <c r="T118" s="45"/>
      <c r="U118" s="26"/>
      <c r="V118" s="45"/>
    </row>
    <row r="119" spans="1:22">
      <c r="A119" s="23"/>
      <c r="B119" s="24"/>
      <c r="C119" s="26"/>
      <c r="D119" s="26"/>
      <c r="E119" s="14"/>
      <c r="F119" s="14"/>
      <c r="G119" s="14"/>
      <c r="H119" s="14"/>
      <c r="I119" s="26"/>
      <c r="J119" s="26"/>
      <c r="K119" s="26"/>
      <c r="L119" s="26"/>
      <c r="M119" s="26"/>
      <c r="N119" s="26"/>
      <c r="O119" s="45"/>
      <c r="P119" s="26"/>
      <c r="Q119" s="26"/>
      <c r="R119" s="45"/>
      <c r="S119" s="26"/>
      <c r="T119" s="45"/>
      <c r="U119" s="26"/>
      <c r="V119" s="45"/>
    </row>
    <row r="120" spans="1:22">
      <c r="A120" s="23"/>
      <c r="B120" s="24"/>
      <c r="C120" s="26"/>
      <c r="D120" s="26"/>
      <c r="E120" s="14"/>
      <c r="F120" s="14"/>
      <c r="G120" s="14"/>
      <c r="H120" s="14"/>
      <c r="I120" s="26"/>
      <c r="J120" s="26"/>
      <c r="K120" s="26"/>
      <c r="L120" s="26"/>
      <c r="M120" s="26"/>
      <c r="N120" s="26"/>
      <c r="O120" s="45"/>
      <c r="P120" s="26"/>
      <c r="Q120" s="26"/>
      <c r="R120" s="45"/>
      <c r="S120" s="26"/>
      <c r="T120" s="45"/>
      <c r="U120" s="26"/>
      <c r="V120" s="45"/>
    </row>
    <row r="121" spans="1:22">
      <c r="A121" s="23"/>
      <c r="B121" s="24"/>
      <c r="C121" s="26"/>
      <c r="D121" s="26"/>
      <c r="E121" s="14"/>
      <c r="F121" s="14"/>
      <c r="G121" s="14"/>
      <c r="H121" s="14"/>
      <c r="I121" s="26"/>
      <c r="J121" s="26"/>
      <c r="K121" s="26"/>
      <c r="L121" s="26"/>
      <c r="M121" s="26"/>
      <c r="N121" s="26"/>
      <c r="O121" s="45"/>
      <c r="P121" s="26"/>
      <c r="Q121" s="26"/>
      <c r="R121" s="45"/>
      <c r="S121" s="26"/>
      <c r="T121" s="45"/>
      <c r="U121" s="26"/>
      <c r="V121" s="45"/>
    </row>
    <row r="122" spans="1:22">
      <c r="A122" s="23"/>
      <c r="B122" s="24"/>
      <c r="C122" s="26"/>
      <c r="D122" s="26"/>
      <c r="E122" s="14"/>
      <c r="F122" s="14"/>
      <c r="G122" s="14"/>
      <c r="H122" s="14"/>
      <c r="I122" s="26"/>
      <c r="J122" s="26"/>
      <c r="K122" s="26"/>
      <c r="L122" s="26"/>
      <c r="M122" s="26"/>
      <c r="N122" s="26"/>
      <c r="O122" s="45"/>
      <c r="P122" s="26"/>
      <c r="Q122" s="26"/>
      <c r="R122" s="45"/>
      <c r="S122" s="26"/>
      <c r="T122" s="45"/>
      <c r="U122" s="26"/>
      <c r="V122" s="45"/>
    </row>
    <row r="123" spans="1:22">
      <c r="A123" s="23"/>
      <c r="B123" s="24"/>
      <c r="C123" s="26"/>
      <c r="D123" s="26"/>
      <c r="E123" s="14"/>
      <c r="F123" s="14"/>
      <c r="G123" s="14"/>
      <c r="H123" s="14"/>
      <c r="I123" s="26"/>
      <c r="J123" s="26"/>
      <c r="K123" s="26"/>
      <c r="L123" s="26"/>
      <c r="M123" s="26"/>
      <c r="N123" s="26"/>
      <c r="O123" s="45"/>
      <c r="P123" s="26"/>
      <c r="Q123" s="26"/>
      <c r="R123" s="45"/>
      <c r="S123" s="26"/>
      <c r="T123" s="45"/>
      <c r="U123" s="26"/>
      <c r="V123" s="45"/>
    </row>
    <row r="124" spans="1:22">
      <c r="A124" s="23"/>
      <c r="B124" s="24"/>
      <c r="C124" s="26"/>
      <c r="D124" s="26"/>
      <c r="E124" s="14"/>
      <c r="F124" s="14"/>
      <c r="G124" s="14"/>
      <c r="H124" s="14"/>
      <c r="I124" s="26"/>
      <c r="J124" s="26"/>
      <c r="K124" s="26"/>
      <c r="L124" s="26"/>
      <c r="M124" s="26"/>
      <c r="N124" s="26"/>
      <c r="O124" s="45"/>
      <c r="P124" s="26"/>
      <c r="Q124" s="26"/>
      <c r="R124" s="45"/>
      <c r="S124" s="26"/>
      <c r="T124" s="45"/>
      <c r="U124" s="26"/>
      <c r="V124" s="45"/>
    </row>
    <row r="125" spans="1:22">
      <c r="A125" s="23"/>
      <c r="B125" s="24"/>
      <c r="C125" s="26"/>
      <c r="D125" s="26"/>
      <c r="E125" s="14"/>
      <c r="F125" s="14"/>
      <c r="G125" s="14"/>
      <c r="H125" s="14"/>
      <c r="I125" s="26"/>
      <c r="J125" s="26"/>
      <c r="K125" s="26"/>
      <c r="L125" s="26"/>
      <c r="M125" s="26"/>
      <c r="N125" s="26"/>
      <c r="O125" s="45"/>
      <c r="P125" s="26"/>
      <c r="Q125" s="26"/>
      <c r="R125" s="45"/>
      <c r="S125" s="26"/>
      <c r="T125" s="45"/>
      <c r="U125" s="26"/>
      <c r="V125" s="45"/>
    </row>
    <row r="126" spans="1:22">
      <c r="A126" s="23"/>
      <c r="B126" s="24"/>
      <c r="C126" s="26"/>
      <c r="D126" s="26"/>
      <c r="E126" s="14"/>
      <c r="F126" s="14"/>
      <c r="G126" s="14"/>
      <c r="H126" s="14"/>
      <c r="I126" s="26"/>
      <c r="J126" s="26"/>
      <c r="K126" s="26"/>
      <c r="L126" s="26"/>
      <c r="M126" s="26"/>
      <c r="N126" s="26"/>
      <c r="O126" s="45"/>
      <c r="P126" s="26"/>
      <c r="Q126" s="26"/>
      <c r="R126" s="45"/>
      <c r="S126" s="26"/>
      <c r="T126" s="45"/>
      <c r="U126" s="26"/>
      <c r="V126" s="45"/>
    </row>
    <row r="127" spans="1:22">
      <c r="A127" s="23"/>
      <c r="B127" s="24"/>
      <c r="C127" s="26"/>
      <c r="D127" s="26"/>
      <c r="E127" s="14"/>
      <c r="F127" s="14"/>
      <c r="G127" s="14"/>
      <c r="H127" s="14"/>
      <c r="I127" s="26"/>
      <c r="J127" s="26"/>
      <c r="K127" s="26"/>
      <c r="L127" s="26"/>
      <c r="M127" s="26"/>
      <c r="N127" s="26"/>
      <c r="O127" s="45"/>
      <c r="P127" s="26"/>
      <c r="Q127" s="26"/>
      <c r="R127" s="45"/>
      <c r="S127" s="26"/>
      <c r="T127" s="45"/>
      <c r="U127" s="26"/>
      <c r="V127" s="45"/>
    </row>
    <row r="128" spans="1:22">
      <c r="A128" s="23"/>
      <c r="B128" s="24"/>
      <c r="C128" s="26"/>
      <c r="D128" s="26"/>
      <c r="E128" s="14"/>
      <c r="F128" s="14"/>
      <c r="G128" s="14"/>
      <c r="H128" s="14"/>
      <c r="I128" s="26"/>
      <c r="J128" s="26"/>
      <c r="K128" s="26"/>
      <c r="L128" s="26"/>
      <c r="M128" s="26"/>
      <c r="N128" s="26"/>
      <c r="O128" s="45"/>
      <c r="P128" s="26"/>
      <c r="Q128" s="26"/>
      <c r="R128" s="45"/>
      <c r="S128" s="26"/>
      <c r="T128" s="45"/>
      <c r="U128" s="26"/>
      <c r="V128" s="45"/>
    </row>
    <row r="129" spans="1:22">
      <c r="A129" s="23"/>
      <c r="B129" s="24"/>
      <c r="C129" s="26"/>
      <c r="D129" s="26"/>
      <c r="E129" s="14"/>
      <c r="F129" s="14"/>
      <c r="G129" s="14"/>
      <c r="H129" s="14"/>
      <c r="I129" s="26"/>
      <c r="J129" s="26"/>
      <c r="K129" s="26"/>
      <c r="L129" s="26"/>
      <c r="M129" s="26"/>
      <c r="N129" s="26"/>
      <c r="O129" s="45"/>
      <c r="P129" s="26"/>
      <c r="Q129" s="26"/>
      <c r="R129" s="45"/>
      <c r="S129" s="26"/>
      <c r="T129" s="45"/>
      <c r="U129" s="26"/>
      <c r="V129" s="45"/>
    </row>
    <row r="130" spans="1:22">
      <c r="A130" s="23"/>
      <c r="B130" s="24"/>
      <c r="C130" s="26"/>
      <c r="D130" s="26"/>
      <c r="E130" s="14"/>
      <c r="F130" s="14"/>
      <c r="G130" s="14"/>
      <c r="H130" s="14"/>
      <c r="I130" s="26"/>
      <c r="J130" s="26"/>
      <c r="K130" s="26"/>
      <c r="L130" s="26"/>
      <c r="M130" s="26"/>
      <c r="N130" s="26"/>
      <c r="O130" s="45"/>
      <c r="P130" s="26"/>
      <c r="Q130" s="26"/>
      <c r="R130" s="45"/>
      <c r="S130" s="26"/>
      <c r="T130" s="45"/>
      <c r="U130" s="26"/>
      <c r="V130" s="45"/>
    </row>
    <row r="131" spans="1:22">
      <c r="A131" s="23"/>
      <c r="B131" s="24"/>
      <c r="C131" s="26"/>
      <c r="D131" s="26"/>
      <c r="E131" s="14"/>
      <c r="F131" s="14"/>
      <c r="G131" s="14"/>
      <c r="H131" s="14"/>
      <c r="I131" s="26"/>
      <c r="J131" s="26"/>
      <c r="K131" s="26"/>
      <c r="L131" s="26"/>
      <c r="M131" s="26"/>
      <c r="N131" s="26"/>
      <c r="O131" s="45"/>
      <c r="P131" s="26"/>
      <c r="Q131" s="26"/>
      <c r="R131" s="45"/>
      <c r="S131" s="26"/>
      <c r="T131" s="45"/>
      <c r="U131" s="26"/>
      <c r="V131" s="45"/>
    </row>
    <row r="132" spans="1:22">
      <c r="A132" s="23"/>
      <c r="B132" s="24"/>
      <c r="C132" s="26"/>
      <c r="D132" s="26"/>
      <c r="E132" s="14"/>
      <c r="F132" s="14"/>
      <c r="G132" s="14"/>
      <c r="H132" s="14"/>
      <c r="I132" s="26"/>
      <c r="J132" s="26"/>
      <c r="K132" s="26"/>
      <c r="L132" s="26"/>
      <c r="M132" s="26"/>
      <c r="N132" s="26"/>
      <c r="O132" s="45"/>
      <c r="P132" s="26"/>
      <c r="Q132" s="26"/>
      <c r="R132" s="45"/>
      <c r="S132" s="26"/>
      <c r="T132" s="45"/>
      <c r="U132" s="26"/>
      <c r="V132" s="45"/>
    </row>
    <row r="133" spans="1:22">
      <c r="A133" s="23"/>
      <c r="B133" s="24"/>
      <c r="C133" s="26"/>
      <c r="D133" s="26"/>
      <c r="E133" s="14"/>
      <c r="F133" s="14"/>
      <c r="G133" s="14"/>
      <c r="H133" s="14"/>
      <c r="I133" s="26"/>
      <c r="J133" s="26"/>
      <c r="K133" s="26"/>
      <c r="L133" s="26"/>
      <c r="M133" s="26"/>
      <c r="N133" s="26"/>
      <c r="O133" s="45"/>
      <c r="P133" s="26"/>
      <c r="Q133" s="26"/>
      <c r="R133" s="45"/>
      <c r="S133" s="26"/>
      <c r="T133" s="45"/>
      <c r="U133" s="26"/>
      <c r="V133" s="45"/>
    </row>
    <row r="134" spans="1:22">
      <c r="A134" s="23"/>
      <c r="B134" s="24"/>
      <c r="C134" s="26"/>
      <c r="D134" s="26"/>
      <c r="E134" s="14"/>
      <c r="F134" s="14"/>
      <c r="G134" s="14"/>
      <c r="H134" s="14"/>
      <c r="I134" s="26"/>
      <c r="J134" s="26"/>
      <c r="K134" s="26"/>
      <c r="L134" s="26"/>
      <c r="M134" s="26"/>
      <c r="N134" s="26"/>
      <c r="O134" s="45"/>
      <c r="P134" s="26"/>
      <c r="Q134" s="26"/>
      <c r="R134" s="45"/>
      <c r="S134" s="26"/>
      <c r="T134" s="45"/>
      <c r="U134" s="26"/>
      <c r="V134" s="45"/>
    </row>
    <row r="135" spans="1:22">
      <c r="A135" s="23"/>
      <c r="B135" s="24"/>
      <c r="C135" s="26"/>
      <c r="D135" s="26"/>
      <c r="E135" s="14"/>
      <c r="F135" s="14"/>
      <c r="G135" s="14"/>
      <c r="H135" s="14"/>
      <c r="I135" s="26"/>
      <c r="J135" s="26"/>
      <c r="K135" s="26"/>
      <c r="L135" s="26"/>
      <c r="M135" s="26"/>
      <c r="N135" s="26"/>
      <c r="O135" s="45"/>
      <c r="P135" s="26"/>
      <c r="Q135" s="26"/>
      <c r="R135" s="45"/>
      <c r="S135" s="26"/>
      <c r="T135" s="45"/>
      <c r="U135" s="26"/>
      <c r="V135" s="45"/>
    </row>
    <row r="136" spans="1:22">
      <c r="A136" s="23"/>
      <c r="B136" s="24"/>
      <c r="C136" s="26"/>
      <c r="D136" s="26"/>
      <c r="E136" s="14"/>
      <c r="F136" s="14"/>
      <c r="G136" s="14"/>
      <c r="H136" s="14"/>
      <c r="I136" s="26"/>
      <c r="J136" s="26"/>
      <c r="K136" s="26"/>
      <c r="L136" s="26"/>
      <c r="M136" s="26"/>
      <c r="N136" s="26"/>
      <c r="O136" s="45"/>
      <c r="P136" s="26"/>
      <c r="Q136" s="26"/>
      <c r="R136" s="45"/>
      <c r="S136" s="26"/>
      <c r="T136" s="45"/>
      <c r="U136" s="26"/>
      <c r="V136" s="45"/>
    </row>
    <row r="137" spans="1:22">
      <c r="A137" s="23"/>
      <c r="B137" s="24"/>
      <c r="C137" s="26"/>
      <c r="D137" s="26"/>
      <c r="E137" s="14"/>
      <c r="F137" s="14"/>
      <c r="G137" s="14"/>
      <c r="H137" s="14"/>
      <c r="I137" s="26"/>
      <c r="J137" s="26"/>
      <c r="K137" s="26"/>
      <c r="L137" s="26"/>
      <c r="M137" s="26"/>
      <c r="N137" s="26"/>
      <c r="O137" s="45"/>
      <c r="P137" s="26"/>
      <c r="Q137" s="26"/>
      <c r="R137" s="45"/>
      <c r="S137" s="26"/>
      <c r="T137" s="45"/>
      <c r="U137" s="26"/>
      <c r="V137" s="45"/>
    </row>
    <row r="138" spans="1:22">
      <c r="A138" s="23"/>
      <c r="B138" s="24"/>
      <c r="C138" s="26"/>
      <c r="D138" s="26"/>
      <c r="E138" s="14"/>
      <c r="F138" s="14"/>
      <c r="G138" s="14"/>
      <c r="H138" s="14"/>
      <c r="I138" s="26"/>
      <c r="J138" s="26"/>
      <c r="K138" s="26"/>
      <c r="L138" s="26"/>
      <c r="M138" s="26"/>
      <c r="N138" s="26"/>
      <c r="O138" s="45"/>
      <c r="P138" s="26"/>
      <c r="Q138" s="26"/>
      <c r="R138" s="45"/>
      <c r="S138" s="26"/>
      <c r="T138" s="45"/>
      <c r="U138" s="26"/>
      <c r="V138" s="45"/>
    </row>
    <row r="139" spans="1:22">
      <c r="A139" s="23"/>
      <c r="B139" s="24"/>
      <c r="C139" s="26"/>
      <c r="D139" s="26"/>
      <c r="E139" s="14"/>
      <c r="F139" s="14"/>
      <c r="G139" s="14"/>
      <c r="H139" s="14"/>
      <c r="I139" s="26"/>
      <c r="J139" s="26"/>
      <c r="K139" s="26"/>
      <c r="L139" s="26"/>
      <c r="M139" s="26"/>
      <c r="N139" s="26"/>
      <c r="O139" s="45"/>
      <c r="P139" s="26"/>
      <c r="Q139" s="26"/>
      <c r="R139" s="45"/>
      <c r="S139" s="26"/>
      <c r="T139" s="45"/>
      <c r="U139" s="26"/>
      <c r="V139" s="45"/>
    </row>
    <row r="140" spans="1:22">
      <c r="A140" s="23"/>
      <c r="B140" s="24"/>
      <c r="C140" s="26"/>
      <c r="D140" s="26"/>
      <c r="E140" s="14"/>
      <c r="F140" s="14"/>
      <c r="G140" s="14"/>
      <c r="H140" s="14"/>
      <c r="I140" s="26"/>
      <c r="J140" s="26"/>
      <c r="K140" s="26"/>
      <c r="L140" s="26"/>
      <c r="M140" s="26"/>
      <c r="N140" s="26"/>
      <c r="O140" s="45"/>
      <c r="P140" s="26"/>
      <c r="Q140" s="26"/>
      <c r="R140" s="45"/>
      <c r="S140" s="26"/>
      <c r="T140" s="45"/>
      <c r="U140" s="26"/>
      <c r="V140" s="45"/>
    </row>
    <row r="141" spans="1:22">
      <c r="A141" s="23"/>
      <c r="B141" s="24"/>
      <c r="C141" s="26"/>
      <c r="D141" s="26"/>
      <c r="E141" s="14"/>
      <c r="F141" s="14"/>
      <c r="G141" s="14"/>
      <c r="H141" s="14"/>
      <c r="I141" s="26"/>
      <c r="J141" s="26"/>
      <c r="K141" s="26"/>
      <c r="L141" s="26"/>
      <c r="M141" s="26"/>
      <c r="N141" s="26"/>
      <c r="O141" s="45"/>
      <c r="P141" s="26"/>
      <c r="Q141" s="26"/>
      <c r="R141" s="45"/>
      <c r="S141" s="26"/>
      <c r="T141" s="45"/>
      <c r="U141" s="26"/>
      <c r="V141" s="45"/>
    </row>
    <row r="142" spans="1:22">
      <c r="A142" s="23"/>
      <c r="B142" s="24"/>
      <c r="C142" s="26"/>
      <c r="D142" s="26"/>
      <c r="E142" s="14"/>
      <c r="F142" s="14"/>
      <c r="G142" s="14"/>
      <c r="H142" s="14"/>
      <c r="I142" s="26"/>
      <c r="J142" s="26"/>
      <c r="K142" s="26"/>
      <c r="L142" s="26"/>
      <c r="M142" s="26"/>
      <c r="N142" s="26"/>
      <c r="O142" s="45"/>
      <c r="P142" s="26"/>
      <c r="Q142" s="26"/>
      <c r="R142" s="45"/>
      <c r="S142" s="26"/>
      <c r="T142" s="45"/>
      <c r="U142" s="26"/>
      <c r="V142" s="45"/>
    </row>
    <row r="143" spans="1:22">
      <c r="A143" s="23"/>
      <c r="B143" s="24"/>
      <c r="C143" s="26"/>
      <c r="D143" s="26"/>
      <c r="E143" s="14"/>
      <c r="F143" s="14"/>
      <c r="G143" s="14"/>
      <c r="H143" s="14"/>
      <c r="I143" s="26"/>
      <c r="J143" s="26"/>
      <c r="K143" s="26"/>
      <c r="L143" s="26"/>
      <c r="M143" s="26"/>
      <c r="N143" s="26"/>
      <c r="O143" s="45"/>
      <c r="P143" s="26"/>
      <c r="Q143" s="26"/>
      <c r="R143" s="45"/>
      <c r="S143" s="26"/>
      <c r="T143" s="45"/>
      <c r="U143" s="26"/>
      <c r="V143" s="45"/>
    </row>
    <row r="144" spans="1:22">
      <c r="A144" s="23"/>
      <c r="B144" s="24"/>
      <c r="C144" s="26"/>
      <c r="D144" s="26"/>
      <c r="E144" s="14"/>
      <c r="F144" s="14"/>
      <c r="G144" s="14"/>
      <c r="H144" s="14"/>
      <c r="I144" s="26"/>
      <c r="J144" s="26"/>
      <c r="K144" s="26"/>
      <c r="L144" s="26"/>
      <c r="M144" s="26"/>
      <c r="N144" s="26"/>
      <c r="O144" s="45"/>
      <c r="P144" s="26"/>
      <c r="Q144" s="26"/>
      <c r="R144" s="45"/>
      <c r="S144" s="26"/>
      <c r="T144" s="45"/>
      <c r="U144" s="26"/>
      <c r="V144" s="45"/>
    </row>
    <row r="145" spans="1:22">
      <c r="A145" s="23"/>
      <c r="B145" s="24"/>
      <c r="C145" s="26"/>
      <c r="D145" s="26"/>
      <c r="E145" s="14"/>
      <c r="F145" s="14"/>
      <c r="G145" s="14"/>
      <c r="H145" s="14"/>
      <c r="I145" s="26"/>
      <c r="J145" s="26"/>
      <c r="K145" s="26"/>
      <c r="L145" s="26"/>
      <c r="M145" s="26"/>
      <c r="N145" s="26"/>
      <c r="O145" s="45"/>
      <c r="P145" s="26"/>
      <c r="Q145" s="26"/>
      <c r="R145" s="45"/>
      <c r="S145" s="26"/>
      <c r="T145" s="45"/>
      <c r="U145" s="26"/>
      <c r="V145" s="45"/>
    </row>
    <row r="146" spans="1:22">
      <c r="A146" s="23"/>
      <c r="B146" s="24"/>
      <c r="C146" s="26"/>
      <c r="D146" s="26"/>
      <c r="E146" s="14"/>
      <c r="F146" s="14"/>
      <c r="G146" s="14"/>
      <c r="H146" s="14"/>
      <c r="I146" s="26"/>
      <c r="J146" s="26"/>
      <c r="K146" s="26"/>
      <c r="L146" s="26"/>
      <c r="M146" s="26"/>
      <c r="N146" s="26"/>
      <c r="O146" s="45"/>
      <c r="P146" s="26"/>
      <c r="Q146" s="26"/>
      <c r="R146" s="45"/>
      <c r="S146" s="26"/>
      <c r="T146" s="45"/>
      <c r="U146" s="26"/>
      <c r="V146" s="45"/>
    </row>
    <row r="147" spans="1:22">
      <c r="A147" s="23"/>
      <c r="B147" s="24"/>
      <c r="C147" s="26"/>
      <c r="D147" s="26"/>
      <c r="E147" s="14"/>
      <c r="F147" s="14"/>
      <c r="G147" s="14"/>
      <c r="H147" s="14"/>
      <c r="I147" s="26"/>
      <c r="J147" s="26"/>
      <c r="K147" s="26"/>
      <c r="L147" s="26"/>
      <c r="M147" s="26"/>
      <c r="N147" s="26"/>
      <c r="O147" s="45"/>
      <c r="P147" s="26"/>
      <c r="Q147" s="26"/>
      <c r="R147" s="45"/>
      <c r="S147" s="26"/>
      <c r="T147" s="45"/>
      <c r="U147" s="26"/>
      <c r="V147" s="45"/>
    </row>
    <row r="148" spans="1:22">
      <c r="A148" s="23"/>
      <c r="B148" s="24"/>
      <c r="C148" s="26"/>
      <c r="D148" s="26"/>
      <c r="E148" s="14"/>
      <c r="F148" s="14"/>
      <c r="G148" s="14"/>
      <c r="H148" s="14"/>
      <c r="I148" s="26"/>
      <c r="J148" s="26"/>
      <c r="K148" s="26"/>
      <c r="L148" s="26"/>
      <c r="M148" s="26"/>
      <c r="N148" s="26"/>
      <c r="O148" s="45"/>
      <c r="P148" s="26"/>
      <c r="Q148" s="26"/>
      <c r="R148" s="45"/>
      <c r="S148" s="26"/>
      <c r="T148" s="45"/>
      <c r="U148" s="26"/>
      <c r="V148" s="45"/>
    </row>
    <row r="149" spans="1:22">
      <c r="A149" s="23"/>
      <c r="B149" s="24"/>
      <c r="C149" s="26"/>
      <c r="D149" s="26"/>
      <c r="E149" s="14"/>
      <c r="F149" s="14"/>
      <c r="G149" s="14"/>
      <c r="H149" s="14"/>
      <c r="I149" s="26"/>
      <c r="J149" s="26"/>
      <c r="K149" s="26"/>
      <c r="L149" s="26"/>
      <c r="M149" s="26"/>
      <c r="N149" s="26"/>
      <c r="O149" s="45"/>
      <c r="P149" s="26"/>
      <c r="Q149" s="26"/>
      <c r="R149" s="45"/>
      <c r="S149" s="26"/>
      <c r="T149" s="45"/>
      <c r="U149" s="26"/>
      <c r="V149" s="45"/>
    </row>
    <row r="150" spans="1:22">
      <c r="A150" s="23"/>
      <c r="B150" s="24"/>
      <c r="C150" s="26"/>
      <c r="D150" s="26"/>
      <c r="E150" s="14"/>
      <c r="F150" s="14"/>
      <c r="G150" s="14"/>
      <c r="H150" s="14"/>
      <c r="I150" s="26"/>
      <c r="J150" s="26"/>
      <c r="K150" s="26"/>
      <c r="L150" s="26"/>
      <c r="M150" s="26"/>
      <c r="N150" s="26"/>
      <c r="O150" s="45"/>
      <c r="P150" s="26"/>
      <c r="Q150" s="26"/>
      <c r="R150" s="45"/>
      <c r="S150" s="26"/>
      <c r="T150" s="45"/>
      <c r="U150" s="26"/>
      <c r="V150" s="45"/>
    </row>
    <row r="151" spans="1:22">
      <c r="A151" s="23"/>
      <c r="B151" s="24"/>
      <c r="C151" s="26"/>
      <c r="D151" s="26"/>
      <c r="E151" s="14"/>
      <c r="F151" s="14"/>
      <c r="G151" s="14"/>
      <c r="H151" s="14"/>
      <c r="I151" s="26"/>
      <c r="J151" s="26"/>
      <c r="K151" s="26"/>
      <c r="L151" s="26"/>
      <c r="M151" s="26"/>
      <c r="N151" s="26"/>
      <c r="O151" s="45"/>
      <c r="P151" s="26"/>
      <c r="Q151" s="26"/>
      <c r="R151" s="45"/>
      <c r="S151" s="26"/>
      <c r="T151" s="45"/>
      <c r="U151" s="26"/>
      <c r="V151" s="45"/>
    </row>
    <row r="152" spans="1:22">
      <c r="A152" s="23"/>
      <c r="B152" s="24"/>
      <c r="C152" s="26"/>
      <c r="D152" s="26"/>
      <c r="E152" s="14"/>
      <c r="F152" s="14"/>
      <c r="G152" s="14"/>
      <c r="H152" s="14"/>
      <c r="I152" s="26"/>
      <c r="J152" s="26"/>
      <c r="K152" s="26"/>
      <c r="L152" s="26"/>
      <c r="M152" s="26"/>
      <c r="N152" s="26"/>
      <c r="O152" s="45"/>
      <c r="P152" s="26"/>
      <c r="Q152" s="26"/>
      <c r="R152" s="45"/>
      <c r="S152" s="26"/>
      <c r="T152" s="45"/>
      <c r="U152" s="26"/>
      <c r="V152" s="45"/>
    </row>
    <row r="153" spans="1:22">
      <c r="A153" s="23"/>
      <c r="B153" s="24"/>
      <c r="C153" s="26"/>
      <c r="D153" s="26"/>
      <c r="E153" s="14"/>
      <c r="F153" s="14"/>
      <c r="G153" s="14"/>
      <c r="H153" s="14"/>
      <c r="I153" s="26"/>
      <c r="J153" s="26"/>
      <c r="K153" s="26"/>
      <c r="L153" s="26"/>
      <c r="M153" s="26"/>
      <c r="N153" s="26"/>
      <c r="O153" s="45"/>
      <c r="P153" s="26"/>
      <c r="Q153" s="26"/>
      <c r="R153" s="45"/>
      <c r="S153" s="26"/>
      <c r="T153" s="45"/>
      <c r="U153" s="26"/>
      <c r="V153" s="45"/>
    </row>
    <row r="154" spans="1:22">
      <c r="A154" s="23"/>
      <c r="B154" s="24"/>
      <c r="C154" s="26"/>
      <c r="D154" s="26"/>
      <c r="E154" s="14"/>
      <c r="F154" s="14"/>
      <c r="G154" s="14"/>
      <c r="H154" s="14"/>
      <c r="I154" s="26"/>
      <c r="J154" s="26"/>
      <c r="K154" s="26"/>
      <c r="L154" s="26"/>
      <c r="M154" s="26"/>
      <c r="N154" s="26"/>
      <c r="O154" s="45"/>
      <c r="P154" s="26"/>
      <c r="Q154" s="26"/>
      <c r="R154" s="45"/>
      <c r="S154" s="26"/>
      <c r="T154" s="45"/>
      <c r="U154" s="26"/>
      <c r="V154" s="45"/>
    </row>
    <row r="155" spans="1:22">
      <c r="A155" s="23"/>
      <c r="B155" s="24"/>
      <c r="C155" s="26"/>
      <c r="D155" s="26"/>
      <c r="E155" s="14"/>
      <c r="F155" s="14"/>
      <c r="G155" s="14"/>
      <c r="H155" s="14"/>
      <c r="I155" s="26"/>
      <c r="J155" s="26"/>
      <c r="K155" s="26"/>
      <c r="L155" s="26"/>
      <c r="M155" s="26"/>
      <c r="N155" s="26"/>
      <c r="O155" s="45"/>
      <c r="P155" s="26"/>
      <c r="Q155" s="26"/>
      <c r="R155" s="45"/>
      <c r="S155" s="26"/>
      <c r="T155" s="45"/>
      <c r="U155" s="26"/>
      <c r="V155" s="45"/>
    </row>
    <row r="156" spans="1:22">
      <c r="A156" s="23"/>
      <c r="B156" s="24"/>
      <c r="C156" s="26"/>
      <c r="D156" s="26"/>
      <c r="E156" s="14"/>
      <c r="F156" s="14"/>
      <c r="G156" s="14"/>
      <c r="H156" s="14"/>
      <c r="I156" s="26"/>
      <c r="J156" s="26"/>
      <c r="K156" s="26"/>
      <c r="L156" s="26"/>
      <c r="M156" s="26"/>
      <c r="N156" s="26"/>
      <c r="O156" s="45"/>
      <c r="P156" s="26"/>
      <c r="Q156" s="26"/>
      <c r="R156" s="45"/>
      <c r="S156" s="26"/>
      <c r="T156" s="45"/>
      <c r="U156" s="26"/>
      <c r="V156" s="45"/>
    </row>
    <row r="157" spans="1:22">
      <c r="A157" s="23"/>
      <c r="B157" s="24"/>
      <c r="C157" s="26"/>
      <c r="D157" s="26"/>
      <c r="E157" s="14"/>
      <c r="F157" s="14"/>
      <c r="G157" s="14"/>
      <c r="H157" s="14"/>
      <c r="I157" s="26"/>
      <c r="J157" s="26"/>
      <c r="K157" s="26"/>
      <c r="L157" s="26"/>
      <c r="M157" s="26"/>
      <c r="N157" s="26"/>
      <c r="O157" s="45"/>
      <c r="P157" s="26"/>
      <c r="Q157" s="26"/>
      <c r="R157" s="45"/>
      <c r="S157" s="26"/>
      <c r="T157" s="45"/>
      <c r="U157" s="26"/>
      <c r="V157" s="45"/>
    </row>
    <row r="158" spans="1:22">
      <c r="A158" s="23"/>
      <c r="B158" s="24"/>
      <c r="C158" s="26"/>
      <c r="D158" s="26"/>
      <c r="E158" s="14"/>
      <c r="F158" s="14"/>
      <c r="G158" s="14"/>
      <c r="H158" s="14"/>
      <c r="I158" s="26"/>
      <c r="J158" s="26"/>
      <c r="K158" s="26"/>
      <c r="L158" s="26"/>
      <c r="M158" s="26"/>
      <c r="N158" s="26"/>
      <c r="O158" s="45"/>
      <c r="P158" s="26"/>
      <c r="Q158" s="26"/>
      <c r="R158" s="45"/>
      <c r="S158" s="26"/>
      <c r="T158" s="45"/>
      <c r="U158" s="26"/>
      <c r="V158" s="45"/>
    </row>
    <row r="159" spans="1:22">
      <c r="A159" s="23"/>
      <c r="B159" s="24"/>
      <c r="C159" s="26"/>
      <c r="D159" s="26"/>
      <c r="E159" s="14"/>
      <c r="F159" s="14"/>
      <c r="G159" s="14"/>
      <c r="H159" s="14"/>
      <c r="I159" s="26"/>
      <c r="J159" s="26"/>
      <c r="K159" s="26"/>
      <c r="L159" s="26"/>
      <c r="M159" s="26"/>
      <c r="N159" s="26"/>
      <c r="O159" s="45"/>
      <c r="P159" s="26"/>
      <c r="Q159" s="26"/>
      <c r="R159" s="45"/>
      <c r="S159" s="26"/>
      <c r="T159" s="45"/>
      <c r="U159" s="26"/>
      <c r="V159" s="45"/>
    </row>
    <row r="160" spans="1:22">
      <c r="A160" s="23"/>
      <c r="B160" s="24"/>
      <c r="C160" s="26"/>
      <c r="D160" s="26"/>
      <c r="E160" s="14"/>
      <c r="F160" s="14"/>
      <c r="G160" s="14"/>
      <c r="H160" s="14"/>
      <c r="I160" s="26"/>
      <c r="J160" s="26"/>
      <c r="K160" s="26"/>
      <c r="L160" s="26"/>
      <c r="M160" s="26"/>
      <c r="N160" s="26"/>
      <c r="O160" s="45"/>
      <c r="P160" s="26"/>
      <c r="Q160" s="26"/>
      <c r="R160" s="45"/>
      <c r="S160" s="26"/>
      <c r="T160" s="45"/>
      <c r="U160" s="26"/>
      <c r="V160" s="45"/>
    </row>
    <row r="161" spans="1:22">
      <c r="A161" s="23"/>
      <c r="B161" s="24"/>
      <c r="C161" s="26"/>
      <c r="D161" s="26"/>
      <c r="E161" s="14"/>
      <c r="F161" s="14"/>
      <c r="G161" s="14"/>
      <c r="H161" s="14"/>
      <c r="I161" s="26"/>
      <c r="J161" s="26"/>
      <c r="K161" s="26"/>
      <c r="L161" s="26"/>
      <c r="M161" s="26"/>
      <c r="N161" s="26"/>
      <c r="O161" s="45"/>
      <c r="P161" s="26"/>
      <c r="Q161" s="26"/>
      <c r="R161" s="45"/>
      <c r="S161" s="26"/>
      <c r="T161" s="45"/>
      <c r="U161" s="26"/>
      <c r="V161" s="45"/>
    </row>
    <row r="162" spans="1:22">
      <c r="A162" s="23"/>
      <c r="B162" s="24"/>
      <c r="C162" s="26"/>
      <c r="D162" s="26"/>
      <c r="E162" s="14"/>
      <c r="F162" s="14"/>
      <c r="G162" s="14"/>
      <c r="H162" s="14"/>
      <c r="I162" s="26"/>
      <c r="J162" s="26"/>
      <c r="K162" s="26"/>
      <c r="L162" s="26"/>
      <c r="M162" s="26"/>
      <c r="N162" s="26"/>
      <c r="O162" s="45"/>
      <c r="P162" s="26"/>
      <c r="Q162" s="26"/>
      <c r="R162" s="45"/>
      <c r="S162" s="26"/>
      <c r="T162" s="45"/>
      <c r="U162" s="26"/>
      <c r="V162" s="45"/>
    </row>
    <row r="163" spans="1:22">
      <c r="A163" s="23"/>
      <c r="B163" s="24"/>
      <c r="C163" s="26"/>
      <c r="D163" s="26"/>
      <c r="E163" s="14"/>
      <c r="F163" s="14"/>
      <c r="G163" s="14"/>
      <c r="H163" s="14"/>
      <c r="I163" s="26"/>
      <c r="J163" s="26"/>
      <c r="K163" s="26"/>
      <c r="L163" s="26"/>
      <c r="M163" s="26"/>
      <c r="N163" s="26"/>
      <c r="O163" s="45"/>
      <c r="P163" s="26"/>
      <c r="Q163" s="26"/>
      <c r="R163" s="45"/>
      <c r="S163" s="26"/>
      <c r="T163" s="45"/>
      <c r="U163" s="26"/>
      <c r="V163" s="45"/>
    </row>
    <row r="164" spans="1:22">
      <c r="A164" s="23"/>
      <c r="B164" s="24"/>
      <c r="C164" s="26"/>
      <c r="D164" s="26"/>
      <c r="E164" s="14"/>
      <c r="F164" s="14"/>
      <c r="G164" s="14"/>
      <c r="H164" s="14"/>
      <c r="I164" s="26"/>
      <c r="J164" s="26"/>
      <c r="K164" s="26"/>
      <c r="L164" s="26"/>
      <c r="M164" s="26"/>
      <c r="N164" s="26"/>
      <c r="O164" s="45"/>
      <c r="P164" s="26"/>
      <c r="Q164" s="26"/>
      <c r="R164" s="45"/>
      <c r="S164" s="26"/>
      <c r="T164" s="45"/>
      <c r="U164" s="26"/>
      <c r="V164" s="45"/>
    </row>
    <row r="165" spans="1:22">
      <c r="A165" s="23"/>
      <c r="B165" s="24"/>
      <c r="C165" s="26"/>
      <c r="D165" s="26"/>
      <c r="E165" s="14"/>
      <c r="F165" s="14"/>
      <c r="G165" s="14"/>
      <c r="H165" s="14"/>
      <c r="I165" s="26"/>
      <c r="J165" s="26"/>
      <c r="K165" s="26"/>
      <c r="L165" s="26"/>
      <c r="M165" s="26"/>
      <c r="N165" s="26"/>
      <c r="O165" s="45"/>
      <c r="P165" s="26"/>
      <c r="Q165" s="26"/>
      <c r="R165" s="45"/>
      <c r="S165" s="26"/>
      <c r="T165" s="45"/>
      <c r="U165" s="26"/>
      <c r="V165" s="45"/>
    </row>
    <row r="166" spans="1:22">
      <c r="A166" s="23"/>
      <c r="B166" s="24"/>
      <c r="C166" s="26"/>
      <c r="D166" s="26"/>
      <c r="E166" s="14"/>
      <c r="F166" s="14"/>
      <c r="G166" s="14"/>
      <c r="H166" s="14"/>
      <c r="I166" s="26"/>
      <c r="J166" s="26"/>
      <c r="K166" s="26"/>
      <c r="L166" s="26"/>
      <c r="M166" s="26"/>
      <c r="N166" s="26"/>
      <c r="O166" s="45"/>
      <c r="P166" s="26"/>
      <c r="Q166" s="26"/>
      <c r="R166" s="45"/>
      <c r="S166" s="26"/>
      <c r="T166" s="45"/>
      <c r="U166" s="26"/>
      <c r="V166" s="45"/>
    </row>
    <row r="167" spans="1:22">
      <c r="A167" s="23"/>
      <c r="B167" s="24"/>
      <c r="C167" s="26"/>
      <c r="D167" s="26"/>
      <c r="E167" s="14"/>
      <c r="F167" s="14"/>
      <c r="G167" s="14"/>
      <c r="H167" s="14"/>
      <c r="I167" s="26"/>
      <c r="J167" s="26"/>
      <c r="K167" s="26"/>
      <c r="L167" s="26"/>
      <c r="M167" s="26"/>
      <c r="N167" s="26"/>
      <c r="O167" s="45"/>
      <c r="P167" s="26"/>
      <c r="Q167" s="26"/>
      <c r="R167" s="45"/>
      <c r="S167" s="26"/>
      <c r="T167" s="45"/>
      <c r="U167" s="26"/>
      <c r="V167" s="45"/>
    </row>
    <row r="168" spans="1:22">
      <c r="A168" s="23"/>
      <c r="B168" s="24"/>
      <c r="C168" s="26"/>
      <c r="D168" s="26"/>
      <c r="E168" s="14"/>
      <c r="F168" s="14"/>
      <c r="G168" s="14"/>
      <c r="H168" s="14"/>
      <c r="I168" s="26"/>
      <c r="J168" s="26"/>
      <c r="K168" s="26"/>
      <c r="L168" s="26"/>
      <c r="M168" s="26"/>
      <c r="N168" s="26"/>
      <c r="O168" s="45"/>
      <c r="P168" s="26"/>
      <c r="Q168" s="26"/>
      <c r="R168" s="45"/>
      <c r="S168" s="26"/>
      <c r="T168" s="45"/>
      <c r="U168" s="26"/>
      <c r="V168" s="45"/>
    </row>
    <row r="169" spans="1:22">
      <c r="A169" s="23"/>
      <c r="B169" s="24"/>
      <c r="C169" s="26"/>
      <c r="D169" s="26"/>
      <c r="E169" s="14"/>
      <c r="F169" s="14"/>
      <c r="G169" s="14"/>
      <c r="H169" s="14"/>
      <c r="I169" s="26"/>
      <c r="J169" s="26"/>
      <c r="K169" s="26"/>
      <c r="L169" s="26"/>
      <c r="M169" s="26"/>
      <c r="N169" s="26"/>
      <c r="O169" s="45"/>
      <c r="P169" s="26"/>
      <c r="Q169" s="26"/>
      <c r="R169" s="45"/>
      <c r="S169" s="26"/>
      <c r="T169" s="45"/>
      <c r="U169" s="26"/>
      <c r="V169" s="45"/>
    </row>
    <row r="170" spans="1:22">
      <c r="A170" s="23"/>
      <c r="B170" s="24"/>
      <c r="C170" s="26"/>
      <c r="D170" s="26"/>
      <c r="E170" s="14"/>
      <c r="F170" s="14"/>
      <c r="G170" s="14"/>
      <c r="H170" s="14"/>
      <c r="I170" s="26"/>
      <c r="J170" s="26"/>
      <c r="K170" s="26"/>
      <c r="L170" s="26"/>
      <c r="M170" s="26"/>
      <c r="N170" s="26"/>
      <c r="O170" s="45"/>
      <c r="P170" s="26"/>
      <c r="Q170" s="26"/>
      <c r="R170" s="45"/>
      <c r="S170" s="26"/>
      <c r="T170" s="45"/>
      <c r="U170" s="26"/>
      <c r="V170" s="45"/>
    </row>
    <row r="171" spans="1:22">
      <c r="A171" s="23"/>
      <c r="B171" s="24"/>
      <c r="C171" s="26"/>
      <c r="D171" s="26"/>
      <c r="E171" s="14"/>
      <c r="F171" s="14"/>
      <c r="G171" s="14"/>
      <c r="H171" s="14"/>
      <c r="I171" s="26"/>
      <c r="J171" s="26"/>
      <c r="K171" s="26"/>
      <c r="L171" s="26"/>
      <c r="M171" s="26"/>
      <c r="N171" s="26"/>
      <c r="O171" s="45"/>
      <c r="P171" s="26"/>
      <c r="Q171" s="26"/>
      <c r="R171" s="45"/>
      <c r="S171" s="26"/>
      <c r="T171" s="45"/>
      <c r="U171" s="26"/>
      <c r="V171" s="45"/>
    </row>
    <row r="172" spans="1:22">
      <c r="A172" s="23"/>
      <c r="B172" s="24"/>
      <c r="C172" s="26"/>
      <c r="D172" s="26"/>
      <c r="E172" s="14"/>
      <c r="F172" s="14"/>
      <c r="G172" s="14"/>
      <c r="H172" s="14"/>
      <c r="I172" s="26"/>
      <c r="J172" s="26"/>
      <c r="K172" s="26"/>
      <c r="L172" s="26"/>
      <c r="M172" s="26"/>
      <c r="N172" s="26"/>
      <c r="O172" s="45"/>
      <c r="P172" s="26"/>
      <c r="Q172" s="26"/>
      <c r="R172" s="45"/>
      <c r="S172" s="26"/>
      <c r="T172" s="45"/>
      <c r="U172" s="26"/>
      <c r="V172" s="45"/>
    </row>
    <row r="173" spans="1:22">
      <c r="A173" s="23"/>
      <c r="B173" s="24"/>
      <c r="C173" s="26"/>
      <c r="D173" s="26"/>
      <c r="E173" s="14"/>
      <c r="F173" s="14"/>
      <c r="G173" s="14"/>
      <c r="H173" s="14"/>
      <c r="I173" s="26"/>
      <c r="J173" s="26"/>
      <c r="K173" s="26"/>
      <c r="L173" s="26"/>
      <c r="M173" s="26"/>
      <c r="N173" s="26"/>
      <c r="O173" s="45"/>
      <c r="P173" s="26"/>
      <c r="Q173" s="26"/>
      <c r="R173" s="45"/>
      <c r="S173" s="26"/>
      <c r="T173" s="45"/>
      <c r="U173" s="26"/>
      <c r="V173" s="45"/>
    </row>
    <row r="174" spans="1:22">
      <c r="A174" s="23"/>
      <c r="B174" s="24"/>
      <c r="C174" s="26"/>
      <c r="D174" s="26"/>
      <c r="E174" s="14"/>
      <c r="F174" s="14"/>
      <c r="G174" s="14"/>
      <c r="H174" s="14"/>
      <c r="I174" s="26"/>
      <c r="J174" s="26"/>
      <c r="K174" s="26"/>
      <c r="L174" s="26"/>
      <c r="M174" s="26"/>
      <c r="N174" s="26"/>
      <c r="O174" s="45"/>
      <c r="P174" s="26"/>
      <c r="Q174" s="26"/>
      <c r="R174" s="45"/>
      <c r="S174" s="26"/>
      <c r="T174" s="45"/>
      <c r="U174" s="26"/>
      <c r="V174" s="45"/>
    </row>
    <row r="175" spans="1:22">
      <c r="A175" s="23"/>
      <c r="B175" s="24"/>
      <c r="C175" s="26"/>
      <c r="D175" s="26"/>
      <c r="E175" s="14"/>
      <c r="F175" s="14"/>
      <c r="G175" s="14"/>
      <c r="H175" s="14"/>
      <c r="I175" s="26"/>
      <c r="J175" s="26"/>
      <c r="K175" s="26"/>
      <c r="L175" s="26"/>
      <c r="M175" s="26"/>
      <c r="N175" s="26"/>
      <c r="O175" s="45"/>
      <c r="P175" s="26"/>
      <c r="Q175" s="26"/>
      <c r="R175" s="45"/>
      <c r="S175" s="26"/>
      <c r="T175" s="45"/>
      <c r="U175" s="26"/>
      <c r="V175" s="45"/>
    </row>
    <row r="176" spans="1:22">
      <c r="A176" s="23"/>
      <c r="B176" s="24"/>
      <c r="C176" s="26"/>
      <c r="D176" s="26"/>
      <c r="E176" s="14"/>
      <c r="F176" s="14"/>
      <c r="G176" s="14"/>
      <c r="H176" s="14"/>
      <c r="I176" s="26"/>
      <c r="J176" s="26"/>
      <c r="K176" s="26"/>
      <c r="L176" s="26"/>
      <c r="M176" s="26"/>
      <c r="N176" s="26"/>
      <c r="O176" s="45"/>
      <c r="P176" s="26"/>
      <c r="Q176" s="26"/>
      <c r="R176" s="45"/>
      <c r="S176" s="26"/>
      <c r="T176" s="45"/>
      <c r="U176" s="26"/>
      <c r="V176" s="45"/>
    </row>
    <row r="177" spans="1:22">
      <c r="A177" s="23"/>
      <c r="B177" s="24"/>
      <c r="C177" s="26"/>
      <c r="D177" s="26"/>
      <c r="E177" s="14"/>
      <c r="F177" s="14"/>
      <c r="G177" s="14"/>
      <c r="H177" s="14"/>
      <c r="I177" s="26"/>
      <c r="J177" s="26"/>
      <c r="K177" s="26"/>
      <c r="L177" s="26"/>
      <c r="M177" s="26"/>
      <c r="N177" s="26"/>
      <c r="O177" s="45"/>
      <c r="P177" s="26"/>
      <c r="Q177" s="26"/>
      <c r="R177" s="45"/>
      <c r="S177" s="26"/>
      <c r="T177" s="45"/>
      <c r="U177" s="26"/>
      <c r="V177" s="45"/>
    </row>
    <row r="178" spans="1:22">
      <c r="A178" s="23"/>
      <c r="B178" s="24"/>
      <c r="C178" s="26"/>
      <c r="D178" s="26"/>
      <c r="E178" s="14"/>
      <c r="F178" s="14"/>
      <c r="G178" s="14"/>
      <c r="H178" s="14"/>
      <c r="I178" s="26"/>
      <c r="J178" s="26"/>
      <c r="K178" s="26"/>
      <c r="L178" s="26"/>
      <c r="M178" s="26"/>
      <c r="N178" s="26"/>
      <c r="O178" s="45"/>
      <c r="P178" s="26"/>
      <c r="Q178" s="26"/>
      <c r="R178" s="45"/>
      <c r="S178" s="26"/>
      <c r="T178" s="45"/>
      <c r="U178" s="26"/>
      <c r="V178" s="45"/>
    </row>
    <row r="179" spans="1:22">
      <c r="A179" s="23"/>
      <c r="B179" s="24"/>
      <c r="C179" s="26"/>
      <c r="D179" s="26"/>
      <c r="E179" s="14"/>
      <c r="F179" s="14"/>
      <c r="G179" s="14"/>
      <c r="H179" s="14"/>
      <c r="I179" s="26"/>
      <c r="J179" s="26"/>
      <c r="K179" s="26"/>
      <c r="L179" s="26"/>
      <c r="M179" s="26"/>
      <c r="N179" s="26"/>
      <c r="O179" s="45"/>
      <c r="P179" s="26"/>
      <c r="Q179" s="26"/>
      <c r="R179" s="45"/>
      <c r="S179" s="26"/>
      <c r="T179" s="45"/>
      <c r="U179" s="26"/>
      <c r="V179" s="45"/>
    </row>
    <row r="180" spans="1:22">
      <c r="A180" s="23"/>
      <c r="B180" s="24"/>
      <c r="C180" s="26"/>
      <c r="D180" s="26"/>
      <c r="E180" s="14"/>
      <c r="F180" s="14"/>
      <c r="G180" s="14"/>
      <c r="H180" s="14"/>
      <c r="I180" s="26"/>
      <c r="J180" s="26"/>
      <c r="K180" s="26"/>
      <c r="L180" s="26"/>
      <c r="M180" s="26"/>
      <c r="N180" s="26"/>
      <c r="O180" s="45"/>
      <c r="P180" s="26"/>
      <c r="Q180" s="26"/>
      <c r="R180" s="45"/>
      <c r="S180" s="26"/>
      <c r="T180" s="45"/>
      <c r="U180" s="26"/>
      <c r="V180" s="45"/>
    </row>
    <row r="181" spans="1:22">
      <c r="A181" s="23"/>
      <c r="B181" s="24"/>
      <c r="C181" s="26"/>
      <c r="D181" s="26"/>
      <c r="E181" s="14"/>
      <c r="F181" s="14"/>
      <c r="G181" s="14"/>
      <c r="H181" s="14"/>
      <c r="I181" s="26"/>
      <c r="J181" s="26"/>
      <c r="K181" s="26"/>
      <c r="L181" s="26"/>
      <c r="M181" s="26"/>
      <c r="N181" s="26"/>
      <c r="O181" s="45"/>
      <c r="P181" s="26"/>
      <c r="Q181" s="26"/>
      <c r="R181" s="45"/>
      <c r="S181" s="26"/>
      <c r="T181" s="45"/>
      <c r="U181" s="26"/>
      <c r="V181" s="45"/>
    </row>
    <row r="182" spans="1:22">
      <c r="A182" s="23"/>
      <c r="B182" s="24"/>
      <c r="C182" s="26"/>
      <c r="D182" s="26"/>
      <c r="E182" s="14"/>
      <c r="F182" s="14"/>
      <c r="G182" s="14"/>
      <c r="H182" s="14"/>
      <c r="I182" s="26"/>
      <c r="J182" s="26"/>
      <c r="K182" s="26"/>
      <c r="L182" s="26"/>
      <c r="M182" s="26"/>
      <c r="N182" s="26"/>
      <c r="O182" s="45"/>
      <c r="P182" s="26"/>
      <c r="Q182" s="26"/>
      <c r="R182" s="45"/>
      <c r="S182" s="26"/>
      <c r="T182" s="45"/>
      <c r="U182" s="26"/>
      <c r="V182" s="45"/>
    </row>
    <row r="183" spans="1:22">
      <c r="A183" s="23"/>
      <c r="B183" s="24"/>
      <c r="C183" s="26"/>
      <c r="D183" s="26"/>
      <c r="E183" s="14"/>
      <c r="F183" s="14"/>
      <c r="G183" s="14"/>
      <c r="H183" s="14"/>
      <c r="I183" s="26"/>
      <c r="J183" s="26"/>
      <c r="K183" s="26"/>
      <c r="L183" s="26"/>
      <c r="M183" s="26"/>
      <c r="N183" s="26"/>
      <c r="O183" s="45"/>
      <c r="P183" s="26"/>
      <c r="Q183" s="26"/>
      <c r="R183" s="45"/>
      <c r="S183" s="26"/>
      <c r="T183" s="45"/>
      <c r="U183" s="26"/>
      <c r="V183" s="45"/>
    </row>
    <row r="184" spans="1:22">
      <c r="A184" s="23"/>
      <c r="B184" s="24"/>
      <c r="C184" s="26"/>
      <c r="D184" s="26"/>
      <c r="E184" s="14"/>
      <c r="F184" s="14"/>
      <c r="G184" s="14"/>
      <c r="H184" s="14"/>
      <c r="I184" s="26"/>
      <c r="J184" s="26"/>
      <c r="K184" s="26"/>
      <c r="L184" s="26"/>
      <c r="M184" s="26"/>
      <c r="N184" s="26"/>
      <c r="O184" s="45"/>
      <c r="P184" s="26"/>
      <c r="Q184" s="26"/>
      <c r="R184" s="45"/>
      <c r="S184" s="26"/>
      <c r="T184" s="45"/>
      <c r="U184" s="26"/>
      <c r="V184" s="45"/>
    </row>
    <row r="185" spans="1:22">
      <c r="A185" s="23"/>
      <c r="B185" s="24"/>
      <c r="C185" s="26"/>
      <c r="D185" s="26"/>
      <c r="E185" s="14"/>
      <c r="F185" s="14"/>
      <c r="G185" s="14"/>
      <c r="H185" s="14"/>
      <c r="I185" s="26"/>
      <c r="J185" s="26"/>
      <c r="K185" s="26"/>
      <c r="L185" s="26"/>
      <c r="M185" s="26"/>
      <c r="N185" s="26"/>
      <c r="O185" s="45"/>
      <c r="P185" s="26"/>
      <c r="Q185" s="26"/>
      <c r="R185" s="45"/>
      <c r="S185" s="26"/>
      <c r="T185" s="45"/>
      <c r="U185" s="26"/>
      <c r="V185" s="45"/>
    </row>
    <row r="186" spans="1:22">
      <c r="A186" s="23"/>
      <c r="B186" s="24"/>
      <c r="C186" s="26"/>
      <c r="D186" s="26"/>
      <c r="E186" s="14"/>
      <c r="F186" s="14"/>
      <c r="G186" s="14"/>
      <c r="H186" s="14"/>
      <c r="I186" s="26"/>
      <c r="J186" s="26"/>
      <c r="K186" s="26"/>
      <c r="L186" s="26"/>
      <c r="M186" s="26"/>
      <c r="N186" s="26"/>
      <c r="O186" s="45"/>
      <c r="P186" s="26"/>
      <c r="Q186" s="26"/>
      <c r="R186" s="45"/>
      <c r="S186" s="26"/>
      <c r="T186" s="45"/>
      <c r="U186" s="26"/>
      <c r="V186" s="45"/>
    </row>
    <row r="187" spans="1:22">
      <c r="A187" s="23"/>
      <c r="B187" s="24"/>
      <c r="C187" s="26"/>
      <c r="D187" s="26"/>
      <c r="E187" s="14"/>
      <c r="F187" s="14"/>
      <c r="G187" s="14"/>
      <c r="H187" s="14"/>
      <c r="I187" s="26"/>
      <c r="J187" s="26"/>
      <c r="K187" s="26"/>
      <c r="L187" s="26"/>
      <c r="M187" s="26"/>
      <c r="N187" s="26"/>
      <c r="O187" s="45"/>
      <c r="P187" s="26"/>
      <c r="Q187" s="26"/>
      <c r="R187" s="45"/>
      <c r="S187" s="26"/>
      <c r="T187" s="45"/>
      <c r="U187" s="26"/>
      <c r="V187" s="45"/>
    </row>
    <row r="188" spans="1:22">
      <c r="A188" s="23"/>
      <c r="B188" s="24"/>
      <c r="C188" s="26"/>
      <c r="D188" s="26"/>
      <c r="E188" s="14"/>
      <c r="F188" s="14"/>
      <c r="G188" s="14"/>
      <c r="H188" s="14"/>
      <c r="I188" s="26"/>
      <c r="J188" s="26"/>
      <c r="K188" s="26"/>
      <c r="L188" s="26"/>
      <c r="M188" s="26"/>
      <c r="N188" s="26"/>
      <c r="O188" s="45"/>
      <c r="P188" s="26"/>
      <c r="Q188" s="26"/>
      <c r="R188" s="45"/>
      <c r="S188" s="26"/>
      <c r="T188" s="45"/>
      <c r="U188" s="26"/>
      <c r="V188" s="45"/>
    </row>
    <row r="189" spans="1:22">
      <c r="A189" s="23"/>
      <c r="B189" s="24"/>
      <c r="C189" s="26"/>
      <c r="D189" s="26"/>
      <c r="E189" s="14"/>
      <c r="F189" s="14"/>
      <c r="G189" s="14"/>
      <c r="H189" s="14"/>
      <c r="I189" s="26"/>
      <c r="J189" s="26"/>
      <c r="K189" s="26"/>
      <c r="L189" s="26"/>
      <c r="M189" s="26"/>
      <c r="N189" s="26"/>
      <c r="O189" s="45"/>
      <c r="P189" s="26"/>
      <c r="Q189" s="26"/>
      <c r="R189" s="45"/>
      <c r="S189" s="26"/>
      <c r="T189" s="45"/>
      <c r="U189" s="26"/>
      <c r="V189" s="45"/>
    </row>
    <row r="190" spans="1:22">
      <c r="A190" s="23"/>
      <c r="B190" s="24"/>
      <c r="C190" s="26"/>
      <c r="D190" s="26"/>
      <c r="E190" s="14"/>
      <c r="F190" s="14"/>
      <c r="G190" s="14"/>
      <c r="H190" s="14"/>
      <c r="I190" s="26"/>
      <c r="J190" s="26"/>
      <c r="K190" s="26"/>
      <c r="L190" s="26"/>
      <c r="M190" s="26"/>
      <c r="N190" s="26"/>
      <c r="O190" s="45"/>
      <c r="P190" s="26"/>
      <c r="Q190" s="26"/>
      <c r="R190" s="45"/>
      <c r="S190" s="26"/>
      <c r="T190" s="45"/>
      <c r="U190" s="26"/>
      <c r="V190" s="45"/>
    </row>
    <row r="191" spans="1:22">
      <c r="A191" s="23"/>
      <c r="B191" s="24"/>
      <c r="C191" s="26"/>
      <c r="D191" s="26"/>
      <c r="E191" s="14"/>
      <c r="F191" s="14"/>
      <c r="G191" s="14"/>
      <c r="H191" s="14"/>
      <c r="I191" s="26"/>
      <c r="J191" s="26"/>
      <c r="K191" s="26"/>
      <c r="L191" s="26"/>
      <c r="M191" s="26"/>
      <c r="N191" s="26"/>
      <c r="O191" s="45"/>
      <c r="P191" s="26"/>
      <c r="Q191" s="26"/>
      <c r="R191" s="45"/>
      <c r="S191" s="26"/>
      <c r="T191" s="45"/>
      <c r="U191" s="26"/>
      <c r="V191" s="45"/>
    </row>
    <row r="192" spans="1:22">
      <c r="A192" s="23"/>
      <c r="B192" s="24"/>
      <c r="C192" s="26"/>
      <c r="D192" s="26"/>
      <c r="E192" s="14"/>
      <c r="F192" s="14"/>
      <c r="G192" s="14"/>
      <c r="H192" s="14"/>
      <c r="I192" s="26"/>
      <c r="J192" s="26"/>
      <c r="K192" s="26"/>
      <c r="L192" s="26"/>
      <c r="M192" s="26"/>
      <c r="N192" s="26"/>
      <c r="O192" s="45"/>
      <c r="P192" s="26"/>
      <c r="Q192" s="26"/>
      <c r="R192" s="45"/>
      <c r="S192" s="26"/>
      <c r="T192" s="45"/>
      <c r="U192" s="26"/>
      <c r="V192" s="45"/>
    </row>
    <row r="193" spans="1:22">
      <c r="A193" s="23"/>
      <c r="B193" s="24"/>
      <c r="C193" s="26"/>
      <c r="D193" s="26"/>
      <c r="E193" s="14"/>
      <c r="F193" s="14"/>
      <c r="G193" s="14"/>
      <c r="H193" s="14"/>
      <c r="I193" s="26"/>
      <c r="J193" s="26"/>
      <c r="K193" s="26"/>
      <c r="L193" s="26"/>
      <c r="M193" s="26"/>
      <c r="N193" s="26"/>
      <c r="O193" s="45"/>
      <c r="P193" s="26"/>
      <c r="Q193" s="26"/>
      <c r="R193" s="45"/>
      <c r="S193" s="26"/>
      <c r="T193" s="45"/>
      <c r="U193" s="26"/>
      <c r="V193" s="45"/>
    </row>
    <row r="194" spans="1:22">
      <c r="A194" s="23"/>
      <c r="B194" s="24"/>
      <c r="C194" s="26"/>
      <c r="D194" s="26"/>
      <c r="E194" s="14"/>
      <c r="F194" s="14"/>
      <c r="G194" s="14"/>
      <c r="H194" s="14"/>
      <c r="I194" s="26"/>
      <c r="J194" s="26"/>
      <c r="K194" s="26"/>
      <c r="L194" s="26"/>
      <c r="M194" s="26"/>
      <c r="N194" s="26"/>
      <c r="O194" s="45"/>
      <c r="P194" s="26"/>
      <c r="Q194" s="26"/>
      <c r="R194" s="45"/>
      <c r="S194" s="26"/>
      <c r="T194" s="45"/>
      <c r="U194" s="26"/>
      <c r="V194" s="45"/>
    </row>
    <row r="195" spans="1:22">
      <c r="A195" s="23"/>
      <c r="B195" s="24"/>
      <c r="C195" s="26"/>
      <c r="D195" s="26"/>
      <c r="E195" s="14"/>
      <c r="F195" s="14"/>
      <c r="G195" s="14"/>
      <c r="H195" s="14"/>
      <c r="I195" s="26"/>
      <c r="J195" s="26"/>
      <c r="K195" s="26"/>
      <c r="L195" s="26"/>
      <c r="M195" s="26"/>
      <c r="N195" s="26"/>
      <c r="O195" s="45"/>
      <c r="P195" s="26"/>
      <c r="Q195" s="26"/>
      <c r="R195" s="45"/>
      <c r="S195" s="26"/>
      <c r="T195" s="45"/>
      <c r="U195" s="26"/>
      <c r="V195" s="45"/>
    </row>
    <row r="196" spans="1:22">
      <c r="A196" s="23"/>
      <c r="B196" s="24"/>
      <c r="C196" s="26"/>
      <c r="D196" s="26"/>
      <c r="E196" s="14"/>
      <c r="F196" s="14"/>
      <c r="G196" s="14"/>
      <c r="H196" s="14"/>
      <c r="I196" s="26"/>
      <c r="J196" s="26"/>
      <c r="K196" s="26"/>
      <c r="L196" s="26"/>
      <c r="M196" s="26"/>
      <c r="N196" s="26"/>
      <c r="O196" s="45"/>
      <c r="P196" s="26"/>
      <c r="Q196" s="26"/>
      <c r="R196" s="45"/>
      <c r="S196" s="26"/>
      <c r="T196" s="45"/>
      <c r="U196" s="26"/>
      <c r="V196" s="45"/>
    </row>
    <row r="197" spans="1:22">
      <c r="A197" s="23"/>
      <c r="B197" s="24"/>
      <c r="C197" s="26"/>
      <c r="D197" s="26"/>
      <c r="E197" s="14"/>
      <c r="F197" s="14"/>
      <c r="G197" s="14"/>
      <c r="H197" s="14"/>
      <c r="I197" s="26"/>
      <c r="J197" s="26"/>
      <c r="K197" s="26"/>
      <c r="L197" s="26"/>
      <c r="M197" s="26"/>
      <c r="N197" s="26"/>
      <c r="O197" s="45"/>
      <c r="P197" s="26"/>
      <c r="Q197" s="26"/>
      <c r="R197" s="45"/>
      <c r="S197" s="26"/>
      <c r="T197" s="45"/>
      <c r="U197" s="26"/>
      <c r="V197" s="45"/>
    </row>
    <row r="198" spans="1:22">
      <c r="A198" s="23"/>
      <c r="B198" s="24"/>
      <c r="C198" s="26"/>
      <c r="D198" s="26"/>
      <c r="E198" s="14"/>
      <c r="F198" s="14"/>
      <c r="G198" s="14"/>
      <c r="H198" s="14"/>
      <c r="I198" s="26"/>
      <c r="J198" s="26"/>
      <c r="K198" s="26"/>
      <c r="L198" s="26"/>
      <c r="M198" s="26"/>
      <c r="N198" s="26"/>
      <c r="O198" s="45"/>
      <c r="P198" s="26"/>
      <c r="Q198" s="26"/>
      <c r="R198" s="45"/>
      <c r="S198" s="26"/>
      <c r="T198" s="45"/>
      <c r="U198" s="26"/>
      <c r="V198" s="45"/>
    </row>
    <row r="199" spans="1:22">
      <c r="A199" s="23"/>
      <c r="B199" s="24"/>
      <c r="C199" s="26"/>
      <c r="D199" s="26"/>
      <c r="E199" s="14"/>
      <c r="F199" s="14"/>
      <c r="G199" s="14"/>
      <c r="H199" s="14"/>
      <c r="I199" s="26"/>
      <c r="J199" s="26"/>
      <c r="K199" s="26"/>
      <c r="L199" s="26"/>
      <c r="M199" s="26"/>
      <c r="N199" s="26"/>
      <c r="O199" s="45"/>
      <c r="P199" s="26"/>
      <c r="Q199" s="26"/>
      <c r="R199" s="45"/>
      <c r="S199" s="26"/>
      <c r="T199" s="45"/>
      <c r="U199" s="26"/>
      <c r="V199" s="45"/>
    </row>
    <row r="200" spans="1:22">
      <c r="A200" s="23"/>
      <c r="B200" s="24"/>
      <c r="C200" s="26"/>
      <c r="D200" s="26"/>
      <c r="E200" s="14"/>
      <c r="F200" s="14"/>
      <c r="G200" s="14"/>
      <c r="H200" s="14"/>
      <c r="I200" s="26"/>
      <c r="J200" s="26"/>
      <c r="K200" s="26"/>
      <c r="L200" s="26"/>
      <c r="M200" s="26"/>
      <c r="N200" s="26"/>
      <c r="O200" s="45"/>
      <c r="P200" s="26"/>
      <c r="Q200" s="26"/>
      <c r="R200" s="45"/>
      <c r="S200" s="26"/>
      <c r="T200" s="45"/>
      <c r="U200" s="26"/>
      <c r="V200" s="45"/>
    </row>
    <row r="201" spans="1:22">
      <c r="A201" s="23"/>
      <c r="B201" s="24"/>
      <c r="C201" s="26"/>
      <c r="D201" s="26"/>
      <c r="E201" s="14"/>
      <c r="F201" s="14"/>
      <c r="G201" s="14"/>
      <c r="H201" s="14"/>
      <c r="I201" s="26"/>
      <c r="J201" s="26"/>
      <c r="K201" s="26"/>
      <c r="L201" s="26"/>
      <c r="M201" s="26"/>
      <c r="N201" s="26"/>
      <c r="O201" s="45"/>
      <c r="P201" s="26"/>
      <c r="Q201" s="26"/>
      <c r="R201" s="45"/>
      <c r="S201" s="26"/>
      <c r="T201" s="45"/>
      <c r="U201" s="26"/>
      <c r="V201" s="45"/>
    </row>
    <row r="202" spans="1:22">
      <c r="A202" s="23"/>
      <c r="B202" s="24"/>
      <c r="C202" s="26"/>
      <c r="D202" s="26"/>
      <c r="E202" s="14"/>
      <c r="F202" s="14"/>
      <c r="G202" s="14"/>
      <c r="H202" s="14"/>
      <c r="I202" s="26"/>
      <c r="J202" s="26"/>
      <c r="K202" s="26"/>
      <c r="L202" s="26"/>
      <c r="M202" s="26"/>
      <c r="N202" s="26"/>
      <c r="O202" s="45"/>
      <c r="P202" s="26"/>
      <c r="Q202" s="26"/>
      <c r="R202" s="45"/>
      <c r="S202" s="26"/>
      <c r="T202" s="45"/>
      <c r="U202" s="26"/>
      <c r="V202" s="45"/>
    </row>
    <row r="203" spans="1:22">
      <c r="A203" s="23"/>
      <c r="B203" s="24"/>
      <c r="C203" s="26"/>
      <c r="D203" s="26"/>
      <c r="E203" s="14"/>
      <c r="F203" s="14"/>
      <c r="G203" s="14"/>
      <c r="H203" s="14"/>
      <c r="I203" s="26"/>
      <c r="J203" s="26"/>
      <c r="K203" s="26"/>
      <c r="L203" s="26"/>
      <c r="M203" s="26"/>
      <c r="N203" s="26"/>
      <c r="O203" s="45"/>
      <c r="P203" s="26"/>
      <c r="Q203" s="26"/>
      <c r="R203" s="45"/>
      <c r="S203" s="26"/>
      <c r="T203" s="45"/>
      <c r="U203" s="26"/>
      <c r="V203" s="45"/>
    </row>
    <row r="204" spans="1:22">
      <c r="A204" s="23"/>
      <c r="B204" s="24"/>
      <c r="C204" s="26"/>
      <c r="D204" s="26"/>
      <c r="E204" s="14"/>
      <c r="F204" s="14"/>
      <c r="G204" s="14"/>
      <c r="H204" s="14"/>
      <c r="I204" s="26"/>
      <c r="J204" s="26"/>
      <c r="K204" s="26"/>
      <c r="L204" s="26"/>
      <c r="M204" s="26"/>
      <c r="N204" s="26"/>
      <c r="O204" s="45"/>
      <c r="P204" s="26"/>
      <c r="Q204" s="26"/>
      <c r="R204" s="45"/>
      <c r="S204" s="26"/>
      <c r="T204" s="45"/>
      <c r="U204" s="26"/>
      <c r="V204" s="45"/>
    </row>
    <row r="205" spans="1:22">
      <c r="A205" s="23"/>
      <c r="B205" s="24"/>
      <c r="C205" s="26"/>
      <c r="D205" s="26"/>
      <c r="E205" s="14"/>
      <c r="F205" s="14"/>
      <c r="G205" s="14"/>
      <c r="H205" s="14"/>
      <c r="I205" s="26"/>
      <c r="J205" s="26"/>
      <c r="K205" s="26"/>
      <c r="L205" s="26"/>
      <c r="M205" s="26"/>
      <c r="N205" s="26"/>
      <c r="O205" s="45"/>
      <c r="P205" s="26"/>
      <c r="Q205" s="26"/>
      <c r="R205" s="45"/>
      <c r="S205" s="26"/>
      <c r="T205" s="45"/>
      <c r="U205" s="26"/>
      <c r="V205" s="45"/>
    </row>
    <row r="206" spans="1:22">
      <c r="A206" s="23"/>
      <c r="B206" s="24"/>
      <c r="C206" s="26"/>
      <c r="D206" s="26"/>
      <c r="E206" s="14"/>
      <c r="F206" s="14"/>
      <c r="G206" s="14"/>
      <c r="H206" s="14"/>
      <c r="I206" s="26"/>
      <c r="J206" s="26"/>
      <c r="K206" s="26"/>
      <c r="L206" s="26"/>
      <c r="M206" s="26"/>
      <c r="N206" s="26"/>
      <c r="O206" s="45"/>
      <c r="P206" s="26"/>
      <c r="Q206" s="26"/>
      <c r="R206" s="45"/>
      <c r="S206" s="26"/>
      <c r="T206" s="45"/>
      <c r="U206" s="26"/>
      <c r="V206" s="45"/>
    </row>
    <row r="207" spans="1:22">
      <c r="A207" s="23"/>
      <c r="B207" s="24"/>
      <c r="C207" s="26"/>
      <c r="D207" s="26"/>
      <c r="E207" s="14"/>
      <c r="F207" s="14"/>
      <c r="G207" s="14"/>
      <c r="H207" s="14"/>
      <c r="I207" s="26"/>
      <c r="J207" s="26"/>
      <c r="K207" s="26"/>
      <c r="L207" s="26"/>
      <c r="M207" s="26"/>
      <c r="N207" s="26"/>
      <c r="O207" s="45"/>
      <c r="P207" s="26"/>
      <c r="Q207" s="26"/>
      <c r="R207" s="45"/>
      <c r="S207" s="26"/>
      <c r="T207" s="45"/>
      <c r="U207" s="26"/>
      <c r="V207" s="45"/>
    </row>
    <row r="208" spans="1:22">
      <c r="A208" s="23"/>
      <c r="B208" s="24"/>
      <c r="C208" s="26"/>
      <c r="D208" s="26"/>
      <c r="E208" s="14"/>
      <c r="F208" s="14"/>
      <c r="G208" s="14"/>
      <c r="H208" s="14"/>
      <c r="I208" s="26"/>
      <c r="J208" s="26"/>
      <c r="K208" s="26"/>
      <c r="L208" s="26"/>
      <c r="M208" s="26"/>
      <c r="N208" s="26"/>
      <c r="O208" s="45"/>
      <c r="P208" s="26"/>
      <c r="Q208" s="26"/>
      <c r="R208" s="45"/>
      <c r="S208" s="26"/>
      <c r="T208" s="45"/>
      <c r="U208" s="26"/>
      <c r="V208" s="45"/>
    </row>
    <row r="209" spans="1:22">
      <c r="A209" s="23"/>
      <c r="B209" s="24"/>
      <c r="C209" s="26"/>
      <c r="D209" s="26"/>
      <c r="E209" s="14"/>
      <c r="F209" s="14"/>
      <c r="G209" s="14"/>
      <c r="H209" s="14"/>
      <c r="I209" s="26"/>
      <c r="J209" s="26"/>
      <c r="K209" s="26"/>
      <c r="L209" s="26"/>
      <c r="M209" s="26"/>
      <c r="N209" s="26"/>
      <c r="O209" s="45"/>
      <c r="P209" s="26"/>
      <c r="Q209" s="26"/>
      <c r="R209" s="45"/>
      <c r="S209" s="26"/>
      <c r="T209" s="45"/>
      <c r="U209" s="26"/>
      <c r="V209" s="45"/>
    </row>
    <row r="210" spans="1:22">
      <c r="A210" s="23"/>
      <c r="B210" s="24"/>
      <c r="C210" s="26"/>
      <c r="D210" s="26"/>
      <c r="E210" s="14"/>
      <c r="F210" s="14"/>
      <c r="G210" s="14"/>
      <c r="H210" s="14"/>
      <c r="I210" s="26"/>
      <c r="J210" s="26"/>
      <c r="K210" s="26"/>
      <c r="L210" s="26"/>
      <c r="M210" s="26"/>
      <c r="N210" s="26"/>
      <c r="O210" s="45"/>
      <c r="P210" s="26"/>
      <c r="Q210" s="26"/>
      <c r="R210" s="45"/>
      <c r="S210" s="26"/>
      <c r="T210" s="45"/>
      <c r="U210" s="26"/>
      <c r="V210" s="45"/>
    </row>
    <row r="211" spans="1:22">
      <c r="A211" s="23"/>
      <c r="B211" s="24"/>
      <c r="C211" s="26"/>
      <c r="D211" s="26"/>
      <c r="E211" s="14"/>
      <c r="F211" s="14"/>
      <c r="G211" s="14"/>
      <c r="H211" s="14"/>
      <c r="I211" s="26"/>
      <c r="J211" s="26"/>
      <c r="K211" s="26"/>
      <c r="L211" s="26"/>
      <c r="M211" s="26"/>
      <c r="N211" s="26"/>
      <c r="O211" s="45"/>
      <c r="P211" s="26"/>
      <c r="Q211" s="26"/>
      <c r="R211" s="45"/>
      <c r="S211" s="26"/>
      <c r="T211" s="45"/>
      <c r="U211" s="26"/>
      <c r="V211" s="45"/>
    </row>
    <row r="212" spans="1:22">
      <c r="A212" s="23"/>
      <c r="B212" s="24"/>
      <c r="C212" s="26"/>
      <c r="D212" s="26"/>
      <c r="E212" s="14"/>
      <c r="F212" s="14"/>
      <c r="G212" s="14"/>
      <c r="H212" s="14"/>
      <c r="I212" s="26"/>
      <c r="J212" s="26"/>
      <c r="K212" s="26"/>
      <c r="L212" s="26"/>
      <c r="M212" s="26"/>
      <c r="N212" s="26"/>
      <c r="O212" s="45"/>
      <c r="P212" s="26"/>
      <c r="Q212" s="26"/>
      <c r="R212" s="45"/>
      <c r="S212" s="26"/>
      <c r="T212" s="45"/>
      <c r="U212" s="26"/>
      <c r="V212" s="45"/>
    </row>
    <row r="213" spans="1:22">
      <c r="A213" s="23"/>
      <c r="B213" s="24"/>
      <c r="C213" s="26"/>
      <c r="D213" s="26"/>
      <c r="E213" s="14"/>
      <c r="F213" s="14"/>
      <c r="G213" s="14"/>
      <c r="H213" s="14"/>
      <c r="I213" s="26"/>
      <c r="J213" s="26"/>
      <c r="K213" s="26"/>
      <c r="L213" s="26"/>
      <c r="M213" s="26"/>
      <c r="N213" s="26"/>
      <c r="O213" s="45"/>
      <c r="P213" s="26"/>
      <c r="Q213" s="26"/>
      <c r="R213" s="45"/>
      <c r="S213" s="26"/>
      <c r="T213" s="45"/>
      <c r="U213" s="26"/>
      <c r="V213" s="45"/>
    </row>
    <row r="214" spans="1:22">
      <c r="A214" s="23"/>
      <c r="B214" s="24"/>
      <c r="C214" s="26"/>
      <c r="D214" s="26"/>
      <c r="E214" s="14"/>
      <c r="F214" s="14"/>
      <c r="G214" s="14"/>
      <c r="H214" s="14"/>
      <c r="I214" s="26"/>
      <c r="J214" s="26"/>
      <c r="K214" s="26"/>
      <c r="L214" s="26"/>
      <c r="M214" s="26"/>
      <c r="N214" s="26"/>
      <c r="O214" s="45"/>
      <c r="P214" s="26"/>
      <c r="Q214" s="26"/>
      <c r="R214" s="45"/>
      <c r="S214" s="26"/>
      <c r="T214" s="45"/>
      <c r="U214" s="26"/>
      <c r="V214" s="45"/>
    </row>
    <row r="215" spans="1:22">
      <c r="A215" s="23"/>
      <c r="B215" s="24"/>
      <c r="C215" s="26"/>
      <c r="D215" s="26"/>
      <c r="E215" s="14"/>
      <c r="F215" s="14"/>
      <c r="G215" s="14"/>
      <c r="H215" s="14"/>
      <c r="I215" s="26"/>
      <c r="J215" s="26"/>
      <c r="K215" s="26"/>
      <c r="L215" s="26"/>
      <c r="M215" s="26"/>
      <c r="N215" s="26"/>
      <c r="O215" s="45"/>
      <c r="P215" s="26"/>
      <c r="Q215" s="26"/>
      <c r="R215" s="45"/>
      <c r="S215" s="26"/>
      <c r="T215" s="45"/>
      <c r="U215" s="26"/>
      <c r="V215" s="45"/>
    </row>
    <row r="216" spans="1:22">
      <c r="A216" s="23"/>
      <c r="B216" s="24"/>
      <c r="C216" s="26"/>
      <c r="D216" s="26"/>
      <c r="E216" s="14"/>
      <c r="F216" s="14"/>
      <c r="G216" s="14"/>
      <c r="H216" s="14"/>
      <c r="I216" s="26"/>
      <c r="J216" s="26"/>
      <c r="K216" s="26"/>
      <c r="L216" s="26"/>
      <c r="M216" s="26"/>
      <c r="N216" s="26"/>
      <c r="O216" s="45"/>
      <c r="P216" s="26"/>
      <c r="Q216" s="26"/>
      <c r="R216" s="45"/>
      <c r="S216" s="26"/>
      <c r="T216" s="45"/>
      <c r="U216" s="26"/>
      <c r="V216" s="45"/>
    </row>
  </sheetData>
  <sheetProtection selectLockedCells="1"/>
  <dataConsolidate/>
  <mergeCells count="29">
    <mergeCell ref="A4:B4"/>
    <mergeCell ref="L7:L8"/>
    <mergeCell ref="M7:V7"/>
    <mergeCell ref="M8:O8"/>
    <mergeCell ref="P8:R8"/>
    <mergeCell ref="S8:T8"/>
    <mergeCell ref="U8:V8"/>
    <mergeCell ref="J7:J8"/>
    <mergeCell ref="K7:K8"/>
    <mergeCell ref="E8:F8"/>
    <mergeCell ref="G8:H8"/>
    <mergeCell ref="A5:B5"/>
    <mergeCell ref="A6:K6"/>
    <mergeCell ref="AA22:AB22"/>
    <mergeCell ref="A7:A8"/>
    <mergeCell ref="C7:D7"/>
    <mergeCell ref="E7:H7"/>
    <mergeCell ref="I7:I8"/>
    <mergeCell ref="D1:F1"/>
    <mergeCell ref="D3:E3"/>
    <mergeCell ref="D5:E5"/>
    <mergeCell ref="AS2:AU2"/>
    <mergeCell ref="AV2:AX2"/>
    <mergeCell ref="D2:E2"/>
    <mergeCell ref="AM2:AO2"/>
    <mergeCell ref="AP2:AR2"/>
    <mergeCell ref="D4:E4"/>
    <mergeCell ref="H4:I4"/>
    <mergeCell ref="H5:I5"/>
  </mergeCells>
  <dataValidations count="3">
    <dataValidation type="list" allowBlank="1" showInputMessage="1" showErrorMessage="1" sqref="AA22">
      <formula1>$A$10:$A$216</formula1>
    </dataValidation>
    <dataValidation type="list" allowBlank="1" showInputMessage="1" showErrorMessage="1" sqref="F3">
      <formula1>$G$2:$J$2</formula1>
    </dataValidation>
    <dataValidation type="list" allowBlank="1" showInputMessage="1" showErrorMessage="1" sqref="F2">
      <formula1>$G$1:$J$1</formula1>
    </dataValidation>
  </dataValidations>
  <pageMargins left="0.7" right="0.7" top="0.75" bottom="0.75" header="0.3" footer="0.3"/>
  <pageSetup orientation="portrait" horizontalDpi="300" verticalDpi="300" r:id="rId1"/>
  <ignoredErrors>
    <ignoredError sqref="T10:T15 V15 V10:V14" numberStoredAsText="1"/>
  </ignoredErrors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K80"/>
  <sheetViews>
    <sheetView tabSelected="1" zoomScale="150" zoomScaleNormal="150" workbookViewId="0">
      <selection activeCell="C11" sqref="C11"/>
    </sheetView>
  </sheetViews>
  <sheetFormatPr defaultColWidth="9.140625" defaultRowHeight="12.75" outlineLevelRow="1"/>
  <cols>
    <col min="1" max="1" width="18.85546875" style="124" customWidth="1"/>
    <col min="2" max="2" width="7.7109375" style="50" customWidth="1"/>
    <col min="3" max="3" width="8.42578125" style="50" customWidth="1"/>
    <col min="4" max="4" width="10.42578125" style="50" customWidth="1"/>
    <col min="5" max="5" width="6.5703125" style="50" customWidth="1"/>
    <col min="6" max="6" width="12" style="50" customWidth="1"/>
    <col min="7" max="7" width="6.5703125" style="50" customWidth="1"/>
    <col min="8" max="8" width="12.5703125" style="50" customWidth="1"/>
    <col min="9" max="9" width="6.5703125" style="50" customWidth="1"/>
    <col min="10" max="10" width="12.5703125" style="50" customWidth="1"/>
    <col min="11" max="11" width="6.85546875" style="50" customWidth="1"/>
    <col min="12" max="12" width="12.5703125" style="50" customWidth="1"/>
    <col min="13" max="13" width="5.7109375" style="50" customWidth="1"/>
    <col min="14" max="14" width="12.5703125" style="50" customWidth="1"/>
    <col min="15" max="15" width="6.5703125" style="50" customWidth="1"/>
    <col min="16" max="16" width="12.5703125" style="50" customWidth="1"/>
    <col min="17" max="17" width="6.5703125" style="50" customWidth="1"/>
    <col min="18" max="18" width="12.5703125" style="50" customWidth="1"/>
    <col min="19" max="19" width="6.5703125" style="50" customWidth="1"/>
    <col min="20" max="20" width="12.5703125" style="50" customWidth="1"/>
    <col min="21" max="21" width="6.5703125" style="50" customWidth="1"/>
    <col min="22" max="22" width="12.5703125" style="50" customWidth="1"/>
    <col min="23" max="23" width="6.5703125" style="50" customWidth="1"/>
    <col min="24" max="24" width="12.5703125" style="50" customWidth="1"/>
    <col min="25" max="25" width="6.5703125" style="50" customWidth="1"/>
    <col min="26" max="26" width="12.5703125" style="50" customWidth="1"/>
    <col min="27" max="27" width="6.5703125" style="50" customWidth="1"/>
    <col min="28" max="28" width="12.5703125" style="50" customWidth="1"/>
    <col min="29" max="29" width="6.5703125" style="50" customWidth="1"/>
    <col min="30" max="30" width="12.5703125" style="50" customWidth="1"/>
    <col min="31" max="31" width="6.5703125" style="50" customWidth="1"/>
    <col min="32" max="32" width="12.5703125" style="50" customWidth="1"/>
    <col min="33" max="33" width="6.5703125" style="50" customWidth="1"/>
    <col min="34" max="34" width="12.5703125" style="50" customWidth="1"/>
    <col min="35" max="35" width="6.5703125" style="50" customWidth="1"/>
    <col min="36" max="16384" width="9.140625" style="50"/>
  </cols>
  <sheetData>
    <row r="1" spans="1:37" s="31" customFormat="1" ht="12.75" customHeight="1">
      <c r="A1" s="29" t="s">
        <v>159</v>
      </c>
      <c r="B1" s="30" t="s">
        <v>1</v>
      </c>
      <c r="E1" s="212" t="s">
        <v>164</v>
      </c>
      <c r="F1" s="213"/>
      <c r="G1" s="214">
        <v>500</v>
      </c>
      <c r="H1" s="215"/>
      <c r="I1" s="242" t="b">
        <v>0</v>
      </c>
      <c r="J1" s="216"/>
      <c r="K1" s="217"/>
      <c r="M1" s="33" t="s">
        <v>2</v>
      </c>
      <c r="N1" s="33" t="s">
        <v>1</v>
      </c>
      <c r="O1" s="33" t="s">
        <v>0</v>
      </c>
      <c r="P1" s="33" t="s">
        <v>6</v>
      </c>
      <c r="Q1" s="33" t="s">
        <v>5</v>
      </c>
      <c r="R1" s="43"/>
      <c r="S1" s="32"/>
      <c r="T1" s="32"/>
    </row>
    <row r="2" spans="1:37" s="31" customFormat="1" ht="15">
      <c r="A2" s="34" t="s">
        <v>137</v>
      </c>
      <c r="B2" s="35" t="s">
        <v>0</v>
      </c>
      <c r="E2" s="282" t="s">
        <v>151</v>
      </c>
      <c r="F2" s="283"/>
      <c r="G2" s="218">
        <v>40</v>
      </c>
      <c r="H2" s="215"/>
      <c r="I2" s="219"/>
      <c r="J2" s="216"/>
      <c r="K2" s="220"/>
      <c r="L2" s="202" t="s">
        <v>37</v>
      </c>
      <c r="M2" s="201"/>
      <c r="N2" s="33" t="s">
        <v>0</v>
      </c>
      <c r="O2" s="33" t="s">
        <v>6</v>
      </c>
      <c r="P2" s="33" t="s">
        <v>5</v>
      </c>
      <c r="Q2" s="33" t="s">
        <v>4</v>
      </c>
      <c r="R2" s="43"/>
      <c r="S2" s="32"/>
      <c r="T2" s="37"/>
    </row>
    <row r="3" spans="1:37" s="31" customFormat="1" ht="14.25">
      <c r="A3" s="114" t="s">
        <v>138</v>
      </c>
      <c r="B3" s="26" t="s">
        <v>125</v>
      </c>
      <c r="E3" s="284" t="s">
        <v>152</v>
      </c>
      <c r="F3" s="285"/>
      <c r="G3" s="221">
        <v>30</v>
      </c>
      <c r="H3" s="222">
        <v>0.2</v>
      </c>
      <c r="I3" s="223" t="s">
        <v>162</v>
      </c>
      <c r="J3" s="216"/>
      <c r="K3" s="220"/>
      <c r="L3" s="38" t="s">
        <v>38</v>
      </c>
      <c r="M3" s="43"/>
      <c r="N3" s="63" t="s">
        <v>162</v>
      </c>
      <c r="O3" s="43"/>
      <c r="P3" s="43"/>
      <c r="Q3" s="43"/>
      <c r="R3" s="43"/>
      <c r="S3" s="32"/>
      <c r="T3" s="37"/>
    </row>
    <row r="4" spans="1:37" s="31" customFormat="1" ht="14.25" customHeight="1">
      <c r="A4" s="114" t="s">
        <v>216</v>
      </c>
      <c r="B4" s="26">
        <v>1</v>
      </c>
      <c r="E4" s="224" t="s">
        <v>153</v>
      </c>
      <c r="F4" s="225"/>
      <c r="G4" s="226">
        <v>12</v>
      </c>
      <c r="H4" s="215"/>
      <c r="I4" s="219"/>
      <c r="J4" s="219"/>
      <c r="K4" s="220"/>
      <c r="L4" s="38" t="s">
        <v>39</v>
      </c>
      <c r="M4" s="43"/>
      <c r="N4" s="63" t="s">
        <v>161</v>
      </c>
      <c r="O4" s="43"/>
      <c r="P4" s="43"/>
      <c r="Q4" s="43"/>
      <c r="R4" s="43"/>
      <c r="S4" s="32"/>
      <c r="T4" s="32"/>
    </row>
    <row r="5" spans="1:37" s="31" customFormat="1" ht="12.75" customHeight="1">
      <c r="A5" s="115" t="s">
        <v>140</v>
      </c>
      <c r="B5" s="40">
        <v>1000</v>
      </c>
      <c r="E5" s="227" t="s">
        <v>154</v>
      </c>
      <c r="F5" s="228"/>
      <c r="G5" s="229" t="s">
        <v>252</v>
      </c>
      <c r="H5" s="222">
        <v>0.25</v>
      </c>
      <c r="I5" s="223" t="s">
        <v>163</v>
      </c>
      <c r="J5" s="223"/>
      <c r="K5" s="220"/>
      <c r="L5" s="38" t="s">
        <v>41</v>
      </c>
      <c r="M5" s="43"/>
      <c r="N5" s="142" t="s">
        <v>163</v>
      </c>
      <c r="O5" s="43"/>
      <c r="P5" s="43"/>
      <c r="Q5" s="43"/>
      <c r="R5" s="43"/>
    </row>
    <row r="6" spans="1:37" s="31" customFormat="1" ht="12.75" customHeight="1">
      <c r="A6" s="116" t="s">
        <v>139</v>
      </c>
      <c r="B6" s="41">
        <v>500</v>
      </c>
      <c r="E6" s="230" t="s">
        <v>155</v>
      </c>
      <c r="F6" s="231"/>
      <c r="G6" s="214">
        <v>10</v>
      </c>
      <c r="H6" s="232">
        <v>25</v>
      </c>
      <c r="I6" s="219"/>
      <c r="J6" s="219"/>
      <c r="K6" s="220"/>
      <c r="L6" s="38" t="s">
        <v>43</v>
      </c>
      <c r="M6" s="43"/>
      <c r="N6" s="142" t="s">
        <v>161</v>
      </c>
      <c r="O6" s="43"/>
      <c r="P6" s="43"/>
      <c r="Q6" s="43"/>
      <c r="R6" s="43"/>
    </row>
    <row r="7" spans="1:37" s="31" customFormat="1" ht="13.9" customHeight="1">
      <c r="A7" s="114" t="s">
        <v>147</v>
      </c>
      <c r="B7" s="26">
        <v>150</v>
      </c>
      <c r="E7" s="286" t="s">
        <v>167</v>
      </c>
      <c r="F7" s="233" t="s">
        <v>156</v>
      </c>
      <c r="G7" s="226" t="s">
        <v>16</v>
      </c>
      <c r="H7" s="234" t="b">
        <v>0</v>
      </c>
      <c r="I7" s="220"/>
      <c r="J7" s="235" t="s">
        <v>45</v>
      </c>
      <c r="K7" s="220"/>
      <c r="L7" s="38" t="s">
        <v>44</v>
      </c>
    </row>
    <row r="8" spans="1:37" s="31" customFormat="1" ht="14.25">
      <c r="A8" s="117" t="s">
        <v>141</v>
      </c>
      <c r="B8" s="44"/>
      <c r="E8" s="287"/>
      <c r="F8" s="236" t="s">
        <v>157</v>
      </c>
      <c r="G8" s="237" t="s">
        <v>17</v>
      </c>
      <c r="H8" s="220"/>
      <c r="I8" s="234">
        <v>2</v>
      </c>
      <c r="J8" s="220"/>
      <c r="K8" s="220"/>
      <c r="L8" s="38" t="s">
        <v>46</v>
      </c>
    </row>
    <row r="9" spans="1:37" s="13" customFormat="1" ht="17.25">
      <c r="A9" s="118" t="s">
        <v>165</v>
      </c>
      <c r="B9" s="41">
        <v>-100</v>
      </c>
      <c r="E9" s="288"/>
      <c r="F9" s="238" t="s">
        <v>158</v>
      </c>
      <c r="G9" s="239">
        <v>150</v>
      </c>
      <c r="H9" s="289" t="s">
        <v>168</v>
      </c>
      <c r="I9" s="290"/>
      <c r="J9" s="240" t="s">
        <v>126</v>
      </c>
      <c r="K9" s="241"/>
      <c r="L9" s="204" t="s">
        <v>236</v>
      </c>
      <c r="M9" s="203"/>
      <c r="N9" s="203"/>
      <c r="O9" s="203"/>
      <c r="P9" s="203"/>
    </row>
    <row r="10" spans="1:37" s="47" customFormat="1" ht="12.75" customHeight="1">
      <c r="A10" s="114" t="s">
        <v>142</v>
      </c>
      <c r="B10" s="45" t="s">
        <v>77</v>
      </c>
      <c r="C10" s="211" t="s">
        <v>156</v>
      </c>
      <c r="D10" s="211" t="s">
        <v>157</v>
      </c>
      <c r="E10" s="211" t="s">
        <v>156</v>
      </c>
      <c r="F10" s="211" t="s">
        <v>157</v>
      </c>
      <c r="G10" s="211" t="s">
        <v>156</v>
      </c>
      <c r="H10" s="211" t="s">
        <v>157</v>
      </c>
      <c r="I10" s="211" t="s">
        <v>156</v>
      </c>
      <c r="J10" s="46" t="s">
        <v>157</v>
      </c>
      <c r="K10" s="46" t="s">
        <v>156</v>
      </c>
      <c r="L10" s="46" t="s">
        <v>157</v>
      </c>
      <c r="M10" s="46" t="s">
        <v>156</v>
      </c>
      <c r="N10" s="46" t="s">
        <v>157</v>
      </c>
      <c r="O10" s="46" t="s">
        <v>156</v>
      </c>
      <c r="P10" s="46" t="s">
        <v>157</v>
      </c>
      <c r="Q10" s="46" t="s">
        <v>156</v>
      </c>
      <c r="R10" s="46" t="s">
        <v>157</v>
      </c>
      <c r="S10" s="46" t="s">
        <v>156</v>
      </c>
      <c r="T10" s="46" t="s">
        <v>157</v>
      </c>
      <c r="U10" s="46" t="s">
        <v>156</v>
      </c>
      <c r="V10" s="46" t="s">
        <v>157</v>
      </c>
      <c r="W10" s="46" t="s">
        <v>156</v>
      </c>
      <c r="X10" s="46" t="s">
        <v>157</v>
      </c>
      <c r="Y10" s="46" t="s">
        <v>156</v>
      </c>
      <c r="Z10" s="46" t="s">
        <v>157</v>
      </c>
      <c r="AA10" s="46" t="s">
        <v>156</v>
      </c>
      <c r="AB10" s="46" t="s">
        <v>157</v>
      </c>
      <c r="AC10" s="46" t="s">
        <v>156</v>
      </c>
      <c r="AD10" s="46" t="s">
        <v>157</v>
      </c>
      <c r="AE10" s="46" t="s">
        <v>156</v>
      </c>
      <c r="AF10" s="46" t="s">
        <v>157</v>
      </c>
      <c r="AG10" s="46" t="s">
        <v>156</v>
      </c>
      <c r="AH10" s="46" t="s">
        <v>157</v>
      </c>
      <c r="AI10" s="46" t="s">
        <v>156</v>
      </c>
    </row>
    <row r="11" spans="1:37" s="49" customFormat="1" ht="12.75" customHeight="1">
      <c r="A11" s="117" t="s">
        <v>146</v>
      </c>
      <c r="B11" s="39" t="s">
        <v>160</v>
      </c>
      <c r="C11" s="111">
        <v>400</v>
      </c>
      <c r="D11" s="111">
        <v>6200</v>
      </c>
      <c r="E11" s="111">
        <v>400</v>
      </c>
      <c r="F11" s="111">
        <v>6000</v>
      </c>
      <c r="G11" s="111">
        <v>400</v>
      </c>
      <c r="H11" s="111">
        <v>6000</v>
      </c>
      <c r="I11" s="111">
        <v>400</v>
      </c>
      <c r="J11" s="111">
        <v>6000</v>
      </c>
      <c r="K11" s="111">
        <v>400</v>
      </c>
      <c r="L11" s="111" t="s">
        <v>263</v>
      </c>
      <c r="M11" s="111"/>
      <c r="N11" s="111"/>
      <c r="O11" s="111"/>
      <c r="P11" s="111"/>
      <c r="Q11" s="111"/>
      <c r="R11" s="111"/>
      <c r="S11" s="111"/>
      <c r="T11" s="111"/>
      <c r="U11" s="111"/>
      <c r="V11" s="111"/>
      <c r="W11" s="111"/>
      <c r="X11" s="111"/>
      <c r="Y11" s="111"/>
      <c r="Z11" s="111"/>
      <c r="AA11" s="111"/>
      <c r="AB11" s="111"/>
      <c r="AC11" s="111"/>
      <c r="AD11" s="111"/>
      <c r="AE11" s="111"/>
    </row>
    <row r="12" spans="1:37" s="112" customFormat="1" ht="12.75" customHeight="1">
      <c r="A12" s="119" t="s">
        <v>145</v>
      </c>
      <c r="B12" s="11" t="s">
        <v>160</v>
      </c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</row>
    <row r="13" spans="1:37" s="49" customFormat="1" ht="12.75" customHeight="1" thickBot="1">
      <c r="A13" s="273" t="s">
        <v>143</v>
      </c>
      <c r="B13" s="64" t="s">
        <v>192</v>
      </c>
      <c r="C13" s="65" t="s">
        <v>127</v>
      </c>
      <c r="D13" s="66"/>
      <c r="E13" s="209" t="s">
        <v>245</v>
      </c>
      <c r="F13" s="66"/>
      <c r="G13" s="65"/>
      <c r="H13" s="66"/>
      <c r="I13" s="65"/>
      <c r="J13" s="66"/>
      <c r="K13" s="67"/>
      <c r="L13" s="66"/>
      <c r="M13" s="67"/>
      <c r="N13" s="66"/>
      <c r="O13" s="67"/>
      <c r="P13" s="66"/>
      <c r="Q13" s="67"/>
      <c r="R13" s="66"/>
      <c r="S13" s="67"/>
      <c r="T13" s="66"/>
      <c r="U13" s="67"/>
      <c r="V13" s="66"/>
      <c r="W13" s="67"/>
      <c r="X13" s="66"/>
      <c r="Y13" s="67"/>
      <c r="Z13" s="66"/>
      <c r="AA13" s="67"/>
      <c r="AB13" s="66"/>
      <c r="AC13" s="67"/>
      <c r="AD13" s="66"/>
      <c r="AE13" s="67"/>
      <c r="AF13" s="66"/>
      <c r="AG13" s="67"/>
      <c r="AH13" s="66"/>
      <c r="AI13" s="67"/>
    </row>
    <row r="14" spans="1:37" s="49" customFormat="1" ht="12.75" customHeight="1" thickTop="1">
      <c r="A14" s="274"/>
      <c r="B14" s="68" t="s">
        <v>193</v>
      </c>
      <c r="C14" s="69" t="s">
        <v>127</v>
      </c>
      <c r="D14" s="70"/>
      <c r="E14" s="67" t="s">
        <v>127</v>
      </c>
      <c r="F14" s="70"/>
      <c r="G14" s="67" t="s">
        <v>246</v>
      </c>
      <c r="H14" s="70"/>
      <c r="I14" s="67" t="s">
        <v>127</v>
      </c>
      <c r="J14" s="70"/>
      <c r="K14" s="67" t="s">
        <v>127</v>
      </c>
      <c r="L14" s="70"/>
      <c r="M14" s="67"/>
      <c r="N14" s="70"/>
      <c r="O14" s="72"/>
      <c r="P14" s="70"/>
      <c r="Q14" s="72"/>
      <c r="R14" s="70"/>
      <c r="S14" s="72"/>
      <c r="T14" s="70"/>
      <c r="U14" s="72"/>
      <c r="V14" s="70"/>
      <c r="W14" s="72"/>
      <c r="X14" s="70"/>
      <c r="Y14" s="72"/>
      <c r="Z14" s="70"/>
      <c r="AA14" s="72"/>
      <c r="AB14" s="70"/>
      <c r="AC14" s="72"/>
      <c r="AD14" s="70"/>
      <c r="AE14" s="72"/>
      <c r="AF14" s="70"/>
      <c r="AG14" s="72"/>
      <c r="AH14" s="70"/>
      <c r="AI14" s="72"/>
    </row>
    <row r="15" spans="1:37" s="49" customFormat="1" ht="12.75" hidden="1" customHeight="1" outlineLevel="1">
      <c r="A15" s="120"/>
      <c r="B15" s="68" t="s">
        <v>242</v>
      </c>
      <c r="C15" s="69"/>
      <c r="D15" s="71"/>
      <c r="E15" s="67"/>
      <c r="F15" s="71"/>
      <c r="G15" s="67"/>
      <c r="H15" s="71"/>
      <c r="I15" s="67"/>
      <c r="J15" s="71"/>
      <c r="K15" s="67"/>
      <c r="L15" s="71"/>
      <c r="M15" s="67"/>
      <c r="N15" s="71"/>
      <c r="O15" s="67"/>
      <c r="P15" s="71"/>
      <c r="Q15" s="67"/>
      <c r="R15" s="71"/>
      <c r="S15" s="67"/>
      <c r="T15" s="71"/>
      <c r="U15" s="67"/>
      <c r="V15" s="71"/>
      <c r="W15" s="67"/>
      <c r="X15" s="71"/>
      <c r="Y15" s="67"/>
      <c r="Z15" s="71"/>
      <c r="AA15" s="67"/>
      <c r="AB15" s="71"/>
      <c r="AC15" s="67"/>
      <c r="AD15" s="71"/>
      <c r="AE15" s="67"/>
      <c r="AF15" s="71"/>
      <c r="AG15" s="67"/>
      <c r="AH15" s="71"/>
      <c r="AI15" s="67"/>
    </row>
    <row r="16" spans="1:37" s="49" customFormat="1" ht="12.75" hidden="1" customHeight="1" outlineLevel="1">
      <c r="A16" s="121"/>
      <c r="B16" s="64" t="s">
        <v>242</v>
      </c>
      <c r="C16" s="73"/>
      <c r="D16" s="67"/>
      <c r="E16" s="71"/>
      <c r="F16" s="67"/>
      <c r="G16" s="71"/>
      <c r="H16" s="67"/>
      <c r="I16" s="71"/>
      <c r="J16" s="67"/>
      <c r="K16" s="71"/>
      <c r="L16" s="67"/>
      <c r="M16" s="71"/>
      <c r="N16" s="67"/>
      <c r="O16" s="71"/>
      <c r="P16" s="67"/>
      <c r="Q16" s="71"/>
      <c r="R16" s="67"/>
      <c r="S16" s="71"/>
      <c r="T16" s="67"/>
      <c r="U16" s="71"/>
      <c r="V16" s="67"/>
      <c r="W16" s="71"/>
      <c r="X16" s="67"/>
      <c r="Y16" s="71"/>
      <c r="Z16" s="67"/>
      <c r="AA16" s="71"/>
      <c r="AB16" s="67"/>
      <c r="AC16" s="71"/>
      <c r="AD16" s="67"/>
      <c r="AE16" s="71"/>
      <c r="AF16" s="67"/>
      <c r="AG16" s="71"/>
      <c r="AH16" s="67"/>
      <c r="AI16" s="71"/>
    </row>
    <row r="17" spans="1:35" s="49" customFormat="1" ht="13.5" customHeight="1" collapsed="1" thickBot="1">
      <c r="A17" s="273" t="s">
        <v>144</v>
      </c>
      <c r="B17" s="64" t="s">
        <v>193</v>
      </c>
      <c r="C17" s="74"/>
      <c r="D17" s="67" t="s">
        <v>127</v>
      </c>
      <c r="E17" s="71"/>
      <c r="F17" s="67" t="s">
        <v>127</v>
      </c>
      <c r="G17" s="71"/>
      <c r="H17" s="67" t="s">
        <v>127</v>
      </c>
      <c r="I17" s="71"/>
      <c r="J17" s="67"/>
      <c r="K17" s="71"/>
      <c r="L17" s="67"/>
      <c r="M17" s="71"/>
      <c r="N17" s="67"/>
      <c r="O17" s="71"/>
      <c r="P17" s="67"/>
      <c r="Q17" s="71"/>
      <c r="R17" s="67"/>
      <c r="S17" s="71"/>
      <c r="T17" s="67"/>
      <c r="U17" s="71"/>
      <c r="V17" s="67"/>
      <c r="W17" s="71"/>
      <c r="X17" s="67"/>
      <c r="Y17" s="71"/>
      <c r="Z17" s="67"/>
      <c r="AA17" s="71"/>
      <c r="AB17" s="67"/>
      <c r="AC17" s="71"/>
      <c r="AD17" s="67"/>
      <c r="AE17" s="71"/>
      <c r="AF17" s="67"/>
      <c r="AG17" s="71"/>
      <c r="AH17" s="67"/>
      <c r="AI17" s="71"/>
    </row>
    <row r="18" spans="1:35" s="49" customFormat="1" ht="13.9" customHeight="1" thickTop="1">
      <c r="A18" s="274"/>
      <c r="B18" s="68" t="s">
        <v>192</v>
      </c>
      <c r="C18" s="75"/>
      <c r="D18" s="76"/>
      <c r="E18" s="75"/>
      <c r="F18" s="76"/>
      <c r="G18" s="75"/>
      <c r="H18" s="76"/>
      <c r="I18" s="75"/>
      <c r="J18" s="76"/>
      <c r="K18" s="75"/>
      <c r="L18" s="76"/>
      <c r="M18" s="75"/>
      <c r="N18" s="76"/>
      <c r="O18" s="75"/>
      <c r="P18" s="76"/>
      <c r="Q18" s="75"/>
      <c r="R18" s="76"/>
      <c r="S18" s="75"/>
      <c r="T18" s="76"/>
      <c r="U18" s="75"/>
      <c r="V18" s="76"/>
      <c r="W18" s="75"/>
      <c r="X18" s="76"/>
      <c r="Y18" s="75"/>
      <c r="Z18" s="76"/>
      <c r="AA18" s="75"/>
      <c r="AB18" s="76"/>
      <c r="AC18" s="75"/>
      <c r="AD18" s="76"/>
      <c r="AE18" s="75"/>
      <c r="AF18" s="76"/>
      <c r="AG18" s="75"/>
      <c r="AH18" s="76"/>
      <c r="AI18" s="75"/>
    </row>
    <row r="19" spans="1:35" s="113" customFormat="1">
      <c r="A19" s="275" t="s">
        <v>148</v>
      </c>
      <c r="B19" s="275"/>
      <c r="C19" s="77"/>
      <c r="D19" s="77"/>
      <c r="E19" s="77">
        <v>0</v>
      </c>
      <c r="F19" s="77" t="s">
        <v>247</v>
      </c>
      <c r="G19" s="77" t="s">
        <v>251</v>
      </c>
      <c r="H19" s="77">
        <v>0</v>
      </c>
      <c r="I19" s="77" t="s">
        <v>251</v>
      </c>
      <c r="J19" s="77"/>
      <c r="K19" s="77"/>
      <c r="L19" s="77"/>
      <c r="M19" s="77"/>
      <c r="N19" s="77"/>
      <c r="O19" s="77"/>
      <c r="P19" s="77"/>
      <c r="Q19" s="77"/>
      <c r="R19" s="77"/>
      <c r="S19" s="77"/>
      <c r="T19" s="77"/>
      <c r="U19" s="77"/>
      <c r="V19" s="77"/>
      <c r="W19" s="77"/>
      <c r="X19" s="77"/>
      <c r="Y19" s="77"/>
      <c r="Z19" s="77"/>
      <c r="AA19" s="77"/>
      <c r="AB19" s="77"/>
      <c r="AC19" s="77"/>
      <c r="AD19" s="77"/>
      <c r="AE19" s="77"/>
      <c r="AF19" s="77"/>
      <c r="AG19" s="77"/>
      <c r="AH19" s="77"/>
      <c r="AI19" s="77"/>
    </row>
    <row r="20" spans="1:35" s="105" customFormat="1">
      <c r="A20" s="110" t="s">
        <v>149</v>
      </c>
      <c r="B20" s="102"/>
      <c r="C20" s="103">
        <v>400</v>
      </c>
      <c r="D20" s="78"/>
      <c r="E20" s="104">
        <v>400</v>
      </c>
      <c r="F20" s="79" t="s">
        <v>248</v>
      </c>
      <c r="G20" s="104">
        <v>400</v>
      </c>
      <c r="H20" s="79">
        <v>600</v>
      </c>
      <c r="I20" s="104">
        <v>500</v>
      </c>
      <c r="J20" s="78"/>
      <c r="K20" s="104">
        <v>400</v>
      </c>
      <c r="L20" s="78"/>
      <c r="M20" s="104"/>
      <c r="N20" s="78"/>
      <c r="O20" s="104"/>
      <c r="P20" s="78"/>
      <c r="Q20" s="104"/>
      <c r="R20" s="78"/>
      <c r="S20" s="104"/>
      <c r="T20" s="78"/>
      <c r="U20" s="104"/>
      <c r="V20" s="78"/>
      <c r="W20" s="104"/>
      <c r="X20" s="78"/>
      <c r="Y20" s="104"/>
      <c r="Z20" s="78"/>
      <c r="AA20" s="104"/>
      <c r="AB20" s="78"/>
      <c r="AC20" s="104"/>
      <c r="AD20" s="78"/>
      <c r="AE20" s="104"/>
      <c r="AF20" s="78"/>
      <c r="AG20" s="104"/>
      <c r="AH20" s="78"/>
      <c r="AI20" s="104"/>
    </row>
    <row r="21" spans="1:35" s="105" customFormat="1">
      <c r="A21" s="276" t="s">
        <v>243</v>
      </c>
      <c r="B21" s="277"/>
      <c r="C21" s="106"/>
      <c r="D21" s="80"/>
      <c r="E21" s="107"/>
      <c r="F21" s="210" t="s">
        <v>249</v>
      </c>
      <c r="G21" s="108"/>
      <c r="H21" s="109">
        <v>0</v>
      </c>
      <c r="I21" s="107">
        <v>500</v>
      </c>
      <c r="J21" s="81"/>
      <c r="K21" s="107"/>
      <c r="L21" s="81"/>
      <c r="M21" s="107"/>
      <c r="N21" s="81"/>
      <c r="O21" s="107"/>
      <c r="P21" s="81"/>
      <c r="Q21" s="107"/>
      <c r="R21" s="81"/>
      <c r="S21" s="107"/>
      <c r="T21" s="81"/>
      <c r="U21" s="108"/>
      <c r="V21" s="81"/>
      <c r="W21" s="107"/>
      <c r="X21" s="81"/>
      <c r="Y21" s="107"/>
      <c r="Z21" s="81"/>
      <c r="AA21" s="107"/>
      <c r="AB21" s="81"/>
      <c r="AC21" s="107"/>
      <c r="AD21" s="81"/>
      <c r="AE21" s="108"/>
      <c r="AF21" s="81"/>
      <c r="AG21" s="107"/>
      <c r="AH21" s="81"/>
      <c r="AI21" s="108"/>
    </row>
    <row r="22" spans="1:35" s="100" customFormat="1" ht="12.75" customHeight="1">
      <c r="A22" s="278" t="s">
        <v>150</v>
      </c>
      <c r="B22" s="279"/>
      <c r="C22" s="48">
        <v>1</v>
      </c>
      <c r="E22" s="48">
        <v>2</v>
      </c>
      <c r="F22" s="101" t="s">
        <v>250</v>
      </c>
      <c r="G22" s="48">
        <v>3</v>
      </c>
      <c r="H22" s="101"/>
      <c r="I22" s="48">
        <v>4</v>
      </c>
      <c r="K22" s="48"/>
      <c r="M22" s="48"/>
      <c r="O22" s="48"/>
      <c r="Q22" s="48"/>
      <c r="S22" s="48"/>
      <c r="U22" s="48"/>
      <c r="W22" s="48"/>
      <c r="Y22" s="48"/>
      <c r="AA22" s="48"/>
      <c r="AC22" s="48"/>
      <c r="AE22" s="48"/>
      <c r="AG22" s="48"/>
      <c r="AI22" s="48"/>
    </row>
    <row r="23" spans="1:35" s="47" customFormat="1" ht="12.75" customHeight="1">
      <c r="A23" s="280" t="s">
        <v>166</v>
      </c>
      <c r="B23" s="281"/>
      <c r="C23" s="49">
        <v>0</v>
      </c>
      <c r="E23" s="49">
        <v>0</v>
      </c>
      <c r="F23" s="82" t="s">
        <v>250</v>
      </c>
      <c r="G23" s="49">
        <v>0</v>
      </c>
      <c r="H23" s="82"/>
      <c r="I23" s="49">
        <v>0</v>
      </c>
      <c r="K23" s="49"/>
      <c r="M23" s="49"/>
      <c r="O23" s="49"/>
      <c r="Q23" s="49"/>
      <c r="S23" s="49"/>
      <c r="U23" s="49"/>
      <c r="W23" s="49"/>
      <c r="Y23" s="49"/>
      <c r="AA23" s="49"/>
      <c r="AC23" s="49"/>
      <c r="AE23" s="49"/>
      <c r="AG23" s="49"/>
      <c r="AI23" s="49"/>
    </row>
    <row r="24" spans="1:35" ht="21.75" customHeight="1" thickBot="1">
      <c r="A24" s="122"/>
      <c r="B24" s="83"/>
      <c r="C24" s="83"/>
      <c r="E24" s="83"/>
      <c r="F24" s="83"/>
    </row>
    <row r="25" spans="1:35" s="36" customFormat="1">
      <c r="A25" s="123" t="s">
        <v>169</v>
      </c>
      <c r="C25" s="84" t="s">
        <v>171</v>
      </c>
      <c r="D25" s="85" t="s">
        <v>91</v>
      </c>
      <c r="E25" s="84" t="s">
        <v>170</v>
      </c>
      <c r="F25" s="85"/>
      <c r="G25" s="84" t="s">
        <v>169</v>
      </c>
      <c r="H25" s="85"/>
      <c r="I25" s="84"/>
      <c r="J25" s="85"/>
      <c r="K25" s="84"/>
      <c r="L25" s="85"/>
      <c r="M25" s="84"/>
      <c r="N25" s="85"/>
      <c r="O25" s="84"/>
      <c r="P25" s="85"/>
      <c r="Q25" s="84"/>
      <c r="R25" s="85"/>
      <c r="S25" s="84"/>
      <c r="T25" s="85"/>
      <c r="U25" s="84"/>
      <c r="V25" s="85"/>
      <c r="W25" s="84"/>
      <c r="X25" s="85"/>
      <c r="Y25" s="84"/>
      <c r="Z25" s="85"/>
      <c r="AA25" s="84"/>
      <c r="AB25" s="85"/>
      <c r="AC25" s="84"/>
      <c r="AD25" s="85"/>
      <c r="AE25" s="84"/>
      <c r="AF25" s="85"/>
      <c r="AG25" s="84"/>
      <c r="AH25" s="85"/>
    </row>
    <row r="26" spans="1:35">
      <c r="A26" s="123" t="s">
        <v>170</v>
      </c>
      <c r="C26" s="86" t="s">
        <v>171</v>
      </c>
      <c r="D26" s="87" t="s">
        <v>92</v>
      </c>
      <c r="E26" s="86"/>
      <c r="F26" s="87"/>
      <c r="G26" s="86"/>
      <c r="H26" s="87"/>
      <c r="I26" s="86"/>
      <c r="J26" s="87"/>
      <c r="K26" s="86"/>
      <c r="L26" s="87"/>
      <c r="M26" s="86"/>
      <c r="N26" s="87"/>
      <c r="O26" s="86"/>
      <c r="P26" s="87"/>
      <c r="Q26" s="86"/>
      <c r="R26" s="87"/>
      <c r="S26" s="86"/>
      <c r="T26" s="87"/>
      <c r="U26" s="86"/>
      <c r="V26" s="87"/>
      <c r="W26" s="86"/>
      <c r="X26" s="87"/>
      <c r="Y26" s="86"/>
      <c r="Z26" s="87"/>
      <c r="AA26" s="86"/>
      <c r="AB26" s="87"/>
      <c r="AC26" s="86"/>
      <c r="AD26" s="87"/>
      <c r="AE26" s="86"/>
      <c r="AF26" s="87"/>
      <c r="AG26" s="86"/>
      <c r="AH26" s="87"/>
    </row>
    <row r="27" spans="1:35">
      <c r="A27" s="123" t="s">
        <v>171</v>
      </c>
      <c r="C27" s="86"/>
      <c r="D27" s="87"/>
      <c r="E27" s="86"/>
      <c r="F27" s="87"/>
      <c r="G27" s="86"/>
      <c r="H27" s="87"/>
      <c r="I27" s="86"/>
      <c r="J27" s="87"/>
      <c r="K27" s="86"/>
      <c r="L27" s="87"/>
      <c r="M27" s="86"/>
      <c r="N27" s="87"/>
      <c r="O27" s="86"/>
      <c r="P27" s="87"/>
      <c r="Q27" s="86"/>
      <c r="R27" s="87"/>
      <c r="S27" s="86"/>
      <c r="T27" s="87"/>
      <c r="U27" s="86"/>
      <c r="V27" s="87"/>
      <c r="W27" s="86"/>
      <c r="X27" s="87"/>
      <c r="Y27" s="86"/>
      <c r="Z27" s="87"/>
      <c r="AA27" s="86"/>
      <c r="AB27" s="87"/>
      <c r="AC27" s="86"/>
      <c r="AD27" s="87"/>
      <c r="AE27" s="86"/>
      <c r="AF27" s="87"/>
      <c r="AG27" s="86"/>
      <c r="AH27" s="87"/>
    </row>
    <row r="28" spans="1:35">
      <c r="A28" s="124">
        <v>1</v>
      </c>
      <c r="C28" s="86"/>
      <c r="D28" s="87"/>
      <c r="E28" s="86"/>
      <c r="F28" s="87"/>
      <c r="G28" s="86"/>
      <c r="H28" s="87"/>
      <c r="I28" s="86"/>
      <c r="J28" s="87"/>
      <c r="K28" s="86"/>
      <c r="L28" s="87"/>
      <c r="M28" s="86"/>
      <c r="N28" s="87"/>
      <c r="O28" s="86"/>
      <c r="P28" s="87"/>
      <c r="Q28" s="86"/>
      <c r="R28" s="87"/>
      <c r="S28" s="86"/>
      <c r="T28" s="87"/>
      <c r="U28" s="86"/>
      <c r="V28" s="87"/>
      <c r="W28" s="86"/>
      <c r="X28" s="87"/>
      <c r="Y28" s="86"/>
      <c r="Z28" s="87"/>
      <c r="AA28" s="86"/>
      <c r="AB28" s="87"/>
      <c r="AC28" s="86"/>
      <c r="AD28" s="87"/>
      <c r="AE28" s="86"/>
      <c r="AF28" s="87"/>
      <c r="AG28" s="86"/>
      <c r="AH28" s="87"/>
    </row>
    <row r="29" spans="1:35">
      <c r="C29" s="86"/>
      <c r="D29" s="87"/>
      <c r="E29" s="86"/>
      <c r="F29" s="87"/>
      <c r="G29" s="86"/>
      <c r="H29" s="87"/>
      <c r="I29" s="86"/>
      <c r="J29" s="87"/>
      <c r="K29" s="86"/>
      <c r="L29" s="87"/>
      <c r="M29" s="86"/>
      <c r="N29" s="87"/>
      <c r="O29" s="86"/>
      <c r="P29" s="87"/>
      <c r="Q29" s="86"/>
      <c r="R29" s="87"/>
      <c r="S29" s="86"/>
      <c r="T29" s="87"/>
      <c r="U29" s="86"/>
      <c r="V29" s="87"/>
      <c r="W29" s="86"/>
      <c r="X29" s="87"/>
      <c r="Y29" s="86"/>
      <c r="Z29" s="87"/>
      <c r="AA29" s="86"/>
      <c r="AB29" s="87"/>
      <c r="AC29" s="86"/>
      <c r="AD29" s="87"/>
      <c r="AE29" s="86"/>
      <c r="AF29" s="87"/>
      <c r="AG29" s="86"/>
      <c r="AH29" s="87"/>
    </row>
    <row r="30" spans="1:35">
      <c r="C30" s="86"/>
      <c r="D30" s="87"/>
      <c r="E30" s="86"/>
      <c r="F30" s="87"/>
      <c r="G30" s="86"/>
      <c r="H30" s="87"/>
      <c r="I30" s="86"/>
      <c r="J30" s="87"/>
      <c r="K30" s="86"/>
      <c r="L30" s="87"/>
      <c r="M30" s="86"/>
      <c r="N30" s="87"/>
      <c r="O30" s="86"/>
      <c r="P30" s="87"/>
      <c r="Q30" s="86"/>
      <c r="R30" s="87"/>
      <c r="S30" s="86"/>
      <c r="T30" s="87"/>
      <c r="U30" s="86"/>
      <c r="V30" s="87"/>
      <c r="W30" s="86"/>
      <c r="X30" s="87"/>
      <c r="Y30" s="86"/>
      <c r="Z30" s="87"/>
      <c r="AA30" s="86"/>
      <c r="AB30" s="87"/>
      <c r="AC30" s="86"/>
      <c r="AD30" s="87"/>
      <c r="AE30" s="86"/>
      <c r="AF30" s="87"/>
      <c r="AG30" s="86"/>
      <c r="AH30" s="87"/>
    </row>
    <row r="31" spans="1:35">
      <c r="C31" s="86"/>
      <c r="D31" s="87"/>
      <c r="E31" s="86"/>
      <c r="F31" s="87"/>
      <c r="G31" s="86"/>
      <c r="H31" s="87"/>
      <c r="I31" s="86"/>
      <c r="J31" s="87"/>
      <c r="K31" s="86"/>
      <c r="L31" s="87"/>
      <c r="M31" s="86"/>
      <c r="N31" s="87"/>
      <c r="O31" s="86"/>
      <c r="P31" s="87"/>
      <c r="Q31" s="86"/>
      <c r="R31" s="87"/>
      <c r="S31" s="86"/>
      <c r="T31" s="87"/>
      <c r="U31" s="86"/>
      <c r="V31" s="87"/>
      <c r="W31" s="86"/>
      <c r="X31" s="87"/>
      <c r="Y31" s="86"/>
      <c r="Z31" s="87"/>
      <c r="AA31" s="86"/>
      <c r="AB31" s="87"/>
      <c r="AC31" s="86"/>
      <c r="AD31" s="87"/>
      <c r="AE31" s="86"/>
      <c r="AF31" s="87"/>
      <c r="AG31" s="86"/>
      <c r="AH31" s="87"/>
    </row>
    <row r="32" spans="1:35">
      <c r="C32" s="86"/>
      <c r="D32" s="87"/>
      <c r="E32" s="86"/>
      <c r="F32" s="87"/>
      <c r="G32" s="86"/>
      <c r="H32" s="87"/>
      <c r="I32" s="86"/>
      <c r="J32" s="87"/>
      <c r="K32" s="86"/>
      <c r="L32" s="87"/>
      <c r="M32" s="86"/>
      <c r="N32" s="87"/>
      <c r="O32" s="86"/>
      <c r="P32" s="87"/>
      <c r="Q32" s="86"/>
      <c r="R32" s="87"/>
      <c r="S32" s="86"/>
      <c r="T32" s="87"/>
      <c r="U32" s="86"/>
      <c r="V32" s="87"/>
      <c r="W32" s="86"/>
      <c r="X32" s="87"/>
      <c r="Y32" s="86"/>
      <c r="Z32" s="87"/>
      <c r="AA32" s="86"/>
      <c r="AB32" s="87"/>
      <c r="AC32" s="86"/>
      <c r="AD32" s="87"/>
      <c r="AE32" s="86"/>
      <c r="AF32" s="87"/>
      <c r="AG32" s="86"/>
      <c r="AH32" s="87"/>
    </row>
    <row r="33" spans="1:36">
      <c r="C33" s="86"/>
      <c r="D33" s="87"/>
      <c r="E33" s="86"/>
      <c r="F33" s="87"/>
      <c r="G33" s="86"/>
      <c r="H33" s="87"/>
      <c r="I33" s="86"/>
      <c r="J33" s="87"/>
      <c r="K33" s="86"/>
      <c r="L33" s="87"/>
      <c r="M33" s="86"/>
      <c r="N33" s="87"/>
      <c r="O33" s="86"/>
      <c r="P33" s="87"/>
      <c r="Q33" s="86"/>
      <c r="R33" s="87"/>
      <c r="S33" s="86"/>
      <c r="T33" s="87"/>
      <c r="U33" s="86"/>
      <c r="V33" s="87"/>
      <c r="W33" s="86"/>
      <c r="X33" s="87"/>
      <c r="Y33" s="86"/>
      <c r="Z33" s="87"/>
      <c r="AA33" s="86"/>
      <c r="AB33" s="87"/>
      <c r="AC33" s="86"/>
      <c r="AD33" s="87"/>
      <c r="AE33" s="86"/>
      <c r="AF33" s="87"/>
      <c r="AG33" s="86"/>
      <c r="AH33" s="87"/>
    </row>
    <row r="34" spans="1:36">
      <c r="C34" s="86"/>
      <c r="D34" s="87"/>
      <c r="E34" s="86"/>
      <c r="F34" s="87"/>
      <c r="G34" s="86"/>
      <c r="H34" s="87"/>
      <c r="I34" s="86"/>
      <c r="J34" s="87"/>
      <c r="K34" s="86"/>
      <c r="L34" s="87"/>
      <c r="M34" s="86"/>
      <c r="N34" s="87"/>
      <c r="O34" s="86"/>
      <c r="P34" s="87"/>
      <c r="Q34" s="86"/>
      <c r="R34" s="87"/>
      <c r="S34" s="86"/>
      <c r="T34" s="87"/>
      <c r="U34" s="86"/>
      <c r="V34" s="87"/>
      <c r="W34" s="86"/>
      <c r="X34" s="87"/>
      <c r="Y34" s="86"/>
      <c r="Z34" s="87"/>
      <c r="AA34" s="86"/>
      <c r="AB34" s="87"/>
      <c r="AC34" s="86"/>
      <c r="AD34" s="87"/>
      <c r="AE34" s="86"/>
      <c r="AF34" s="87"/>
      <c r="AG34" s="86"/>
      <c r="AH34" s="87"/>
    </row>
    <row r="35" spans="1:36">
      <c r="C35" s="86"/>
      <c r="D35" s="87"/>
      <c r="E35" s="86"/>
      <c r="F35" s="87"/>
      <c r="G35" s="86"/>
      <c r="H35" s="87"/>
      <c r="I35" s="86"/>
      <c r="J35" s="87"/>
      <c r="K35" s="86"/>
      <c r="L35" s="87"/>
      <c r="M35" s="86"/>
      <c r="N35" s="87"/>
      <c r="O35" s="86"/>
      <c r="P35" s="87"/>
      <c r="Q35" s="86"/>
      <c r="R35" s="87"/>
      <c r="S35" s="86"/>
      <c r="T35" s="87"/>
      <c r="U35" s="86"/>
      <c r="V35" s="87"/>
      <c r="W35" s="86"/>
      <c r="X35" s="87"/>
      <c r="Y35" s="86"/>
      <c r="Z35" s="87"/>
      <c r="AA35" s="86"/>
      <c r="AB35" s="87"/>
      <c r="AC35" s="86"/>
      <c r="AD35" s="87"/>
      <c r="AE35" s="86"/>
      <c r="AF35" s="87"/>
      <c r="AG35" s="86"/>
      <c r="AH35" s="87"/>
    </row>
    <row r="36" spans="1:36">
      <c r="C36" s="86"/>
      <c r="D36" s="87"/>
      <c r="E36" s="86"/>
      <c r="F36" s="87"/>
      <c r="G36" s="86"/>
      <c r="H36" s="87"/>
      <c r="I36" s="86"/>
      <c r="J36" s="87"/>
      <c r="K36" s="86"/>
      <c r="L36" s="87"/>
      <c r="M36" s="86"/>
      <c r="N36" s="87"/>
      <c r="O36" s="86"/>
      <c r="P36" s="87"/>
      <c r="Q36" s="86"/>
      <c r="R36" s="87"/>
      <c r="S36" s="86"/>
      <c r="T36" s="87"/>
      <c r="U36" s="86"/>
      <c r="V36" s="87"/>
      <c r="W36" s="86"/>
      <c r="X36" s="87"/>
      <c r="Y36" s="86"/>
      <c r="Z36" s="87"/>
      <c r="AA36" s="86"/>
      <c r="AB36" s="87"/>
      <c r="AC36" s="86"/>
      <c r="AD36" s="87"/>
      <c r="AE36" s="86"/>
      <c r="AF36" s="87"/>
      <c r="AG36" s="86"/>
      <c r="AH36" s="87"/>
    </row>
    <row r="37" spans="1:36">
      <c r="C37" s="86"/>
      <c r="D37" s="87"/>
      <c r="E37" s="86"/>
      <c r="F37" s="87"/>
      <c r="G37" s="86"/>
      <c r="H37" s="87"/>
      <c r="I37" s="86"/>
      <c r="J37" s="87"/>
      <c r="K37" s="86"/>
      <c r="L37" s="87"/>
      <c r="M37" s="86"/>
      <c r="N37" s="87"/>
      <c r="O37" s="86"/>
      <c r="P37" s="87"/>
      <c r="Q37" s="86"/>
      <c r="R37" s="87"/>
      <c r="S37" s="86"/>
      <c r="T37" s="87"/>
      <c r="U37" s="86"/>
      <c r="V37" s="87"/>
      <c r="W37" s="86"/>
      <c r="X37" s="87"/>
      <c r="Y37" s="86"/>
      <c r="Z37" s="87"/>
      <c r="AA37" s="86"/>
      <c r="AB37" s="87"/>
      <c r="AC37" s="86"/>
      <c r="AD37" s="87"/>
      <c r="AE37" s="86"/>
      <c r="AF37" s="87"/>
      <c r="AG37" s="86"/>
      <c r="AH37" s="87"/>
    </row>
    <row r="38" spans="1:36">
      <c r="C38" s="86"/>
      <c r="D38" s="87"/>
      <c r="E38" s="86"/>
      <c r="F38" s="87"/>
      <c r="G38" s="86"/>
      <c r="H38" s="87"/>
      <c r="I38" s="86"/>
      <c r="J38" s="87"/>
      <c r="K38" s="86"/>
      <c r="L38" s="87"/>
      <c r="M38" s="86"/>
      <c r="N38" s="87"/>
      <c r="O38" s="86"/>
      <c r="P38" s="87"/>
      <c r="Q38" s="86"/>
      <c r="R38" s="87"/>
      <c r="S38" s="86"/>
      <c r="T38" s="87"/>
      <c r="U38" s="86"/>
      <c r="V38" s="87"/>
      <c r="W38" s="86"/>
      <c r="X38" s="87"/>
      <c r="Y38" s="86"/>
      <c r="Z38" s="87"/>
      <c r="AA38" s="86"/>
      <c r="AB38" s="87"/>
      <c r="AC38" s="86"/>
      <c r="AD38" s="87"/>
      <c r="AE38" s="86"/>
      <c r="AF38" s="87"/>
      <c r="AG38" s="86"/>
      <c r="AH38" s="87"/>
    </row>
    <row r="39" spans="1:36">
      <c r="C39" s="86"/>
      <c r="D39" s="87"/>
      <c r="E39" s="86"/>
      <c r="F39" s="87"/>
      <c r="G39" s="86"/>
      <c r="H39" s="87"/>
      <c r="I39" s="86"/>
      <c r="J39" s="87"/>
      <c r="K39" s="86"/>
      <c r="L39" s="87"/>
      <c r="M39" s="86"/>
      <c r="N39" s="87"/>
      <c r="O39" s="86"/>
      <c r="P39" s="87"/>
      <c r="Q39" s="86"/>
      <c r="R39" s="87"/>
      <c r="S39" s="86"/>
      <c r="T39" s="87"/>
      <c r="U39" s="86"/>
      <c r="V39" s="87"/>
      <c r="W39" s="86"/>
      <c r="X39" s="87"/>
      <c r="Y39" s="86"/>
      <c r="Z39" s="87"/>
      <c r="AA39" s="86"/>
      <c r="AB39" s="87"/>
      <c r="AC39" s="86"/>
      <c r="AD39" s="87"/>
      <c r="AE39" s="86"/>
      <c r="AF39" s="87"/>
      <c r="AG39" s="86"/>
      <c r="AH39" s="87"/>
    </row>
    <row r="40" spans="1:36">
      <c r="C40" s="86"/>
      <c r="D40" s="87"/>
      <c r="E40" s="86"/>
      <c r="F40" s="87"/>
      <c r="G40" s="86"/>
      <c r="H40" s="87"/>
      <c r="I40" s="86"/>
      <c r="J40" s="87"/>
      <c r="K40" s="86"/>
      <c r="L40" s="87"/>
      <c r="M40" s="86"/>
      <c r="N40" s="87"/>
      <c r="O40" s="86"/>
      <c r="P40" s="87"/>
      <c r="Q40" s="86"/>
      <c r="R40" s="87"/>
      <c r="S40" s="86"/>
      <c r="T40" s="87"/>
      <c r="U40" s="86"/>
      <c r="V40" s="87"/>
      <c r="W40" s="86"/>
      <c r="X40" s="87"/>
      <c r="Y40" s="86"/>
      <c r="Z40" s="87"/>
      <c r="AA40" s="86"/>
      <c r="AB40" s="87"/>
      <c r="AC40" s="86"/>
      <c r="AD40" s="87"/>
      <c r="AE40" s="86"/>
      <c r="AF40" s="87"/>
      <c r="AG40" s="86"/>
      <c r="AH40" s="87"/>
    </row>
    <row r="41" spans="1:36">
      <c r="A41" s="125"/>
      <c r="B41" s="53"/>
      <c r="C41" s="86"/>
      <c r="D41" s="87"/>
      <c r="E41" s="86"/>
      <c r="F41" s="87"/>
      <c r="G41" s="86"/>
      <c r="H41" s="87"/>
      <c r="I41" s="86"/>
      <c r="J41" s="87"/>
      <c r="K41" s="86"/>
      <c r="L41" s="87"/>
      <c r="M41" s="86"/>
      <c r="N41" s="87"/>
      <c r="O41" s="86"/>
      <c r="P41" s="87"/>
      <c r="Q41" s="86"/>
      <c r="R41" s="87"/>
      <c r="S41" s="86"/>
      <c r="T41" s="87"/>
      <c r="U41" s="86"/>
      <c r="V41" s="87"/>
      <c r="W41" s="86"/>
      <c r="X41" s="87"/>
      <c r="Y41" s="86"/>
      <c r="Z41" s="87"/>
      <c r="AA41" s="86"/>
      <c r="AB41" s="87"/>
      <c r="AC41" s="86"/>
      <c r="AD41" s="87"/>
      <c r="AE41" s="86"/>
      <c r="AF41" s="87"/>
      <c r="AG41" s="86"/>
      <c r="AH41" s="87"/>
      <c r="AI41" s="53"/>
      <c r="AJ41" s="53"/>
    </row>
    <row r="42" spans="1:36" s="62" customFormat="1" ht="12.75" customHeight="1">
      <c r="A42" s="88"/>
      <c r="B42" s="88"/>
      <c r="C42" s="86"/>
      <c r="D42" s="87"/>
      <c r="E42" s="86"/>
      <c r="F42" s="87"/>
      <c r="G42" s="86"/>
      <c r="H42" s="87"/>
      <c r="I42" s="86"/>
      <c r="J42" s="87"/>
      <c r="K42" s="86"/>
      <c r="L42" s="87"/>
      <c r="M42" s="86"/>
      <c r="N42" s="87"/>
      <c r="O42" s="86"/>
      <c r="P42" s="87"/>
      <c r="Q42" s="86"/>
      <c r="R42" s="87"/>
      <c r="S42" s="86"/>
      <c r="T42" s="87"/>
      <c r="U42" s="86"/>
      <c r="V42" s="87"/>
      <c r="W42" s="86"/>
      <c r="X42" s="87"/>
      <c r="Y42" s="86"/>
      <c r="Z42" s="87"/>
      <c r="AA42" s="86"/>
      <c r="AB42" s="87"/>
      <c r="AC42" s="86"/>
      <c r="AD42" s="87"/>
      <c r="AE42" s="86"/>
      <c r="AF42" s="87"/>
      <c r="AG42" s="86"/>
      <c r="AH42" s="87"/>
      <c r="AI42" s="88"/>
      <c r="AJ42" s="89"/>
    </row>
    <row r="43" spans="1:36" s="62" customFormat="1" ht="12.75" customHeight="1">
      <c r="A43" s="88"/>
      <c r="B43" s="88"/>
      <c r="C43" s="86"/>
      <c r="D43" s="87"/>
      <c r="E43" s="86"/>
      <c r="F43" s="87"/>
      <c r="G43" s="86"/>
      <c r="H43" s="87"/>
      <c r="I43" s="86"/>
      <c r="J43" s="87"/>
      <c r="K43" s="86"/>
      <c r="L43" s="87"/>
      <c r="M43" s="86"/>
      <c r="N43" s="87"/>
      <c r="O43" s="86"/>
      <c r="P43" s="87"/>
      <c r="Q43" s="86"/>
      <c r="R43" s="87"/>
      <c r="S43" s="86"/>
      <c r="T43" s="87"/>
      <c r="U43" s="86"/>
      <c r="V43" s="87"/>
      <c r="W43" s="86"/>
      <c r="X43" s="87"/>
      <c r="Y43" s="86"/>
      <c r="Z43" s="87"/>
      <c r="AA43" s="86"/>
      <c r="AB43" s="87"/>
      <c r="AC43" s="86"/>
      <c r="AD43" s="87"/>
      <c r="AE43" s="86"/>
      <c r="AF43" s="87"/>
      <c r="AG43" s="86"/>
      <c r="AH43" s="87"/>
      <c r="AI43" s="88"/>
      <c r="AJ43" s="89"/>
    </row>
    <row r="44" spans="1:36" s="51" customFormat="1" ht="13.5" thickBot="1">
      <c r="A44" s="125"/>
      <c r="B44" s="53"/>
      <c r="C44" s="90"/>
      <c r="D44" s="91"/>
      <c r="E44" s="90"/>
      <c r="F44" s="91"/>
      <c r="G44" s="90"/>
      <c r="H44" s="91"/>
      <c r="I44" s="90"/>
      <c r="J44" s="91"/>
      <c r="K44" s="90"/>
      <c r="L44" s="91"/>
      <c r="M44" s="90"/>
      <c r="N44" s="91"/>
      <c r="O44" s="90"/>
      <c r="P44" s="91"/>
      <c r="Q44" s="90"/>
      <c r="R44" s="91"/>
      <c r="S44" s="90"/>
      <c r="T44" s="91"/>
      <c r="U44" s="90"/>
      <c r="V44" s="91"/>
      <c r="W44" s="90"/>
      <c r="X44" s="91"/>
      <c r="Y44" s="90"/>
      <c r="Z44" s="91"/>
      <c r="AA44" s="90"/>
      <c r="AB44" s="91"/>
      <c r="AC44" s="90"/>
      <c r="AD44" s="91"/>
      <c r="AE44" s="90"/>
      <c r="AF44" s="91"/>
      <c r="AG44" s="90"/>
      <c r="AH44" s="91"/>
      <c r="AI44" s="88"/>
      <c r="AJ44" s="53"/>
    </row>
    <row r="45" spans="1:36" s="51" customFormat="1">
      <c r="A45" s="125"/>
      <c r="B45" s="53"/>
      <c r="C45" s="88"/>
      <c r="E45" s="88"/>
      <c r="F45" s="92"/>
      <c r="S45" s="88"/>
      <c r="T45" s="88"/>
      <c r="U45" s="88"/>
      <c r="V45" s="88"/>
      <c r="W45" s="88"/>
      <c r="X45" s="88"/>
      <c r="Y45" s="88"/>
      <c r="Z45" s="88"/>
      <c r="AA45" s="88"/>
      <c r="AB45" s="88"/>
      <c r="AC45" s="88"/>
      <c r="AD45" s="88"/>
      <c r="AE45" s="88"/>
      <c r="AF45" s="88"/>
      <c r="AG45" s="88"/>
      <c r="AH45" s="88"/>
      <c r="AI45" s="88"/>
      <c r="AJ45" s="53"/>
    </row>
    <row r="46" spans="1:36" s="51" customFormat="1">
      <c r="A46" s="125"/>
      <c r="B46" s="53"/>
      <c r="C46" s="88"/>
      <c r="E46" s="88"/>
      <c r="F46" s="92"/>
      <c r="S46" s="88"/>
      <c r="T46" s="88"/>
      <c r="U46" s="88"/>
      <c r="V46" s="88"/>
      <c r="W46" s="88"/>
      <c r="X46" s="88"/>
      <c r="Y46" s="88"/>
      <c r="Z46" s="88"/>
      <c r="AA46" s="88"/>
      <c r="AB46" s="88"/>
      <c r="AC46" s="88"/>
      <c r="AD46" s="88"/>
      <c r="AE46" s="88"/>
      <c r="AF46" s="88"/>
      <c r="AG46" s="88"/>
      <c r="AH46" s="88"/>
      <c r="AI46" s="88"/>
      <c r="AJ46" s="53"/>
    </row>
    <row r="47" spans="1:36" s="51" customFormat="1">
      <c r="A47" s="125"/>
      <c r="B47" s="53"/>
      <c r="C47" s="88"/>
      <c r="E47" s="88"/>
      <c r="F47" s="92"/>
      <c r="S47" s="88"/>
      <c r="T47" s="88"/>
      <c r="U47" s="88"/>
      <c r="V47" s="88"/>
      <c r="W47" s="88"/>
      <c r="X47" s="88"/>
      <c r="Y47" s="88"/>
      <c r="Z47" s="88"/>
      <c r="AA47" s="88"/>
      <c r="AB47" s="88"/>
      <c r="AC47" s="88"/>
      <c r="AD47" s="88"/>
      <c r="AE47" s="88"/>
      <c r="AF47" s="88"/>
      <c r="AG47" s="88"/>
      <c r="AH47" s="88"/>
      <c r="AI47" s="88"/>
      <c r="AJ47" s="53"/>
    </row>
    <row r="48" spans="1:36" s="51" customFormat="1">
      <c r="A48" s="125"/>
      <c r="B48" s="53"/>
      <c r="C48" s="88"/>
      <c r="E48" s="88"/>
      <c r="F48" s="92"/>
      <c r="S48" s="88"/>
      <c r="T48" s="88"/>
      <c r="U48" s="88"/>
      <c r="V48" s="88"/>
      <c r="W48" s="88"/>
      <c r="X48" s="88"/>
      <c r="Y48" s="88"/>
      <c r="Z48" s="88"/>
      <c r="AA48" s="88"/>
      <c r="AB48" s="88"/>
      <c r="AC48" s="88"/>
      <c r="AD48" s="88"/>
      <c r="AE48" s="88"/>
      <c r="AF48" s="88"/>
      <c r="AG48" s="88"/>
      <c r="AH48" s="88"/>
      <c r="AI48" s="88"/>
      <c r="AJ48" s="53"/>
    </row>
    <row r="49" spans="1:36" s="51" customFormat="1">
      <c r="A49" s="125"/>
      <c r="B49" s="53"/>
      <c r="C49" s="88"/>
      <c r="E49" s="88"/>
      <c r="F49" s="92"/>
      <c r="S49" s="88"/>
      <c r="T49" s="88"/>
      <c r="U49" s="88"/>
      <c r="V49" s="88"/>
      <c r="W49" s="88"/>
      <c r="X49" s="88"/>
      <c r="Y49" s="88"/>
      <c r="Z49" s="88"/>
      <c r="AA49" s="88"/>
      <c r="AB49" s="88"/>
      <c r="AC49" s="88"/>
      <c r="AD49" s="88"/>
      <c r="AE49" s="88"/>
      <c r="AF49" s="88"/>
      <c r="AG49" s="88"/>
      <c r="AH49" s="88"/>
      <c r="AI49" s="88"/>
      <c r="AJ49" s="53"/>
    </row>
    <row r="50" spans="1:36" s="51" customFormat="1">
      <c r="A50" s="125"/>
      <c r="B50" s="53"/>
      <c r="C50" s="88"/>
      <c r="E50" s="88"/>
      <c r="F50" s="92"/>
      <c r="S50" s="88"/>
      <c r="T50" s="88"/>
      <c r="U50" s="88"/>
      <c r="V50" s="88"/>
      <c r="W50" s="88"/>
      <c r="X50" s="88"/>
      <c r="Y50" s="88"/>
      <c r="Z50" s="88"/>
      <c r="AA50" s="88"/>
      <c r="AB50" s="88"/>
      <c r="AC50" s="88"/>
      <c r="AD50" s="88"/>
      <c r="AE50" s="88"/>
      <c r="AF50" s="88"/>
      <c r="AG50" s="88"/>
      <c r="AH50" s="88"/>
      <c r="AI50" s="88"/>
      <c r="AJ50" s="53"/>
    </row>
    <row r="51" spans="1:36" s="51" customFormat="1">
      <c r="A51" s="126"/>
      <c r="C51" s="88"/>
      <c r="E51" s="88"/>
      <c r="F51" s="92"/>
      <c r="S51" s="88"/>
      <c r="T51" s="88"/>
      <c r="U51" s="88"/>
      <c r="V51" s="88"/>
      <c r="W51" s="88"/>
      <c r="X51" s="88"/>
      <c r="Y51" s="88"/>
      <c r="Z51" s="88"/>
      <c r="AA51" s="88"/>
      <c r="AB51" s="88"/>
      <c r="AC51" s="88"/>
      <c r="AD51" s="88"/>
      <c r="AE51" s="88"/>
      <c r="AF51" s="88"/>
      <c r="AG51" s="88"/>
      <c r="AH51" s="88"/>
      <c r="AI51" s="88"/>
      <c r="AJ51" s="53"/>
    </row>
    <row r="52" spans="1:36" s="51" customFormat="1">
      <c r="A52" s="126"/>
      <c r="C52" s="88"/>
      <c r="E52" s="88"/>
      <c r="F52" s="92"/>
      <c r="S52" s="88"/>
      <c r="T52" s="88"/>
      <c r="U52" s="88"/>
      <c r="V52" s="88"/>
      <c r="W52" s="88"/>
      <c r="X52" s="88"/>
      <c r="Y52" s="88"/>
      <c r="Z52" s="88"/>
      <c r="AA52" s="88"/>
      <c r="AB52" s="88"/>
      <c r="AC52" s="88"/>
      <c r="AD52" s="88"/>
      <c r="AE52" s="88"/>
      <c r="AF52" s="88"/>
      <c r="AG52" s="88"/>
      <c r="AH52" s="88"/>
      <c r="AI52" s="88"/>
      <c r="AJ52" s="53"/>
    </row>
    <row r="53" spans="1:36" s="51" customFormat="1">
      <c r="A53" s="126"/>
      <c r="C53" s="88"/>
      <c r="E53" s="88"/>
      <c r="F53" s="92"/>
      <c r="S53" s="88"/>
      <c r="T53" s="88"/>
      <c r="U53" s="88"/>
      <c r="V53" s="88"/>
      <c r="W53" s="88"/>
      <c r="X53" s="88"/>
      <c r="Y53" s="88"/>
      <c r="Z53" s="88"/>
      <c r="AA53" s="88"/>
      <c r="AB53" s="88"/>
      <c r="AC53" s="88"/>
      <c r="AD53" s="88"/>
      <c r="AE53" s="88"/>
      <c r="AF53" s="88"/>
      <c r="AG53" s="88"/>
      <c r="AH53" s="88"/>
      <c r="AI53" s="88"/>
      <c r="AJ53" s="53"/>
    </row>
    <row r="54" spans="1:36" s="51" customFormat="1">
      <c r="A54" s="126"/>
      <c r="C54" s="88"/>
      <c r="E54" s="88"/>
      <c r="F54" s="92"/>
      <c r="S54" s="88"/>
      <c r="T54" s="88"/>
      <c r="U54" s="88"/>
      <c r="V54" s="88"/>
      <c r="W54" s="88"/>
      <c r="X54" s="88"/>
      <c r="Y54" s="88"/>
      <c r="Z54" s="88"/>
      <c r="AA54" s="88"/>
      <c r="AB54" s="88"/>
      <c r="AC54" s="88"/>
      <c r="AD54" s="88"/>
      <c r="AE54" s="88"/>
      <c r="AF54" s="88"/>
      <c r="AG54" s="88"/>
      <c r="AH54" s="88"/>
      <c r="AI54" s="88"/>
      <c r="AJ54" s="53"/>
    </row>
    <row r="55" spans="1:36" s="93" customFormat="1">
      <c r="A55" s="127">
        <v>30</v>
      </c>
      <c r="B55" s="93">
        <v>1</v>
      </c>
      <c r="C55" s="93">
        <v>2</v>
      </c>
      <c r="D55" s="93">
        <v>3</v>
      </c>
      <c r="E55" s="93">
        <v>4</v>
      </c>
      <c r="F55" s="93">
        <v>5</v>
      </c>
      <c r="G55" s="93">
        <v>6</v>
      </c>
      <c r="H55" s="93">
        <v>7</v>
      </c>
      <c r="I55" s="93">
        <v>8</v>
      </c>
      <c r="J55" s="93">
        <v>9</v>
      </c>
      <c r="L55" s="93">
        <v>1</v>
      </c>
      <c r="M55" s="93">
        <v>2</v>
      </c>
      <c r="N55" s="93">
        <v>3</v>
      </c>
      <c r="O55" s="93">
        <v>4</v>
      </c>
      <c r="P55" s="93">
        <v>5</v>
      </c>
      <c r="Q55" s="93">
        <v>6</v>
      </c>
      <c r="R55" s="93">
        <v>7</v>
      </c>
      <c r="S55" s="93">
        <v>8</v>
      </c>
      <c r="T55" s="93">
        <v>9</v>
      </c>
      <c r="U55" s="93">
        <v>10</v>
      </c>
      <c r="V55" s="93">
        <v>11</v>
      </c>
      <c r="W55" s="93">
        <v>12</v>
      </c>
      <c r="X55" s="93">
        <v>13</v>
      </c>
      <c r="Y55" s="93">
        <v>14</v>
      </c>
      <c r="Z55" s="93">
        <v>15</v>
      </c>
      <c r="AA55" s="93">
        <v>16</v>
      </c>
      <c r="AB55" s="93">
        <v>17</v>
      </c>
      <c r="AC55" s="93">
        <v>18</v>
      </c>
      <c r="AD55" s="93">
        <v>19</v>
      </c>
      <c r="AE55" s="93">
        <v>20</v>
      </c>
    </row>
    <row r="56" spans="1:36" s="93" customFormat="1">
      <c r="A56" s="128" t="s">
        <v>50</v>
      </c>
      <c r="B56" s="93">
        <f>-B62/2</f>
        <v>-250</v>
      </c>
      <c r="C56" s="93">
        <f>B56+B62</f>
        <v>250</v>
      </c>
      <c r="D56" s="93">
        <f>C56</f>
        <v>250</v>
      </c>
      <c r="E56" s="93">
        <f>D56+300</f>
        <v>550</v>
      </c>
      <c r="F56" s="93">
        <f>E56</f>
        <v>550</v>
      </c>
      <c r="G56" s="93">
        <f>F56-600-B62</f>
        <v>-550</v>
      </c>
      <c r="H56" s="93">
        <f>G56</f>
        <v>-550</v>
      </c>
      <c r="I56" s="93">
        <f>H56+300</f>
        <v>-250</v>
      </c>
      <c r="J56" s="93">
        <f>I56</f>
        <v>-250</v>
      </c>
      <c r="K56" s="272" t="s">
        <v>58</v>
      </c>
      <c r="L56" s="93">
        <f>B56+A57</f>
        <v>-190</v>
      </c>
      <c r="M56" s="93">
        <f t="shared" ref="M56:AE56" si="0">IF(M55&gt;$J$58,$L$56,L56+$A$58)</f>
        <v>-63.333333333333329</v>
      </c>
      <c r="N56" s="93">
        <f t="shared" si="0"/>
        <v>63.333333333333343</v>
      </c>
      <c r="O56" s="93">
        <f t="shared" si="0"/>
        <v>190</v>
      </c>
      <c r="P56" s="93">
        <f t="shared" si="0"/>
        <v>-190</v>
      </c>
      <c r="Q56" s="93">
        <f t="shared" si="0"/>
        <v>-190</v>
      </c>
      <c r="R56" s="93">
        <f t="shared" si="0"/>
        <v>-190</v>
      </c>
      <c r="S56" s="93">
        <f t="shared" si="0"/>
        <v>-190</v>
      </c>
      <c r="T56" s="93">
        <f t="shared" si="0"/>
        <v>-190</v>
      </c>
      <c r="U56" s="93">
        <f t="shared" si="0"/>
        <v>-190</v>
      </c>
      <c r="V56" s="93">
        <f t="shared" si="0"/>
        <v>-190</v>
      </c>
      <c r="W56" s="93">
        <f t="shared" si="0"/>
        <v>-190</v>
      </c>
      <c r="X56" s="93">
        <f t="shared" si="0"/>
        <v>-190</v>
      </c>
      <c r="Y56" s="93">
        <f t="shared" si="0"/>
        <v>-190</v>
      </c>
      <c r="Z56" s="93">
        <f t="shared" si="0"/>
        <v>-190</v>
      </c>
      <c r="AA56" s="93">
        <f t="shared" si="0"/>
        <v>-190</v>
      </c>
      <c r="AB56" s="93">
        <f t="shared" si="0"/>
        <v>-190</v>
      </c>
      <c r="AC56" s="93">
        <f t="shared" si="0"/>
        <v>-190</v>
      </c>
      <c r="AD56" s="93">
        <f t="shared" si="0"/>
        <v>-190</v>
      </c>
      <c r="AE56" s="93">
        <f t="shared" si="0"/>
        <v>-190</v>
      </c>
    </row>
    <row r="57" spans="1:36" s="93" customFormat="1">
      <c r="A57" s="128">
        <v>60</v>
      </c>
      <c r="B57" s="93">
        <f>-B61/2</f>
        <v>-350</v>
      </c>
      <c r="C57" s="93">
        <f>B57</f>
        <v>-350</v>
      </c>
      <c r="D57" s="93">
        <f>C57+B61-B7</f>
        <v>200</v>
      </c>
      <c r="E57" s="93">
        <f>D57</f>
        <v>200</v>
      </c>
      <c r="F57" s="93">
        <f>E57+B7</f>
        <v>350</v>
      </c>
      <c r="G57" s="93">
        <f>F57</f>
        <v>350</v>
      </c>
      <c r="H57" s="93">
        <f>G57-B7</f>
        <v>200</v>
      </c>
      <c r="I57" s="93">
        <f>H57</f>
        <v>200</v>
      </c>
      <c r="J57" s="93">
        <f>I57-B61+B7</f>
        <v>-350</v>
      </c>
      <c r="K57" s="272"/>
      <c r="L57" s="93">
        <f>F57-A57</f>
        <v>290</v>
      </c>
      <c r="M57" s="93">
        <f>L57</f>
        <v>290</v>
      </c>
      <c r="N57" s="93">
        <f t="shared" ref="N57:AE57" si="1">M57</f>
        <v>290</v>
      </c>
      <c r="O57" s="93">
        <f t="shared" si="1"/>
        <v>290</v>
      </c>
      <c r="P57" s="93">
        <f t="shared" si="1"/>
        <v>290</v>
      </c>
      <c r="Q57" s="93">
        <f t="shared" si="1"/>
        <v>290</v>
      </c>
      <c r="R57" s="93">
        <f t="shared" si="1"/>
        <v>290</v>
      </c>
      <c r="S57" s="93">
        <f t="shared" si="1"/>
        <v>290</v>
      </c>
      <c r="T57" s="93">
        <f t="shared" si="1"/>
        <v>290</v>
      </c>
      <c r="U57" s="93">
        <f t="shared" si="1"/>
        <v>290</v>
      </c>
      <c r="V57" s="93">
        <f t="shared" si="1"/>
        <v>290</v>
      </c>
      <c r="W57" s="93">
        <f t="shared" si="1"/>
        <v>290</v>
      </c>
      <c r="X57" s="93">
        <f t="shared" si="1"/>
        <v>290</v>
      </c>
      <c r="Y57" s="93">
        <f t="shared" si="1"/>
        <v>290</v>
      </c>
      <c r="Z57" s="93">
        <f t="shared" si="1"/>
        <v>290</v>
      </c>
      <c r="AA57" s="93">
        <f t="shared" si="1"/>
        <v>290</v>
      </c>
      <c r="AB57" s="93">
        <f t="shared" si="1"/>
        <v>290</v>
      </c>
      <c r="AC57" s="93">
        <f t="shared" si="1"/>
        <v>290</v>
      </c>
      <c r="AD57" s="93">
        <f t="shared" si="1"/>
        <v>290</v>
      </c>
      <c r="AE57" s="93">
        <f t="shared" si="1"/>
        <v>290</v>
      </c>
    </row>
    <row r="58" spans="1:36" s="93" customFormat="1">
      <c r="A58" s="127">
        <f>(B62-A57*2)/(J58-1)</f>
        <v>126.66666666666667</v>
      </c>
      <c r="B58" s="93">
        <f>B56+A55</f>
        <v>-220</v>
      </c>
      <c r="C58" s="93">
        <f>B58+B62-2*A55</f>
        <v>220</v>
      </c>
      <c r="D58" s="93">
        <f>C58</f>
        <v>220</v>
      </c>
      <c r="E58" s="93">
        <f>D58-B62+2*A55</f>
        <v>-220</v>
      </c>
      <c r="F58" s="93">
        <f>B58</f>
        <v>-220</v>
      </c>
      <c r="G58" s="93">
        <f>MAX(F56:F57)</f>
        <v>550</v>
      </c>
      <c r="H58" s="93">
        <f>-G58</f>
        <v>-550</v>
      </c>
      <c r="I58" s="93">
        <f>G58</f>
        <v>550</v>
      </c>
      <c r="J58" s="93">
        <f>VALUE(LEFT(B63,LEN(B63)-3))</f>
        <v>4</v>
      </c>
      <c r="K58" s="272" t="s">
        <v>59</v>
      </c>
      <c r="L58" s="93">
        <f>L56</f>
        <v>-190</v>
      </c>
      <c r="M58" s="93">
        <f t="shared" ref="M58:AE58" si="2">IF(M55&gt;$J$59,$L$56,L56+$A$58)</f>
        <v>-63.333333333333329</v>
      </c>
      <c r="N58" s="93">
        <f t="shared" si="2"/>
        <v>63.333333333333343</v>
      </c>
      <c r="O58" s="93">
        <f t="shared" si="2"/>
        <v>190</v>
      </c>
      <c r="P58" s="93">
        <f t="shared" si="2"/>
        <v>-190</v>
      </c>
      <c r="Q58" s="93">
        <f t="shared" si="2"/>
        <v>-190</v>
      </c>
      <c r="R58" s="93">
        <f t="shared" si="2"/>
        <v>-190</v>
      </c>
      <c r="S58" s="93">
        <f t="shared" si="2"/>
        <v>-190</v>
      </c>
      <c r="T58" s="93">
        <f t="shared" si="2"/>
        <v>-190</v>
      </c>
      <c r="U58" s="93">
        <f t="shared" si="2"/>
        <v>-190</v>
      </c>
      <c r="V58" s="93">
        <f t="shared" si="2"/>
        <v>-190</v>
      </c>
      <c r="W58" s="93">
        <f t="shared" si="2"/>
        <v>-190</v>
      </c>
      <c r="X58" s="93">
        <f t="shared" si="2"/>
        <v>-190</v>
      </c>
      <c r="Y58" s="93">
        <f t="shared" si="2"/>
        <v>-190</v>
      </c>
      <c r="Z58" s="93">
        <f t="shared" si="2"/>
        <v>-190</v>
      </c>
      <c r="AA58" s="93">
        <f t="shared" si="2"/>
        <v>-190</v>
      </c>
      <c r="AB58" s="93">
        <f t="shared" si="2"/>
        <v>-190</v>
      </c>
      <c r="AC58" s="93">
        <f t="shared" si="2"/>
        <v>-190</v>
      </c>
      <c r="AD58" s="93">
        <f t="shared" si="2"/>
        <v>-190</v>
      </c>
      <c r="AE58" s="93">
        <f t="shared" si="2"/>
        <v>-190</v>
      </c>
    </row>
    <row r="59" spans="1:36" s="93" customFormat="1">
      <c r="A59" s="127">
        <f>(B62-A57*2)/(J59-1)</f>
        <v>126.66666666666667</v>
      </c>
      <c r="B59" s="93">
        <f>B57+A55</f>
        <v>-320</v>
      </c>
      <c r="C59" s="93">
        <f>B59</f>
        <v>-320</v>
      </c>
      <c r="D59" s="93">
        <f>C59+B61-2*A55</f>
        <v>320</v>
      </c>
      <c r="E59" s="93">
        <f>D59</f>
        <v>320</v>
      </c>
      <c r="F59" s="93">
        <f>B59</f>
        <v>-320</v>
      </c>
      <c r="G59" s="93">
        <f>ROUNDUP(MAX(B62+300*4,B61)/1000,0)*250</f>
        <v>500</v>
      </c>
      <c r="H59" s="93">
        <f>-G58</f>
        <v>-550</v>
      </c>
      <c r="I59" s="93">
        <f>G58</f>
        <v>550</v>
      </c>
      <c r="J59" s="93">
        <f>VALUE(LEFT(B64,LEN(B64)-3))</f>
        <v>4</v>
      </c>
      <c r="K59" s="272"/>
      <c r="L59" s="93">
        <f>B57+A57</f>
        <v>-290</v>
      </c>
      <c r="M59" s="93">
        <f>L59</f>
        <v>-290</v>
      </c>
      <c r="N59" s="93">
        <f t="shared" ref="N59:AE59" si="3">M59</f>
        <v>-290</v>
      </c>
      <c r="O59" s="93">
        <f t="shared" si="3"/>
        <v>-290</v>
      </c>
      <c r="P59" s="93">
        <f t="shared" si="3"/>
        <v>-290</v>
      </c>
      <c r="Q59" s="93">
        <f t="shared" si="3"/>
        <v>-290</v>
      </c>
      <c r="R59" s="93">
        <f t="shared" si="3"/>
        <v>-290</v>
      </c>
      <c r="S59" s="93">
        <f t="shared" si="3"/>
        <v>-290</v>
      </c>
      <c r="T59" s="93">
        <f t="shared" si="3"/>
        <v>-290</v>
      </c>
      <c r="U59" s="93">
        <f t="shared" si="3"/>
        <v>-290</v>
      </c>
      <c r="V59" s="93">
        <f t="shared" si="3"/>
        <v>-290</v>
      </c>
      <c r="W59" s="93">
        <f t="shared" si="3"/>
        <v>-290</v>
      </c>
      <c r="X59" s="93">
        <f t="shared" si="3"/>
        <v>-290</v>
      </c>
      <c r="Y59" s="93">
        <f t="shared" si="3"/>
        <v>-290</v>
      </c>
      <c r="Z59" s="93">
        <f t="shared" si="3"/>
        <v>-290</v>
      </c>
      <c r="AA59" s="93">
        <f t="shared" si="3"/>
        <v>-290</v>
      </c>
      <c r="AB59" s="93">
        <f t="shared" si="3"/>
        <v>-290</v>
      </c>
      <c r="AC59" s="93">
        <f t="shared" si="3"/>
        <v>-290</v>
      </c>
      <c r="AD59" s="93">
        <f t="shared" si="3"/>
        <v>-290</v>
      </c>
      <c r="AE59" s="93">
        <f t="shared" si="3"/>
        <v>-290</v>
      </c>
    </row>
    <row r="60" spans="1:36" s="93" customFormat="1">
      <c r="A60" s="127"/>
    </row>
    <row r="61" spans="1:36" s="93" customFormat="1">
      <c r="A61" s="129" t="s">
        <v>40</v>
      </c>
      <c r="B61" s="94">
        <v>700</v>
      </c>
      <c r="E61" s="95" t="s">
        <v>49</v>
      </c>
      <c r="F61" s="96" t="s">
        <v>91</v>
      </c>
      <c r="G61" s="52">
        <f t="shared" ref="G61:G80" si="4">VALUE(IF(E61="Đai C",F61,LEFT(F61,FIND("-",F61)-1)))</f>
        <v>2</v>
      </c>
      <c r="H61" s="52" t="e">
        <f t="shared" ref="H61:H80" si="5">VALUE(RIGHT(F61,LEN(F61)-FIND("-",F61)))</f>
        <v>#VALUE!</v>
      </c>
      <c r="I61" s="52">
        <f t="shared" ref="I61:I80" si="6">HLOOKUP(G61,$L$55:$AE$59,2,0)-$A$57/3</f>
        <v>-83.333333333333329</v>
      </c>
      <c r="J61" s="52">
        <f>I61</f>
        <v>-83.333333333333329</v>
      </c>
      <c r="K61" s="52">
        <f t="shared" ref="K61:K80" si="7">IF(E61="Đai C",J61,HLOOKUP(H61,$L$55:$AE$59,2,0)+$A$57/3)</f>
        <v>-83.333333333333329</v>
      </c>
      <c r="L61" s="52">
        <f>K61</f>
        <v>-83.333333333333329</v>
      </c>
      <c r="M61" s="52">
        <f t="shared" ref="M61:M80" si="8">IF(RIGHT(E61,1)="U",L61,I61)</f>
        <v>-83.333333333333329</v>
      </c>
      <c r="N61" s="52">
        <f t="shared" ref="N61:N80" si="9">$O$57+$A$57/3</f>
        <v>310</v>
      </c>
      <c r="O61" s="52">
        <f t="shared" ref="O61:O80" si="10">IF(E61&lt;&gt;"",$M$59-$A$57/3,N61)</f>
        <v>-310</v>
      </c>
      <c r="P61" s="52">
        <f>O61</f>
        <v>-310</v>
      </c>
      <c r="Q61" s="52">
        <f>N61</f>
        <v>310</v>
      </c>
      <c r="R61" s="52">
        <f t="shared" ref="R61:R80" si="11">IF(RIGHT(E61,1)="U",Q61,N61)</f>
        <v>310</v>
      </c>
    </row>
    <row r="62" spans="1:36" s="93" customFormat="1">
      <c r="A62" s="129" t="s">
        <v>42</v>
      </c>
      <c r="B62" s="97">
        <f>B6</f>
        <v>500</v>
      </c>
      <c r="E62" s="95" t="s">
        <v>49</v>
      </c>
      <c r="F62" s="96" t="s">
        <v>92</v>
      </c>
      <c r="G62" s="52">
        <f t="shared" si="4"/>
        <v>3</v>
      </c>
      <c r="H62" s="52" t="e">
        <f t="shared" si="5"/>
        <v>#VALUE!</v>
      </c>
      <c r="I62" s="52">
        <f t="shared" si="6"/>
        <v>43.333333333333343</v>
      </c>
      <c r="J62" s="52">
        <f>I62</f>
        <v>43.333333333333343</v>
      </c>
      <c r="K62" s="52">
        <f t="shared" si="7"/>
        <v>43.333333333333343</v>
      </c>
      <c r="L62" s="52">
        <f t="shared" ref="L62:L80" si="12">K62</f>
        <v>43.333333333333343</v>
      </c>
      <c r="M62" s="52">
        <f t="shared" si="8"/>
        <v>43.333333333333343</v>
      </c>
      <c r="N62" s="52">
        <f t="shared" si="9"/>
        <v>310</v>
      </c>
      <c r="O62" s="52">
        <f t="shared" si="10"/>
        <v>-310</v>
      </c>
      <c r="P62" s="52">
        <f t="shared" ref="P62:P80" si="13">O62</f>
        <v>-310</v>
      </c>
      <c r="Q62" s="52">
        <f t="shared" ref="Q62:Q80" si="14">N62</f>
        <v>310</v>
      </c>
      <c r="R62" s="52">
        <f t="shared" si="11"/>
        <v>310</v>
      </c>
    </row>
    <row r="63" spans="1:36" s="93" customFormat="1">
      <c r="A63" s="129" t="s">
        <v>47</v>
      </c>
      <c r="B63" s="97" t="s">
        <v>57</v>
      </c>
      <c r="E63" s="95"/>
      <c r="F63" s="96"/>
      <c r="G63" s="52" t="e">
        <f t="shared" si="4"/>
        <v>#VALUE!</v>
      </c>
      <c r="H63" s="52" t="e">
        <f t="shared" si="5"/>
        <v>#VALUE!</v>
      </c>
      <c r="I63" s="52" t="e">
        <f t="shared" si="6"/>
        <v>#VALUE!</v>
      </c>
      <c r="J63" s="52" t="e">
        <f t="shared" ref="J63:J80" si="15">I63</f>
        <v>#VALUE!</v>
      </c>
      <c r="K63" s="52" t="e">
        <f t="shared" si="7"/>
        <v>#VALUE!</v>
      </c>
      <c r="L63" s="52" t="e">
        <f>K63</f>
        <v>#VALUE!</v>
      </c>
      <c r="M63" s="52" t="e">
        <f t="shared" si="8"/>
        <v>#VALUE!</v>
      </c>
      <c r="N63" s="52">
        <f t="shared" si="9"/>
        <v>310</v>
      </c>
      <c r="O63" s="52">
        <f t="shared" si="10"/>
        <v>310</v>
      </c>
      <c r="P63" s="52">
        <f t="shared" si="13"/>
        <v>310</v>
      </c>
      <c r="Q63" s="52">
        <f t="shared" si="14"/>
        <v>310</v>
      </c>
      <c r="R63" s="52">
        <f t="shared" si="11"/>
        <v>310</v>
      </c>
    </row>
    <row r="64" spans="1:36" s="93" customFormat="1">
      <c r="A64" s="129" t="s">
        <v>48</v>
      </c>
      <c r="B64" s="97" t="s">
        <v>57</v>
      </c>
      <c r="E64" s="95"/>
      <c r="F64" s="96"/>
      <c r="G64" s="52" t="e">
        <f t="shared" si="4"/>
        <v>#VALUE!</v>
      </c>
      <c r="H64" s="52" t="e">
        <f t="shared" si="5"/>
        <v>#VALUE!</v>
      </c>
      <c r="I64" s="52" t="e">
        <f t="shared" si="6"/>
        <v>#VALUE!</v>
      </c>
      <c r="J64" s="52" t="e">
        <f t="shared" si="15"/>
        <v>#VALUE!</v>
      </c>
      <c r="K64" s="52" t="e">
        <f t="shared" si="7"/>
        <v>#VALUE!</v>
      </c>
      <c r="L64" s="52" t="e">
        <f t="shared" si="12"/>
        <v>#VALUE!</v>
      </c>
      <c r="M64" s="52" t="e">
        <f t="shared" si="8"/>
        <v>#VALUE!</v>
      </c>
      <c r="N64" s="52">
        <f t="shared" si="9"/>
        <v>310</v>
      </c>
      <c r="O64" s="52">
        <f t="shared" si="10"/>
        <v>310</v>
      </c>
      <c r="P64" s="52">
        <f t="shared" si="13"/>
        <v>310</v>
      </c>
      <c r="Q64" s="52">
        <f t="shared" si="14"/>
        <v>310</v>
      </c>
      <c r="R64" s="52">
        <f t="shared" si="11"/>
        <v>310</v>
      </c>
    </row>
    <row r="65" spans="1:18" s="93" customFormat="1">
      <c r="A65" s="127"/>
      <c r="E65" s="95"/>
      <c r="F65" s="96"/>
      <c r="G65" s="52" t="e">
        <f t="shared" si="4"/>
        <v>#VALUE!</v>
      </c>
      <c r="H65" s="52" t="e">
        <f t="shared" si="5"/>
        <v>#VALUE!</v>
      </c>
      <c r="I65" s="52" t="e">
        <f t="shared" si="6"/>
        <v>#VALUE!</v>
      </c>
      <c r="J65" s="52" t="e">
        <f t="shared" si="15"/>
        <v>#VALUE!</v>
      </c>
      <c r="K65" s="52" t="e">
        <f t="shared" si="7"/>
        <v>#VALUE!</v>
      </c>
      <c r="L65" s="52" t="e">
        <f t="shared" si="12"/>
        <v>#VALUE!</v>
      </c>
      <c r="M65" s="52" t="e">
        <f t="shared" si="8"/>
        <v>#VALUE!</v>
      </c>
      <c r="N65" s="52">
        <f t="shared" si="9"/>
        <v>310</v>
      </c>
      <c r="O65" s="52">
        <f t="shared" si="10"/>
        <v>310</v>
      </c>
      <c r="P65" s="52">
        <f t="shared" si="13"/>
        <v>310</v>
      </c>
      <c r="Q65" s="52">
        <f t="shared" si="14"/>
        <v>310</v>
      </c>
      <c r="R65" s="52">
        <f t="shared" si="11"/>
        <v>310</v>
      </c>
    </row>
    <row r="66" spans="1:18" s="93" customFormat="1">
      <c r="A66" s="127"/>
      <c r="E66" s="95"/>
      <c r="F66" s="96"/>
      <c r="G66" s="52" t="e">
        <f t="shared" si="4"/>
        <v>#VALUE!</v>
      </c>
      <c r="H66" s="52" t="e">
        <f t="shared" si="5"/>
        <v>#VALUE!</v>
      </c>
      <c r="I66" s="52" t="e">
        <f t="shared" si="6"/>
        <v>#VALUE!</v>
      </c>
      <c r="J66" s="52" t="e">
        <f t="shared" si="15"/>
        <v>#VALUE!</v>
      </c>
      <c r="K66" s="52" t="e">
        <f t="shared" si="7"/>
        <v>#VALUE!</v>
      </c>
      <c r="L66" s="52" t="e">
        <f t="shared" si="12"/>
        <v>#VALUE!</v>
      </c>
      <c r="M66" s="52" t="e">
        <f t="shared" si="8"/>
        <v>#VALUE!</v>
      </c>
      <c r="N66" s="52">
        <f t="shared" si="9"/>
        <v>310</v>
      </c>
      <c r="O66" s="52">
        <f t="shared" si="10"/>
        <v>310</v>
      </c>
      <c r="P66" s="52">
        <f t="shared" si="13"/>
        <v>310</v>
      </c>
      <c r="Q66" s="52">
        <f t="shared" si="14"/>
        <v>310</v>
      </c>
      <c r="R66" s="52">
        <f t="shared" si="11"/>
        <v>310</v>
      </c>
    </row>
    <row r="67" spans="1:18" s="93" customFormat="1">
      <c r="A67" s="127"/>
      <c r="E67" s="95"/>
      <c r="F67" s="96"/>
      <c r="G67" s="52" t="e">
        <f t="shared" si="4"/>
        <v>#VALUE!</v>
      </c>
      <c r="H67" s="52" t="e">
        <f t="shared" si="5"/>
        <v>#VALUE!</v>
      </c>
      <c r="I67" s="52" t="e">
        <f t="shared" si="6"/>
        <v>#VALUE!</v>
      </c>
      <c r="J67" s="52" t="e">
        <f t="shared" si="15"/>
        <v>#VALUE!</v>
      </c>
      <c r="K67" s="52" t="e">
        <f t="shared" si="7"/>
        <v>#VALUE!</v>
      </c>
      <c r="L67" s="52" t="e">
        <f t="shared" si="12"/>
        <v>#VALUE!</v>
      </c>
      <c r="M67" s="52" t="e">
        <f t="shared" si="8"/>
        <v>#VALUE!</v>
      </c>
      <c r="N67" s="52">
        <f t="shared" si="9"/>
        <v>310</v>
      </c>
      <c r="O67" s="52">
        <f t="shared" si="10"/>
        <v>310</v>
      </c>
      <c r="P67" s="52">
        <f t="shared" si="13"/>
        <v>310</v>
      </c>
      <c r="Q67" s="52">
        <f t="shared" si="14"/>
        <v>310</v>
      </c>
      <c r="R67" s="52">
        <f t="shared" si="11"/>
        <v>310</v>
      </c>
    </row>
    <row r="68" spans="1:18" s="93" customFormat="1">
      <c r="A68" s="127"/>
      <c r="E68" s="95"/>
      <c r="F68" s="96"/>
      <c r="G68" s="52" t="e">
        <f t="shared" si="4"/>
        <v>#VALUE!</v>
      </c>
      <c r="H68" s="52" t="e">
        <f t="shared" si="5"/>
        <v>#VALUE!</v>
      </c>
      <c r="I68" s="52" t="e">
        <f t="shared" si="6"/>
        <v>#VALUE!</v>
      </c>
      <c r="J68" s="52" t="e">
        <f t="shared" si="15"/>
        <v>#VALUE!</v>
      </c>
      <c r="K68" s="52" t="e">
        <f t="shared" si="7"/>
        <v>#VALUE!</v>
      </c>
      <c r="L68" s="52" t="e">
        <f t="shared" si="12"/>
        <v>#VALUE!</v>
      </c>
      <c r="M68" s="52" t="e">
        <f t="shared" si="8"/>
        <v>#VALUE!</v>
      </c>
      <c r="N68" s="52">
        <f t="shared" si="9"/>
        <v>310</v>
      </c>
      <c r="O68" s="52">
        <f t="shared" si="10"/>
        <v>310</v>
      </c>
      <c r="P68" s="52">
        <f t="shared" si="13"/>
        <v>310</v>
      </c>
      <c r="Q68" s="52">
        <f t="shared" si="14"/>
        <v>310</v>
      </c>
      <c r="R68" s="52">
        <f t="shared" si="11"/>
        <v>310</v>
      </c>
    </row>
    <row r="69" spans="1:18" s="93" customFormat="1">
      <c r="A69" s="127"/>
      <c r="E69" s="95"/>
      <c r="F69" s="96"/>
      <c r="G69" s="52" t="e">
        <f t="shared" si="4"/>
        <v>#VALUE!</v>
      </c>
      <c r="H69" s="52" t="e">
        <f t="shared" si="5"/>
        <v>#VALUE!</v>
      </c>
      <c r="I69" s="52" t="e">
        <f t="shared" si="6"/>
        <v>#VALUE!</v>
      </c>
      <c r="J69" s="52" t="e">
        <f t="shared" si="15"/>
        <v>#VALUE!</v>
      </c>
      <c r="K69" s="52" t="e">
        <f t="shared" si="7"/>
        <v>#VALUE!</v>
      </c>
      <c r="L69" s="52" t="e">
        <f t="shared" si="12"/>
        <v>#VALUE!</v>
      </c>
      <c r="M69" s="52" t="e">
        <f t="shared" si="8"/>
        <v>#VALUE!</v>
      </c>
      <c r="N69" s="52">
        <f t="shared" si="9"/>
        <v>310</v>
      </c>
      <c r="O69" s="52">
        <f t="shared" si="10"/>
        <v>310</v>
      </c>
      <c r="P69" s="52">
        <f t="shared" si="13"/>
        <v>310</v>
      </c>
      <c r="Q69" s="52">
        <f t="shared" si="14"/>
        <v>310</v>
      </c>
      <c r="R69" s="52">
        <f t="shared" si="11"/>
        <v>310</v>
      </c>
    </row>
    <row r="70" spans="1:18" s="93" customFormat="1">
      <c r="A70" s="127"/>
      <c r="E70" s="95"/>
      <c r="F70" s="96"/>
      <c r="G70" s="52" t="e">
        <f t="shared" si="4"/>
        <v>#VALUE!</v>
      </c>
      <c r="H70" s="52" t="e">
        <f t="shared" si="5"/>
        <v>#VALUE!</v>
      </c>
      <c r="I70" s="52" t="e">
        <f t="shared" si="6"/>
        <v>#VALUE!</v>
      </c>
      <c r="J70" s="52" t="e">
        <f t="shared" si="15"/>
        <v>#VALUE!</v>
      </c>
      <c r="K70" s="52" t="e">
        <f t="shared" si="7"/>
        <v>#VALUE!</v>
      </c>
      <c r="L70" s="52" t="e">
        <f t="shared" si="12"/>
        <v>#VALUE!</v>
      </c>
      <c r="M70" s="52" t="e">
        <f t="shared" si="8"/>
        <v>#VALUE!</v>
      </c>
      <c r="N70" s="52">
        <f t="shared" si="9"/>
        <v>310</v>
      </c>
      <c r="O70" s="52">
        <f t="shared" si="10"/>
        <v>310</v>
      </c>
      <c r="P70" s="52">
        <f t="shared" si="13"/>
        <v>310</v>
      </c>
      <c r="Q70" s="52">
        <f t="shared" si="14"/>
        <v>310</v>
      </c>
      <c r="R70" s="52">
        <f t="shared" si="11"/>
        <v>310</v>
      </c>
    </row>
    <row r="71" spans="1:18" s="93" customFormat="1">
      <c r="A71" s="127"/>
      <c r="E71" s="95"/>
      <c r="F71" s="96"/>
      <c r="G71" s="52" t="e">
        <f t="shared" si="4"/>
        <v>#VALUE!</v>
      </c>
      <c r="H71" s="52" t="e">
        <f t="shared" si="5"/>
        <v>#VALUE!</v>
      </c>
      <c r="I71" s="52" t="e">
        <f t="shared" si="6"/>
        <v>#VALUE!</v>
      </c>
      <c r="J71" s="52" t="e">
        <f t="shared" si="15"/>
        <v>#VALUE!</v>
      </c>
      <c r="K71" s="52" t="e">
        <f t="shared" si="7"/>
        <v>#VALUE!</v>
      </c>
      <c r="L71" s="52" t="e">
        <f t="shared" si="12"/>
        <v>#VALUE!</v>
      </c>
      <c r="M71" s="52" t="e">
        <f t="shared" si="8"/>
        <v>#VALUE!</v>
      </c>
      <c r="N71" s="52">
        <f t="shared" si="9"/>
        <v>310</v>
      </c>
      <c r="O71" s="52">
        <f t="shared" si="10"/>
        <v>310</v>
      </c>
      <c r="P71" s="52">
        <f t="shared" si="13"/>
        <v>310</v>
      </c>
      <c r="Q71" s="52">
        <f t="shared" si="14"/>
        <v>310</v>
      </c>
      <c r="R71" s="52">
        <f t="shared" si="11"/>
        <v>310</v>
      </c>
    </row>
    <row r="72" spans="1:18" s="93" customFormat="1">
      <c r="A72" s="127"/>
      <c r="E72" s="95"/>
      <c r="F72" s="96"/>
      <c r="G72" s="52" t="e">
        <f t="shared" si="4"/>
        <v>#VALUE!</v>
      </c>
      <c r="H72" s="52" t="e">
        <f t="shared" si="5"/>
        <v>#VALUE!</v>
      </c>
      <c r="I72" s="52" t="e">
        <f t="shared" si="6"/>
        <v>#VALUE!</v>
      </c>
      <c r="J72" s="52" t="e">
        <f t="shared" si="15"/>
        <v>#VALUE!</v>
      </c>
      <c r="K72" s="52" t="e">
        <f t="shared" si="7"/>
        <v>#VALUE!</v>
      </c>
      <c r="L72" s="52" t="e">
        <f t="shared" si="12"/>
        <v>#VALUE!</v>
      </c>
      <c r="M72" s="52" t="e">
        <f t="shared" si="8"/>
        <v>#VALUE!</v>
      </c>
      <c r="N72" s="52">
        <f t="shared" si="9"/>
        <v>310</v>
      </c>
      <c r="O72" s="52">
        <f t="shared" si="10"/>
        <v>310</v>
      </c>
      <c r="P72" s="52">
        <f t="shared" si="13"/>
        <v>310</v>
      </c>
      <c r="Q72" s="52">
        <f t="shared" si="14"/>
        <v>310</v>
      </c>
      <c r="R72" s="52">
        <f t="shared" si="11"/>
        <v>310</v>
      </c>
    </row>
    <row r="73" spans="1:18" s="93" customFormat="1">
      <c r="A73" s="127"/>
      <c r="E73" s="95"/>
      <c r="F73" s="96"/>
      <c r="G73" s="52" t="e">
        <f t="shared" si="4"/>
        <v>#VALUE!</v>
      </c>
      <c r="H73" s="52" t="e">
        <f t="shared" si="5"/>
        <v>#VALUE!</v>
      </c>
      <c r="I73" s="52" t="e">
        <f t="shared" si="6"/>
        <v>#VALUE!</v>
      </c>
      <c r="J73" s="52" t="e">
        <f t="shared" si="15"/>
        <v>#VALUE!</v>
      </c>
      <c r="K73" s="52" t="e">
        <f t="shared" si="7"/>
        <v>#VALUE!</v>
      </c>
      <c r="L73" s="52" t="e">
        <f t="shared" si="12"/>
        <v>#VALUE!</v>
      </c>
      <c r="M73" s="52" t="e">
        <f t="shared" si="8"/>
        <v>#VALUE!</v>
      </c>
      <c r="N73" s="52">
        <f t="shared" si="9"/>
        <v>310</v>
      </c>
      <c r="O73" s="52">
        <f t="shared" si="10"/>
        <v>310</v>
      </c>
      <c r="P73" s="52">
        <f t="shared" si="13"/>
        <v>310</v>
      </c>
      <c r="Q73" s="52">
        <f t="shared" si="14"/>
        <v>310</v>
      </c>
      <c r="R73" s="52">
        <f t="shared" si="11"/>
        <v>310</v>
      </c>
    </row>
    <row r="74" spans="1:18" s="93" customFormat="1">
      <c r="A74" s="127"/>
      <c r="E74" s="95"/>
      <c r="F74" s="96"/>
      <c r="G74" s="52" t="e">
        <f t="shared" si="4"/>
        <v>#VALUE!</v>
      </c>
      <c r="H74" s="52" t="e">
        <f t="shared" si="5"/>
        <v>#VALUE!</v>
      </c>
      <c r="I74" s="52" t="e">
        <f t="shared" si="6"/>
        <v>#VALUE!</v>
      </c>
      <c r="J74" s="52" t="e">
        <f t="shared" si="15"/>
        <v>#VALUE!</v>
      </c>
      <c r="K74" s="52" t="e">
        <f t="shared" si="7"/>
        <v>#VALUE!</v>
      </c>
      <c r="L74" s="52" t="e">
        <f t="shared" si="12"/>
        <v>#VALUE!</v>
      </c>
      <c r="M74" s="52" t="e">
        <f t="shared" si="8"/>
        <v>#VALUE!</v>
      </c>
      <c r="N74" s="52">
        <f t="shared" si="9"/>
        <v>310</v>
      </c>
      <c r="O74" s="52">
        <f t="shared" si="10"/>
        <v>310</v>
      </c>
      <c r="P74" s="52">
        <f t="shared" si="13"/>
        <v>310</v>
      </c>
      <c r="Q74" s="52">
        <f t="shared" si="14"/>
        <v>310</v>
      </c>
      <c r="R74" s="52">
        <f t="shared" si="11"/>
        <v>310</v>
      </c>
    </row>
    <row r="75" spans="1:18" s="93" customFormat="1">
      <c r="A75" s="127"/>
      <c r="E75" s="95"/>
      <c r="F75" s="96"/>
      <c r="G75" s="52" t="e">
        <f t="shared" si="4"/>
        <v>#VALUE!</v>
      </c>
      <c r="H75" s="52" t="e">
        <f t="shared" si="5"/>
        <v>#VALUE!</v>
      </c>
      <c r="I75" s="52" t="e">
        <f t="shared" si="6"/>
        <v>#VALUE!</v>
      </c>
      <c r="J75" s="52" t="e">
        <f t="shared" si="15"/>
        <v>#VALUE!</v>
      </c>
      <c r="K75" s="52" t="e">
        <f t="shared" si="7"/>
        <v>#VALUE!</v>
      </c>
      <c r="L75" s="52" t="e">
        <f t="shared" si="12"/>
        <v>#VALUE!</v>
      </c>
      <c r="M75" s="52" t="e">
        <f t="shared" si="8"/>
        <v>#VALUE!</v>
      </c>
      <c r="N75" s="52">
        <f t="shared" si="9"/>
        <v>310</v>
      </c>
      <c r="O75" s="52">
        <f t="shared" si="10"/>
        <v>310</v>
      </c>
      <c r="P75" s="52">
        <f t="shared" si="13"/>
        <v>310</v>
      </c>
      <c r="Q75" s="52">
        <f t="shared" si="14"/>
        <v>310</v>
      </c>
      <c r="R75" s="52">
        <f t="shared" si="11"/>
        <v>310</v>
      </c>
    </row>
    <row r="76" spans="1:18" s="93" customFormat="1">
      <c r="A76" s="127"/>
      <c r="E76" s="95"/>
      <c r="F76" s="96"/>
      <c r="G76" s="52" t="e">
        <f t="shared" si="4"/>
        <v>#VALUE!</v>
      </c>
      <c r="H76" s="52" t="e">
        <f t="shared" si="5"/>
        <v>#VALUE!</v>
      </c>
      <c r="I76" s="52" t="e">
        <f t="shared" si="6"/>
        <v>#VALUE!</v>
      </c>
      <c r="J76" s="52" t="e">
        <f t="shared" si="15"/>
        <v>#VALUE!</v>
      </c>
      <c r="K76" s="52" t="e">
        <f t="shared" si="7"/>
        <v>#VALUE!</v>
      </c>
      <c r="L76" s="52" t="e">
        <f t="shared" si="12"/>
        <v>#VALUE!</v>
      </c>
      <c r="M76" s="52" t="e">
        <f t="shared" si="8"/>
        <v>#VALUE!</v>
      </c>
      <c r="N76" s="52">
        <f t="shared" si="9"/>
        <v>310</v>
      </c>
      <c r="O76" s="52">
        <f t="shared" si="10"/>
        <v>310</v>
      </c>
      <c r="P76" s="52">
        <f t="shared" si="13"/>
        <v>310</v>
      </c>
      <c r="Q76" s="52">
        <f t="shared" si="14"/>
        <v>310</v>
      </c>
      <c r="R76" s="52">
        <f t="shared" si="11"/>
        <v>310</v>
      </c>
    </row>
    <row r="77" spans="1:18" s="93" customFormat="1">
      <c r="A77" s="127"/>
      <c r="E77" s="95"/>
      <c r="F77" s="96"/>
      <c r="G77" s="52" t="e">
        <f t="shared" si="4"/>
        <v>#VALUE!</v>
      </c>
      <c r="H77" s="52" t="e">
        <f t="shared" si="5"/>
        <v>#VALUE!</v>
      </c>
      <c r="I77" s="52" t="e">
        <f t="shared" si="6"/>
        <v>#VALUE!</v>
      </c>
      <c r="J77" s="52" t="e">
        <f t="shared" si="15"/>
        <v>#VALUE!</v>
      </c>
      <c r="K77" s="52" t="e">
        <f t="shared" si="7"/>
        <v>#VALUE!</v>
      </c>
      <c r="L77" s="52" t="e">
        <f t="shared" si="12"/>
        <v>#VALUE!</v>
      </c>
      <c r="M77" s="52" t="e">
        <f t="shared" si="8"/>
        <v>#VALUE!</v>
      </c>
      <c r="N77" s="52">
        <f t="shared" si="9"/>
        <v>310</v>
      </c>
      <c r="O77" s="52">
        <f t="shared" si="10"/>
        <v>310</v>
      </c>
      <c r="P77" s="52">
        <f t="shared" si="13"/>
        <v>310</v>
      </c>
      <c r="Q77" s="52">
        <f t="shared" si="14"/>
        <v>310</v>
      </c>
      <c r="R77" s="52">
        <f t="shared" si="11"/>
        <v>310</v>
      </c>
    </row>
    <row r="78" spans="1:18" s="93" customFormat="1">
      <c r="A78" s="127"/>
      <c r="E78" s="95"/>
      <c r="F78" s="96"/>
      <c r="G78" s="52" t="e">
        <f t="shared" si="4"/>
        <v>#VALUE!</v>
      </c>
      <c r="H78" s="52" t="e">
        <f t="shared" si="5"/>
        <v>#VALUE!</v>
      </c>
      <c r="I78" s="52" t="e">
        <f t="shared" si="6"/>
        <v>#VALUE!</v>
      </c>
      <c r="J78" s="52" t="e">
        <f t="shared" si="15"/>
        <v>#VALUE!</v>
      </c>
      <c r="K78" s="52" t="e">
        <f t="shared" si="7"/>
        <v>#VALUE!</v>
      </c>
      <c r="L78" s="52" t="e">
        <f t="shared" si="12"/>
        <v>#VALUE!</v>
      </c>
      <c r="M78" s="52" t="e">
        <f t="shared" si="8"/>
        <v>#VALUE!</v>
      </c>
      <c r="N78" s="52">
        <f t="shared" si="9"/>
        <v>310</v>
      </c>
      <c r="O78" s="52">
        <f t="shared" si="10"/>
        <v>310</v>
      </c>
      <c r="P78" s="52">
        <f t="shared" si="13"/>
        <v>310</v>
      </c>
      <c r="Q78" s="52">
        <f t="shared" si="14"/>
        <v>310</v>
      </c>
      <c r="R78" s="52">
        <f t="shared" si="11"/>
        <v>310</v>
      </c>
    </row>
    <row r="79" spans="1:18" s="93" customFormat="1">
      <c r="A79" s="127"/>
      <c r="E79" s="95"/>
      <c r="F79" s="96"/>
      <c r="G79" s="52" t="e">
        <f t="shared" si="4"/>
        <v>#VALUE!</v>
      </c>
      <c r="H79" s="52" t="e">
        <f t="shared" si="5"/>
        <v>#VALUE!</v>
      </c>
      <c r="I79" s="52" t="e">
        <f t="shared" si="6"/>
        <v>#VALUE!</v>
      </c>
      <c r="J79" s="52" t="e">
        <f t="shared" si="15"/>
        <v>#VALUE!</v>
      </c>
      <c r="K79" s="52" t="e">
        <f t="shared" si="7"/>
        <v>#VALUE!</v>
      </c>
      <c r="L79" s="52" t="e">
        <f t="shared" si="12"/>
        <v>#VALUE!</v>
      </c>
      <c r="M79" s="52" t="e">
        <f t="shared" si="8"/>
        <v>#VALUE!</v>
      </c>
      <c r="N79" s="52">
        <f t="shared" si="9"/>
        <v>310</v>
      </c>
      <c r="O79" s="52">
        <f t="shared" si="10"/>
        <v>310</v>
      </c>
      <c r="P79" s="52">
        <f t="shared" si="13"/>
        <v>310</v>
      </c>
      <c r="Q79" s="52">
        <f t="shared" si="14"/>
        <v>310</v>
      </c>
      <c r="R79" s="52">
        <f t="shared" si="11"/>
        <v>310</v>
      </c>
    </row>
    <row r="80" spans="1:18" s="93" customFormat="1">
      <c r="A80" s="127"/>
      <c r="E80" s="95"/>
      <c r="F80" s="96"/>
      <c r="G80" s="52" t="e">
        <f t="shared" si="4"/>
        <v>#VALUE!</v>
      </c>
      <c r="H80" s="52" t="e">
        <f t="shared" si="5"/>
        <v>#VALUE!</v>
      </c>
      <c r="I80" s="52" t="e">
        <f t="shared" si="6"/>
        <v>#VALUE!</v>
      </c>
      <c r="J80" s="52" t="e">
        <f t="shared" si="15"/>
        <v>#VALUE!</v>
      </c>
      <c r="K80" s="52" t="e">
        <f t="shared" si="7"/>
        <v>#VALUE!</v>
      </c>
      <c r="L80" s="52" t="e">
        <f t="shared" si="12"/>
        <v>#VALUE!</v>
      </c>
      <c r="M80" s="52" t="e">
        <f t="shared" si="8"/>
        <v>#VALUE!</v>
      </c>
      <c r="N80" s="52">
        <f t="shared" si="9"/>
        <v>310</v>
      </c>
      <c r="O80" s="52">
        <f t="shared" si="10"/>
        <v>310</v>
      </c>
      <c r="P80" s="52">
        <f t="shared" si="13"/>
        <v>310</v>
      </c>
      <c r="Q80" s="52">
        <f t="shared" si="14"/>
        <v>310</v>
      </c>
      <c r="R80" s="52">
        <f t="shared" si="11"/>
        <v>310</v>
      </c>
    </row>
  </sheetData>
  <sheetProtection selectLockedCells="1"/>
  <mergeCells count="12">
    <mergeCell ref="A13:A14"/>
    <mergeCell ref="E2:F2"/>
    <mergeCell ref="E3:F3"/>
    <mergeCell ref="E7:E9"/>
    <mergeCell ref="H9:I9"/>
    <mergeCell ref="K58:K59"/>
    <mergeCell ref="A17:A18"/>
    <mergeCell ref="A19:B19"/>
    <mergeCell ref="A21:B21"/>
    <mergeCell ref="A22:B22"/>
    <mergeCell ref="A23:B23"/>
    <mergeCell ref="K56:K57"/>
  </mergeCells>
  <dataValidations disablePrompts="1" count="5">
    <dataValidation type="list" allowBlank="1" showInputMessage="1" showErrorMessage="1" sqref="I3">
      <formula1>$N$3:$N$4</formula1>
    </dataValidation>
    <dataValidation type="list" allowBlank="1" showInputMessage="1" showErrorMessage="1" sqref="B1">
      <formula1>$M$1:$Q$1</formula1>
    </dataValidation>
    <dataValidation type="list" allowBlank="1" showInputMessage="1" showErrorMessage="1" sqref="B2">
      <formula1>$N$2:$Q$2</formula1>
    </dataValidation>
    <dataValidation type="list" allowBlank="1" showInputMessage="1" showErrorMessage="1" sqref="E61:E80 C25:C44 E25:E44 G25:G44 I25:I44 K25:K44 M25:M44 O25:O44 Q25:Q44 S25:S44 U25:U44 W25:W44 Y25:Y44 AA25:AA44 AC25:AC44 AE25:AE44 AG25:AG44">
      <formula1>$A$25:$A$27</formula1>
    </dataValidation>
    <dataValidation type="list" allowBlank="1" showInputMessage="1" showErrorMessage="1" sqref="I5">
      <formula1>$N$3:$N$6</formula1>
    </dataValidation>
  </dataValidations>
  <hyperlinks>
    <hyperlink ref="L9" r:id="rId1"/>
  </hyperlinks>
  <pageMargins left="0.7" right="0.7" top="0.75" bottom="0.75" header="0.3" footer="0.3"/>
  <pageSetup paperSize="9" orientation="landscape" verticalDpi="300" r:id="rId2"/>
  <drawing r:id="rId3"/>
  <legacyDrawing r:id="rId4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workbookViewId="0">
      <selection activeCell="R31" sqref="R31"/>
    </sheetView>
  </sheetViews>
  <sheetFormatPr defaultColWidth="9.140625" defaultRowHeight="14.25"/>
  <cols>
    <col min="1" max="16384" width="9.140625" style="54"/>
  </cols>
  <sheetData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:XEK7"/>
  <sheetViews>
    <sheetView workbookViewId="0">
      <selection activeCell="M10" sqref="M10"/>
    </sheetView>
  </sheetViews>
  <sheetFormatPr defaultColWidth="0" defaultRowHeight="27" customHeight="1" outlineLevelCol="1"/>
  <cols>
    <col min="1" max="1" width="11" style="150" customWidth="1"/>
    <col min="2" max="2" width="7.140625" style="150" customWidth="1"/>
    <col min="3" max="3" width="17.140625" style="155" customWidth="1"/>
    <col min="4" max="9" width="9.140625" style="156" hidden="1" customWidth="1" outlineLevel="1"/>
    <col min="10" max="10" width="19.42578125" style="157" hidden="1" customWidth="1" outlineLevel="1"/>
    <col min="11" max="11" width="7.42578125" style="156" customWidth="1" collapsed="1"/>
    <col min="12" max="12" width="12.140625" style="156" hidden="1" customWidth="1" outlineLevel="1"/>
    <col min="13" max="13" width="11.140625" style="156" bestFit="1" customWidth="1" collapsed="1"/>
    <col min="14" max="15" width="9.140625" style="156" customWidth="1"/>
    <col min="16" max="16" width="10.42578125" style="156" bestFit="1" customWidth="1"/>
    <col min="17" max="17" width="11.140625" style="158" bestFit="1" customWidth="1"/>
    <col min="18" max="19" width="17.42578125" style="158" bestFit="1" customWidth="1"/>
    <col min="20" max="20" width="9.140625" style="143" customWidth="1"/>
    <col min="21" max="21" width="18.140625" style="143" bestFit="1" customWidth="1"/>
    <col min="22" max="37" width="10.5703125" style="143" customWidth="1"/>
    <col min="38" max="38" width="9.140625" style="143" customWidth="1"/>
    <col min="39" max="42" width="0" style="143" hidden="1"/>
    <col min="43" max="16365" width="9.140625" style="143" hidden="1"/>
    <col min="16366" max="16384" width="0" style="143" hidden="1"/>
  </cols>
  <sheetData>
    <row r="1" spans="1:37" ht="27" customHeight="1">
      <c r="A1" s="291" t="s">
        <v>197</v>
      </c>
      <c r="B1" s="292"/>
      <c r="C1" s="292"/>
      <c r="D1" s="292"/>
      <c r="E1" s="292"/>
      <c r="F1" s="292"/>
      <c r="G1" s="292"/>
      <c r="H1" s="292"/>
      <c r="I1" s="292"/>
      <c r="J1" s="292"/>
      <c r="K1" s="292"/>
      <c r="L1" s="292"/>
      <c r="M1" s="292"/>
      <c r="N1" s="292"/>
      <c r="O1" s="292"/>
      <c r="P1" s="292"/>
      <c r="Q1" s="292"/>
      <c r="R1" s="293"/>
      <c r="S1" s="167"/>
      <c r="U1" s="294" t="s">
        <v>210</v>
      </c>
      <c r="V1" s="295"/>
      <c r="W1" s="295"/>
      <c r="X1" s="295"/>
      <c r="Y1" s="295"/>
      <c r="Z1" s="295"/>
      <c r="AA1" s="295"/>
      <c r="AB1" s="295"/>
      <c r="AC1" s="295"/>
      <c r="AD1" s="295"/>
      <c r="AE1" s="295"/>
      <c r="AF1" s="295"/>
      <c r="AG1" s="295"/>
      <c r="AH1" s="295"/>
      <c r="AI1" s="295"/>
      <c r="AJ1" s="295"/>
      <c r="AK1" s="296"/>
    </row>
    <row r="2" spans="1:37" s="146" customFormat="1" ht="27" customHeight="1">
      <c r="A2" s="297" t="s">
        <v>198</v>
      </c>
      <c r="B2" s="297" t="s">
        <v>199</v>
      </c>
      <c r="C2" s="297" t="s">
        <v>200</v>
      </c>
      <c r="D2" s="297"/>
      <c r="E2" s="297"/>
      <c r="F2" s="297"/>
      <c r="G2" s="297"/>
      <c r="H2" s="297"/>
      <c r="I2" s="297"/>
      <c r="J2" s="297"/>
      <c r="K2" s="297" t="s">
        <v>66</v>
      </c>
      <c r="L2" s="298" t="s">
        <v>75</v>
      </c>
      <c r="M2" s="144" t="s">
        <v>202</v>
      </c>
      <c r="N2" s="297" t="s">
        <v>204</v>
      </c>
      <c r="O2" s="297" t="s">
        <v>205</v>
      </c>
      <c r="P2" s="297"/>
      <c r="Q2" s="145" t="s">
        <v>207</v>
      </c>
      <c r="R2" s="145" t="s">
        <v>207</v>
      </c>
      <c r="S2" s="145" t="s">
        <v>209</v>
      </c>
      <c r="U2" s="147" t="s">
        <v>211</v>
      </c>
      <c r="V2" s="148">
        <f>SMALL_kata($K5:$K1990,1)</f>
        <v>0</v>
      </c>
      <c r="W2" s="148">
        <f>SMALL_kata($K5:$K1990,2)</f>
        <v>0</v>
      </c>
      <c r="X2" s="148">
        <f>SMALL_kata($K5:$K1990,3)</f>
        <v>0</v>
      </c>
      <c r="Y2" s="148">
        <f>SMALL_kata($K5:$K1990,4)</f>
        <v>0</v>
      </c>
      <c r="Z2" s="148">
        <f>SMALL_kata($K5:$K1990,5)</f>
        <v>0</v>
      </c>
      <c r="AA2" s="148">
        <f>SMALL_kata($K5:$K1990,6)</f>
        <v>0</v>
      </c>
      <c r="AB2" s="148">
        <f>SMALL_kata($K5:$K1990,7)</f>
        <v>0</v>
      </c>
      <c r="AC2" s="148">
        <f>SMALL_kata($K5:$K1990,8)</f>
        <v>0</v>
      </c>
      <c r="AD2" s="148">
        <f>SMALL_kata($K5:$K1990,9)</f>
        <v>0</v>
      </c>
      <c r="AE2" s="148">
        <f>SMALL_kata($K5:$K1990,10)</f>
        <v>0</v>
      </c>
      <c r="AF2" s="148">
        <f>SMALL_kata($K5:$K1990,11)</f>
        <v>0</v>
      </c>
      <c r="AG2" s="148">
        <f>SMALL_kata($K5:$K1990,12)</f>
        <v>0</v>
      </c>
      <c r="AH2" s="148">
        <f>SMALL_kata($K5:$K1990,13)</f>
        <v>0</v>
      </c>
      <c r="AI2" s="148">
        <f>SMALL_kata($K5:$K1990,14)</f>
        <v>0</v>
      </c>
      <c r="AJ2" s="148">
        <f>SMALL_kata($K5:$K1990,15)</f>
        <v>0</v>
      </c>
      <c r="AK2" s="148">
        <f>SMALL_kata($K5:$K1990,16)</f>
        <v>0</v>
      </c>
    </row>
    <row r="3" spans="1:37" s="146" customFormat="1" ht="27" customHeight="1">
      <c r="A3" s="297"/>
      <c r="B3" s="297"/>
      <c r="C3" s="297"/>
      <c r="D3" s="297"/>
      <c r="E3" s="297"/>
      <c r="F3" s="297"/>
      <c r="G3" s="297"/>
      <c r="H3" s="297"/>
      <c r="I3" s="297"/>
      <c r="J3" s="297"/>
      <c r="K3" s="297"/>
      <c r="L3" s="299"/>
      <c r="M3" s="144" t="s">
        <v>203</v>
      </c>
      <c r="N3" s="297"/>
      <c r="O3" s="297" t="s">
        <v>206</v>
      </c>
      <c r="P3" s="297" t="s">
        <v>207</v>
      </c>
      <c r="Q3" s="145" t="s">
        <v>202</v>
      </c>
      <c r="R3" s="145" t="s">
        <v>208</v>
      </c>
      <c r="S3" s="145" t="s">
        <v>208</v>
      </c>
      <c r="U3" s="147" t="s">
        <v>202</v>
      </c>
      <c r="V3" s="190">
        <f t="shared" ref="V3:AK3" si="0">SUMIF($K:$K,V2,$Q:$Q)</f>
        <v>0</v>
      </c>
      <c r="W3" s="190">
        <f t="shared" si="0"/>
        <v>0</v>
      </c>
      <c r="X3" s="190">
        <f t="shared" si="0"/>
        <v>0</v>
      </c>
      <c r="Y3" s="190">
        <f t="shared" si="0"/>
        <v>0</v>
      </c>
      <c r="Z3" s="190">
        <f t="shared" si="0"/>
        <v>0</v>
      </c>
      <c r="AA3" s="190">
        <f t="shared" si="0"/>
        <v>0</v>
      </c>
      <c r="AB3" s="190">
        <f t="shared" si="0"/>
        <v>0</v>
      </c>
      <c r="AC3" s="190">
        <f t="shared" si="0"/>
        <v>0</v>
      </c>
      <c r="AD3" s="190">
        <f t="shared" si="0"/>
        <v>0</v>
      </c>
      <c r="AE3" s="190">
        <f t="shared" si="0"/>
        <v>0</v>
      </c>
      <c r="AF3" s="190">
        <f t="shared" si="0"/>
        <v>0</v>
      </c>
      <c r="AG3" s="190">
        <f t="shared" si="0"/>
        <v>0</v>
      </c>
      <c r="AH3" s="190">
        <f t="shared" si="0"/>
        <v>0</v>
      </c>
      <c r="AI3" s="190">
        <f t="shared" si="0"/>
        <v>0</v>
      </c>
      <c r="AJ3" s="190">
        <f t="shared" si="0"/>
        <v>0</v>
      </c>
      <c r="AK3" s="190">
        <f t="shared" si="0"/>
        <v>0</v>
      </c>
    </row>
    <row r="4" spans="1:37" s="152" customFormat="1" ht="27" customHeight="1">
      <c r="A4" s="297"/>
      <c r="B4" s="297"/>
      <c r="C4" s="149" t="s">
        <v>201</v>
      </c>
      <c r="D4" s="150" t="s">
        <v>70</v>
      </c>
      <c r="E4" s="150" t="s">
        <v>71</v>
      </c>
      <c r="F4" s="150" t="s">
        <v>72</v>
      </c>
      <c r="G4" s="150" t="s">
        <v>73</v>
      </c>
      <c r="H4" s="150" t="s">
        <v>74</v>
      </c>
      <c r="I4" s="150" t="s">
        <v>76</v>
      </c>
      <c r="J4" s="150" t="s">
        <v>93</v>
      </c>
      <c r="K4" s="297"/>
      <c r="L4" s="300"/>
      <c r="M4" s="144" t="s">
        <v>69</v>
      </c>
      <c r="N4" s="297"/>
      <c r="O4" s="297"/>
      <c r="P4" s="297"/>
      <c r="Q4" s="151" t="s">
        <v>67</v>
      </c>
      <c r="R4" s="151" t="s">
        <v>68</v>
      </c>
      <c r="S4" s="151" t="s">
        <v>68</v>
      </c>
      <c r="U4" s="153" t="s">
        <v>208</v>
      </c>
      <c r="V4" s="154">
        <f>V3*tra_bang_kl(V2)</f>
        <v>0</v>
      </c>
      <c r="W4" s="154">
        <f t="shared" ref="W4:AK4" si="1">W3*tra_bang_kl(W2)</f>
        <v>0</v>
      </c>
      <c r="X4" s="154">
        <f t="shared" si="1"/>
        <v>0</v>
      </c>
      <c r="Y4" s="154">
        <f t="shared" si="1"/>
        <v>0</v>
      </c>
      <c r="Z4" s="154">
        <f t="shared" si="1"/>
        <v>0</v>
      </c>
      <c r="AA4" s="154">
        <f t="shared" si="1"/>
        <v>0</v>
      </c>
      <c r="AB4" s="154">
        <f t="shared" si="1"/>
        <v>0</v>
      </c>
      <c r="AC4" s="154">
        <f t="shared" si="1"/>
        <v>0</v>
      </c>
      <c r="AD4" s="154">
        <f t="shared" si="1"/>
        <v>0</v>
      </c>
      <c r="AE4" s="154">
        <f t="shared" si="1"/>
        <v>0</v>
      </c>
      <c r="AF4" s="154">
        <f t="shared" si="1"/>
        <v>0</v>
      </c>
      <c r="AG4" s="154">
        <f t="shared" si="1"/>
        <v>0</v>
      </c>
      <c r="AH4" s="154">
        <f t="shared" si="1"/>
        <v>0</v>
      </c>
      <c r="AI4" s="154">
        <f t="shared" si="1"/>
        <v>0</v>
      </c>
      <c r="AJ4" s="154">
        <f t="shared" si="1"/>
        <v>0</v>
      </c>
      <c r="AK4" s="154">
        <f t="shared" si="1"/>
        <v>0</v>
      </c>
    </row>
    <row r="5" spans="1:37" ht="27" customHeight="1">
      <c r="U5" s="153" t="s">
        <v>212</v>
      </c>
      <c r="V5" s="159">
        <f>SUMIF(V2:AK2,"&lt;=10",V4:AK4)</f>
        <v>0</v>
      </c>
    </row>
    <row r="6" spans="1:37" ht="27" customHeight="1">
      <c r="U6" s="153" t="s">
        <v>213</v>
      </c>
      <c r="V6" s="159">
        <f>SUM(V4:AK4)-V5-V7</f>
        <v>0</v>
      </c>
    </row>
    <row r="7" spans="1:37" ht="27" customHeight="1">
      <c r="U7" s="153" t="s">
        <v>214</v>
      </c>
      <c r="V7" s="159">
        <f>SUMIF(V2:AK2,"&gt;18",V4:AK4)</f>
        <v>0</v>
      </c>
    </row>
  </sheetData>
  <mergeCells count="11">
    <mergeCell ref="A1:R1"/>
    <mergeCell ref="U1:AK1"/>
    <mergeCell ref="O2:P2"/>
    <mergeCell ref="A2:A4"/>
    <mergeCell ref="B2:B4"/>
    <mergeCell ref="K2:K4"/>
    <mergeCell ref="N2:N4"/>
    <mergeCell ref="O3:O4"/>
    <mergeCell ref="P3:P4"/>
    <mergeCell ref="C2:J3"/>
    <mergeCell ref="L2:L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XEJ76"/>
  <sheetViews>
    <sheetView topLeftCell="I1" workbookViewId="0">
      <selection activeCell="O17" sqref="O17"/>
    </sheetView>
  </sheetViews>
  <sheetFormatPr defaultColWidth="0" defaultRowHeight="14.1" customHeight="1" outlineLevelCol="1"/>
  <cols>
    <col min="1" max="1" width="9.28515625" style="160" customWidth="1"/>
    <col min="2" max="2" width="6.5703125" style="156" customWidth="1"/>
    <col min="3" max="3" width="11.140625" style="156" bestFit="1" customWidth="1"/>
    <col min="4" max="4" width="10.42578125" style="156" bestFit="1" customWidth="1"/>
    <col min="5" max="5" width="39" style="150" customWidth="1"/>
    <col min="6" max="6" width="4.42578125" style="168" customWidth="1"/>
    <col min="7" max="7" width="46.42578125" style="160" hidden="1" customWidth="1" outlineLevel="1"/>
    <col min="8" max="8" width="4.42578125" style="143" customWidth="1" collapsed="1"/>
    <col min="9" max="9" width="17.85546875" style="153" customWidth="1"/>
    <col min="10" max="10" width="8.5703125" style="153" bestFit="1" customWidth="1"/>
    <col min="11" max="11" width="6.5703125" style="156" customWidth="1"/>
    <col min="12" max="12" width="11.140625" style="156" bestFit="1" customWidth="1"/>
    <col min="13" max="13" width="10.42578125" style="156" bestFit="1" customWidth="1"/>
    <col min="14" max="14" width="17" style="193" customWidth="1"/>
    <col min="15" max="15" width="10.42578125" style="193" customWidth="1" outlineLevel="1"/>
    <col min="16" max="16" width="9.140625" style="143" customWidth="1" outlineLevel="1"/>
    <col min="17" max="17" width="6.5703125" style="156" customWidth="1" outlineLevel="1"/>
    <col min="18" max="18" width="10.42578125" style="156" customWidth="1" outlineLevel="1"/>
    <col min="19" max="19" width="10.42578125" style="150" customWidth="1" outlineLevel="1"/>
    <col min="20" max="20" width="26.85546875" style="195" customWidth="1" outlineLevel="1"/>
    <col min="21" max="21" width="14.7109375" style="156" customWidth="1" outlineLevel="1"/>
    <col min="22" max="22" width="6.5703125" style="143" customWidth="1" outlineLevel="1"/>
    <col min="23" max="23" width="6.5703125" style="156" customWidth="1" outlineLevel="1"/>
    <col min="24" max="24" width="10.42578125" style="156" customWidth="1" outlineLevel="1"/>
    <col min="25" max="25" width="10.42578125" style="150" customWidth="1" outlineLevel="1"/>
    <col min="26" max="26" width="9.140625" style="143" customWidth="1"/>
    <col min="27" max="39" width="0" style="143" hidden="1"/>
    <col min="40" max="16364" width="9.140625" style="143" hidden="1"/>
    <col min="16365" max="16384" width="0" style="143" hidden="1"/>
  </cols>
  <sheetData>
    <row r="1" spans="1:25" ht="30" customHeight="1">
      <c r="A1" s="303" t="s">
        <v>225</v>
      </c>
      <c r="B1" s="291" t="s">
        <v>229</v>
      </c>
      <c r="C1" s="292"/>
      <c r="D1" s="292"/>
      <c r="E1" s="293"/>
      <c r="F1" s="167"/>
      <c r="G1" s="167" t="s">
        <v>100</v>
      </c>
      <c r="I1" s="302" t="s">
        <v>230</v>
      </c>
      <c r="J1" s="302"/>
      <c r="K1" s="302"/>
      <c r="L1" s="302"/>
      <c r="M1" s="302"/>
      <c r="N1" s="167"/>
      <c r="O1" s="167"/>
      <c r="Q1" s="302" t="s">
        <v>235</v>
      </c>
      <c r="R1" s="302"/>
      <c r="S1" s="302"/>
      <c r="T1" s="302"/>
      <c r="U1" s="302"/>
      <c r="W1" s="302" t="s">
        <v>226</v>
      </c>
      <c r="X1" s="302"/>
      <c r="Y1" s="302"/>
    </row>
    <row r="2" spans="1:25" s="146" customFormat="1" ht="20.100000000000001" customHeight="1">
      <c r="A2" s="303"/>
      <c r="B2" s="162" t="s">
        <v>35</v>
      </c>
      <c r="C2" s="163" t="s">
        <v>185</v>
      </c>
      <c r="D2" s="163" t="s">
        <v>216</v>
      </c>
      <c r="E2" s="163" t="s">
        <v>224</v>
      </c>
      <c r="F2" s="161"/>
      <c r="G2" s="167" t="s">
        <v>95</v>
      </c>
      <c r="H2" s="164"/>
      <c r="I2" s="163" t="s">
        <v>231</v>
      </c>
      <c r="J2" s="163" t="s">
        <v>232</v>
      </c>
      <c r="K2" s="163" t="s">
        <v>35</v>
      </c>
      <c r="L2" s="163" t="s">
        <v>233</v>
      </c>
      <c r="M2" s="163" t="s">
        <v>234</v>
      </c>
      <c r="N2" s="161"/>
      <c r="O2" s="161"/>
      <c r="P2" s="143"/>
      <c r="Q2" s="191" t="s">
        <v>35</v>
      </c>
      <c r="R2" s="191" t="s">
        <v>185</v>
      </c>
      <c r="S2" s="192" t="s">
        <v>216</v>
      </c>
      <c r="T2" s="194" t="s">
        <v>227</v>
      </c>
      <c r="U2" s="191" t="s">
        <v>225</v>
      </c>
      <c r="W2" s="192" t="s">
        <v>35</v>
      </c>
      <c r="X2" s="192" t="s">
        <v>185</v>
      </c>
      <c r="Y2" s="192" t="s">
        <v>228</v>
      </c>
    </row>
    <row r="3" spans="1:25" ht="14.1" customHeight="1">
      <c r="A3" s="196"/>
      <c r="B3" s="197"/>
      <c r="C3" s="197"/>
      <c r="D3" s="197"/>
      <c r="E3" s="198"/>
      <c r="G3" s="301" t="s">
        <v>101</v>
      </c>
      <c r="I3" s="153" t="s">
        <v>244</v>
      </c>
      <c r="J3" s="153">
        <v>7</v>
      </c>
      <c r="K3" s="156">
        <v>10</v>
      </c>
      <c r="L3" s="156">
        <v>3165</v>
      </c>
      <c r="M3" s="156">
        <v>13</v>
      </c>
    </row>
    <row r="4" spans="1:25" ht="14.1" customHeight="1">
      <c r="A4" s="196"/>
      <c r="B4" s="197"/>
      <c r="C4" s="197"/>
      <c r="D4" s="197"/>
      <c r="E4" s="198"/>
      <c r="G4" s="301"/>
    </row>
    <row r="5" spans="1:25" ht="14.1" customHeight="1">
      <c r="A5" s="196"/>
      <c r="B5" s="197"/>
      <c r="C5" s="197"/>
      <c r="D5" s="197"/>
      <c r="E5" s="198"/>
      <c r="G5" s="301" t="s">
        <v>102</v>
      </c>
    </row>
    <row r="6" spans="1:25" ht="14.1" customHeight="1">
      <c r="A6" s="196"/>
      <c r="B6" s="197"/>
      <c r="C6" s="197"/>
      <c r="D6" s="197"/>
      <c r="E6" s="198"/>
      <c r="G6" s="301"/>
    </row>
    <row r="7" spans="1:25" ht="14.1" customHeight="1">
      <c r="A7" s="196"/>
      <c r="B7" s="197"/>
      <c r="C7" s="197"/>
      <c r="D7" s="197"/>
      <c r="E7" s="198"/>
      <c r="G7" s="301" t="s">
        <v>103</v>
      </c>
    </row>
    <row r="8" spans="1:25" ht="14.1" customHeight="1">
      <c r="A8" s="196"/>
      <c r="B8" s="197"/>
      <c r="C8" s="197"/>
      <c r="D8" s="197"/>
      <c r="E8" s="198"/>
      <c r="G8" s="301"/>
    </row>
    <row r="9" spans="1:25" ht="14.1" customHeight="1">
      <c r="A9" s="196"/>
      <c r="B9" s="197"/>
      <c r="C9" s="197"/>
      <c r="D9" s="197"/>
      <c r="E9" s="198"/>
      <c r="G9" s="301"/>
    </row>
    <row r="10" spans="1:25" ht="14.1" customHeight="1">
      <c r="A10" s="196"/>
      <c r="B10" s="197"/>
      <c r="C10" s="197"/>
      <c r="D10" s="197"/>
      <c r="E10" s="198"/>
      <c r="G10" s="301"/>
    </row>
    <row r="11" spans="1:25" ht="14.1" customHeight="1">
      <c r="A11" s="196"/>
      <c r="B11" s="197"/>
      <c r="C11" s="197"/>
      <c r="D11" s="197"/>
      <c r="E11" s="198"/>
    </row>
    <row r="12" spans="1:25" ht="14.1" customHeight="1">
      <c r="A12" s="196"/>
      <c r="B12" s="197"/>
      <c r="C12" s="197"/>
      <c r="D12" s="197"/>
      <c r="E12" s="198"/>
      <c r="G12" s="301" t="s">
        <v>96</v>
      </c>
    </row>
    <row r="13" spans="1:25" ht="14.1" customHeight="1">
      <c r="A13" s="196"/>
      <c r="B13" s="197"/>
      <c r="C13" s="197"/>
      <c r="D13" s="197"/>
      <c r="E13" s="198"/>
      <c r="G13" s="301"/>
    </row>
    <row r="14" spans="1:25" ht="14.1" customHeight="1">
      <c r="A14" s="196"/>
      <c r="B14" s="197"/>
      <c r="C14" s="197"/>
      <c r="D14" s="197"/>
      <c r="E14" s="198"/>
      <c r="G14" s="301"/>
    </row>
    <row r="15" spans="1:25" ht="14.1" customHeight="1">
      <c r="A15" s="196"/>
      <c r="B15" s="197"/>
      <c r="C15" s="197"/>
      <c r="D15" s="197"/>
      <c r="E15" s="198"/>
      <c r="G15" s="301" t="s">
        <v>97</v>
      </c>
    </row>
    <row r="16" spans="1:25" ht="14.1" customHeight="1">
      <c r="A16" s="196"/>
      <c r="B16" s="197"/>
      <c r="C16" s="197"/>
      <c r="D16" s="197"/>
      <c r="E16" s="198"/>
      <c r="G16" s="301"/>
    </row>
    <row r="17" spans="1:7" ht="14.1" customHeight="1">
      <c r="A17" s="196"/>
      <c r="B17" s="197"/>
      <c r="C17" s="197"/>
      <c r="D17" s="197"/>
      <c r="E17" s="198"/>
      <c r="G17" s="301" t="s">
        <v>98</v>
      </c>
    </row>
    <row r="18" spans="1:7" ht="14.1" customHeight="1">
      <c r="A18" s="196"/>
      <c r="B18" s="197"/>
      <c r="C18" s="197"/>
      <c r="D18" s="197"/>
      <c r="E18" s="198"/>
      <c r="G18" s="301"/>
    </row>
    <row r="19" spans="1:7" ht="14.1" customHeight="1">
      <c r="A19" s="196"/>
      <c r="B19" s="197"/>
      <c r="C19" s="197"/>
      <c r="D19" s="197"/>
      <c r="E19" s="198"/>
      <c r="G19" s="301"/>
    </row>
    <row r="20" spans="1:7" ht="14.1" customHeight="1">
      <c r="A20" s="196"/>
      <c r="B20" s="197"/>
      <c r="C20" s="197"/>
      <c r="D20" s="197"/>
      <c r="E20" s="198"/>
      <c r="G20" s="301"/>
    </row>
    <row r="21" spans="1:7" ht="14.1" customHeight="1">
      <c r="A21" s="196"/>
      <c r="B21" s="197"/>
      <c r="C21" s="197"/>
      <c r="D21" s="197"/>
      <c r="E21" s="198"/>
      <c r="G21" s="301" t="s">
        <v>99</v>
      </c>
    </row>
    <row r="22" spans="1:7" ht="14.1" customHeight="1">
      <c r="A22" s="196"/>
      <c r="B22" s="197"/>
      <c r="C22" s="197"/>
      <c r="D22" s="197"/>
      <c r="E22" s="198"/>
      <c r="G22" s="301"/>
    </row>
    <row r="23" spans="1:7" ht="14.1" customHeight="1">
      <c r="A23" s="196"/>
      <c r="B23" s="197"/>
      <c r="C23" s="197"/>
      <c r="D23" s="197"/>
      <c r="E23" s="198"/>
      <c r="G23" s="301"/>
    </row>
    <row r="24" spans="1:7" ht="14.1" customHeight="1">
      <c r="A24" s="196"/>
      <c r="B24" s="197"/>
      <c r="C24" s="197"/>
      <c r="D24" s="197"/>
      <c r="E24" s="198"/>
    </row>
    <row r="25" spans="1:7" ht="14.1" customHeight="1">
      <c r="A25" s="196"/>
      <c r="B25" s="197"/>
      <c r="C25" s="197"/>
      <c r="D25" s="197"/>
      <c r="E25" s="198"/>
      <c r="G25" s="301" t="s">
        <v>104</v>
      </c>
    </row>
    <row r="26" spans="1:7" ht="14.1" customHeight="1">
      <c r="A26" s="196"/>
      <c r="B26" s="197"/>
      <c r="C26" s="197"/>
      <c r="D26" s="197"/>
      <c r="E26" s="198"/>
      <c r="G26" s="301"/>
    </row>
    <row r="27" spans="1:7" ht="14.1" customHeight="1">
      <c r="A27" s="196"/>
      <c r="B27" s="197"/>
      <c r="C27" s="197"/>
      <c r="D27" s="197"/>
      <c r="E27" s="198"/>
      <c r="G27" s="301"/>
    </row>
    <row r="28" spans="1:7" ht="14.1" customHeight="1">
      <c r="A28" s="196"/>
      <c r="B28" s="197"/>
      <c r="C28" s="197"/>
      <c r="D28" s="197"/>
      <c r="E28" s="198"/>
      <c r="G28" s="301"/>
    </row>
    <row r="29" spans="1:7" ht="14.1" customHeight="1">
      <c r="A29" s="196"/>
      <c r="B29" s="197"/>
      <c r="C29" s="197"/>
      <c r="D29" s="197"/>
      <c r="E29" s="198"/>
      <c r="G29" s="301"/>
    </row>
    <row r="30" spans="1:7" ht="14.1" customHeight="1">
      <c r="A30" s="196"/>
      <c r="B30" s="197"/>
      <c r="C30" s="197"/>
      <c r="D30" s="197"/>
      <c r="E30" s="198"/>
      <c r="G30" s="301" t="s">
        <v>105</v>
      </c>
    </row>
    <row r="31" spans="1:7" ht="14.1" customHeight="1">
      <c r="A31" s="196"/>
      <c r="B31" s="197"/>
      <c r="C31" s="197"/>
      <c r="D31" s="197"/>
      <c r="E31" s="198"/>
      <c r="G31" s="301"/>
    </row>
    <row r="32" spans="1:7" ht="14.1" customHeight="1">
      <c r="A32" s="196"/>
      <c r="B32" s="197"/>
      <c r="C32" s="197"/>
      <c r="D32" s="197"/>
      <c r="E32" s="198"/>
      <c r="G32" s="301"/>
    </row>
    <row r="33" spans="1:7" ht="14.1" customHeight="1">
      <c r="A33" s="196"/>
      <c r="B33" s="197"/>
      <c r="C33" s="197"/>
      <c r="D33" s="197"/>
      <c r="E33" s="198"/>
      <c r="G33" s="301"/>
    </row>
    <row r="34" spans="1:7" ht="14.1" customHeight="1">
      <c r="A34" s="196"/>
      <c r="B34" s="197"/>
      <c r="C34" s="197"/>
      <c r="D34" s="197"/>
      <c r="E34" s="198"/>
      <c r="G34" s="301"/>
    </row>
    <row r="35" spans="1:7" ht="14.1" customHeight="1">
      <c r="A35" s="196"/>
      <c r="B35" s="197"/>
      <c r="C35" s="197"/>
      <c r="D35" s="197"/>
      <c r="E35" s="198"/>
    </row>
    <row r="36" spans="1:7" ht="14.1" customHeight="1">
      <c r="A36" s="196"/>
      <c r="B36" s="197"/>
      <c r="C36" s="197"/>
      <c r="D36" s="197"/>
      <c r="E36" s="198"/>
    </row>
    <row r="37" spans="1:7" ht="14.1" customHeight="1">
      <c r="A37" s="196"/>
      <c r="B37" s="197"/>
      <c r="C37" s="197"/>
      <c r="D37" s="197"/>
      <c r="E37" s="198"/>
    </row>
    <row r="38" spans="1:7" ht="14.1" customHeight="1">
      <c r="A38" s="196"/>
      <c r="B38" s="197"/>
      <c r="C38" s="197"/>
      <c r="D38" s="197"/>
      <c r="E38" s="198"/>
    </row>
    <row r="39" spans="1:7" ht="14.1" customHeight="1">
      <c r="E39" s="198"/>
    </row>
    <row r="40" spans="1:7" ht="14.1" customHeight="1">
      <c r="E40" s="198"/>
    </row>
    <row r="41" spans="1:7" ht="14.1" customHeight="1">
      <c r="E41" s="198"/>
    </row>
    <row r="42" spans="1:7" ht="14.1" customHeight="1">
      <c r="E42" s="198"/>
    </row>
    <row r="43" spans="1:7" ht="14.1" customHeight="1">
      <c r="E43" s="198"/>
    </row>
    <row r="44" spans="1:7" ht="14.1" customHeight="1">
      <c r="E44" s="198"/>
    </row>
    <row r="45" spans="1:7" ht="14.1" customHeight="1">
      <c r="E45" s="198"/>
    </row>
    <row r="46" spans="1:7" ht="14.1" customHeight="1">
      <c r="E46" s="198"/>
    </row>
    <row r="47" spans="1:7" ht="14.1" customHeight="1">
      <c r="E47" s="198"/>
    </row>
    <row r="48" spans="1:7" ht="14.1" customHeight="1">
      <c r="E48" s="198"/>
    </row>
    <row r="49" spans="5:5" ht="14.1" customHeight="1">
      <c r="E49" s="198"/>
    </row>
    <row r="50" spans="5:5" ht="14.1" customHeight="1">
      <c r="E50" s="198"/>
    </row>
    <row r="51" spans="5:5" ht="14.1" customHeight="1">
      <c r="E51" s="198"/>
    </row>
    <row r="52" spans="5:5" ht="14.1" customHeight="1">
      <c r="E52" s="198"/>
    </row>
    <row r="53" spans="5:5" ht="14.1" customHeight="1">
      <c r="E53" s="198"/>
    </row>
    <row r="54" spans="5:5" ht="14.1" customHeight="1">
      <c r="E54" s="198"/>
    </row>
    <row r="55" spans="5:5" ht="14.1" customHeight="1">
      <c r="E55" s="198"/>
    </row>
    <row r="56" spans="5:5" ht="14.1" customHeight="1">
      <c r="E56" s="198"/>
    </row>
    <row r="57" spans="5:5" ht="14.1" customHeight="1">
      <c r="E57" s="198"/>
    </row>
    <row r="58" spans="5:5" ht="14.1" customHeight="1">
      <c r="E58" s="198"/>
    </row>
    <row r="59" spans="5:5" ht="14.1" customHeight="1">
      <c r="E59" s="198"/>
    </row>
    <row r="60" spans="5:5" ht="14.1" customHeight="1">
      <c r="E60" s="198"/>
    </row>
    <row r="61" spans="5:5" ht="14.1" customHeight="1">
      <c r="E61" s="198"/>
    </row>
    <row r="62" spans="5:5" ht="14.1" customHeight="1">
      <c r="E62" s="198"/>
    </row>
    <row r="63" spans="5:5" ht="14.1" customHeight="1">
      <c r="E63" s="198"/>
    </row>
    <row r="64" spans="5:5" ht="14.1" customHeight="1">
      <c r="E64" s="198"/>
    </row>
    <row r="65" spans="5:5" ht="14.1" customHeight="1">
      <c r="E65" s="198"/>
    </row>
    <row r="66" spans="5:5" ht="14.1" customHeight="1">
      <c r="E66" s="198"/>
    </row>
    <row r="67" spans="5:5" ht="14.1" customHeight="1">
      <c r="E67" s="198"/>
    </row>
    <row r="68" spans="5:5" ht="14.1" customHeight="1">
      <c r="E68" s="198"/>
    </row>
    <row r="69" spans="5:5" ht="14.1" customHeight="1">
      <c r="E69" s="198"/>
    </row>
    <row r="70" spans="5:5" ht="14.1" customHeight="1">
      <c r="E70" s="198"/>
    </row>
    <row r="71" spans="5:5" ht="14.1" customHeight="1">
      <c r="E71" s="198"/>
    </row>
    <row r="72" spans="5:5" ht="14.1" customHeight="1">
      <c r="E72" s="198"/>
    </row>
    <row r="73" spans="5:5" ht="14.1" customHeight="1">
      <c r="E73" s="198"/>
    </row>
    <row r="74" spans="5:5" ht="14.1" customHeight="1">
      <c r="E74" s="198"/>
    </row>
    <row r="75" spans="5:5" ht="14.1" customHeight="1">
      <c r="E75" s="198"/>
    </row>
    <row r="76" spans="5:5" ht="14.1" customHeight="1">
      <c r="E76" s="198"/>
    </row>
  </sheetData>
  <mergeCells count="14">
    <mergeCell ref="G30:G34"/>
    <mergeCell ref="G15:G16"/>
    <mergeCell ref="G17:G20"/>
    <mergeCell ref="W1:Y1"/>
    <mergeCell ref="A1:A2"/>
    <mergeCell ref="G12:G14"/>
    <mergeCell ref="B1:E1"/>
    <mergeCell ref="G21:G23"/>
    <mergeCell ref="G25:G29"/>
    <mergeCell ref="Q1:U1"/>
    <mergeCell ref="I1:M1"/>
    <mergeCell ref="G5:G6"/>
    <mergeCell ref="G7:G10"/>
    <mergeCell ref="G3:G4"/>
  </mergeCells>
  <pageMargins left="0.7" right="0.56999999999999995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1:X4"/>
  <sheetViews>
    <sheetView topLeftCell="C1" workbookViewId="0">
      <pane ySplit="3" topLeftCell="A4" activePane="bottomLeft" state="frozen"/>
      <selection pane="bottomLeft" activeCell="H20" sqref="H20"/>
    </sheetView>
  </sheetViews>
  <sheetFormatPr defaultColWidth="0" defaultRowHeight="14.25"/>
  <cols>
    <col min="1" max="1" width="9.140625" style="130" customWidth="1"/>
    <col min="2" max="2" width="9.140625" style="131" customWidth="1"/>
    <col min="3" max="3" width="9.140625" style="132" customWidth="1"/>
    <col min="4" max="4" width="9.140625" style="134" customWidth="1"/>
    <col min="5" max="5" width="9.140625" style="132" customWidth="1"/>
    <col min="6" max="6" width="9.140625" style="134" customWidth="1"/>
    <col min="7" max="7" width="9.140625" style="132" customWidth="1"/>
    <col min="8" max="8" width="9.140625" style="134" customWidth="1"/>
    <col min="9" max="9" width="9.140625" style="132" customWidth="1"/>
    <col min="10" max="10" width="9.140625" style="134" customWidth="1"/>
    <col min="11" max="11" width="9.140625" style="132" customWidth="1"/>
    <col min="12" max="12" width="9.140625" style="134" customWidth="1"/>
    <col min="13" max="13" width="9.140625" style="132" customWidth="1"/>
    <col min="14" max="14" width="9.140625" style="134" customWidth="1"/>
    <col min="15" max="15" width="9.140625" style="132" customWidth="1"/>
    <col min="16" max="16" width="9.140625" style="134" customWidth="1"/>
    <col min="17" max="17" width="9.140625" style="132" customWidth="1"/>
    <col min="18" max="18" width="9.140625" style="134" customWidth="1"/>
    <col min="19" max="19" width="9.140625" style="132" customWidth="1"/>
    <col min="20" max="20" width="9.140625" style="134" customWidth="1"/>
    <col min="21" max="21" width="9.140625" style="132" customWidth="1"/>
    <col min="22" max="22" width="9.140625" style="134" customWidth="1"/>
    <col min="23" max="23" width="9.140625" style="132" customWidth="1"/>
    <col min="24" max="24" width="9.140625" style="133" customWidth="1"/>
    <col min="25" max="16384" width="9.140625" style="54" hidden="1"/>
  </cols>
  <sheetData>
    <row r="1" spans="1:24" ht="15" thickBot="1">
      <c r="A1" s="304" t="s">
        <v>94</v>
      </c>
      <c r="B1" s="304"/>
      <c r="C1" s="304"/>
      <c r="D1" s="304"/>
      <c r="E1" s="304"/>
      <c r="F1" s="304"/>
      <c r="G1" s="304"/>
      <c r="H1" s="304"/>
      <c r="I1" s="304"/>
      <c r="J1" s="304"/>
      <c r="K1" s="304"/>
      <c r="L1" s="304"/>
      <c r="M1" s="304"/>
      <c r="N1" s="304"/>
      <c r="O1" s="304"/>
      <c r="P1" s="304"/>
      <c r="Q1" s="304"/>
      <c r="R1" s="304"/>
      <c r="S1" s="304"/>
      <c r="T1" s="304"/>
      <c r="U1" s="304"/>
      <c r="V1" s="304"/>
      <c r="W1" s="304"/>
      <c r="X1" s="304"/>
    </row>
    <row r="2" spans="1:24" s="140" customFormat="1">
      <c r="A2" s="305" t="s">
        <v>79</v>
      </c>
      <c r="B2" s="306"/>
      <c r="C2" s="305" t="s">
        <v>80</v>
      </c>
      <c r="D2" s="306"/>
      <c r="E2" s="305" t="s">
        <v>81</v>
      </c>
      <c r="F2" s="306"/>
      <c r="G2" s="305" t="s">
        <v>82</v>
      </c>
      <c r="H2" s="306"/>
      <c r="I2" s="305" t="s">
        <v>83</v>
      </c>
      <c r="J2" s="306"/>
      <c r="K2" s="305" t="s">
        <v>84</v>
      </c>
      <c r="L2" s="306"/>
      <c r="M2" s="305" t="s">
        <v>85</v>
      </c>
      <c r="N2" s="306"/>
      <c r="O2" s="305" t="s">
        <v>86</v>
      </c>
      <c r="P2" s="306"/>
      <c r="Q2" s="305" t="s">
        <v>87</v>
      </c>
      <c r="R2" s="306"/>
      <c r="S2" s="305" t="s">
        <v>88</v>
      </c>
      <c r="T2" s="306"/>
      <c r="U2" s="305" t="s">
        <v>89</v>
      </c>
      <c r="V2" s="306"/>
      <c r="W2" s="305" t="s">
        <v>90</v>
      </c>
      <c r="X2" s="306"/>
    </row>
    <row r="3" spans="1:24" s="141" customFormat="1" ht="15" thickBot="1">
      <c r="A3" s="165" t="s">
        <v>185</v>
      </c>
      <c r="B3" s="166" t="s">
        <v>216</v>
      </c>
      <c r="C3" s="165" t="s">
        <v>185</v>
      </c>
      <c r="D3" s="166" t="s">
        <v>216</v>
      </c>
      <c r="E3" s="165" t="s">
        <v>185</v>
      </c>
      <c r="F3" s="166" t="s">
        <v>216</v>
      </c>
      <c r="G3" s="165" t="s">
        <v>185</v>
      </c>
      <c r="H3" s="166" t="s">
        <v>216</v>
      </c>
      <c r="I3" s="165" t="s">
        <v>185</v>
      </c>
      <c r="J3" s="166" t="s">
        <v>216</v>
      </c>
      <c r="K3" s="165" t="s">
        <v>185</v>
      </c>
      <c r="L3" s="166" t="s">
        <v>216</v>
      </c>
      <c r="M3" s="165" t="s">
        <v>185</v>
      </c>
      <c r="N3" s="166" t="s">
        <v>216</v>
      </c>
      <c r="O3" s="165" t="s">
        <v>185</v>
      </c>
      <c r="P3" s="166" t="s">
        <v>216</v>
      </c>
      <c r="Q3" s="165" t="s">
        <v>185</v>
      </c>
      <c r="R3" s="166" t="s">
        <v>216</v>
      </c>
      <c r="S3" s="165" t="s">
        <v>185</v>
      </c>
      <c r="T3" s="166" t="s">
        <v>216</v>
      </c>
      <c r="U3" s="165" t="s">
        <v>185</v>
      </c>
      <c r="V3" s="166" t="s">
        <v>216</v>
      </c>
      <c r="W3" s="165" t="s">
        <v>185</v>
      </c>
      <c r="X3" s="166" t="s">
        <v>216</v>
      </c>
    </row>
    <row r="4" spans="1:24">
      <c r="A4" s="135"/>
      <c r="B4" s="136"/>
      <c r="C4" s="137"/>
      <c r="D4" s="138"/>
      <c r="E4" s="137"/>
      <c r="F4" s="138"/>
      <c r="G4" s="137"/>
      <c r="H4" s="138"/>
      <c r="I4" s="137"/>
      <c r="J4" s="138"/>
      <c r="K4" s="137"/>
      <c r="L4" s="138"/>
      <c r="M4" s="137"/>
      <c r="N4" s="138"/>
      <c r="O4" s="137"/>
      <c r="P4" s="138"/>
      <c r="Q4" s="137"/>
      <c r="R4" s="138"/>
      <c r="S4" s="137"/>
      <c r="T4" s="138"/>
      <c r="U4" s="137"/>
      <c r="V4" s="138"/>
      <c r="W4" s="137"/>
      <c r="X4" s="139"/>
    </row>
  </sheetData>
  <mergeCells count="13">
    <mergeCell ref="A1:X1"/>
    <mergeCell ref="M2:N2"/>
    <mergeCell ref="O2:P2"/>
    <mergeCell ref="Q2:R2"/>
    <mergeCell ref="S2:T2"/>
    <mergeCell ref="U2:V2"/>
    <mergeCell ref="W2:X2"/>
    <mergeCell ref="A2:B2"/>
    <mergeCell ref="C2:D2"/>
    <mergeCell ref="E2:F2"/>
    <mergeCell ref="G2:H2"/>
    <mergeCell ref="I2:J2"/>
    <mergeCell ref="K2:L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J2"/>
  <sheetViews>
    <sheetView workbookViewId="0">
      <selection activeCell="A2" sqref="A2"/>
    </sheetView>
  </sheetViews>
  <sheetFormatPr defaultColWidth="9.140625" defaultRowHeight="12"/>
  <cols>
    <col min="1" max="1" width="8.42578125" style="185" customWidth="1"/>
    <col min="2" max="2" width="9.42578125" style="185" bestFit="1" customWidth="1"/>
    <col min="3" max="3" width="9.140625" style="185" bestFit="1" customWidth="1"/>
    <col min="4" max="4" width="13.42578125" style="189" bestFit="1" customWidth="1"/>
    <col min="5" max="5" width="13.140625" style="189" customWidth="1"/>
    <col min="6" max="7" width="13.42578125" style="189" bestFit="1" customWidth="1"/>
    <col min="8" max="8" width="13.85546875" style="189" bestFit="1" customWidth="1"/>
    <col min="9" max="9" width="12.85546875" style="189" bestFit="1" customWidth="1"/>
    <col min="10" max="10" width="14.140625" style="189" bestFit="1" customWidth="1"/>
    <col min="11" max="16384" width="9.140625" style="185"/>
  </cols>
  <sheetData>
    <row r="1" spans="1:10" ht="24">
      <c r="A1" s="183" t="s">
        <v>215</v>
      </c>
      <c r="B1" s="183" t="s">
        <v>114</v>
      </c>
      <c r="C1" s="183" t="s">
        <v>216</v>
      </c>
      <c r="D1" s="184" t="s">
        <v>217</v>
      </c>
      <c r="E1" s="184" t="s">
        <v>218</v>
      </c>
      <c r="F1" s="184" t="s">
        <v>219</v>
      </c>
      <c r="G1" s="184" t="s">
        <v>220</v>
      </c>
      <c r="H1" s="184" t="s">
        <v>221</v>
      </c>
      <c r="I1" s="184" t="s">
        <v>222</v>
      </c>
      <c r="J1" s="184" t="s">
        <v>223</v>
      </c>
    </row>
    <row r="2" spans="1:10" s="188" customFormat="1">
      <c r="A2" s="186" t="s">
        <v>115</v>
      </c>
      <c r="B2" s="187" t="s">
        <v>116</v>
      </c>
      <c r="C2" s="187" t="s">
        <v>117</v>
      </c>
      <c r="D2" s="187" t="s">
        <v>118</v>
      </c>
      <c r="E2" s="187" t="s">
        <v>119</v>
      </c>
      <c r="F2" s="187" t="s">
        <v>120</v>
      </c>
      <c r="G2" s="187" t="s">
        <v>121</v>
      </c>
      <c r="H2" s="187" t="s">
        <v>122</v>
      </c>
      <c r="I2" s="187" t="s">
        <v>123</v>
      </c>
      <c r="J2" s="187" t="s">
        <v>124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dimension ref="A1:B3"/>
  <sheetViews>
    <sheetView workbookViewId="0">
      <selection activeCell="C11" sqref="C11"/>
    </sheetView>
  </sheetViews>
  <sheetFormatPr defaultRowHeight="15"/>
  <cols>
    <col min="1" max="1" width="14.85546875" bestFit="1" customWidth="1"/>
    <col min="2" max="2" width="13" customWidth="1"/>
    <col min="3" max="3" width="13.42578125" customWidth="1"/>
  </cols>
  <sheetData>
    <row r="1" spans="1:2" ht="26.25">
      <c r="A1" s="205" t="s">
        <v>237</v>
      </c>
      <c r="B1" s="206" t="s">
        <v>236</v>
      </c>
    </row>
    <row r="2" spans="1:2" ht="26.25">
      <c r="A2" s="205" t="s">
        <v>238</v>
      </c>
      <c r="B2" s="206" t="s">
        <v>239</v>
      </c>
    </row>
    <row r="3" spans="1:2" ht="26.25">
      <c r="A3" s="205" t="s">
        <v>241</v>
      </c>
      <c r="B3" s="207" t="s">
        <v>240</v>
      </c>
    </row>
  </sheetData>
  <hyperlinks>
    <hyperlink ref="B1" r:id="rId1"/>
    <hyperlink ref="B2" r:id="rId2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dimension ref="A1:D3"/>
  <sheetViews>
    <sheetView workbookViewId="0">
      <selection activeCell="A4" sqref="A4:C16"/>
    </sheetView>
  </sheetViews>
  <sheetFormatPr defaultRowHeight="15"/>
  <cols>
    <col min="1" max="1" width="9.42578125" style="199" bestFit="1" customWidth="1"/>
    <col min="2" max="2" width="14.85546875" style="199" bestFit="1" customWidth="1"/>
    <col min="3" max="3" width="11.5703125" style="199" bestFit="1" customWidth="1"/>
  </cols>
  <sheetData>
    <row r="1" spans="1:4">
      <c r="A1" s="199" t="s">
        <v>128</v>
      </c>
      <c r="B1" s="307" t="s">
        <v>129</v>
      </c>
      <c r="C1" s="308"/>
      <c r="D1" t="s">
        <v>130</v>
      </c>
    </row>
    <row r="2" spans="1:4">
      <c r="A2" s="199" t="s">
        <v>131</v>
      </c>
      <c r="B2" s="199" t="s">
        <v>132</v>
      </c>
      <c r="C2" s="199" t="s">
        <v>133</v>
      </c>
    </row>
    <row r="3" spans="1:4">
      <c r="A3" s="199" t="s">
        <v>134</v>
      </c>
      <c r="B3" s="199" t="s">
        <v>135</v>
      </c>
      <c r="C3" s="199" t="s">
        <v>136</v>
      </c>
    </row>
  </sheetData>
  <mergeCells count="1">
    <mergeCell ref="B1:C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Vach</vt:lpstr>
      <vt:lpstr>Cot</vt:lpstr>
      <vt:lpstr>Dam</vt:lpstr>
      <vt:lpstr>save_info</vt:lpstr>
      <vt:lpstr>Thong_ke</vt:lpstr>
      <vt:lpstr>To_hop_thep</vt:lpstr>
      <vt:lpstr>Kho_thep</vt:lpstr>
      <vt:lpstr>Kata_QS</vt:lpstr>
      <vt:lpstr>Contact Information</vt:lpstr>
      <vt:lpstr>Gan_tag_block</vt:lpstr>
      <vt:lpstr>To_hop_thep!Print_Area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HT</dc:creator>
  <cp:lastModifiedBy>Kata</cp:lastModifiedBy>
  <cp:lastPrinted>2015-11-07T04:35:55Z</cp:lastPrinted>
  <dcterms:created xsi:type="dcterms:W3CDTF">2011-07-20T16:59:14Z</dcterms:created>
  <dcterms:modified xsi:type="dcterms:W3CDTF">2020-12-15T04:42:32Z</dcterms:modified>
</cp:coreProperties>
</file>