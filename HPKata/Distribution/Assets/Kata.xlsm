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R-HP03\Desktop\Katapro 3D.7.1\"/>
    </mc:Choice>
  </mc:AlternateContent>
  <xr:revisionPtr revIDLastSave="0" documentId="13_ncr:1_{52F39D09-62D4-46FB-B643-56ECCD16C8D7}" xr6:coauthVersionLast="47" xr6:coauthVersionMax="47" xr10:uidLastSave="{00000000-0000-0000-0000-000000000000}"/>
  <bookViews>
    <workbookView xWindow="-120" yWindow="-120" windowWidth="29040" windowHeight="15720" firstSheet="1" activeTab="2" xr2:uid="{00000000-000D-0000-FFFF-FFFF00000000}"/>
  </bookViews>
  <sheets>
    <sheet name="Vach" sheetId="8" r:id="rId1"/>
    <sheet name="Cot" sheetId="1" r:id="rId2"/>
    <sheet name="Dam" sheetId="4" r:id="rId3"/>
    <sheet name="ThepDamAllMBKC" sheetId="20" r:id="rId4"/>
    <sheet name="save_info" sheetId="3" r:id="rId5"/>
    <sheet name="Thong_ke" sheetId="5" r:id="rId6"/>
    <sheet name="Thong_ke_QS" sheetId="16" r:id="rId7"/>
    <sheet name="To_hop_thep" sheetId="7" r:id="rId8"/>
    <sheet name="Kho_thep" sheetId="11" r:id="rId9"/>
    <sheet name="Kata_QS" sheetId="9" r:id="rId10"/>
    <sheet name="BEAM DESIGN" sheetId="12" r:id="rId11"/>
    <sheet name="SLAB DESIGN" sheetId="17" r:id="rId12"/>
    <sheet name="In_tem_thep" sheetId="15" r:id="rId13"/>
    <sheet name="Data" sheetId="14" state="hidden" r:id="rId14"/>
    <sheet name="Gan_tag_block" sheetId="10" state="hidden" r:id="rId15"/>
  </sheets>
  <functionGroups builtInGroupCount="19"/>
  <externalReferences>
    <externalReference r:id="rId16"/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____________PA3" localSheetId="14" hidden="1">{"'Sheet1'!$L$16"}</definedName>
    <definedName name="_____________PA3" localSheetId="3" hidden="1">{"'Sheet1'!$L$16"}</definedName>
    <definedName name="_____________PA3" localSheetId="6" hidden="1">{"'Sheet1'!$L$16"}</definedName>
    <definedName name="_____________PA3" hidden="1">{"'Sheet1'!$L$16"}</definedName>
    <definedName name="___________PA3" localSheetId="14" hidden="1">{"'Sheet1'!$L$16"}</definedName>
    <definedName name="___________PA3" localSheetId="3" hidden="1">{"'Sheet1'!$L$16"}</definedName>
    <definedName name="___________PA3" localSheetId="6" hidden="1">{"'Sheet1'!$L$16"}</definedName>
    <definedName name="___________PA3" hidden="1">{"'Sheet1'!$L$16"}</definedName>
    <definedName name="_________a1" localSheetId="14" hidden="1">{"'Sheet1'!$L$16"}</definedName>
    <definedName name="_________a1" localSheetId="3" hidden="1">{"'Sheet1'!$L$16"}</definedName>
    <definedName name="_________a1" localSheetId="6" hidden="1">{"'Sheet1'!$L$16"}</definedName>
    <definedName name="_________a1" hidden="1">{"'Sheet1'!$L$16"}</definedName>
    <definedName name="_________PA3" localSheetId="14" hidden="1">{"'Sheet1'!$L$16"}</definedName>
    <definedName name="_________PA3" localSheetId="3" hidden="1">{"'Sheet1'!$L$16"}</definedName>
    <definedName name="_________PA3" localSheetId="6" hidden="1">{"'Sheet1'!$L$16"}</definedName>
    <definedName name="_________PA3" hidden="1">{"'Sheet1'!$L$16"}</definedName>
    <definedName name="________CN1" localSheetId="14" hidden="1">{"'Sheet1'!$L$16"}</definedName>
    <definedName name="________CN1" localSheetId="3" hidden="1">{"'Sheet1'!$L$16"}</definedName>
    <definedName name="________CN1" localSheetId="6" hidden="1">{"'Sheet1'!$L$16"}</definedName>
    <definedName name="________CN1" hidden="1">{"'Sheet1'!$L$16"}</definedName>
    <definedName name="_______a1" localSheetId="14" hidden="1">{"'Sheet1'!$L$16"}</definedName>
    <definedName name="_______a1" localSheetId="3" hidden="1">{"'Sheet1'!$L$16"}</definedName>
    <definedName name="_______a1" localSheetId="6" hidden="1">{"'Sheet1'!$L$16"}</definedName>
    <definedName name="_______a1" hidden="1">{"'Sheet1'!$L$16"}</definedName>
    <definedName name="_______BG12" localSheetId="14" hidden="1">{"'Sheet1'!$L$16"}</definedName>
    <definedName name="_______BG12" localSheetId="3" hidden="1">{"'Sheet1'!$L$16"}</definedName>
    <definedName name="_______BG12" localSheetId="6" hidden="1">{"'Sheet1'!$L$16"}</definedName>
    <definedName name="_______BG12" hidden="1">{"'Sheet1'!$L$16"}</definedName>
    <definedName name="_______PA3" localSheetId="14" hidden="1">{"'Sheet1'!$L$16"}</definedName>
    <definedName name="_______PA3" localSheetId="3" hidden="1">{"'Sheet1'!$L$16"}</definedName>
    <definedName name="_______PA3" localSheetId="6" hidden="1">{"'Sheet1'!$L$16"}</definedName>
    <definedName name="_______PA3" hidden="1">{"'Sheet1'!$L$16"}</definedName>
    <definedName name="______a1" localSheetId="14" hidden="1">{"'Sheet1'!$L$16"}</definedName>
    <definedName name="______a1" localSheetId="3" hidden="1">{"'Sheet1'!$L$16"}</definedName>
    <definedName name="______a1" localSheetId="6" hidden="1">{"'Sheet1'!$L$16"}</definedName>
    <definedName name="______a1" hidden="1">{"'Sheet1'!$L$16"}</definedName>
    <definedName name="______CN1" localSheetId="14" hidden="1">{"'Sheet1'!$L$16"}</definedName>
    <definedName name="______CN1" localSheetId="3" hidden="1">{"'Sheet1'!$L$16"}</definedName>
    <definedName name="______CN1" localSheetId="6" hidden="1">{"'Sheet1'!$L$16"}</definedName>
    <definedName name="______CN1" hidden="1">{"'Sheet1'!$L$16"}</definedName>
    <definedName name="______xlfn.BAHTTEXT" hidden="1">#NAME?</definedName>
    <definedName name="_____a1" localSheetId="14" hidden="1">{"'Sheet1'!$L$16"}</definedName>
    <definedName name="_____a1" localSheetId="3" hidden="1">{"'Sheet1'!$L$16"}</definedName>
    <definedName name="_____a1" localSheetId="6" hidden="1">{"'Sheet1'!$L$16"}</definedName>
    <definedName name="_____a1" hidden="1">{"'Sheet1'!$L$16"}</definedName>
    <definedName name="_____BG12" localSheetId="14" hidden="1">{"'Sheet1'!$L$16"}</definedName>
    <definedName name="_____BG12" localSheetId="3" hidden="1">{"'Sheet1'!$L$16"}</definedName>
    <definedName name="_____BG12" localSheetId="6" hidden="1">{"'Sheet1'!$L$16"}</definedName>
    <definedName name="_____BG12" hidden="1">{"'Sheet1'!$L$16"}</definedName>
    <definedName name="_____CN1" localSheetId="14" hidden="1">{"'Sheet1'!$L$16"}</definedName>
    <definedName name="_____CN1" localSheetId="3" hidden="1">{"'Sheet1'!$L$16"}</definedName>
    <definedName name="_____CN1" localSheetId="6" hidden="1">{"'Sheet1'!$L$16"}</definedName>
    <definedName name="_____CN1" hidden="1">{"'Sheet1'!$L$16"}</definedName>
    <definedName name="_____PA3" localSheetId="14" hidden="1">{"'Sheet1'!$L$16"}</definedName>
    <definedName name="_____PA3" localSheetId="3" hidden="1">{"'Sheet1'!$L$16"}</definedName>
    <definedName name="_____PA3" localSheetId="6" hidden="1">{"'Sheet1'!$L$16"}</definedName>
    <definedName name="_____PA3" hidden="1">{"'Sheet1'!$L$16"}</definedName>
    <definedName name="_____xlfn.BAHTTEXT" hidden="1">#NAME?</definedName>
    <definedName name="____BG12" localSheetId="14" hidden="1">{"'Sheet1'!$L$16"}</definedName>
    <definedName name="____BG12" localSheetId="3" hidden="1">{"'Sheet1'!$L$16"}</definedName>
    <definedName name="____BG12" localSheetId="6" hidden="1">{"'Sheet1'!$L$16"}</definedName>
    <definedName name="____BG12" hidden="1">{"'Sheet1'!$L$16"}</definedName>
    <definedName name="____Goi8" localSheetId="14" hidden="1">{"'Sheet1'!$L$16"}</definedName>
    <definedName name="____Goi8" localSheetId="3" hidden="1">{"'Sheet1'!$L$16"}</definedName>
    <definedName name="____Goi8" localSheetId="6" hidden="1">{"'Sheet1'!$L$16"}</definedName>
    <definedName name="____Goi8" hidden="1">{"'Sheet1'!$L$16"}</definedName>
    <definedName name="____xlfn.BAHTTEXT" hidden="1">#NAME?</definedName>
    <definedName name="___a1" localSheetId="14" hidden="1">{"'Sheet1'!$L$16"}</definedName>
    <definedName name="___a1" localSheetId="3" hidden="1">{"'Sheet1'!$L$16"}</definedName>
    <definedName name="___a1" localSheetId="6" hidden="1">{"'Sheet1'!$L$16"}</definedName>
    <definedName name="___a1" hidden="1">{"'Sheet1'!$L$16"}</definedName>
    <definedName name="___CN1" localSheetId="14" hidden="1">{"'Sheet1'!$L$16"}</definedName>
    <definedName name="___CN1" localSheetId="3" hidden="1">{"'Sheet1'!$L$16"}</definedName>
    <definedName name="___CN1" localSheetId="6" hidden="1">{"'Sheet1'!$L$16"}</definedName>
    <definedName name="___CN1" hidden="1">{"'Sheet1'!$L$16"}</definedName>
    <definedName name="___PA3" localSheetId="14" hidden="1">{"'Sheet1'!$L$16"}</definedName>
    <definedName name="___PA3" localSheetId="3" hidden="1">{"'Sheet1'!$L$16"}</definedName>
    <definedName name="___PA3" localSheetId="6" hidden="1">{"'Sheet1'!$L$16"}</definedName>
    <definedName name="___PA3" hidden="1">{"'Sheet1'!$L$16"}</definedName>
    <definedName name="___xlfn.BAHTTEXT" hidden="1">#NAME?</definedName>
    <definedName name="__123Graph_A" hidden="1">[1]Earthwork!#REF!</definedName>
    <definedName name="__123Graph_A120.CGM" hidden="1">[1]Earthwork!#REF!</definedName>
    <definedName name="__123Graph_A150.CGM" hidden="1">[1]Earthwork!#REF!</definedName>
    <definedName name="__123Graph_A180.CGM" hidden="1">[1]Earthwork!#REF!</definedName>
    <definedName name="__123Graph_A210.CGM" hidden="1">[1]Earthwork!#REF!</definedName>
    <definedName name="__123Graph_A240.CGM" hidden="1">[1]Earthwork!#REF!</definedName>
    <definedName name="__123Graph_A270.CGM" hidden="1">[1]Earthwork!#REF!</definedName>
    <definedName name="__123Graph_A300.CGM" hidden="1">[1]Earthwork!#REF!</definedName>
    <definedName name="__123Graph_A60.CGN" hidden="1">[1]Earthwork!#REF!</definedName>
    <definedName name="__123Graph_A90.CGM" hidden="1">[1]Earthwork!#REF!</definedName>
    <definedName name="__123Graph_B" hidden="1">[1]Earthwork!#REF!</definedName>
    <definedName name="__123Graph_B120.CGM" hidden="1">[1]Earthwork!#REF!</definedName>
    <definedName name="__123Graph_B150.CGM" hidden="1">[1]Earthwork!#REF!</definedName>
    <definedName name="__123Graph_B180.CGM" hidden="1">[1]Earthwork!#REF!</definedName>
    <definedName name="__123Graph_B210.CGM" hidden="1">[1]Earthwork!#REF!</definedName>
    <definedName name="__123Graph_B240.CGM" hidden="1">[1]Earthwork!#REF!</definedName>
    <definedName name="__123Graph_B270.CGM" hidden="1">[1]Earthwork!#REF!</definedName>
    <definedName name="__123Graph_B300.CGM" hidden="1">[1]Earthwork!#REF!</definedName>
    <definedName name="__123Graph_B60.CGN" hidden="1">[1]Earthwork!#REF!</definedName>
    <definedName name="__123Graph_B90.CGM" hidden="1">[1]Earthwork!#REF!</definedName>
    <definedName name="__123Graph_D" hidden="1">'[2]RAB AR&amp;STR'!#REF!</definedName>
    <definedName name="__123Graph_LBL_A" hidden="1">[1]Earthwork!#REF!</definedName>
    <definedName name="__123Graph_LBL_A120.CGM" hidden="1">[1]Earthwork!#REF!</definedName>
    <definedName name="__123Graph_LBL_A150.CGM" hidden="1">[1]Earthwork!#REF!</definedName>
    <definedName name="__123Graph_LBL_A180.CGM" hidden="1">[1]Earthwork!#REF!</definedName>
    <definedName name="__123Graph_LBL_A210.CGM" hidden="1">[1]Earthwork!#REF!</definedName>
    <definedName name="__123Graph_LBL_A240.CGM" hidden="1">[1]Earthwork!#REF!</definedName>
    <definedName name="__123Graph_LBL_A270.CGM" hidden="1">[1]Earthwork!#REF!</definedName>
    <definedName name="__123Graph_LBL_A300.CGM" hidden="1">[1]Earthwork!#REF!</definedName>
    <definedName name="__123Graph_LBL_A60.CGN" hidden="1">[1]Earthwork!#REF!</definedName>
    <definedName name="__123Graph_LBL_A90.CGM" hidden="1">[1]Earthwork!#REF!</definedName>
    <definedName name="__123Graph_X" hidden="1">[1]Earthwork!#REF!</definedName>
    <definedName name="__123Graph_X120.CGM" hidden="1">[1]Earthwork!#REF!</definedName>
    <definedName name="__123Graph_X150.CGM" hidden="1">[1]Earthwork!#REF!</definedName>
    <definedName name="__123Graph_X180.CGM" hidden="1">[1]Earthwork!#REF!</definedName>
    <definedName name="__123Graph_X210.CGM" hidden="1">[1]Earthwork!#REF!</definedName>
    <definedName name="__123Graph_X240.CGM" hidden="1">[1]Earthwork!#REF!</definedName>
    <definedName name="__123Graph_X270.CGM" hidden="1">[1]Earthwork!#REF!</definedName>
    <definedName name="__123Graph_X300.CGM" hidden="1">[1]Earthwork!#REF!</definedName>
    <definedName name="__123Graph_X60.CGN" hidden="1">[1]Earthwork!#REF!</definedName>
    <definedName name="__123Graph_X90.CGM" hidden="1">[1]Earthwork!#REF!</definedName>
    <definedName name="__BG12" localSheetId="14" hidden="1">{"'Sheet1'!$L$16"}</definedName>
    <definedName name="__BG12" localSheetId="3" hidden="1">{"'Sheet1'!$L$16"}</definedName>
    <definedName name="__BG12" localSheetId="6" hidden="1">{"'Sheet1'!$L$16"}</definedName>
    <definedName name="__BG12" hidden="1">{"'Sheet1'!$L$16"}</definedName>
    <definedName name="__CN1" localSheetId="14" hidden="1">{"'Sheet1'!$L$16"}</definedName>
    <definedName name="__CN1" localSheetId="3" hidden="1">{"'Sheet1'!$L$16"}</definedName>
    <definedName name="__CN1" localSheetId="6" hidden="1">{"'Sheet1'!$L$16"}</definedName>
    <definedName name="__CN1" hidden="1">{"'Sheet1'!$L$16"}</definedName>
    <definedName name="__Goi8" localSheetId="14" hidden="1">{"'Sheet1'!$L$16"}</definedName>
    <definedName name="__Goi8" localSheetId="3" hidden="1">{"'Sheet1'!$L$16"}</definedName>
    <definedName name="__Goi8" localSheetId="6" hidden="1">{"'Sheet1'!$L$16"}</definedName>
    <definedName name="__Goi8" hidden="1">{"'Sheet1'!$L$16"}</definedName>
    <definedName name="__PA3" localSheetId="14" hidden="1">{"'Sheet1'!$L$16"}</definedName>
    <definedName name="__PA3" localSheetId="3" hidden="1">{"'Sheet1'!$L$16"}</definedName>
    <definedName name="__PA3" localSheetId="6" hidden="1">{"'Sheet1'!$L$16"}</definedName>
    <definedName name="__PA3" hidden="1">{"'Sheet1'!$L$16"}</definedName>
    <definedName name="__xlfn.BAHTTEXT" hidden="1">#NAME?</definedName>
    <definedName name="_100__123Graph_Xｸﾞﾗﾌ_3" hidden="1">#REF!</definedName>
    <definedName name="_103__123Graph_X????_4" hidden="1">#REF!</definedName>
    <definedName name="_103__123Graph_Xｸﾞﾗﾌ_5" hidden="1">#REF!</definedName>
    <definedName name="_106__123Graph_Xｸﾞﾗﾌ_4" hidden="1">#REF!</definedName>
    <definedName name="_108__123Graph_X????_5" hidden="1">#REF!</definedName>
    <definedName name="_112__123Graph_Xｸﾞﾗﾌ_5" hidden="1">#REF!</definedName>
    <definedName name="_116__123Graph_Xｸﾞﾗﾌ_1" hidden="1">#REF!</definedName>
    <definedName name="_12__123Graph_A????_2" hidden="1">#REF!</definedName>
    <definedName name="_124__123Graph_Xｸﾞﾗﾌ_2" hidden="1">#REF!</definedName>
    <definedName name="_132__123Graph_Xｸﾞﾗﾌ_3" hidden="1">#REF!</definedName>
    <definedName name="_140__123Graph_Xｸﾞﾗﾌ_4" hidden="1">#REF!</definedName>
    <definedName name="_148__123Graph_Xｸﾞﾗﾌ_5" hidden="1">#REF!</definedName>
    <definedName name="_17__123Graph_A????_1" hidden="1">#REF!</definedName>
    <definedName name="_17__123Graph_A????_3" hidden="1">#REF!</definedName>
    <definedName name="_21__123Graph_A????_2" hidden="1">#REF!</definedName>
    <definedName name="_22__123Graph_A????_4" hidden="1">#REF!</definedName>
    <definedName name="_23__123Graph_A????_1" hidden="1">#REF!</definedName>
    <definedName name="_25__123Graph_A????_3" hidden="1">#REF!</definedName>
    <definedName name="_27__123Graph_A????_5" hidden="1">#REF!</definedName>
    <definedName name="_28__123Graph_A????_2" hidden="1">#REF!</definedName>
    <definedName name="_29__123Graph_A????_4" hidden="1">#REF!</definedName>
    <definedName name="_33__123Graph_A????_3" hidden="1">#REF!</definedName>
    <definedName name="_33__123Graph_A????_5" hidden="1">#REF!</definedName>
    <definedName name="_33__123Graph_Aｸﾞﾗﾌ_1" hidden="1">#REF!</definedName>
    <definedName name="_38__123Graph_A????_4" hidden="1">#REF!</definedName>
    <definedName name="_38__123Graph_Aｸﾞﾗﾌ_1" hidden="1">#REF!</definedName>
    <definedName name="_39__123Graph_Aｸﾞﾗﾌ_2" hidden="1">#REF!</definedName>
    <definedName name="_43__123Graph_A????_5" hidden="1">#REF!</definedName>
    <definedName name="_43__123Graph_Aｸﾞﾗﾌ_2" hidden="1">#REF!</definedName>
    <definedName name="_45__123Graph_Aｸﾞﾗﾌ_3" hidden="1">#REF!</definedName>
    <definedName name="_48__123Graph_Aｸﾞﾗﾌ_3" hidden="1">#REF!</definedName>
    <definedName name="_51__123Graph_Aｸﾞﾗﾌ_1" hidden="1">#REF!</definedName>
    <definedName name="_51__123Graph_Aｸﾞﾗﾌ_4" hidden="1">#REF!</definedName>
    <definedName name="_53__123Graph_Aｸﾞﾗﾌ_4" hidden="1">#REF!</definedName>
    <definedName name="_57__123Graph_Aｸﾞﾗﾌ_5" hidden="1">#REF!</definedName>
    <definedName name="_58__123Graph_Aｸﾞﾗﾌ_5" hidden="1">#REF!</definedName>
    <definedName name="_59__123Graph_Aｸﾞﾗﾌ_2" hidden="1">#REF!</definedName>
    <definedName name="_62__123Graph_X????_1" hidden="1">#REF!</definedName>
    <definedName name="_66__123Graph_X????_2" hidden="1">#REF!</definedName>
    <definedName name="_67__123Graph_Aｸﾞﾗﾌ_3" hidden="1">#REF!</definedName>
    <definedName name="_67__123Graph_X????_2" hidden="1">#REF!</definedName>
    <definedName name="_7__123Graph_A????_1" hidden="1">#REF!</definedName>
    <definedName name="_70__123Graph_X????_3" hidden="1">#REF!</definedName>
    <definedName name="_72__123Graph_X????_3" hidden="1">#REF!</definedName>
    <definedName name="_74__123Graph_X????_4" hidden="1">#REF!</definedName>
    <definedName name="_75__123Graph_Aｸﾞﾗﾌ_4" hidden="1">#REF!</definedName>
    <definedName name="_77__123Graph_X????_4" hidden="1">#REF!</definedName>
    <definedName name="_78__123Graph_X????_5" hidden="1">#REF!</definedName>
    <definedName name="_82__123Graph_X????_5" hidden="1">#REF!</definedName>
    <definedName name="_83__123Graph_Aｸﾞﾗﾌ_5" hidden="1">#REF!</definedName>
    <definedName name="_83__123Graph_Xｸﾞﾗﾌ_1" hidden="1">#REF!</definedName>
    <definedName name="_88__123Graph_X????_1" hidden="1">#REF!</definedName>
    <definedName name="_88__123Graph_Xｸﾞﾗﾌ_1" hidden="1">#REF!</definedName>
    <definedName name="_88__123Graph_Xｸﾞﾗﾌ_2" hidden="1">#REF!</definedName>
    <definedName name="_93__123Graph_X????_2" hidden="1">#REF!</definedName>
    <definedName name="_93__123Graph_Xｸﾞﾗﾌ_3" hidden="1">#REF!</definedName>
    <definedName name="_94__123Graph_Xｸﾞﾗﾌ_2" hidden="1">#REF!</definedName>
    <definedName name="_98__123Graph_X????_3" hidden="1">#REF!</definedName>
    <definedName name="_98__123Graph_Xｸﾞﾗﾌ_4" hidden="1">#REF!</definedName>
    <definedName name="_a1" localSheetId="14" hidden="1">{"'Sheet1'!$L$16"}</definedName>
    <definedName name="_a1" localSheetId="3" hidden="1">{"'Sheet1'!$L$16"}</definedName>
    <definedName name="_a1" localSheetId="6" hidden="1">{"'Sheet1'!$L$16"}</definedName>
    <definedName name="_a1" hidden="1">{"'Sheet1'!$L$16"}</definedName>
    <definedName name="_Builtin155" hidden="1">#N/A</definedName>
    <definedName name="_Fill" hidden="1">#REF!</definedName>
    <definedName name="_Fill1" hidden="1">#REF!</definedName>
    <definedName name="_xlnm._FilterDatabase" localSheetId="11" hidden="1">'SLAB DESIGN'!$C$21:$L$28</definedName>
    <definedName name="_xlnm._FilterDatabase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PA3" localSheetId="14" hidden="1">{"'Sheet1'!$L$16"}</definedName>
    <definedName name="_PA3" localSheetId="3" hidden="1">{"'Sheet1'!$L$16"}</definedName>
    <definedName name="_PA3" localSheetId="6" hidden="1">{"'Sheet1'!$L$16"}</definedName>
    <definedName name="_PA3" hidden="1">{"'Sheet1'!$L$16"}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Out" hidden="1">#REF!</definedName>
    <definedName name="AccessDatabase" hidden="1">"C:\My Documents\tippaporn\MAT PRICE.mdb"</definedName>
    <definedName name="AD" hidden="1">#REF!</definedName>
    <definedName name="adaiSlab">[3]DATA!$J$37</definedName>
    <definedName name="adsadsa" localSheetId="14" hidden="1">{#N/A,#N/A,TRUE,"CS&amp;SS(AG)";#N/A,#N/A,TRUE,"CS(UG)";#N/A,#N/A,TRUE,"CSCL(UG)";#N/A,#N/A,TRUE,"KYNAR";#N/A,#N/A,TRUE,"ALLOY904";#N/A,#N/A,TRUE,"TITANIUM";#N/A,#N/A,TRUE,"STMTRACE"}</definedName>
    <definedName name="adsadsa" localSheetId="3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nscount" hidden="1">1</definedName>
    <definedName name="AS" hidden="1">#REF!</definedName>
    <definedName name="assss" hidden="1">[1]Earthwork!#REF!</definedName>
    <definedName name="ATGT" localSheetId="14" hidden="1">{"'Sheet1'!$L$16"}</definedName>
    <definedName name="ATGT" localSheetId="3" hidden="1">{"'Sheet1'!$L$16"}</definedName>
    <definedName name="ATGT" localSheetId="6" hidden="1">{"'Sheet1'!$L$16"}</definedName>
    <definedName name="ATGT" hidden="1">{"'Sheet1'!$L$16"}</definedName>
    <definedName name="b" localSheetId="2">[4]Cot!$AJ$2</definedName>
    <definedName name="b" localSheetId="4">[4]Cot!$AJ$2</definedName>
    <definedName name="b">[5]Cot!$AK$2</definedName>
    <definedName name="BANCHOR">[6]DATA!$I$25:$J$38</definedName>
    <definedName name="BARTIE">[6]DATA!$A$45:$A$57</definedName>
    <definedName name="BartypeSlab">[3]DATA!$B$36:$B$50</definedName>
    <definedName name="BBB" localSheetId="14" hidden="1">{"'Sheet1'!$L$16"}</definedName>
    <definedName name="BBB" localSheetId="3" hidden="1">{"'Sheet1'!$L$16"}</definedName>
    <definedName name="BBB" localSheetId="6" hidden="1">{"'Sheet1'!$L$16"}</definedName>
    <definedName name="BBB" hidden="1">{"'Sheet1'!$L$16"}</definedName>
    <definedName name="BETONG">[6]DATA!$C$45:$C$49</definedName>
    <definedName name="bg" localSheetId="14" hidden="1">{"'Sheet1'!$L$16"}</definedName>
    <definedName name="bg" localSheetId="3" hidden="1">{"'Sheet1'!$L$16"}</definedName>
    <definedName name="bg" localSheetId="6" hidden="1">{"'Sheet1'!$L$16"}</definedName>
    <definedName name="bg" hidden="1">{"'Sheet1'!$L$16"}</definedName>
    <definedName name="BIGC" localSheetId="14" hidden="1">{#N/A,#N/A,TRUE,"Str.";#N/A,#N/A,TRUE,"Steel &amp; Roof";#N/A,#N/A,TRUE,"Arc.";#N/A,#N/A,TRUE,"Preliminary";#N/A,#N/A,TRUE,"Sum_Prelim"}</definedName>
    <definedName name="BIGC" localSheetId="3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t_san">[6]DATA!$E$80</definedName>
    <definedName name="BTL">[6]DATA!$E$63</definedName>
    <definedName name="CĐTN">[6]DATA!$E$61</definedName>
    <definedName name="COPPHA">[6]DATA!$E$45:$E$57</definedName>
    <definedName name="COTTHEP">[6]DATA!$G$45:$G$57</definedName>
    <definedName name="cp_day">[6]DATA!$E$79</definedName>
    <definedName name="CPQL">'[7]3. KC - PODIUM'!$I$530</definedName>
    <definedName name="CTCT1" localSheetId="14" hidden="1">{"'Sheet1'!$L$16"}</definedName>
    <definedName name="CTCT1" localSheetId="3" hidden="1">{"'Sheet1'!$L$16"}</definedName>
    <definedName name="CTCT1" localSheetId="6" hidden="1">{"'Sheet1'!$L$16"}</definedName>
    <definedName name="CTCT1" hidden="1">{"'Sheet1'!$L$16"}</definedName>
    <definedName name="d" localSheetId="2">[4]Cot!$AJ$21</definedName>
    <definedName name="d" localSheetId="4">[4]Cot!$AJ$21</definedName>
    <definedName name="d">[5]Cot!$AK$21</definedName>
    <definedName name="Dam_BTCT">#REF!</definedName>
    <definedName name="dc" localSheetId="14" hidden="1">{"'Sheet1'!$L$16"}</definedName>
    <definedName name="dc" localSheetId="3" hidden="1">{"'Sheet1'!$L$16"}</definedName>
    <definedName name="dc" localSheetId="6" hidden="1">{"'Sheet1'!$L$16"}</definedName>
    <definedName name="dc" hidden="1">{"'Sheet1'!$L$16"}</definedName>
    <definedName name="ddc">[6]DATA!$D$8</definedName>
    <definedName name="ddd" localSheetId="14" hidden="1">{"'Sheet1'!$L$16"}</definedName>
    <definedName name="ddd" localSheetId="3" hidden="1">{"'Sheet1'!$L$16"}</definedName>
    <definedName name="ddd" localSheetId="6" hidden="1">{"'Sheet1'!$L$16"}</definedName>
    <definedName name="ddd" hidden="1">{"'Sheet1'!$L$16"}</definedName>
    <definedName name="dddd" localSheetId="14" hidden="1">{"'Sheet1'!$L$16"}</definedName>
    <definedName name="dddd" localSheetId="3" hidden="1">{"'Sheet1'!$L$16"}</definedName>
    <definedName name="dddd" localSheetId="6" hidden="1">{"'Sheet1'!$L$16"}</definedName>
    <definedName name="dddd" hidden="1">{"'Sheet1'!$L$16"}</definedName>
    <definedName name="DGG">#REF!</definedName>
    <definedName name="DiaSlab">[3]DATA!$C$36:$C$50</definedName>
    <definedName name="DN1_CT5" localSheetId="14" hidden="1">{"'Sheet1'!$L$16"}</definedName>
    <definedName name="DN1_CT5" localSheetId="3" hidden="1">{"'Sheet1'!$L$16"}</definedName>
    <definedName name="DN1_CT5" localSheetId="6" hidden="1">{"'Sheet1'!$L$16"}</definedName>
    <definedName name="DN1_CT5" hidden="1">{"'Sheet1'!$L$16"}</definedName>
    <definedName name="duc" localSheetId="14" hidden="1">{"'Sheet1'!$L$16"}</definedName>
    <definedName name="duc" localSheetId="3" hidden="1">{"'Sheet1'!$L$16"}</definedName>
    <definedName name="duc" localSheetId="6" hidden="1">{"'Sheet1'!$L$16"}</definedName>
    <definedName name="duc" hidden="1">{"'Sheet1'!$L$16"}</definedName>
    <definedName name="ff" hidden="1">#REF!</definedName>
    <definedName name="fgff" localSheetId="14" hidden="1">{#N/A,#N/A,TRUE,"SUM";#N/A,#N/A,TRUE,"EE";#N/A,#N/A,TRUE,"AC";#N/A,#N/A,TRUE,"SN"}</definedName>
    <definedName name="fgff" localSheetId="3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ILLL" hidden="1">#REF!</definedName>
    <definedName name="fo">[6]DATA!$B$15</definedName>
    <definedName name="gcb">[6]DATA!$E$84</definedName>
    <definedName name="gcdai">[6]DATA!$E$82</definedName>
    <definedName name="gcg">[6]DATA!$E$83</definedName>
    <definedName name="GH" hidden="1">#REF!</definedName>
    <definedName name="h" localSheetId="2">[4]Cot!$AJ$6</definedName>
    <definedName name="h" localSheetId="9" hidden="1">{"'Sheet1'!$L$16"}</definedName>
    <definedName name="h" localSheetId="4">[4]Cot!$AJ$6</definedName>
    <definedName name="h">[5]Cot!$AK$6</definedName>
    <definedName name="hanh" localSheetId="14" hidden="1">{"'Sheet1'!$L$16"}</definedName>
    <definedName name="hanh" localSheetId="3" hidden="1">{"'Sheet1'!$L$16"}</definedName>
    <definedName name="hanh" localSheetId="6" hidden="1">{"'Sheet1'!$L$16"}</definedName>
    <definedName name="hanh" hidden="1">{"'Sheet1'!$L$16"}</definedName>
    <definedName name="hb" localSheetId="14" hidden="1">{"'Sheet1'!$L$16"}</definedName>
    <definedName name="hb" localSheetId="3" hidden="1">{"'Sheet1'!$L$16"}</definedName>
    <definedName name="hb" localSheetId="6" hidden="1">{"'Sheet1'!$L$16"}</definedName>
    <definedName name="hb" hidden="1">{"'Sheet1'!$L$16"}</definedName>
    <definedName name="hfgsdf" localSheetId="14" hidden="1">{"'Sheet1'!$L$16"}</definedName>
    <definedName name="hfgsdf" localSheetId="3" hidden="1">{"'Sheet1'!$L$16"}</definedName>
    <definedName name="hfgsdf" localSheetId="6" hidden="1">{"'Sheet1'!$L$16"}</definedName>
    <definedName name="hfgsdf" hidden="1">{"'Sheet1'!$L$16"}</definedName>
    <definedName name="hhb" localSheetId="14" hidden="1">{"'Sheet1'!$L$16"}</definedName>
    <definedName name="hhb" localSheetId="3" hidden="1">{"'Sheet1'!$L$16"}</definedName>
    <definedName name="hhb" localSheetId="6" hidden="1">{"'Sheet1'!$L$16"}</definedName>
    <definedName name="hhb" hidden="1">{"'Sheet1'!$L$16"}</definedName>
    <definedName name="HS_NTP">#REF!</definedName>
    <definedName name="hskl">#REF!</definedName>
    <definedName name="HTML_CodePage" hidden="1">950</definedName>
    <definedName name="HTML_Control" localSheetId="14" hidden="1">{"'Sheet1'!$L$16"}</definedName>
    <definedName name="HTML_Control" localSheetId="3" hidden="1">{"'Sheet1'!$L$16"}</definedName>
    <definedName name="HTML_Control" localSheetId="6" hidden="1">{"'Sheet1'!$L$16"}</definedName>
    <definedName name="HTML_Control" hidden="1">{"'Sheet1'!$L$16"}</definedName>
    <definedName name="HTML_Control1" localSheetId="14" hidden="1">{"'Sheet1'!$L$16"}</definedName>
    <definedName name="HTML_Control1" localSheetId="3" hidden="1">{"'Sheet1'!$L$16"}</definedName>
    <definedName name="HTML_Control1" localSheetId="6" hidden="1">{"'Sheet1'!$L$16"}</definedName>
    <definedName name="HTML_Control1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localSheetId="14" hidden="1">{"'Sheet1'!$L$16"}</definedName>
    <definedName name="huy" localSheetId="3" hidden="1">{"'Sheet1'!$L$16"}</definedName>
    <definedName name="huy" localSheetId="6" hidden="1">{"'Sheet1'!$L$16"}</definedName>
    <definedName name="huy" hidden="1">{"'Sheet1'!$L$16"}</definedName>
    <definedName name="HUYØ" localSheetId="14" hidden="1">{"'Sheet1'!$L$16"}</definedName>
    <definedName name="HUYØ" localSheetId="3" hidden="1">{"'Sheet1'!$L$16"}</definedName>
    <definedName name="HUYØ" localSheetId="6" hidden="1">{"'Sheet1'!$L$16"}</definedName>
    <definedName name="HUYØ" hidden="1">{"'Sheet1'!$L$16"}</definedName>
    <definedName name="K_Taluy">[6]DATA!$E$68</definedName>
    <definedName name="KC_BTL">[6]DATA!$E$65</definedName>
    <definedName name="KC_Dao_DK">[6]DATA!$E$67</definedName>
    <definedName name="KC_Dao_M">[6]DATA!$E$66</definedName>
    <definedName name="kcbtr">[3]DATA!$N$85</definedName>
    <definedName name="kcgt">[3]DATA!$N$86</definedName>
    <definedName name="KNDAT_CHUA_SU_DUNG" hidden="1">#REF!</definedName>
    <definedName name="kyhieu">[6]DATA!$D$9</definedName>
    <definedName name="L1LBeam">[6]DATA!$E$81</definedName>
    <definedName name="L1Lco">[6]DATA!$E$89</definedName>
    <definedName name="LAP.A">[6]DATA!$C$25:$D$38</definedName>
    <definedName name="lap11m7">[6]DATA!$F$40</definedName>
    <definedName name="lapsan">[3]DATA!$J$41</definedName>
    <definedName name="loailk">[3]DATA!$M$36:$N$50</definedName>
    <definedName name="luan" localSheetId="14" hidden="1">{"'Sheet1'!$L$16"}</definedName>
    <definedName name="luan" localSheetId="3" hidden="1">{"'Sheet1'!$L$16"}</definedName>
    <definedName name="luan" localSheetId="6" hidden="1">{"'Sheet1'!$L$16"}</definedName>
    <definedName name="luan" hidden="1">{"'Sheet1'!$L$16"}</definedName>
    <definedName name="M10." localSheetId="14" hidden="1">{"'Sheet1'!$L$16"}</definedName>
    <definedName name="M10." localSheetId="3" hidden="1">{"'Sheet1'!$L$16"}</definedName>
    <definedName name="M10." localSheetId="6" hidden="1">{"'Sheet1'!$L$16"}</definedName>
    <definedName name="M10." hidden="1">{"'Sheet1'!$L$16"}</definedName>
    <definedName name="MASS">[3]DATA!$B$16:$C$29</definedName>
    <definedName name="MAU" localSheetId="14" hidden="1">{"'Sheet1'!$L$16"}</definedName>
    <definedName name="MAU" localSheetId="3" hidden="1">{"'Sheet1'!$L$16"}</definedName>
    <definedName name="MAU" localSheetId="6" hidden="1">{"'Sheet1'!$L$16"}</definedName>
    <definedName name="MAU" hidden="1">{"'Sheet1'!$L$16"}</definedName>
    <definedName name="n" hidden="1">#REF!</definedName>
    <definedName name="NC">#REF!</definedName>
    <definedName name="NC_NK">#REF!</definedName>
    <definedName name="NEW" localSheetId="14" hidden="1">{#N/A,#N/A,FALSE,"Chi tiÆt"}</definedName>
    <definedName name="NEW" localSheetId="3" hidden="1">{#N/A,#N/A,FALSE,"Chi tiÆt"}</definedName>
    <definedName name="NEW" localSheetId="6" hidden="1">{#N/A,#N/A,FALSE,"Chi tiÆt"}</definedName>
    <definedName name="NEW" hidden="1">{#N/A,#N/A,FALSE,"Chi tiÆt"}</definedName>
    <definedName name="NEWNAME" localSheetId="14" hidden="1">{#N/A,#N/A,FALSE,"CCTV"}</definedName>
    <definedName name="NEWNAME" localSheetId="3" hidden="1">{#N/A,#N/A,FALSE,"CCTV"}</definedName>
    <definedName name="NEWNAME" localSheetId="6" hidden="1">{#N/A,#N/A,FALSE,"CCTV"}</definedName>
    <definedName name="NEWNAME" hidden="1">{#N/A,#N/A,FALSE,"CCTV"}</definedName>
    <definedName name="ng">[6]DATA!$B$16</definedName>
    <definedName name="nharac" localSheetId="14" hidden="1">{#N/A,#N/A,FALSE,"Chi tiÆt"}</definedName>
    <definedName name="nharac" localSheetId="3" hidden="1">{#N/A,#N/A,FALSE,"Chi tiÆt"}</definedName>
    <definedName name="nharac" localSheetId="6" hidden="1">{#N/A,#N/A,FALSE,"Chi tiÆt"}</definedName>
    <definedName name="nharac" hidden="1">{#N/A,#N/A,FALSE,"Chi tiÆt"}</definedName>
    <definedName name="noichong">[3]DATA!$E$14</definedName>
    <definedName name="oa" hidden="1">#REF!</definedName>
    <definedName name="PAIII_" localSheetId="14" hidden="1">{"'Sheet1'!$L$16"}</definedName>
    <definedName name="PAIII_" localSheetId="3" hidden="1">{"'Sheet1'!$L$16"}</definedName>
    <definedName name="PAIII_" localSheetId="6" hidden="1">{"'Sheet1'!$L$16"}</definedName>
    <definedName name="PAIII_" hidden="1">{"'Sheet1'!$L$16"}</definedName>
    <definedName name="Pipe" localSheetId="14" hidden="1">{#N/A,#N/A,FALSE,"CCTV"}</definedName>
    <definedName name="Pipe" localSheetId="3" hidden="1">{#N/A,#N/A,FALSE,"CCTV"}</definedName>
    <definedName name="Pipe" localSheetId="6" hidden="1">{#N/A,#N/A,FALSE,"CCTV"}</definedName>
    <definedName name="Pipe" hidden="1">{#N/A,#N/A,FALSE,"CCTV"}</definedName>
    <definedName name="PMS" localSheetId="14" hidden="1">{"'Sheet1'!$L$16"}</definedName>
    <definedName name="PMS" localSheetId="3" hidden="1">{"'Sheet1'!$L$16"}</definedName>
    <definedName name="PMS" localSheetId="6" hidden="1">{"'Sheet1'!$L$16"}</definedName>
    <definedName name="PMS" hidden="1">{"'Sheet1'!$L$16"}</definedName>
    <definedName name="pp" localSheetId="14" hidden="1">{#N/A,#N/A,FALSE,"OUTPUT SHEET "}</definedName>
    <definedName name="pp" localSheetId="3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4" hidden="1">{"'Sheet1'!$L$16"}</definedName>
    <definedName name="PPPP" localSheetId="3" hidden="1">{"'Sheet1'!$L$16"}</definedName>
    <definedName name="PPPP" localSheetId="6" hidden="1">{"'Sheet1'!$L$16"}</definedName>
    <definedName name="PPPP" hidden="1">{"'Sheet1'!$L$16"}</definedName>
    <definedName name="_xlnm.Print_Area" localSheetId="10">'BEAM DESIGN'!$B$1:$AH$16</definedName>
    <definedName name="_xlnm.Print_Area" localSheetId="11">'SLAB DESIGN'!$B$1:$L$29</definedName>
    <definedName name="_xlnm.Print_Area" localSheetId="6">Thong_ke_QS!$A:$U</definedName>
    <definedName name="_xlnm.Print_Area" localSheetId="7">To_hop_thep!$B:$E</definedName>
    <definedName name="_xlnm.Print_Titles" localSheetId="10">'BEAM DESIGN'!$14:$16</definedName>
    <definedName name="_xlnm.Print_Titles" localSheetId="6">Thong_ke_QS!$5:$7</definedName>
    <definedName name="qd10_gt" localSheetId="14" hidden="1">{"'Sheet1'!$L$16"}</definedName>
    <definedName name="qd10_gt" localSheetId="3" hidden="1">{"'Sheet1'!$L$16"}</definedName>
    <definedName name="qd10_gt" localSheetId="6" hidden="1">{"'Sheet1'!$L$16"}</definedName>
    <definedName name="qd10_gt" hidden="1">{"'Sheet1'!$L$16"}</definedName>
    <definedName name="qwwqe" localSheetId="14" hidden="1">{"'Sheet1'!$L$16"}</definedName>
    <definedName name="qwwqe" localSheetId="3" hidden="1">{"'Sheet1'!$L$16"}</definedName>
    <definedName name="qwwqe" localSheetId="6" hidden="1">{"'Sheet1'!$L$16"}</definedName>
    <definedName name="qwwqe" hidden="1">{"'Sheet1'!$L$16"}</definedName>
    <definedName name="RHODIA" localSheetId="14" hidden="1">{"'DocTypeCode'!$A$142:$A$226"}</definedName>
    <definedName name="RHODIA" localSheetId="3" hidden="1">{"'DocTypeCode'!$A$142:$A$226"}</definedName>
    <definedName name="RHODIA" localSheetId="6" hidden="1">{"'DocTypeCode'!$A$142:$A$226"}</definedName>
    <definedName name="RHODIA" hidden="1">{"'DocTypeCode'!$A$142:$A$226"}</definedName>
    <definedName name="rrr" localSheetId="14" hidden="1">{"'Sheet1'!$L$16"}</definedName>
    <definedName name="rrr" localSheetId="3" hidden="1">{"'Sheet1'!$L$16"}</definedName>
    <definedName name="rrr" localSheetId="6" hidden="1">{"'Sheet1'!$L$16"}</definedName>
    <definedName name="rrr" hidden="1">{"'Sheet1'!$L$16"}</definedName>
    <definedName name="rtyrtyt" hidden="1">#REF!</definedName>
    <definedName name="rtytry" hidden="1">#REF!</definedName>
    <definedName name="sagawa" hidden="1">#REF!</definedName>
    <definedName name="SD" localSheetId="14" hidden="1">{"'ELEC'!$A$2:$H$216","'ELEC'!$C$2:$D$2"}</definedName>
    <definedName name="SD" localSheetId="3" hidden="1">{"'ELEC'!$A$2:$H$216","'ELEC'!$C$2:$D$2"}</definedName>
    <definedName name="SD" localSheetId="6" hidden="1">{"'ELEC'!$A$2:$H$216","'ELEC'!$C$2:$D$2"}</definedName>
    <definedName name="SD" hidden="1">{"'ELEC'!$A$2:$H$216","'ELEC'!$C$2:$D$2"}</definedName>
    <definedName name="sdd" localSheetId="14" hidden="1">{"'Sheet1'!$L$16"}</definedName>
    <definedName name="sdd" localSheetId="3" hidden="1">{"'Sheet1'!$L$16"}</definedName>
    <definedName name="sdd" localSheetId="6" hidden="1">{"'Sheet1'!$L$16"}</definedName>
    <definedName name="sdd" hidden="1">{"'Sheet1'!$L$16"}</definedName>
    <definedName name="sdf" localSheetId="14" hidden="1">{"'Sheet1'!$L$16"}</definedName>
    <definedName name="sdf" localSheetId="3" hidden="1">{"'Sheet1'!$L$16"}</definedName>
    <definedName name="sdf" localSheetId="6" hidden="1">{"'Sheet1'!$L$16"}</definedName>
    <definedName name="sdf" hidden="1">{"'Sheet1'!$L$16"}</definedName>
    <definedName name="sdfda" localSheetId="14" hidden="1">{"'Sheet1'!$L$16"}</definedName>
    <definedName name="sdfda" localSheetId="3" hidden="1">{"'Sheet1'!$L$16"}</definedName>
    <definedName name="sdfda" localSheetId="6" hidden="1">{"'Sheet1'!$L$16"}</definedName>
    <definedName name="sdfda" hidden="1">{"'Sheet1'!$L$16"}</definedName>
    <definedName name="SGG" localSheetId="14" hidden="1">{"'Sheet1'!$L$16"}</definedName>
    <definedName name="SGG" localSheetId="3" hidden="1">{"'Sheet1'!$L$16"}</definedName>
    <definedName name="SGG" localSheetId="6" hidden="1">{"'Sheet1'!$L$16"}</definedName>
    <definedName name="SGG" hidden="1">{"'Sheet1'!$L$16"}</definedName>
    <definedName name="sl">[3]DATA!$C$8</definedName>
    <definedName name="Slabplus1">[3]DATA!$J$36</definedName>
    <definedName name="SpacingSlab">[3]DATA!$D$36:$D$50</definedName>
    <definedName name="ss" hidden="1">[1]Earthwork!#REF!</definedName>
    <definedName name="sssdsdsd" hidden="1">[1]Earthwork!#REF!</definedName>
    <definedName name="ssss" hidden="1">[1]Earthwork!#REF!</definedName>
    <definedName name="THDT" localSheetId="14" hidden="1">{"'Sheet1'!$L$16"}</definedName>
    <definedName name="THDT" localSheetId="3" hidden="1">{"'Sheet1'!$L$16"}</definedName>
    <definedName name="THDT" localSheetId="6" hidden="1">{"'Sheet1'!$L$16"}</definedName>
    <definedName name="THDT" hidden="1">{"'Sheet1'!$L$16"}</definedName>
    <definedName name="thuy" localSheetId="14" hidden="1">{"'Sheet1'!$L$16"}</definedName>
    <definedName name="thuy" localSheetId="3" hidden="1">{"'Sheet1'!$L$16"}</definedName>
    <definedName name="thuy" localSheetId="6" hidden="1">{"'Sheet1'!$L$16"}</definedName>
    <definedName name="thuy" hidden="1">{"'Sheet1'!$L$16"}</definedName>
    <definedName name="TLR">[6]DATA!$D$7</definedName>
    <definedName name="tttt" localSheetId="14" hidden="1">{"'Sheet1'!$L$16"}</definedName>
    <definedName name="tttt" localSheetId="3" hidden="1">{"'Sheet1'!$L$16"}</definedName>
    <definedName name="tttt" localSheetId="6" hidden="1">{"'Sheet1'!$L$16"}</definedName>
    <definedName name="tttt" hidden="1">{"'Sheet1'!$L$16"}</definedName>
    <definedName name="TUANKHANHTUYET45" localSheetId="14" hidden="1">{0}</definedName>
    <definedName name="TUANKHANHTUYET45" localSheetId="3" hidden="1">{0}</definedName>
    <definedName name="TUANKHANHTUYET45" localSheetId="6" hidden="1">{0}</definedName>
    <definedName name="TUANKHANHTUYET45" hidden="1">{0}</definedName>
    <definedName name="V8.Refresh" localSheetId="14" hidden="1">{"NGUYEN QUI THIEP - Personal View",#N/A,FALSE,"XDCB.HT.FUR."}</definedName>
    <definedName name="V8.Refresh" localSheetId="3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iet" localSheetId="14" hidden="1">{"'Sheet1'!$L$16"}</definedName>
    <definedName name="Viet" localSheetId="3" hidden="1">{"'Sheet1'!$L$16"}</definedName>
    <definedName name="Viet" localSheetId="6" hidden="1">{"'Sheet1'!$L$16"}</definedName>
    <definedName name="Viet" hidden="1">{"'Sheet1'!$L$16"}</definedName>
    <definedName name="VT">#REF!</definedName>
    <definedName name="VT_NK">#REF!</definedName>
    <definedName name="wis" hidden="1">#REF!</definedName>
    <definedName name="WRITE" localSheetId="14" hidden="1">{#N/A,#N/A,FALSE,"CCTV"}</definedName>
    <definedName name="WRITE" localSheetId="3" hidden="1">{#N/A,#N/A,FALSE,"CCTV"}</definedName>
    <definedName name="WRITE" localSheetId="6" hidden="1">{#N/A,#N/A,FALSE,"CCTV"}</definedName>
    <definedName name="WRITE" hidden="1">{#N/A,#N/A,FALSE,"CCTV"}</definedName>
    <definedName name="wrn.A." localSheetId="14" hidden="1">{#N/A,#N/A,TRUE,"SUM";#N/A,#N/A,TRUE,"EE";#N/A,#N/A,TRUE,"AC";#N/A,#N/A,TRUE,"SN"}</definedName>
    <definedName name="wrn.A." localSheetId="3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Bang._.ke._.nhan._.hang." localSheetId="14" hidden="1">{#N/A,#N/A,FALSE,"Ke khai NH"}</definedName>
    <definedName name="wrn.Bang._.ke._.nhan._.hang." localSheetId="3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IDSUM." localSheetId="14" hidden="1">{#N/A,#N/A,TRUE,"SUMMARY";#N/A,#N/A,TRUE,"ISBL";#N/A,#N/A,TRUE,"OSBL";#N/A,#N/A,TRUE,"OFFSITE";#N/A,#N/A,TRUE,"STEAM"}</definedName>
    <definedName name="wrn.BIDSUM." localSheetId="3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4" hidden="1">{#N/A,#N/A,TRUE,"Str.";#N/A,#N/A,TRUE,"Steel &amp; Roof";#N/A,#N/A,TRUE,"Arc.";#N/A,#N/A,TRUE,"Preliminary";#N/A,#N/A,TRUE,"Sum_Prelim"}</definedName>
    <definedName name="wrn.BILLS._.OF._.QUANTITY." localSheetId="3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." localSheetId="14" hidden="1">{#N/A,#N/A,FALSE,"CCTV"}</definedName>
    <definedName name="wrn.BM." localSheetId="3" hidden="1">{#N/A,#N/A,FALSE,"CCTV"}</definedName>
    <definedName name="wrn.BM." localSheetId="6" hidden="1">{#N/A,#N/A,FALSE,"CCTV"}</definedName>
    <definedName name="wrn.BM." hidden="1">{#N/A,#N/A,FALSE,"CCTV"}</definedName>
    <definedName name="wrn.Che._.do._.duoc._.huong." localSheetId="14" hidden="1">{#N/A,#N/A,FALSE,"BN (2)"}</definedName>
    <definedName name="wrn.Che._.do._.duoc._.huong." localSheetId="3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4" hidden="1">{#N/A,#N/A,FALSE,"Chi tiÆt"}</definedName>
    <definedName name="wrn.chi._.tiÆt." localSheetId="3" hidden="1">{#N/A,#N/A,FALSE,"Chi tiÆt"}</definedName>
    <definedName name="wrn.chi._.tiÆt." localSheetId="6" hidden="1">{#N/A,#N/A,FALSE,"Chi tiÆt"}</definedName>
    <definedName name="wrn.chi._.tiÆt." hidden="1">{#N/A,#N/A,FALSE,"Chi tiÆt"}</definedName>
    <definedName name="wrn.DIRLABR." localSheetId="14" hidden="1">{#N/A,#N/A,TRUE,"CS&amp;SS(AG)";#N/A,#N/A,TRUE,"CS(UG)";#N/A,#N/A,TRUE,"CSCL(UG)";#N/A,#N/A,TRUE,"KYNAR";#N/A,#N/A,TRUE,"ALLOY904";#N/A,#N/A,TRUE,"TITANIUM";#N/A,#N/A,TRUE,"STMTRACE"}</definedName>
    <definedName name="wrn.DIRLABR." localSheetId="3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Giáy._.bao._.no." localSheetId="14" hidden="1">{#N/A,#N/A,FALSE,"BN"}</definedName>
    <definedName name="wrn.Giáy._.bao._.no." localSheetId="3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INDIRCOS." localSheetId="14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3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mai._.khanh." localSheetId="14" hidden="1">{"NGUYEN QUI THIEP - Personal View",#N/A,FALSE,"XDCB.HT.FUR."}</definedName>
    <definedName name="wrn.mai._.khanh." localSheetId="3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onthly._.Statement." localSheetId="14" hidden="1">{#N/A,#N/A,FALSE,"Tabelle2";#N/A,#N/A,FALSE,"Tabelle1"}</definedName>
    <definedName name="wrn.Monthly._.Statement." localSheetId="3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Print._.Output." localSheetId="14" hidden="1">{#N/A,#N/A,FALSE,"OUTPUT SHEET "}</definedName>
    <definedName name="wrn.Print._.Output." localSheetId="3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XDKT" localSheetId="14" hidden="1">{"NGUYEN QUI THIEP - Personal View",#N/A,FALSE,"XDCB.HT.FUR."}</definedName>
    <definedName name="XDKT" localSheetId="3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XXAAAA" localSheetId="14" hidden="1">{"'Sheet1'!$L$16"}</definedName>
    <definedName name="XXXAAAA" localSheetId="3" hidden="1">{"'Sheet1'!$L$16"}</definedName>
    <definedName name="XXXAAAA" localSheetId="6" hidden="1">{"'Sheet1'!$L$16"}</definedName>
    <definedName name="XXXAAAA" hidden="1">{"'Sheet1'!$L$16"}</definedName>
    <definedName name="Z_2BD578FA_E2CB_4B2F_9A88_B148DA6298A5_.wvu.Cols" hidden="1">#REF!</definedName>
    <definedName name="Z_2BD578FA_E2CB_4B2F_9A88_B148DA6298A5_.wvu.PrintArea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4" i="17" l="1"/>
  <c r="J24" i="17"/>
  <c r="K25" i="17"/>
  <c r="J25" i="17"/>
  <c r="G12" i="17"/>
  <c r="G11" i="17"/>
  <c r="G10" i="17"/>
  <c r="G9" i="17"/>
  <c r="K28" i="17"/>
  <c r="J28" i="17"/>
  <c r="I28" i="17"/>
  <c r="G28" i="17"/>
  <c r="K27" i="17"/>
  <c r="J27" i="17"/>
  <c r="I27" i="17"/>
  <c r="G27" i="17"/>
  <c r="T25" i="17"/>
  <c r="I25" i="17"/>
  <c r="G25" i="17"/>
  <c r="T24" i="17"/>
  <c r="I24" i="17"/>
  <c r="G24" i="17"/>
  <c r="H5" i="17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Y6" i="16"/>
  <c r="Y10" i="16"/>
  <c r="Y8" i="16"/>
  <c r="L8" i="16"/>
  <c r="X11" i="12"/>
  <c r="X10" i="12"/>
  <c r="X12" i="12"/>
  <c r="N11" i="12"/>
  <c r="I12" i="12"/>
  <c r="I11" i="12"/>
  <c r="N10" i="12"/>
  <c r="I10" i="12"/>
  <c r="M23" i="14"/>
  <c r="L23" i="14"/>
  <c r="K23" i="14"/>
  <c r="J23" i="14"/>
  <c r="M21" i="14"/>
  <c r="L21" i="14"/>
  <c r="K21" i="14"/>
  <c r="J21" i="14"/>
  <c r="G12" i="14"/>
  <c r="G11" i="14"/>
  <c r="S3" i="14"/>
  <c r="R3" i="14"/>
  <c r="Q3" i="14"/>
  <c r="P3" i="14"/>
  <c r="O3" i="14"/>
  <c r="N3" i="14"/>
  <c r="M3" i="14"/>
  <c r="L3" i="14"/>
  <c r="K3" i="14"/>
  <c r="J3" i="14"/>
  <c r="I3" i="14"/>
  <c r="H3" i="14"/>
  <c r="F3" i="14"/>
  <c r="E3" i="14"/>
  <c r="D3" i="14"/>
  <c r="AD7" i="16"/>
  <c r="AL7" i="16"/>
  <c r="Y7" i="16"/>
  <c r="AF7" i="16"/>
  <c r="Z2" i="5"/>
  <c r="AC2" i="5"/>
  <c r="AE2" i="5"/>
  <c r="AD2" i="5"/>
  <c r="AA2" i="5"/>
  <c r="AB2" i="5"/>
  <c r="V2" i="5"/>
  <c r="AE7" i="16"/>
  <c r="AG2" i="5"/>
  <c r="AM7" i="16"/>
  <c r="W2" i="5"/>
  <c r="AJ7" i="16"/>
  <c r="AK7" i="16"/>
  <c r="AN7" i="16"/>
  <c r="AH7" i="16"/>
  <c r="AG7" i="16"/>
  <c r="AK2" i="5"/>
  <c r="AI2" i="5"/>
  <c r="AI7" i="16"/>
  <c r="AC7" i="16"/>
  <c r="AF2" i="5"/>
  <c r="AB7" i="16"/>
  <c r="AJ2" i="5"/>
  <c r="AA7" i="16"/>
  <c r="X2" i="5"/>
  <c r="Z7" i="16"/>
  <c r="AH2" i="5"/>
  <c r="Y2" i="5"/>
  <c r="R24" i="17" l="1"/>
  <c r="S24" i="17" s="1"/>
  <c r="H24" i="17" s="1"/>
  <c r="L24" i="17" s="1"/>
  <c r="R27" i="17"/>
  <c r="R25" i="17"/>
  <c r="S25" i="17" s="1"/>
  <c r="H25" i="17" s="1"/>
  <c r="L25" i="17" s="1"/>
  <c r="R28" i="17"/>
  <c r="S28" i="17" s="1"/>
  <c r="H28" i="17" s="1"/>
  <c r="L28" i="17" s="1"/>
  <c r="S27" i="17"/>
  <c r="H27" i="17" s="1"/>
  <c r="L27" i="17" s="1"/>
  <c r="Y9" i="16"/>
  <c r="S12" i="12"/>
  <c r="V6" i="12" l="1"/>
  <c r="S11" i="12" l="1"/>
  <c r="S10" i="12" s="1"/>
  <c r="G8" i="1" l="1"/>
  <c r="E8" i="1"/>
  <c r="D8" i="1"/>
  <c r="C8" i="1"/>
  <c r="C7" i="1"/>
  <c r="AF8" i="8"/>
  <c r="AE8" i="8"/>
  <c r="AF5" i="8"/>
  <c r="AE3" i="8"/>
  <c r="AF2" i="8"/>
  <c r="AF23" i="8"/>
  <c r="AF6" i="8"/>
  <c r="AF17" i="8" s="1"/>
  <c r="AE5" i="8"/>
  <c r="AF9" i="8" l="1"/>
  <c r="V3" i="5"/>
  <c r="AF11" i="8"/>
  <c r="AF24" i="8"/>
  <c r="AF25" i="8" s="1"/>
  <c r="AF12" i="8"/>
  <c r="AF3" i="8"/>
  <c r="AE17" i="8"/>
  <c r="AF18" i="8"/>
  <c r="AF19" i="8" s="1"/>
  <c r="AF20" i="8" s="1"/>
  <c r="AF21" i="8" s="1"/>
  <c r="AI3" i="8"/>
  <c r="AL3" i="8"/>
  <c r="AR3" i="8" s="1"/>
  <c r="AE14" i="8"/>
  <c r="A3" i="1"/>
  <c r="H80" i="4"/>
  <c r="K80" i="4" s="1"/>
  <c r="L80" i="4" s="1"/>
  <c r="G80" i="4"/>
  <c r="I80" i="4" s="1"/>
  <c r="M80" i="4" s="1"/>
  <c r="H79" i="4"/>
  <c r="K79" i="4" s="1"/>
  <c r="L79" i="4" s="1"/>
  <c r="G79" i="4"/>
  <c r="I79" i="4" s="1"/>
  <c r="M79" i="4" s="1"/>
  <c r="H78" i="4"/>
  <c r="K78" i="4" s="1"/>
  <c r="L78" i="4" s="1"/>
  <c r="G78" i="4"/>
  <c r="I78" i="4" s="1"/>
  <c r="M78" i="4" s="1"/>
  <c r="H77" i="4"/>
  <c r="K77" i="4" s="1"/>
  <c r="L77" i="4" s="1"/>
  <c r="G77" i="4"/>
  <c r="I77" i="4" s="1"/>
  <c r="M77" i="4" s="1"/>
  <c r="H76" i="4"/>
  <c r="K76" i="4" s="1"/>
  <c r="L76" i="4" s="1"/>
  <c r="G76" i="4"/>
  <c r="I76" i="4" s="1"/>
  <c r="M76" i="4" s="1"/>
  <c r="H75" i="4"/>
  <c r="K75" i="4" s="1"/>
  <c r="L75" i="4" s="1"/>
  <c r="G75" i="4"/>
  <c r="I75" i="4" s="1"/>
  <c r="J75" i="4" s="1"/>
  <c r="H74" i="4"/>
  <c r="K74" i="4" s="1"/>
  <c r="L74" i="4" s="1"/>
  <c r="G74" i="4"/>
  <c r="I74" i="4" s="1"/>
  <c r="M74" i="4" s="1"/>
  <c r="H73" i="4"/>
  <c r="K73" i="4" s="1"/>
  <c r="L73" i="4" s="1"/>
  <c r="G73" i="4"/>
  <c r="I73" i="4" s="1"/>
  <c r="M73" i="4" s="1"/>
  <c r="H72" i="4"/>
  <c r="K72" i="4" s="1"/>
  <c r="L72" i="4" s="1"/>
  <c r="G72" i="4"/>
  <c r="I72" i="4" s="1"/>
  <c r="J72" i="4" s="1"/>
  <c r="H71" i="4"/>
  <c r="K71" i="4" s="1"/>
  <c r="L71" i="4" s="1"/>
  <c r="G71" i="4"/>
  <c r="I71" i="4" s="1"/>
  <c r="M71" i="4" s="1"/>
  <c r="H70" i="4"/>
  <c r="K70" i="4" s="1"/>
  <c r="L70" i="4" s="1"/>
  <c r="G70" i="4"/>
  <c r="I70" i="4" s="1"/>
  <c r="J70" i="4" s="1"/>
  <c r="H69" i="4"/>
  <c r="K69" i="4" s="1"/>
  <c r="L69" i="4" s="1"/>
  <c r="G69" i="4"/>
  <c r="I69" i="4" s="1"/>
  <c r="M69" i="4" s="1"/>
  <c r="H68" i="4"/>
  <c r="K68" i="4" s="1"/>
  <c r="L68" i="4" s="1"/>
  <c r="G68" i="4"/>
  <c r="I68" i="4" s="1"/>
  <c r="J68" i="4" s="1"/>
  <c r="H67" i="4"/>
  <c r="K67" i="4" s="1"/>
  <c r="L67" i="4" s="1"/>
  <c r="G67" i="4"/>
  <c r="I67" i="4" s="1"/>
  <c r="M67" i="4" s="1"/>
  <c r="H66" i="4"/>
  <c r="K66" i="4" s="1"/>
  <c r="L66" i="4" s="1"/>
  <c r="G66" i="4"/>
  <c r="I66" i="4" s="1"/>
  <c r="M66" i="4" s="1"/>
  <c r="H65" i="4"/>
  <c r="K65" i="4" s="1"/>
  <c r="L65" i="4" s="1"/>
  <c r="G65" i="4"/>
  <c r="I65" i="4" s="1"/>
  <c r="M65" i="4" s="1"/>
  <c r="H64" i="4"/>
  <c r="K64" i="4" s="1"/>
  <c r="L64" i="4" s="1"/>
  <c r="G64" i="4"/>
  <c r="I64" i="4" s="1"/>
  <c r="M64" i="4" s="1"/>
  <c r="H63" i="4"/>
  <c r="G63" i="4"/>
  <c r="H62" i="4"/>
  <c r="G62" i="4"/>
  <c r="B62" i="4"/>
  <c r="H61" i="4"/>
  <c r="G61" i="4"/>
  <c r="J59" i="4"/>
  <c r="J58" i="4"/>
  <c r="B57" i="4"/>
  <c r="B59" i="4" s="1"/>
  <c r="AK22" i="1"/>
  <c r="AJ8" i="1"/>
  <c r="AK8" i="1" s="1"/>
  <c r="AJ9" i="1" s="1"/>
  <c r="AK6" i="1"/>
  <c r="AK16" i="1" s="1"/>
  <c r="AJ4" i="1"/>
  <c r="AK4" i="1" s="1"/>
  <c r="AK5" i="1" s="1"/>
  <c r="AK2" i="1"/>
  <c r="V4" i="5"/>
  <c r="AR4" i="8" l="1"/>
  <c r="AR5" i="8" s="1"/>
  <c r="AR6" i="8" s="1"/>
  <c r="AR7" i="8" s="1"/>
  <c r="AR8" i="8" s="1"/>
  <c r="AR9" i="8" s="1"/>
  <c r="AR10" i="8" s="1"/>
  <c r="AR11" i="8" s="1"/>
  <c r="AR12" i="8" s="1"/>
  <c r="AR13" i="8" s="1"/>
  <c r="AR14" i="8" s="1"/>
  <c r="AR15" i="8" s="1"/>
  <c r="AR16" i="8" s="1"/>
  <c r="AR17" i="8" s="1"/>
  <c r="AR18" i="8" s="1"/>
  <c r="AR19" i="8" s="1"/>
  <c r="AR20" i="8" s="1"/>
  <c r="AR21" i="8" s="1"/>
  <c r="AR22" i="8" s="1"/>
  <c r="AR23" i="8" s="1"/>
  <c r="AR24" i="8" s="1"/>
  <c r="AR25" i="8" s="1"/>
  <c r="AR26" i="8" s="1"/>
  <c r="AR27" i="8" s="1"/>
  <c r="AR28" i="8" s="1"/>
  <c r="AR29" i="8" s="1"/>
  <c r="AR30" i="8" s="1"/>
  <c r="AR31" i="8" s="1"/>
  <c r="AR32" i="8" s="1"/>
  <c r="AR33" i="8" s="1"/>
  <c r="AR34" i="8" s="1"/>
  <c r="AR35" i="8" s="1"/>
  <c r="AR36" i="8" s="1"/>
  <c r="AR37" i="8" s="1"/>
  <c r="AR38" i="8" s="1"/>
  <c r="AR39" i="8" s="1"/>
  <c r="AR40" i="8" s="1"/>
  <c r="AR41" i="8" s="1"/>
  <c r="AR42" i="8" s="1"/>
  <c r="AR43" i="8" s="1"/>
  <c r="AR44" i="8" s="1"/>
  <c r="AR45" i="8" s="1"/>
  <c r="AR46" i="8" s="1"/>
  <c r="AR47" i="8" s="1"/>
  <c r="AR48" i="8" s="1"/>
  <c r="AR49" i="8" s="1"/>
  <c r="AR50" i="8" s="1"/>
  <c r="AR51" i="8" s="1"/>
  <c r="AR52" i="8" s="1"/>
  <c r="AB3" i="5"/>
  <c r="AF3" i="5"/>
  <c r="X3" i="5"/>
  <c r="AA3" i="5"/>
  <c r="AC3" i="5"/>
  <c r="AI3" i="5"/>
  <c r="Y3" i="5"/>
  <c r="AG3" i="5"/>
  <c r="AH3" i="5"/>
  <c r="AE3" i="5"/>
  <c r="AK3" i="5"/>
  <c r="AJ3" i="5"/>
  <c r="W3" i="5"/>
  <c r="AD3" i="5"/>
  <c r="Z3" i="5"/>
  <c r="AH3" i="8"/>
  <c r="AH4" i="8" s="1"/>
  <c r="AH5" i="8" s="1"/>
  <c r="AH6" i="8" s="1"/>
  <c r="AH7" i="8" s="1"/>
  <c r="AH8" i="8" s="1"/>
  <c r="AK3" i="8"/>
  <c r="AF10" i="8"/>
  <c r="AN3" i="8" s="1"/>
  <c r="AN4" i="8" s="1"/>
  <c r="AN5" i="8" s="1"/>
  <c r="AN6" i="8" s="1"/>
  <c r="AN7" i="8" s="1"/>
  <c r="AN8" i="8" s="1"/>
  <c r="AN9" i="8" s="1"/>
  <c r="AN10" i="8" s="1"/>
  <c r="AN11" i="8" s="1"/>
  <c r="AN12" i="8" s="1"/>
  <c r="AN13" i="8" s="1"/>
  <c r="AN14" i="8" s="1"/>
  <c r="AN15" i="8" s="1"/>
  <c r="AN16" i="8" s="1"/>
  <c r="AN17" i="8" s="1"/>
  <c r="AN18" i="8" s="1"/>
  <c r="AN19" i="8" s="1"/>
  <c r="AN20" i="8" s="1"/>
  <c r="AN21" i="8" s="1"/>
  <c r="AN22" i="8" s="1"/>
  <c r="AN23" i="8" s="1"/>
  <c r="AN24" i="8" s="1"/>
  <c r="AN25" i="8" s="1"/>
  <c r="AN26" i="8" s="1"/>
  <c r="AN27" i="8" s="1"/>
  <c r="AN28" i="8" s="1"/>
  <c r="AN29" i="8" s="1"/>
  <c r="AN30" i="8" s="1"/>
  <c r="AN31" i="8" s="1"/>
  <c r="AN32" i="8" s="1"/>
  <c r="AN33" i="8" s="1"/>
  <c r="AN34" i="8" s="1"/>
  <c r="AN35" i="8" s="1"/>
  <c r="AN36" i="8" s="1"/>
  <c r="AN37" i="8" s="1"/>
  <c r="AN38" i="8" s="1"/>
  <c r="AN39" i="8" s="1"/>
  <c r="AN40" i="8" s="1"/>
  <c r="AN41" i="8" s="1"/>
  <c r="AN42" i="8" s="1"/>
  <c r="AN43" i="8" s="1"/>
  <c r="AN44" i="8" s="1"/>
  <c r="AN45" i="8" s="1"/>
  <c r="AN46" i="8" s="1"/>
  <c r="AN47" i="8" s="1"/>
  <c r="AN48" i="8" s="1"/>
  <c r="AN49" i="8" s="1"/>
  <c r="AN50" i="8" s="1"/>
  <c r="AN51" i="8" s="1"/>
  <c r="AN52" i="8" s="1"/>
  <c r="AQ3" i="8"/>
  <c r="AJ10" i="8"/>
  <c r="AJ18" i="8"/>
  <c r="AJ26" i="8"/>
  <c r="AJ34" i="8"/>
  <c r="AJ42" i="8"/>
  <c r="AJ50" i="8"/>
  <c r="AO47" i="8"/>
  <c r="AO39" i="8"/>
  <c r="AO31" i="8"/>
  <c r="AO23" i="8"/>
  <c r="AO15" i="8"/>
  <c r="AO7" i="8"/>
  <c r="AI9" i="8"/>
  <c r="AI17" i="8"/>
  <c r="AI25" i="8"/>
  <c r="AI33" i="8"/>
  <c r="AI41" i="8"/>
  <c r="AI49" i="8"/>
  <c r="AJ11" i="8"/>
  <c r="AJ19" i="8"/>
  <c r="AJ27" i="8"/>
  <c r="AJ35" i="8"/>
  <c r="AJ43" i="8"/>
  <c r="AJ51" i="8"/>
  <c r="AO46" i="8"/>
  <c r="AO38" i="8"/>
  <c r="AO30" i="8"/>
  <c r="AO22" i="8"/>
  <c r="AO14" i="8"/>
  <c r="AO6" i="8"/>
  <c r="AI10" i="8"/>
  <c r="AI18" i="8"/>
  <c r="AI26" i="8"/>
  <c r="AI34" i="8"/>
  <c r="AI42" i="8"/>
  <c r="AI50" i="8"/>
  <c r="AO13" i="8"/>
  <c r="AI35" i="8"/>
  <c r="AJ5" i="8"/>
  <c r="AJ13" i="8"/>
  <c r="AJ21" i="8"/>
  <c r="AJ29" i="8"/>
  <c r="AJ37" i="8"/>
  <c r="AJ45" i="8"/>
  <c r="AJ4" i="8"/>
  <c r="AO52" i="8"/>
  <c r="AO44" i="8"/>
  <c r="AO36" i="8"/>
  <c r="AO28" i="8"/>
  <c r="AO20" i="8"/>
  <c r="AO12" i="8"/>
  <c r="AO4" i="8"/>
  <c r="AI12" i="8"/>
  <c r="AI20" i="8"/>
  <c r="AI28" i="8"/>
  <c r="AI36" i="8"/>
  <c r="AI44" i="8"/>
  <c r="AI52" i="8"/>
  <c r="AJ8" i="8"/>
  <c r="AJ32" i="8"/>
  <c r="AJ17" i="8"/>
  <c r="AJ49" i="8"/>
  <c r="AO40" i="8"/>
  <c r="AO32" i="8"/>
  <c r="AO8" i="8"/>
  <c r="AI16" i="8"/>
  <c r="AI32" i="8"/>
  <c r="AJ20" i="8"/>
  <c r="AJ28" i="8"/>
  <c r="AJ44" i="8"/>
  <c r="AO45" i="8"/>
  <c r="AO37" i="8"/>
  <c r="AO21" i="8"/>
  <c r="AI19" i="8"/>
  <c r="AI51" i="8"/>
  <c r="AJ6" i="8"/>
  <c r="AJ14" i="8"/>
  <c r="AJ22" i="8"/>
  <c r="AJ30" i="8"/>
  <c r="AJ38" i="8"/>
  <c r="AJ46" i="8"/>
  <c r="AJ3" i="8"/>
  <c r="AO51" i="8"/>
  <c r="AO43" i="8"/>
  <c r="AO35" i="8"/>
  <c r="AO27" i="8"/>
  <c r="AO19" i="8"/>
  <c r="AO11" i="8"/>
  <c r="AI5" i="8"/>
  <c r="AI13" i="8"/>
  <c r="AI21" i="8"/>
  <c r="AI29" i="8"/>
  <c r="AI37" i="8"/>
  <c r="AI45" i="8"/>
  <c r="AI4" i="8"/>
  <c r="AJ16" i="8"/>
  <c r="AJ40" i="8"/>
  <c r="AO41" i="8"/>
  <c r="AO25" i="8"/>
  <c r="AO9" i="8"/>
  <c r="AI15" i="8"/>
  <c r="AI39" i="8"/>
  <c r="AJ33" i="8"/>
  <c r="AO16" i="8"/>
  <c r="AI40" i="8"/>
  <c r="AJ52" i="8"/>
  <c r="AO29" i="8"/>
  <c r="AI11" i="8"/>
  <c r="AJ7" i="8"/>
  <c r="AJ15" i="8"/>
  <c r="AJ23" i="8"/>
  <c r="AJ31" i="8"/>
  <c r="AJ39" i="8"/>
  <c r="AJ47" i="8"/>
  <c r="AO50" i="8"/>
  <c r="AO42" i="8"/>
  <c r="AO34" i="8"/>
  <c r="AO26" i="8"/>
  <c r="AO18" i="8"/>
  <c r="AO10" i="8"/>
  <c r="AI6" i="8"/>
  <c r="AI14" i="8"/>
  <c r="AI22" i="8"/>
  <c r="AI30" i="8"/>
  <c r="AI38" i="8"/>
  <c r="AI46" i="8"/>
  <c r="AJ24" i="8"/>
  <c r="AJ48" i="8"/>
  <c r="AO49" i="8"/>
  <c r="AO33" i="8"/>
  <c r="AO17" i="8"/>
  <c r="AI7" i="8"/>
  <c r="AI23" i="8"/>
  <c r="AI31" i="8"/>
  <c r="AI47" i="8"/>
  <c r="AJ9" i="8"/>
  <c r="AJ25" i="8"/>
  <c r="AJ41" i="8"/>
  <c r="AO48" i="8"/>
  <c r="AO24" i="8"/>
  <c r="AI8" i="8"/>
  <c r="AI24" i="8"/>
  <c r="AI48" i="8"/>
  <c r="AJ12" i="8"/>
  <c r="AJ36" i="8"/>
  <c r="AO3" i="8"/>
  <c r="AO5" i="8"/>
  <c r="AI27" i="8"/>
  <c r="AI43" i="8"/>
  <c r="AE18" i="8"/>
  <c r="AL4" i="8"/>
  <c r="AL5" i="8" s="1"/>
  <c r="AL6" i="8" s="1"/>
  <c r="AL7" i="8" s="1"/>
  <c r="AL8" i="8" s="1"/>
  <c r="AL9" i="8" s="1"/>
  <c r="AL10" i="8" s="1"/>
  <c r="AL11" i="8" s="1"/>
  <c r="AL12" i="8" s="1"/>
  <c r="AL13" i="8" s="1"/>
  <c r="AL14" i="8" s="1"/>
  <c r="AL15" i="8" s="1"/>
  <c r="AL16" i="8" s="1"/>
  <c r="AL17" i="8" s="1"/>
  <c r="AL18" i="8" s="1"/>
  <c r="AL19" i="8" s="1"/>
  <c r="AL20" i="8" s="1"/>
  <c r="AL21" i="8" s="1"/>
  <c r="AL22" i="8" s="1"/>
  <c r="AL23" i="8" s="1"/>
  <c r="AL24" i="8" s="1"/>
  <c r="AL25" i="8" s="1"/>
  <c r="AL26" i="8" s="1"/>
  <c r="AL27" i="8" s="1"/>
  <c r="AL28" i="8" s="1"/>
  <c r="AL29" i="8" s="1"/>
  <c r="AL30" i="8" s="1"/>
  <c r="AL31" i="8" s="1"/>
  <c r="AL32" i="8" s="1"/>
  <c r="AL33" i="8" s="1"/>
  <c r="AL34" i="8" s="1"/>
  <c r="AL35" i="8" s="1"/>
  <c r="AL36" i="8" s="1"/>
  <c r="AL37" i="8" s="1"/>
  <c r="AL38" i="8" s="1"/>
  <c r="AL39" i="8" s="1"/>
  <c r="AL40" i="8" s="1"/>
  <c r="AL41" i="8" s="1"/>
  <c r="AL42" i="8" s="1"/>
  <c r="AL43" i="8" s="1"/>
  <c r="AL44" i="8" s="1"/>
  <c r="AL45" i="8" s="1"/>
  <c r="AL46" i="8" s="1"/>
  <c r="AL47" i="8" s="1"/>
  <c r="AL48" i="8" s="1"/>
  <c r="AL49" i="8" s="1"/>
  <c r="AL50" i="8" s="1"/>
  <c r="AL51" i="8" s="1"/>
  <c r="AL52" i="8" s="1"/>
  <c r="AF22" i="8"/>
  <c r="AE15" i="8"/>
  <c r="AF15" i="8" s="1"/>
  <c r="AF14" i="8"/>
  <c r="J66" i="4"/>
  <c r="J69" i="4"/>
  <c r="C57" i="4"/>
  <c r="D57" i="4" s="1"/>
  <c r="E57" i="4" s="1"/>
  <c r="F57" i="4" s="1"/>
  <c r="L57" i="4" s="1"/>
  <c r="M57" i="4" s="1"/>
  <c r="N57" i="4" s="1"/>
  <c r="O57" i="4" s="1"/>
  <c r="J65" i="4"/>
  <c r="M75" i="4"/>
  <c r="J76" i="4"/>
  <c r="J77" i="4"/>
  <c r="J78" i="4"/>
  <c r="J79" i="4"/>
  <c r="J80" i="4"/>
  <c r="J71" i="4"/>
  <c r="M68" i="4"/>
  <c r="J64" i="4"/>
  <c r="L59" i="4"/>
  <c r="M59" i="4" s="1"/>
  <c r="N59" i="4" s="1"/>
  <c r="O59" i="4" s="1"/>
  <c r="P59" i="4" s="1"/>
  <c r="Q59" i="4" s="1"/>
  <c r="R59" i="4" s="1"/>
  <c r="S59" i="4" s="1"/>
  <c r="T59" i="4" s="1"/>
  <c r="U59" i="4" s="1"/>
  <c r="V59" i="4" s="1"/>
  <c r="W59" i="4" s="1"/>
  <c r="X59" i="4" s="1"/>
  <c r="Y59" i="4" s="1"/>
  <c r="Z59" i="4" s="1"/>
  <c r="AA59" i="4" s="1"/>
  <c r="AB59" i="4" s="1"/>
  <c r="AC59" i="4" s="1"/>
  <c r="AD59" i="4" s="1"/>
  <c r="AE59" i="4" s="1"/>
  <c r="J73" i="4"/>
  <c r="A58" i="4"/>
  <c r="M70" i="4"/>
  <c r="J67" i="4"/>
  <c r="J74" i="4"/>
  <c r="M72" i="4"/>
  <c r="A59" i="4"/>
  <c r="G59" i="4"/>
  <c r="F59" i="4"/>
  <c r="C59" i="4"/>
  <c r="D59" i="4" s="1"/>
  <c r="E59" i="4" s="1"/>
  <c r="B56" i="4"/>
  <c r="AK9" i="1"/>
  <c r="AK10" i="1"/>
  <c r="AJ5" i="1"/>
  <c r="AN3" i="1"/>
  <c r="AQ3" i="1"/>
  <c r="AW3" i="1" s="1"/>
  <c r="AK17" i="1"/>
  <c r="AK18" i="1" s="1"/>
  <c r="AK19" i="1" s="1"/>
  <c r="AK20" i="1" s="1"/>
  <c r="AJ16" i="1"/>
  <c r="AM3" i="1" s="1"/>
  <c r="AJ13" i="1"/>
  <c r="AK11" i="1"/>
  <c r="W4" i="5"/>
  <c r="AD4" i="5"/>
  <c r="AC4" i="5"/>
  <c r="Z4" i="5"/>
  <c r="AG4" i="5"/>
  <c r="X4" i="5"/>
  <c r="AA4" i="5"/>
  <c r="AB4" i="5"/>
  <c r="AJ4" i="5"/>
  <c r="AI4" i="5"/>
  <c r="AH4" i="5"/>
  <c r="AF4" i="5"/>
  <c r="Y4" i="5"/>
  <c r="AK4" i="5"/>
  <c r="AE4" i="5"/>
  <c r="V7" i="5" l="1"/>
  <c r="AM12" i="8"/>
  <c r="AM6" i="8"/>
  <c r="AM38" i="8"/>
  <c r="AK15" i="8"/>
  <c r="AK34" i="8"/>
  <c r="AM11" i="8"/>
  <c r="AM43" i="8"/>
  <c r="AK17" i="8"/>
  <c r="AK39" i="8"/>
  <c r="AM14" i="8"/>
  <c r="AM46" i="8"/>
  <c r="AK18" i="8"/>
  <c r="AK41" i="8"/>
  <c r="AM19" i="8"/>
  <c r="AM51" i="8"/>
  <c r="AK23" i="8"/>
  <c r="AK42" i="8"/>
  <c r="AM35" i="8"/>
  <c r="AK10" i="8"/>
  <c r="AK33" i="8"/>
  <c r="AM22" i="8"/>
  <c r="AM3" i="8"/>
  <c r="AK25" i="8"/>
  <c r="AK47" i="8"/>
  <c r="AM27" i="8"/>
  <c r="AK7" i="8"/>
  <c r="AK26" i="8"/>
  <c r="AK49" i="8"/>
  <c r="AM30" i="8"/>
  <c r="AK9" i="8"/>
  <c r="AK31" i="8"/>
  <c r="AK50" i="8"/>
  <c r="AM42" i="8"/>
  <c r="AM49" i="8"/>
  <c r="AM50" i="8"/>
  <c r="AK12" i="8"/>
  <c r="AK6" i="8"/>
  <c r="AK11" i="8"/>
  <c r="AM45" i="8"/>
  <c r="AK40" i="8"/>
  <c r="AM28" i="8"/>
  <c r="AK45" i="8"/>
  <c r="AM33" i="8"/>
  <c r="AM10" i="8"/>
  <c r="AM40" i="8"/>
  <c r="AM18" i="8"/>
  <c r="AM39" i="8"/>
  <c r="AM29" i="8"/>
  <c r="AK24" i="8"/>
  <c r="AK5" i="8"/>
  <c r="AK48" i="8"/>
  <c r="AK4" i="8"/>
  <c r="AM41" i="8"/>
  <c r="AM26" i="8"/>
  <c r="AM48" i="8"/>
  <c r="AM34" i="8"/>
  <c r="AM47" i="8"/>
  <c r="AM37" i="8"/>
  <c r="AK32" i="8"/>
  <c r="AM20" i="8"/>
  <c r="AK20" i="8"/>
  <c r="AM36" i="8"/>
  <c r="AK37" i="8"/>
  <c r="AM25" i="8"/>
  <c r="AK52" i="8"/>
  <c r="AM32" i="8"/>
  <c r="AK51" i="8"/>
  <c r="AM31" i="8"/>
  <c r="AM21" i="8"/>
  <c r="AK16" i="8"/>
  <c r="AK38" i="8"/>
  <c r="AK46" i="8"/>
  <c r="AM8" i="8"/>
  <c r="AM7" i="8"/>
  <c r="AM44" i="8"/>
  <c r="AK22" i="8"/>
  <c r="AK14" i="8"/>
  <c r="AK30" i="8"/>
  <c r="AM4" i="8"/>
  <c r="AK29" i="8"/>
  <c r="AM17" i="8"/>
  <c r="AK44" i="8"/>
  <c r="AM24" i="8"/>
  <c r="AK43" i="8"/>
  <c r="AM23" i="8"/>
  <c r="AM13" i="8"/>
  <c r="AK8" i="8"/>
  <c r="AK21" i="8"/>
  <c r="AM9" i="8"/>
  <c r="AK36" i="8"/>
  <c r="AM16" i="8"/>
  <c r="AK35" i="8"/>
  <c r="AM15" i="8"/>
  <c r="AM5" i="8"/>
  <c r="AM52" i="8"/>
  <c r="AK13" i="8"/>
  <c r="AK28" i="8"/>
  <c r="AK27" i="8"/>
  <c r="AK19" i="8"/>
  <c r="AQ9" i="8"/>
  <c r="AQ17" i="8"/>
  <c r="AQ25" i="8"/>
  <c r="AQ33" i="8"/>
  <c r="AQ41" i="8"/>
  <c r="AQ49" i="8"/>
  <c r="AQ10" i="8"/>
  <c r="AQ18" i="8"/>
  <c r="AQ26" i="8"/>
  <c r="AQ34" i="8"/>
  <c r="AQ42" i="8"/>
  <c r="AQ50" i="8"/>
  <c r="AQ11" i="8"/>
  <c r="AQ19" i="8"/>
  <c r="AQ27" i="8"/>
  <c r="AQ35" i="8"/>
  <c r="AQ43" i="8"/>
  <c r="AQ51" i="8"/>
  <c r="AQ12" i="8"/>
  <c r="AQ20" i="8"/>
  <c r="AQ28" i="8"/>
  <c r="AQ36" i="8"/>
  <c r="AQ44" i="8"/>
  <c r="AQ52" i="8"/>
  <c r="AQ8" i="8"/>
  <c r="AQ16" i="8"/>
  <c r="AQ24" i="8"/>
  <c r="AQ32" i="8"/>
  <c r="AQ40" i="8"/>
  <c r="AQ48" i="8"/>
  <c r="AS5" i="8"/>
  <c r="AQ5" i="8"/>
  <c r="AQ13" i="8"/>
  <c r="AQ21" i="8"/>
  <c r="AQ29" i="8"/>
  <c r="AQ37" i="8"/>
  <c r="AQ45" i="8"/>
  <c r="AQ4" i="8"/>
  <c r="AQ6" i="8"/>
  <c r="AQ14" i="8"/>
  <c r="AQ22" i="8"/>
  <c r="AQ30" i="8"/>
  <c r="AQ38" i="8"/>
  <c r="AQ46" i="8"/>
  <c r="AS4" i="8"/>
  <c r="AQ7" i="8"/>
  <c r="AQ15" i="8"/>
  <c r="AQ23" i="8"/>
  <c r="AQ31" i="8"/>
  <c r="AQ39" i="8"/>
  <c r="AQ47" i="8"/>
  <c r="AS44" i="8"/>
  <c r="AS7" i="8"/>
  <c r="AS32" i="8"/>
  <c r="AS51" i="8"/>
  <c r="AS33" i="8"/>
  <c r="AS21" i="8"/>
  <c r="AS47" i="8"/>
  <c r="AS12" i="8"/>
  <c r="AS22" i="8"/>
  <c r="AS35" i="8"/>
  <c r="AS17" i="8"/>
  <c r="AS48" i="8"/>
  <c r="AS28" i="8"/>
  <c r="AS38" i="8"/>
  <c r="AS16" i="8"/>
  <c r="AS43" i="8"/>
  <c r="AS25" i="8"/>
  <c r="AS13" i="8"/>
  <c r="AS50" i="8"/>
  <c r="AS41" i="8"/>
  <c r="AS31" i="8"/>
  <c r="AS40" i="8"/>
  <c r="AS6" i="8"/>
  <c r="AS42" i="8"/>
  <c r="AS27" i="8"/>
  <c r="AS9" i="8"/>
  <c r="AS8" i="8"/>
  <c r="AS45" i="8"/>
  <c r="AS30" i="8"/>
  <c r="AS39" i="8"/>
  <c r="AS20" i="8"/>
  <c r="AS18" i="8"/>
  <c r="AS37" i="8"/>
  <c r="AS23" i="8"/>
  <c r="AS29" i="8"/>
  <c r="AS15" i="8"/>
  <c r="AS24" i="8"/>
  <c r="AS52" i="8"/>
  <c r="AS34" i="8"/>
  <c r="AS19" i="8"/>
  <c r="AS3" i="8"/>
  <c r="AS46" i="8"/>
  <c r="AS36" i="8"/>
  <c r="AS26" i="8"/>
  <c r="AS11" i="8"/>
  <c r="AS49" i="8"/>
  <c r="AS14" i="8"/>
  <c r="AS10" i="8"/>
  <c r="AE19" i="8"/>
  <c r="AE20" i="8" s="1"/>
  <c r="AE21" i="8" s="1"/>
  <c r="AH28" i="8"/>
  <c r="AH29" i="8" s="1"/>
  <c r="AH30" i="8" s="1"/>
  <c r="AH31" i="8" s="1"/>
  <c r="AH32" i="8" s="1"/>
  <c r="AH33" i="8" s="1"/>
  <c r="AH34" i="8" s="1"/>
  <c r="AH35" i="8" s="1"/>
  <c r="AH36" i="8" s="1"/>
  <c r="AH37" i="8" s="1"/>
  <c r="AH38" i="8" s="1"/>
  <c r="AH39" i="8" s="1"/>
  <c r="AH40" i="8" s="1"/>
  <c r="AH41" i="8" s="1"/>
  <c r="AH42" i="8" s="1"/>
  <c r="AH43" i="8" s="1"/>
  <c r="AH44" i="8" s="1"/>
  <c r="AH45" i="8" s="1"/>
  <c r="AH46" i="8" s="1"/>
  <c r="AH47" i="8" s="1"/>
  <c r="AH48" i="8" s="1"/>
  <c r="AH49" i="8" s="1"/>
  <c r="AH50" i="8" s="1"/>
  <c r="AH51" i="8" s="1"/>
  <c r="AH52" i="8" s="1"/>
  <c r="AP6" i="8"/>
  <c r="AP14" i="8"/>
  <c r="AP22" i="8"/>
  <c r="AP30" i="8"/>
  <c r="AP38" i="8"/>
  <c r="AP46" i="8"/>
  <c r="AP3" i="8"/>
  <c r="AP7" i="8"/>
  <c r="AP15" i="8"/>
  <c r="AP23" i="8"/>
  <c r="AP31" i="8"/>
  <c r="AP39" i="8"/>
  <c r="AP47" i="8"/>
  <c r="AP9" i="8"/>
  <c r="AP17" i="8"/>
  <c r="AP25" i="8"/>
  <c r="AP33" i="8"/>
  <c r="AP41" i="8"/>
  <c r="AP49" i="8"/>
  <c r="AP20" i="8"/>
  <c r="AP36" i="8"/>
  <c r="AP52" i="8"/>
  <c r="AP5" i="8"/>
  <c r="AP37" i="8"/>
  <c r="AP10" i="8"/>
  <c r="AP18" i="8"/>
  <c r="AP26" i="8"/>
  <c r="AP34" i="8"/>
  <c r="AP42" i="8"/>
  <c r="AP50" i="8"/>
  <c r="AP28" i="8"/>
  <c r="AP44" i="8"/>
  <c r="AP21" i="8"/>
  <c r="AP45" i="8"/>
  <c r="AP8" i="8"/>
  <c r="AP16" i="8"/>
  <c r="AP24" i="8"/>
  <c r="AP32" i="8"/>
  <c r="AP48" i="8"/>
  <c r="AP11" i="8"/>
  <c r="AP19" i="8"/>
  <c r="AP27" i="8"/>
  <c r="AP35" i="8"/>
  <c r="AP43" i="8"/>
  <c r="AP51" i="8"/>
  <c r="AP12" i="8"/>
  <c r="AP13" i="8"/>
  <c r="AP29" i="8"/>
  <c r="AP4" i="8"/>
  <c r="AP40" i="8"/>
  <c r="AH9" i="8"/>
  <c r="AH10" i="8" s="1"/>
  <c r="AH11" i="8" s="1"/>
  <c r="AH12" i="8" s="1"/>
  <c r="AH13" i="8" s="1"/>
  <c r="AH14" i="8" s="1"/>
  <c r="AH15" i="8" s="1"/>
  <c r="AH16" i="8" s="1"/>
  <c r="AH17" i="8" s="1"/>
  <c r="AH18" i="8" s="1"/>
  <c r="AH19" i="8" s="1"/>
  <c r="AH20" i="8" s="1"/>
  <c r="AH21" i="8" s="1"/>
  <c r="AH22" i="8" s="1"/>
  <c r="AH23" i="8" s="1"/>
  <c r="AH24" i="8" s="1"/>
  <c r="AH25" i="8" s="1"/>
  <c r="AH26" i="8" s="1"/>
  <c r="AH27" i="8" s="1"/>
  <c r="V5" i="5"/>
  <c r="G57" i="4"/>
  <c r="H57" i="4" s="1"/>
  <c r="I57" i="4" s="1"/>
  <c r="J57" i="4" s="1"/>
  <c r="B58" i="4"/>
  <c r="L56" i="4"/>
  <c r="C56" i="4"/>
  <c r="D56" i="4" s="1"/>
  <c r="E56" i="4" s="1"/>
  <c r="F56" i="4" s="1"/>
  <c r="N61" i="4"/>
  <c r="O61" i="4" s="1"/>
  <c r="P61" i="4" s="1"/>
  <c r="N79" i="4"/>
  <c r="N76" i="4"/>
  <c r="N74" i="4"/>
  <c r="N73" i="4"/>
  <c r="N70" i="4"/>
  <c r="N69" i="4"/>
  <c r="N67" i="4"/>
  <c r="N65" i="4"/>
  <c r="N63" i="4"/>
  <c r="O63" i="4" s="1"/>
  <c r="P63" i="4" s="1"/>
  <c r="N80" i="4"/>
  <c r="N78" i="4"/>
  <c r="N77" i="4"/>
  <c r="N75" i="4"/>
  <c r="N72" i="4"/>
  <c r="N71" i="4"/>
  <c r="N68" i="4"/>
  <c r="N66" i="4"/>
  <c r="N64" i="4"/>
  <c r="N62" i="4"/>
  <c r="O62" i="4" s="1"/>
  <c r="P62" i="4" s="1"/>
  <c r="P57" i="4"/>
  <c r="Q57" i="4" s="1"/>
  <c r="R57" i="4" s="1"/>
  <c r="S57" i="4" s="1"/>
  <c r="T57" i="4" s="1"/>
  <c r="U57" i="4" s="1"/>
  <c r="V57" i="4" s="1"/>
  <c r="W57" i="4" s="1"/>
  <c r="X57" i="4" s="1"/>
  <c r="Y57" i="4" s="1"/>
  <c r="Z57" i="4" s="1"/>
  <c r="AA57" i="4" s="1"/>
  <c r="AB57" i="4" s="1"/>
  <c r="AC57" i="4" s="1"/>
  <c r="AD57" i="4" s="1"/>
  <c r="AE57" i="4" s="1"/>
  <c r="AT4" i="1"/>
  <c r="AU4" i="1" s="1"/>
  <c r="AK23" i="1"/>
  <c r="AK24" i="1" s="1"/>
  <c r="AJ26" i="1" s="1"/>
  <c r="AM4" i="1"/>
  <c r="AS4" i="1" s="1"/>
  <c r="AS27" i="1" s="1"/>
  <c r="AS3" i="1"/>
  <c r="AQ4" i="1"/>
  <c r="AQ5" i="1" s="1"/>
  <c r="AQ6" i="1" s="1"/>
  <c r="AQ7" i="1" s="1"/>
  <c r="AQ8" i="1" s="1"/>
  <c r="AQ9" i="1" s="1"/>
  <c r="AQ10" i="1" s="1"/>
  <c r="AQ11" i="1" s="1"/>
  <c r="AQ12" i="1" s="1"/>
  <c r="AQ13" i="1" s="1"/>
  <c r="AQ14" i="1" s="1"/>
  <c r="AQ15" i="1" s="1"/>
  <c r="AQ16" i="1" s="1"/>
  <c r="AQ17" i="1" s="1"/>
  <c r="AQ18" i="1" s="1"/>
  <c r="AQ19" i="1" s="1"/>
  <c r="AQ20" i="1" s="1"/>
  <c r="AQ21" i="1" s="1"/>
  <c r="AQ22" i="1" s="1"/>
  <c r="AQ23" i="1" s="1"/>
  <c r="AQ24" i="1" s="1"/>
  <c r="AQ25" i="1" s="1"/>
  <c r="AQ26" i="1" s="1"/>
  <c r="AQ27" i="1" s="1"/>
  <c r="AQ28" i="1" s="1"/>
  <c r="AQ29" i="1" s="1"/>
  <c r="AQ30" i="1" s="1"/>
  <c r="AQ31" i="1" s="1"/>
  <c r="AQ32" i="1" s="1"/>
  <c r="AQ33" i="1" s="1"/>
  <c r="AQ34" i="1" s="1"/>
  <c r="AQ35" i="1" s="1"/>
  <c r="AQ36" i="1" s="1"/>
  <c r="AQ37" i="1" s="1"/>
  <c r="AQ38" i="1" s="1"/>
  <c r="AQ39" i="1" s="1"/>
  <c r="AQ40" i="1" s="1"/>
  <c r="AQ41" i="1" s="1"/>
  <c r="AQ42" i="1" s="1"/>
  <c r="AQ43" i="1" s="1"/>
  <c r="AQ44" i="1" s="1"/>
  <c r="AQ45" i="1" s="1"/>
  <c r="AQ46" i="1" s="1"/>
  <c r="AQ47" i="1" s="1"/>
  <c r="AQ48" i="1" s="1"/>
  <c r="AQ49" i="1" s="1"/>
  <c r="AQ50" i="1" s="1"/>
  <c r="AQ51" i="1" s="1"/>
  <c r="AQ52" i="1" s="1"/>
  <c r="AJ17" i="1"/>
  <c r="AJ18" i="1" s="1"/>
  <c r="AJ19" i="1" s="1"/>
  <c r="AJ20" i="1" s="1"/>
  <c r="AP3" i="1"/>
  <c r="AV4" i="1" s="1"/>
  <c r="AV3" i="1" s="1"/>
  <c r="AN4" i="1"/>
  <c r="AO3" i="1"/>
  <c r="AJ14" i="1"/>
  <c r="AK14" i="1" s="1"/>
  <c r="AK21" i="1"/>
  <c r="AK13" i="1"/>
  <c r="AE26" i="8" l="1"/>
  <c r="AE27" i="8"/>
  <c r="AT3" i="1"/>
  <c r="AU3" i="1" s="1"/>
  <c r="V6" i="5"/>
  <c r="O72" i="4"/>
  <c r="P72" i="4" s="1"/>
  <c r="Q72" i="4"/>
  <c r="R72" i="4"/>
  <c r="O80" i="4"/>
  <c r="P80" i="4" s="1"/>
  <c r="R80" i="4"/>
  <c r="Q80" i="4"/>
  <c r="O76" i="4"/>
  <c r="P76" i="4" s="1"/>
  <c r="Q76" i="4"/>
  <c r="R76" i="4"/>
  <c r="Q62" i="4"/>
  <c r="R62" i="4"/>
  <c r="O78" i="4"/>
  <c r="P78" i="4" s="1"/>
  <c r="R78" i="4"/>
  <c r="Q78" i="4"/>
  <c r="O67" i="4"/>
  <c r="P67" i="4" s="1"/>
  <c r="Q67" i="4"/>
  <c r="R67" i="4"/>
  <c r="G58" i="4"/>
  <c r="G56" i="4"/>
  <c r="H56" i="4" s="1"/>
  <c r="I56" i="4" s="1"/>
  <c r="J56" i="4" s="1"/>
  <c r="O66" i="4"/>
  <c r="P66" i="4" s="1"/>
  <c r="Q66" i="4"/>
  <c r="R66" i="4"/>
  <c r="O75" i="4"/>
  <c r="P75" i="4" s="1"/>
  <c r="Q75" i="4"/>
  <c r="R75" i="4"/>
  <c r="Q63" i="4"/>
  <c r="R63" i="4"/>
  <c r="O70" i="4"/>
  <c r="P70" i="4" s="1"/>
  <c r="Q70" i="4"/>
  <c r="R70" i="4"/>
  <c r="O79" i="4"/>
  <c r="P79" i="4" s="1"/>
  <c r="Q79" i="4"/>
  <c r="R79" i="4"/>
  <c r="F58" i="4"/>
  <c r="C58" i="4"/>
  <c r="D58" i="4" s="1"/>
  <c r="E58" i="4" s="1"/>
  <c r="O64" i="4"/>
  <c r="P64" i="4" s="1"/>
  <c r="Q64" i="4"/>
  <c r="R64" i="4"/>
  <c r="O69" i="4"/>
  <c r="P69" i="4" s="1"/>
  <c r="Q69" i="4"/>
  <c r="R69" i="4"/>
  <c r="AD56" i="4"/>
  <c r="Z56" i="4"/>
  <c r="V56" i="4"/>
  <c r="X56" i="4"/>
  <c r="T56" i="4"/>
  <c r="Y56" i="4"/>
  <c r="M56" i="4"/>
  <c r="L58" i="4"/>
  <c r="AB56" i="4"/>
  <c r="AD58" i="4"/>
  <c r="Z58" i="4"/>
  <c r="V58" i="4"/>
  <c r="AC56" i="4"/>
  <c r="U56" i="4"/>
  <c r="W56" i="4"/>
  <c r="T58" i="4"/>
  <c r="AE56" i="4"/>
  <c r="AC58" i="4"/>
  <c r="AA56" i="4"/>
  <c r="AB58" i="4"/>
  <c r="Y58" i="4"/>
  <c r="W58" i="4"/>
  <c r="AE58" i="4"/>
  <c r="X58" i="4"/>
  <c r="U58" i="4"/>
  <c r="S58" i="4"/>
  <c r="S56" i="4"/>
  <c r="M58" i="4"/>
  <c r="AA58" i="4"/>
  <c r="O71" i="4"/>
  <c r="P71" i="4" s="1"/>
  <c r="R71" i="4"/>
  <c r="Q71" i="4"/>
  <c r="O74" i="4"/>
  <c r="P74" i="4" s="1"/>
  <c r="Q74" i="4"/>
  <c r="R74" i="4"/>
  <c r="O68" i="4"/>
  <c r="P68" i="4" s="1"/>
  <c r="R68" i="4"/>
  <c r="Q68" i="4"/>
  <c r="O77" i="4"/>
  <c r="P77" i="4" s="1"/>
  <c r="R77" i="4"/>
  <c r="Q77" i="4"/>
  <c r="O65" i="4"/>
  <c r="P65" i="4" s="1"/>
  <c r="Q65" i="4"/>
  <c r="R65" i="4"/>
  <c r="O73" i="4"/>
  <c r="P73" i="4" s="1"/>
  <c r="Q73" i="4"/>
  <c r="R73" i="4"/>
  <c r="Q61" i="4"/>
  <c r="R61" i="4" s="1"/>
  <c r="AW4" i="1"/>
  <c r="AW27" i="1" s="1"/>
  <c r="AW50" i="1" s="1"/>
  <c r="AX3" i="1"/>
  <c r="AX4" i="1"/>
  <c r="AT5" i="1"/>
  <c r="AR3" i="1"/>
  <c r="AP4" i="1"/>
  <c r="AN5" i="1"/>
  <c r="AO4" i="1"/>
  <c r="AJ25" i="1"/>
  <c r="H59" i="4" l="1"/>
  <c r="H58" i="4"/>
  <c r="I59" i="4"/>
  <c r="I58" i="4"/>
  <c r="N56" i="4"/>
  <c r="I62" i="4"/>
  <c r="N58" i="4"/>
  <c r="AV5" i="1"/>
  <c r="AV6" i="1" s="1"/>
  <c r="AX6" i="1" s="1"/>
  <c r="AU5" i="1"/>
  <c r="AT6" i="1"/>
  <c r="AR4" i="1"/>
  <c r="AP5" i="1"/>
  <c r="AN6" i="1"/>
  <c r="AO5" i="1"/>
  <c r="AS50" i="1"/>
  <c r="AM5" i="1"/>
  <c r="AW5" i="1"/>
  <c r="M62" i="4" l="1"/>
  <c r="J62" i="4"/>
  <c r="K62" i="4" s="1"/>
  <c r="L62" i="4" s="1"/>
  <c r="O56" i="4"/>
  <c r="O58" i="4"/>
  <c r="AV7" i="1"/>
  <c r="AV8" i="1" s="1"/>
  <c r="AX5" i="1"/>
  <c r="AT7" i="1"/>
  <c r="AU6" i="1"/>
  <c r="AS5" i="1"/>
  <c r="AS28" i="1" s="1"/>
  <c r="AM6" i="1"/>
  <c r="AM7" i="1" s="1"/>
  <c r="AM8" i="1" s="1"/>
  <c r="AM9" i="1" s="1"/>
  <c r="AM10" i="1" s="1"/>
  <c r="AM11" i="1" s="1"/>
  <c r="AM12" i="1" s="1"/>
  <c r="AM13" i="1" s="1"/>
  <c r="AM14" i="1" s="1"/>
  <c r="AM15" i="1" s="1"/>
  <c r="AM16" i="1" s="1"/>
  <c r="AM17" i="1" s="1"/>
  <c r="AM18" i="1" s="1"/>
  <c r="AM19" i="1" s="1"/>
  <c r="AM20" i="1" s="1"/>
  <c r="AM21" i="1" s="1"/>
  <c r="AM22" i="1" s="1"/>
  <c r="AM23" i="1" s="1"/>
  <c r="AM24" i="1" s="1"/>
  <c r="AM25" i="1" s="1"/>
  <c r="AM26" i="1" s="1"/>
  <c r="AM27" i="1" s="1"/>
  <c r="AM28" i="1" s="1"/>
  <c r="AM29" i="1" s="1"/>
  <c r="AM30" i="1" s="1"/>
  <c r="AM31" i="1" s="1"/>
  <c r="AM32" i="1" s="1"/>
  <c r="AM33" i="1" s="1"/>
  <c r="AM34" i="1" s="1"/>
  <c r="AM35" i="1" s="1"/>
  <c r="AM36" i="1" s="1"/>
  <c r="AM37" i="1" s="1"/>
  <c r="AM38" i="1" s="1"/>
  <c r="AM39" i="1" s="1"/>
  <c r="AM40" i="1" s="1"/>
  <c r="AM41" i="1" s="1"/>
  <c r="AM42" i="1" s="1"/>
  <c r="AM43" i="1" s="1"/>
  <c r="AM44" i="1" s="1"/>
  <c r="AM45" i="1" s="1"/>
  <c r="AM46" i="1" s="1"/>
  <c r="AM47" i="1" s="1"/>
  <c r="AM48" i="1" s="1"/>
  <c r="AM49" i="1" s="1"/>
  <c r="AM50" i="1" s="1"/>
  <c r="AM51" i="1" s="1"/>
  <c r="AM52" i="1" s="1"/>
  <c r="AR5" i="1"/>
  <c r="AP6" i="1"/>
  <c r="AW28" i="1"/>
  <c r="AW51" i="1" s="1"/>
  <c r="AW6" i="1"/>
  <c r="AN7" i="1"/>
  <c r="AO6" i="1"/>
  <c r="P56" i="4" l="1"/>
  <c r="P58" i="4"/>
  <c r="I61" i="4"/>
  <c r="AX7" i="1"/>
  <c r="AV9" i="1"/>
  <c r="AX8" i="1"/>
  <c r="AU7" i="1"/>
  <c r="AT8" i="1"/>
  <c r="AW29" i="1"/>
  <c r="AW52" i="1" s="1"/>
  <c r="AW7" i="1"/>
  <c r="AP7" i="1"/>
  <c r="AR6" i="1"/>
  <c r="AN8" i="1"/>
  <c r="AO7" i="1"/>
  <c r="AS51" i="1"/>
  <c r="AS6" i="1"/>
  <c r="J61" i="4" l="1"/>
  <c r="K61" i="4" s="1"/>
  <c r="L61" i="4" s="1"/>
  <c r="M61" i="4" s="1"/>
  <c r="I63" i="4"/>
  <c r="Q56" i="4"/>
  <c r="Q58" i="4"/>
  <c r="AV10" i="1"/>
  <c r="AX9" i="1"/>
  <c r="AU8" i="1"/>
  <c r="AT9" i="1"/>
  <c r="AS29" i="1"/>
  <c r="AS52" i="1" s="1"/>
  <c r="AS7" i="1"/>
  <c r="AN9" i="1"/>
  <c r="AO8" i="1"/>
  <c r="AR7" i="1"/>
  <c r="AP8" i="1"/>
  <c r="AW30" i="1"/>
  <c r="AW8" i="1"/>
  <c r="J63" i="4" l="1"/>
  <c r="K63" i="4" s="1"/>
  <c r="L63" i="4" s="1"/>
  <c r="M63" i="4"/>
  <c r="R56" i="4"/>
  <c r="R58" i="4"/>
  <c r="AV11" i="1"/>
  <c r="AX10" i="1"/>
  <c r="AU9" i="1"/>
  <c r="AT10" i="1"/>
  <c r="AW31" i="1"/>
  <c r="AW9" i="1"/>
  <c r="AR8" i="1"/>
  <c r="AP9" i="1"/>
  <c r="AS30" i="1"/>
  <c r="AS8" i="1"/>
  <c r="AN10" i="1"/>
  <c r="AO9" i="1"/>
  <c r="AV12" i="1" l="1"/>
  <c r="AX11" i="1"/>
  <c r="AU10" i="1"/>
  <c r="AT11" i="1"/>
  <c r="AS31" i="1"/>
  <c r="AS9" i="1"/>
  <c r="AW32" i="1"/>
  <c r="AW10" i="1"/>
  <c r="AN11" i="1"/>
  <c r="AO10" i="1"/>
  <c r="AP10" i="1"/>
  <c r="AR9" i="1"/>
  <c r="AV13" i="1" l="1"/>
  <c r="AX12" i="1"/>
  <c r="AU11" i="1"/>
  <c r="AT12" i="1"/>
  <c r="AR10" i="1"/>
  <c r="AP11" i="1"/>
  <c r="AN12" i="1"/>
  <c r="AO11" i="1"/>
  <c r="AS32" i="1"/>
  <c r="AS10" i="1"/>
  <c r="AW33" i="1"/>
  <c r="AW11" i="1"/>
  <c r="AV14" i="1" l="1"/>
  <c r="AX13" i="1"/>
  <c r="AU12" i="1"/>
  <c r="AT13" i="1"/>
  <c r="AS33" i="1"/>
  <c r="AS11" i="1"/>
  <c r="AP12" i="1"/>
  <c r="AR11" i="1"/>
  <c r="AN13" i="1"/>
  <c r="AO12" i="1"/>
  <c r="AW34" i="1"/>
  <c r="AW12" i="1"/>
  <c r="AV15" i="1" l="1"/>
  <c r="AX14" i="1"/>
  <c r="AU13" i="1"/>
  <c r="AT14" i="1"/>
  <c r="AS34" i="1"/>
  <c r="AS12" i="1"/>
  <c r="AR12" i="1"/>
  <c r="AP13" i="1"/>
  <c r="AW35" i="1"/>
  <c r="AW13" i="1"/>
  <c r="AO13" i="1"/>
  <c r="AN14" i="1"/>
  <c r="AX15" i="1" l="1"/>
  <c r="AV16" i="1"/>
  <c r="AU14" i="1"/>
  <c r="AT15" i="1"/>
  <c r="AS35" i="1"/>
  <c r="AS13" i="1"/>
  <c r="AN15" i="1"/>
  <c r="AO14" i="1"/>
  <c r="AP14" i="1"/>
  <c r="AR13" i="1"/>
  <c r="AW36" i="1"/>
  <c r="AW14" i="1"/>
  <c r="AX16" i="1" l="1"/>
  <c r="AV17" i="1"/>
  <c r="AU15" i="1"/>
  <c r="AT16" i="1"/>
  <c r="AW37" i="1"/>
  <c r="AW15" i="1"/>
  <c r="AS36" i="1"/>
  <c r="AS14" i="1"/>
  <c r="AP15" i="1"/>
  <c r="AR14" i="1"/>
  <c r="AO15" i="1"/>
  <c r="AN16" i="1"/>
  <c r="AX17" i="1" l="1"/>
  <c r="AV18" i="1"/>
  <c r="AU16" i="1"/>
  <c r="AT17" i="1"/>
  <c r="AW38" i="1"/>
  <c r="AW16" i="1"/>
  <c r="AO16" i="1"/>
  <c r="AN17" i="1"/>
  <c r="AS37" i="1"/>
  <c r="AS15" i="1"/>
  <c r="AR15" i="1"/>
  <c r="AP16" i="1"/>
  <c r="AX18" i="1" l="1"/>
  <c r="AV19" i="1"/>
  <c r="AT18" i="1"/>
  <c r="AU17" i="1"/>
  <c r="AR16" i="1"/>
  <c r="AP17" i="1"/>
  <c r="AO17" i="1"/>
  <c r="AN18" i="1"/>
  <c r="AW39" i="1"/>
  <c r="AW17" i="1"/>
  <c r="AS38" i="1"/>
  <c r="AS16" i="1"/>
  <c r="AX19" i="1" l="1"/>
  <c r="AV20" i="1"/>
  <c r="AU18" i="1"/>
  <c r="AT19" i="1"/>
  <c r="AW40" i="1"/>
  <c r="AW18" i="1"/>
  <c r="AS39" i="1"/>
  <c r="AS17" i="1"/>
  <c r="AO18" i="1"/>
  <c r="AN19" i="1"/>
  <c r="AP18" i="1"/>
  <c r="AR17" i="1"/>
  <c r="AV21" i="1" l="1"/>
  <c r="AX20" i="1"/>
  <c r="AU19" i="1"/>
  <c r="AT20" i="1"/>
  <c r="AS40" i="1"/>
  <c r="AS18" i="1"/>
  <c r="AW41" i="1"/>
  <c r="AW19" i="1"/>
  <c r="AN20" i="1"/>
  <c r="AO19" i="1"/>
  <c r="AR18" i="1"/>
  <c r="AP19" i="1"/>
  <c r="AV22" i="1" l="1"/>
  <c r="AX21" i="1"/>
  <c r="AU20" i="1"/>
  <c r="AT21" i="1"/>
  <c r="AS41" i="1"/>
  <c r="AS19" i="1"/>
  <c r="AP20" i="1"/>
  <c r="AR19" i="1"/>
  <c r="AW42" i="1"/>
  <c r="AW20" i="1"/>
  <c r="AN21" i="1"/>
  <c r="AO20" i="1"/>
  <c r="AX22" i="1" l="1"/>
  <c r="AV23" i="1"/>
  <c r="AT22" i="1"/>
  <c r="AU21" i="1"/>
  <c r="AW43" i="1"/>
  <c r="AW21" i="1"/>
  <c r="AN22" i="1"/>
  <c r="AO21" i="1"/>
  <c r="AP21" i="1"/>
  <c r="AR20" i="1"/>
  <c r="AS42" i="1"/>
  <c r="AS20" i="1"/>
  <c r="AX23" i="1" l="1"/>
  <c r="AV24" i="1"/>
  <c r="AT23" i="1"/>
  <c r="AU22" i="1"/>
  <c r="AW44" i="1"/>
  <c r="AW22" i="1"/>
  <c r="AN23" i="1"/>
  <c r="AO22" i="1"/>
  <c r="AS43" i="1"/>
  <c r="AS21" i="1"/>
  <c r="AP22" i="1"/>
  <c r="AR21" i="1"/>
  <c r="AV25" i="1" l="1"/>
  <c r="AX24" i="1"/>
  <c r="AT24" i="1"/>
  <c r="AU23" i="1"/>
  <c r="AP23" i="1"/>
  <c r="AR22" i="1"/>
  <c r="AO23" i="1"/>
  <c r="AN24" i="1"/>
  <c r="AW45" i="1"/>
  <c r="AW23" i="1"/>
  <c r="AS44" i="1"/>
  <c r="AS22" i="1"/>
  <c r="AV26" i="1" l="1"/>
  <c r="AX25" i="1"/>
  <c r="AT25" i="1"/>
  <c r="AU24" i="1"/>
  <c r="AP24" i="1"/>
  <c r="AR23" i="1"/>
  <c r="AW46" i="1"/>
  <c r="AW24" i="1"/>
  <c r="AS45" i="1"/>
  <c r="AS23" i="1"/>
  <c r="AN25" i="1"/>
  <c r="AO24" i="1"/>
  <c r="AV27" i="1" l="1"/>
  <c r="AX26" i="1"/>
  <c r="AT26" i="1"/>
  <c r="AU25" i="1"/>
  <c r="AN26" i="1"/>
  <c r="AO25" i="1"/>
  <c r="AP25" i="1"/>
  <c r="AR24" i="1"/>
  <c r="AS46" i="1"/>
  <c r="AS24" i="1"/>
  <c r="AW47" i="1"/>
  <c r="AW25" i="1"/>
  <c r="AX27" i="1" l="1"/>
  <c r="AV28" i="1"/>
  <c r="AU26" i="1"/>
  <c r="AT27" i="1"/>
  <c r="AS47" i="1"/>
  <c r="AS25" i="1"/>
  <c r="AR25" i="1"/>
  <c r="AP26" i="1"/>
  <c r="AN27" i="1"/>
  <c r="AO26" i="1"/>
  <c r="AW48" i="1"/>
  <c r="AW26" i="1"/>
  <c r="AW49" i="1" s="1"/>
  <c r="AV29" i="1" l="1"/>
  <c r="AX28" i="1"/>
  <c r="AU27" i="1"/>
  <c r="AT28" i="1"/>
  <c r="AR26" i="1"/>
  <c r="AP27" i="1"/>
  <c r="AN28" i="1"/>
  <c r="AO27" i="1"/>
  <c r="AS48" i="1"/>
  <c r="AS26" i="1"/>
  <c r="AS49" i="1" s="1"/>
  <c r="AX29" i="1" l="1"/>
  <c r="AV30" i="1"/>
  <c r="AU28" i="1"/>
  <c r="AT29" i="1"/>
  <c r="AR27" i="1"/>
  <c r="AP28" i="1"/>
  <c r="AN29" i="1"/>
  <c r="AO28" i="1"/>
  <c r="AV31" i="1" l="1"/>
  <c r="AX30" i="1"/>
  <c r="AU29" i="1"/>
  <c r="AT30" i="1"/>
  <c r="AR28" i="1"/>
  <c r="AP29" i="1"/>
  <c r="AN30" i="1"/>
  <c r="AO29" i="1"/>
  <c r="AV32" i="1" l="1"/>
  <c r="AX31" i="1"/>
  <c r="AU30" i="1"/>
  <c r="AT31" i="1"/>
  <c r="AR29" i="1"/>
  <c r="AP30" i="1"/>
  <c r="AN31" i="1"/>
  <c r="AO30" i="1"/>
  <c r="AV33" i="1" l="1"/>
  <c r="AX32" i="1"/>
  <c r="AU31" i="1"/>
  <c r="AT32" i="1"/>
  <c r="AN32" i="1"/>
  <c r="AO31" i="1"/>
  <c r="AR30" i="1"/>
  <c r="AP31" i="1"/>
  <c r="AV34" i="1" l="1"/>
  <c r="AX33" i="1"/>
  <c r="AU32" i="1"/>
  <c r="AT33" i="1"/>
  <c r="AN33" i="1"/>
  <c r="AO32" i="1"/>
  <c r="AR31" i="1"/>
  <c r="AP32" i="1"/>
  <c r="AV35" i="1" l="1"/>
  <c r="AX34" i="1"/>
  <c r="AU33" i="1"/>
  <c r="AT34" i="1"/>
  <c r="AN34" i="1"/>
  <c r="AO33" i="1"/>
  <c r="AR32" i="1"/>
  <c r="AP33" i="1"/>
  <c r="AV36" i="1" l="1"/>
  <c r="AX35" i="1"/>
  <c r="AU34" i="1"/>
  <c r="AT35" i="1"/>
  <c r="AN35" i="1"/>
  <c r="AO34" i="1"/>
  <c r="AR33" i="1"/>
  <c r="AP34" i="1"/>
  <c r="AV37" i="1" l="1"/>
  <c r="AX36" i="1"/>
  <c r="AU35" i="1"/>
  <c r="AT36" i="1"/>
  <c r="AR34" i="1"/>
  <c r="AP35" i="1"/>
  <c r="AN36" i="1"/>
  <c r="AO35" i="1"/>
  <c r="AV38" i="1" l="1"/>
  <c r="AX37" i="1"/>
  <c r="AU36" i="1"/>
  <c r="AT37" i="1"/>
  <c r="AN37" i="1"/>
  <c r="AO36" i="1"/>
  <c r="AR35" i="1"/>
  <c r="AP36" i="1"/>
  <c r="AV39" i="1" l="1"/>
  <c r="AX38" i="1"/>
  <c r="AU37" i="1"/>
  <c r="AT38" i="1"/>
  <c r="AN38" i="1"/>
  <c r="AO37" i="1"/>
  <c r="AR36" i="1"/>
  <c r="AP37" i="1"/>
  <c r="AV40" i="1" l="1"/>
  <c r="AX39" i="1"/>
  <c r="AU38" i="1"/>
  <c r="AT39" i="1"/>
  <c r="AN39" i="1"/>
  <c r="AO38" i="1"/>
  <c r="AR37" i="1"/>
  <c r="AP38" i="1"/>
  <c r="AV41" i="1" l="1"/>
  <c r="AX40" i="1"/>
  <c r="AU39" i="1"/>
  <c r="AT40" i="1"/>
  <c r="AR38" i="1"/>
  <c r="AP39" i="1"/>
  <c r="AN40" i="1"/>
  <c r="AO39" i="1"/>
  <c r="AX41" i="1" l="1"/>
  <c r="AV42" i="1"/>
  <c r="AU40" i="1"/>
  <c r="AT41" i="1"/>
  <c r="AN41" i="1"/>
  <c r="AO40" i="1"/>
  <c r="AR39" i="1"/>
  <c r="AP40" i="1"/>
  <c r="AV43" i="1" l="1"/>
  <c r="AX42" i="1"/>
  <c r="AU41" i="1"/>
  <c r="AT42" i="1"/>
  <c r="AR40" i="1"/>
  <c r="AP41" i="1"/>
  <c r="AN42" i="1"/>
  <c r="AO41" i="1"/>
  <c r="AV44" i="1" l="1"/>
  <c r="AX43" i="1"/>
  <c r="AU42" i="1"/>
  <c r="AT43" i="1"/>
  <c r="AR41" i="1"/>
  <c r="AP42" i="1"/>
  <c r="AN43" i="1"/>
  <c r="AO42" i="1"/>
  <c r="AV45" i="1" l="1"/>
  <c r="AX44" i="1"/>
  <c r="AU43" i="1"/>
  <c r="AT44" i="1"/>
  <c r="AN44" i="1"/>
  <c r="AO43" i="1"/>
  <c r="AR42" i="1"/>
  <c r="AP43" i="1"/>
  <c r="AV46" i="1" l="1"/>
  <c r="AX45" i="1"/>
  <c r="AU44" i="1"/>
  <c r="AT45" i="1"/>
  <c r="AN45" i="1"/>
  <c r="AO44" i="1"/>
  <c r="AR43" i="1"/>
  <c r="AP44" i="1"/>
  <c r="AV47" i="1" l="1"/>
  <c r="AX46" i="1"/>
  <c r="AU45" i="1"/>
  <c r="AT46" i="1"/>
  <c r="AN46" i="1"/>
  <c r="AO45" i="1"/>
  <c r="AR44" i="1"/>
  <c r="AP45" i="1"/>
  <c r="AV48" i="1" l="1"/>
  <c r="AX47" i="1"/>
  <c r="AU46" i="1"/>
  <c r="AT47" i="1"/>
  <c r="AN47" i="1"/>
  <c r="AO46" i="1"/>
  <c r="AR45" i="1"/>
  <c r="AP46" i="1"/>
  <c r="AV49" i="1" l="1"/>
  <c r="AX48" i="1"/>
  <c r="AU47" i="1"/>
  <c r="AT48" i="1"/>
  <c r="AN48" i="1"/>
  <c r="AO47" i="1"/>
  <c r="AR46" i="1"/>
  <c r="AP47" i="1"/>
  <c r="AV50" i="1" l="1"/>
  <c r="AX49" i="1"/>
  <c r="AU48" i="1"/>
  <c r="AT49" i="1"/>
  <c r="AN49" i="1"/>
  <c r="AO48" i="1"/>
  <c r="AR47" i="1"/>
  <c r="AP48" i="1"/>
  <c r="AV51" i="1" l="1"/>
  <c r="AX50" i="1"/>
  <c r="AU49" i="1"/>
  <c r="AT50" i="1"/>
  <c r="AN50" i="1"/>
  <c r="AO49" i="1"/>
  <c r="AR48" i="1"/>
  <c r="AP49" i="1"/>
  <c r="AV52" i="1" l="1"/>
  <c r="AX52" i="1" s="1"/>
  <c r="AX51" i="1"/>
  <c r="AU50" i="1"/>
  <c r="AT51" i="1"/>
  <c r="AN51" i="1"/>
  <c r="AO50" i="1"/>
  <c r="AR49" i="1"/>
  <c r="AP50" i="1"/>
  <c r="AU51" i="1" l="1"/>
  <c r="AT52" i="1"/>
  <c r="AU52" i="1" s="1"/>
  <c r="AN52" i="1"/>
  <c r="AO52" i="1" s="1"/>
  <c r="AO51" i="1"/>
  <c r="AR50" i="1"/>
  <c r="AP51" i="1"/>
  <c r="AR51" i="1" l="1"/>
  <c r="AP52" i="1"/>
  <c r="AR5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khatam</author>
    <author>Pavilion</author>
    <author>Kata</author>
  </authors>
  <commentList>
    <comment ref="F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nhập 0.2 = L/5
nhập &gt;1 đơn vị tính mm</t>
        </r>
      </text>
    </comment>
    <comment ref="F2" authorId="1" shapeId="0" xr:uid="{00000000-0006-0000-0000-000002000000}">
      <text>
        <r>
          <rPr>
            <b/>
            <sz val="8"/>
            <color indexed="81"/>
            <rFont val="Tahoma"/>
            <family val="2"/>
          </rPr>
          <t>In layout</t>
        </r>
      </text>
    </comment>
    <comment ref="F3" authorId="1" shapeId="0" xr:uid="{00000000-0006-0000-0000-000003000000}">
      <text>
        <r>
          <rPr>
            <b/>
            <sz val="8"/>
            <color indexed="81"/>
            <rFont val="Tahoma"/>
            <family val="2"/>
          </rPr>
          <t>In layout</t>
        </r>
      </text>
    </comment>
    <comment ref="E8" authorId="1" shapeId="0" xr:uid="{00000000-0006-0000-0000-000004000000}">
      <text>
        <r>
          <rPr>
            <b/>
            <sz val="8"/>
            <color indexed="81"/>
            <rFont val="Tahoma"/>
            <family val="2"/>
          </rPr>
          <t>Hướng dẫn nhập:</t>
        </r>
        <r>
          <rPr>
            <sz val="8"/>
            <color indexed="81"/>
            <rFont val="Tahoma"/>
            <family val="2"/>
          </rPr>
          <t xml:space="preserve">
  "20f30": 20 cây phi 30</t>
        </r>
      </text>
    </comment>
    <comment ref="G8" authorId="1" shapeId="0" xr:uid="{00000000-0006-0000-0000-000005000000}">
      <text>
        <r>
          <rPr>
            <b/>
            <sz val="8"/>
            <color indexed="81"/>
            <rFont val="Tahoma"/>
            <family val="2"/>
          </rPr>
          <t>Hướng dẫn nhập:</t>
        </r>
        <r>
          <rPr>
            <sz val="8"/>
            <color indexed="81"/>
            <rFont val="Tahoma"/>
            <family val="2"/>
          </rPr>
          <t xml:space="preserve">
  "20f30": 20 cây phi 30</t>
        </r>
      </text>
    </comment>
    <comment ref="C11" authorId="2" shapeId="0" xr:uid="{00000000-0006-0000-0000-000006000000}">
      <text>
        <r>
          <rPr>
            <b/>
            <sz val="9"/>
            <color indexed="81"/>
            <rFont val="Tahoma"/>
            <family val="2"/>
          </rPr>
          <t>Kata:</t>
        </r>
        <r>
          <rPr>
            <sz val="9"/>
            <color indexed="81"/>
            <rFont val="Tahoma"/>
            <family val="2"/>
          </rPr>
          <t xml:space="preserve">
Nhập âm bóp 1 bên cho cột biên
Dương bóp đều 2 bên cho cột giữa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Pavilion</author>
    <author>Kata</author>
  </authors>
  <commentList>
    <comment ref="F2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In layout</t>
        </r>
      </text>
    </comment>
    <comment ref="F3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In layout</t>
        </r>
      </text>
    </comment>
    <comment ref="E8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Hướng dẫn nhập:</t>
        </r>
        <r>
          <rPr>
            <sz val="8"/>
            <color indexed="81"/>
            <rFont val="Tahoma"/>
            <family val="2"/>
          </rPr>
          <t xml:space="preserve">
  "20f30": 20 cây phi 30</t>
        </r>
      </text>
    </comment>
    <comment ref="G8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Hướng dẫn nhập:</t>
        </r>
        <r>
          <rPr>
            <sz val="8"/>
            <color indexed="81"/>
            <rFont val="Tahoma"/>
            <family val="2"/>
          </rPr>
          <t xml:space="preserve">
  "20f30": 20 cây phi 30</t>
        </r>
      </text>
    </comment>
    <comment ref="C11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Kata:</t>
        </r>
        <r>
          <rPr>
            <sz val="9"/>
            <color indexed="81"/>
            <rFont val="Tahoma"/>
            <family val="2"/>
          </rPr>
          <t xml:space="preserve">
Nhập âm bóp 1 bên cho cột biên
Dương bóp đều 2 bên cho cột giữa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Pavilion</author>
    <author>KhaTam</author>
    <author>Kata</author>
    <author>Admin</author>
    <author>a Tam dai ca</author>
  </authors>
  <commentList>
    <comment ref="B1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In layout</t>
        </r>
      </text>
    </comment>
    <comment ref="G1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Kéo thép gia cường tại vị trí có nhìu lớp thép gia cường bị cắt</t>
        </r>
      </text>
    </comment>
    <comment ref="B2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In layout</t>
        </r>
      </text>
    </comment>
    <comment ref="G5" authorId="2" shapeId="0" xr:uid="{00000000-0006-0000-0200-000004000000}">
      <text>
        <r>
          <rPr>
            <sz val="9"/>
            <color indexed="81"/>
            <rFont val="Tahoma"/>
            <family val="2"/>
          </rPr>
          <t>Nhập âm sẽ không vẽ đài ngang</t>
        </r>
      </text>
    </comment>
    <comment ref="H6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Thép kê nếu nhập
25: thép kê 25@2000</t>
        </r>
      </text>
    </comment>
    <comment ref="J9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Ví dụ nhập: 
30: thép chủ=30, đai=30-cd/2
30/20: thép chủ=30, đai=20</t>
        </r>
      </text>
    </comment>
    <comment ref="F19" authorId="3" shapeId="0" xr:uid="{00000000-0006-0000-0200-000007000000}">
      <text>
        <r>
          <rPr>
            <b/>
            <sz val="9"/>
            <color indexed="81"/>
            <rFont val="Tahoma"/>
            <family val="2"/>
          </rPr>
          <t>ví dụ 100;5f25 
mép trên giật lên 100 
thép chịu lực 5f25</t>
        </r>
      </text>
    </comment>
    <comment ref="H19" authorId="3" shapeId="0" xr:uid="{00000000-0006-0000-0200-000008000000}">
      <text>
        <r>
          <rPr>
            <b/>
            <sz val="9"/>
            <color indexed="81"/>
            <rFont val="Tahoma"/>
            <family val="2"/>
          </rPr>
          <t>ví dụ 100
mép trên giật lên 100 
thép chịu lực như cũ</t>
        </r>
      </text>
    </comment>
    <comment ref="F20" authorId="3" shapeId="0" xr:uid="{00000000-0006-0000-0200-000009000000}">
      <text>
        <r>
          <rPr>
            <b/>
            <sz val="9"/>
            <color indexed="81"/>
            <rFont val="Tahoma"/>
            <family val="2"/>
          </rPr>
          <t>ví dụ 2f12 
Cốt giá chuyển thành 2f12</t>
        </r>
      </text>
    </comment>
    <comment ref="H20" authorId="3" shapeId="0" xr:uid="{00000000-0006-0000-0200-00000A000000}">
      <text>
        <r>
          <rPr>
            <b/>
            <sz val="9"/>
            <color indexed="81"/>
            <rFont val="Tahoma"/>
            <family val="2"/>
          </rPr>
          <t>ví dụ 0 
không đặt cốt giá</t>
        </r>
      </text>
    </comment>
    <comment ref="A21" authorId="4" shapeId="0" xr:uid="{00000000-0006-0000-0200-00000B000000}">
      <text>
        <r>
          <rPr>
            <b/>
            <sz val="8"/>
            <color indexed="81"/>
            <rFont val="Tahoma"/>
            <family val="2"/>
          </rPr>
          <t>Ko nhập &gt; cột/2</t>
        </r>
      </text>
    </comment>
    <comment ref="F21" authorId="3" shapeId="0" xr:uid="{00000000-0006-0000-0200-00000C000000}">
      <text>
        <r>
          <rPr>
            <b/>
            <sz val="9"/>
            <color indexed="81"/>
            <rFont val="Tahoma"/>
            <family val="2"/>
          </rPr>
          <t>ví dụ -100;5f20 
mép dưới giật xuống 100 
thép chịu lực dưới 5f20</t>
        </r>
      </text>
    </comment>
    <comment ref="H21" authorId="3" shapeId="0" xr:uid="{00000000-0006-0000-0200-00000D000000}">
      <text>
        <r>
          <rPr>
            <b/>
            <sz val="9"/>
            <color indexed="81"/>
            <rFont val="Tahoma"/>
            <family val="2"/>
          </rPr>
          <t>ví dụ 100;5f20 
mép dưới giật lên 100 
thép chịu lực dưới 5f20</t>
        </r>
      </text>
    </comment>
    <comment ref="F22" authorId="3" shapeId="0" xr:uid="{00000000-0006-0000-0200-00000E000000}">
      <text>
        <r>
          <rPr>
            <b/>
            <sz val="9"/>
            <color indexed="81"/>
            <rFont val="Tahoma"/>
            <family val="2"/>
          </rPr>
          <t>ví dụ a100/200/50
Đai chịu lực: 
Đầu nhịp 100
Giữa nhịp 200
Cuối nhịp 50</t>
        </r>
      </text>
    </comment>
    <comment ref="H22" authorId="3" shapeId="0" xr:uid="{00000000-0006-0000-0200-00000F000000}">
      <text>
        <r>
          <rPr>
            <b/>
            <sz val="9"/>
            <color indexed="81"/>
            <rFont val="Tahoma"/>
            <family val="2"/>
          </rPr>
          <t>ví dụ a100/200
Đai chịu lực: 
Đầu nhịp 100
Giữa nhịp 200
Cuối nhịp 100</t>
        </r>
      </text>
    </comment>
    <comment ref="A23" authorId="4" shapeId="0" xr:uid="{00000000-0006-0000-0200-000010000000}">
      <text>
        <r>
          <rPr>
            <b/>
            <sz val="8"/>
            <color indexed="81"/>
            <rFont val="Tahoma"/>
            <family val="2"/>
          </rPr>
          <t>Ko nhập &gt; cột/2</t>
        </r>
      </text>
    </comment>
    <comment ref="F23" authorId="3" shapeId="0" xr:uid="{00000000-0006-0000-0200-000011000000}">
      <text>
        <r>
          <rPr>
            <b/>
            <sz val="9"/>
            <color indexed="81"/>
            <rFont val="Tahoma"/>
            <family val="2"/>
          </rPr>
          <t>ví dụ a100/200/50
Đai chịu gia cường: 
Đầu nhịp 100
Giữa nhịp 200
Cuối nhịp 50</t>
        </r>
      </text>
    </comment>
    <comment ref="H23" authorId="3" shapeId="0" xr:uid="{00000000-0006-0000-0200-000012000000}">
      <text>
        <r>
          <rPr>
            <b/>
            <sz val="9"/>
            <color indexed="81"/>
            <rFont val="Tahoma"/>
            <family val="2"/>
          </rPr>
          <t>ví dụ a100/200
Đai chịu gia cường: 
Đầu nhịp 100
Giữa nhịp 200
Cuối nhịp 100</t>
        </r>
      </text>
    </comment>
    <comment ref="C24" authorId="2" shapeId="0" xr:uid="{00000000-0006-0000-0200-000013000000}">
      <text>
        <r>
          <rPr>
            <b/>
            <sz val="9"/>
            <color indexed="81"/>
            <rFont val="Tahoma"/>
            <family val="2"/>
          </rPr>
          <t>Kata:</t>
        </r>
        <r>
          <rPr>
            <sz val="9"/>
            <color indexed="81"/>
            <rFont val="Tahoma"/>
            <family val="2"/>
          </rPr>
          <t xml:space="preserve">
Nhập 30 vẽ đai chống xoắn</t>
        </r>
      </text>
    </comment>
    <comment ref="K24" authorId="2" shapeId="0" xr:uid="{00000000-0006-0000-0200-000014000000}">
      <text>
        <r>
          <rPr>
            <b/>
            <sz val="9"/>
            <color indexed="81"/>
            <rFont val="Tahoma"/>
            <family val="2"/>
          </rPr>
          <t>Kata:</t>
        </r>
        <r>
          <rPr>
            <sz val="9"/>
            <color indexed="81"/>
            <rFont val="Tahoma"/>
            <family val="2"/>
          </rPr>
          <t xml:space="preserve">
Nhập * là không bố trí đai gia cường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Kata Nguyen</author>
  </authors>
  <commentList>
    <comment ref="D3" authorId="0" shapeId="0" xr:uid="{5F93F076-87CD-43B7-B466-2C08BD10CFED}">
      <text>
        <r>
          <rPr>
            <b/>
            <sz val="9"/>
            <color indexed="81"/>
            <rFont val="Tahoma"/>
            <family val="2"/>
          </rPr>
          <t>Bề rộng dầm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 shapeId="0" xr:uid="{B05EF046-7BFE-4C83-9698-EB5AC81A7885}">
      <text>
        <r>
          <rPr>
            <b/>
            <sz val="9"/>
            <color indexed="81"/>
            <rFont val="Tahoma"/>
            <family val="2"/>
          </rPr>
          <t>Chiều cao dầm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 xr:uid="{EE355D7D-ADD6-4848-8AA9-B815FED00630}">
      <text>
        <r>
          <rPr>
            <b/>
            <sz val="9"/>
            <color indexed="81"/>
            <rFont val="Tahoma"/>
            <family val="2"/>
          </rPr>
          <t>Thép chịu lực trên chạy suốt dầm lớp 1</t>
        </r>
      </text>
    </comment>
    <comment ref="G3" authorId="0" shapeId="0" xr:uid="{EE4660FA-3DBE-45A2-B644-2F36FF83F2D7}">
      <text>
        <r>
          <rPr>
            <b/>
            <sz val="9"/>
            <color indexed="81"/>
            <rFont val="Tahoma"/>
            <family val="2"/>
          </rPr>
          <t>Thép gia cường đầu dầm - trên lớp 1</t>
        </r>
      </text>
    </comment>
    <comment ref="H3" authorId="0" shapeId="0" xr:uid="{DFA6F8D4-A54A-4B99-8846-957BBC2FA764}">
      <text>
        <r>
          <rPr>
            <b/>
            <sz val="9"/>
            <color indexed="81"/>
            <rFont val="Tahoma"/>
            <family val="2"/>
          </rPr>
          <t>Thép gia cường đầu dầm - trên lớp 2</t>
        </r>
      </text>
    </comment>
    <comment ref="I3" authorId="0" shapeId="0" xr:uid="{A5B08124-033C-41DE-8AC2-75ACBE90D496}">
      <text>
        <r>
          <rPr>
            <b/>
            <sz val="9"/>
            <color indexed="81"/>
            <rFont val="Tahoma"/>
            <family val="2"/>
          </rPr>
          <t>Thép gia cường đầu dầm - trên lớp 3</t>
        </r>
      </text>
    </comment>
    <comment ref="J3" authorId="0" shapeId="0" xr:uid="{2188BC17-CF39-4548-ADF2-8B95D7F20177}">
      <text>
        <r>
          <rPr>
            <b/>
            <sz val="9"/>
            <color indexed="81"/>
            <rFont val="Tahoma"/>
            <family val="2"/>
          </rPr>
          <t>Thép chịu lực trên chạy suốt dầm lớp 1</t>
        </r>
      </text>
    </comment>
    <comment ref="K3" authorId="0" shapeId="0" xr:uid="{87229BCE-88EA-4EC6-8A0C-6F7C6D16FA2B}">
      <text>
        <r>
          <rPr>
            <b/>
            <sz val="9"/>
            <color indexed="81"/>
            <rFont val="Tahoma"/>
            <family val="2"/>
          </rPr>
          <t>Thép gia cường giữa dầm - trên lớp 1</t>
        </r>
      </text>
    </comment>
    <comment ref="L3" authorId="0" shapeId="0" xr:uid="{1FDAFB13-BAE0-4F7D-82EA-00BA8FFF3B11}">
      <text>
        <r>
          <rPr>
            <b/>
            <sz val="9"/>
            <color indexed="81"/>
            <rFont val="Tahoma"/>
            <family val="2"/>
          </rPr>
          <t>Thép gia cường giữa dầm - trên lớp 2</t>
        </r>
      </text>
    </comment>
    <comment ref="M3" authorId="0" shapeId="0" xr:uid="{54C732D8-6253-417D-804D-E2CC3489F851}">
      <text>
        <r>
          <rPr>
            <b/>
            <sz val="9"/>
            <color indexed="81"/>
            <rFont val="Tahoma"/>
            <family val="2"/>
          </rPr>
          <t>Thép gia cường giữa dầm - trên lớp 3</t>
        </r>
      </text>
    </comment>
    <comment ref="N3" authorId="0" shapeId="0" xr:uid="{50E319C8-43BC-4929-A57E-A5D0E64AAA6D}">
      <text>
        <r>
          <rPr>
            <b/>
            <sz val="9"/>
            <color indexed="81"/>
            <rFont val="Tahoma"/>
            <family val="2"/>
          </rPr>
          <t>Thép chịu lực trên chạy suốt dầm lớp 1</t>
        </r>
      </text>
    </comment>
    <comment ref="O3" authorId="0" shapeId="0" xr:uid="{A00CB372-7B8A-4260-8EC9-D14F0441D54B}">
      <text>
        <r>
          <rPr>
            <b/>
            <sz val="9"/>
            <color indexed="81"/>
            <rFont val="Tahoma"/>
            <family val="2"/>
          </rPr>
          <t>Thép gia cường cuối dầm - trên lớp 1</t>
        </r>
      </text>
    </comment>
    <comment ref="P3" authorId="0" shapeId="0" xr:uid="{B7497640-FCC0-4D3A-AAE7-6A6B602F6B91}">
      <text>
        <r>
          <rPr>
            <b/>
            <sz val="9"/>
            <color indexed="81"/>
            <rFont val="Tahoma"/>
            <family val="2"/>
          </rPr>
          <t>Thép gia cường cuối dầm - trên lớp 2</t>
        </r>
      </text>
    </comment>
    <comment ref="Q3" authorId="0" shapeId="0" xr:uid="{217A9DB3-4623-40EB-B9B5-120415503A37}">
      <text>
        <r>
          <rPr>
            <b/>
            <sz val="9"/>
            <color indexed="81"/>
            <rFont val="Tahoma"/>
            <family val="2"/>
          </rPr>
          <t>Thép gia cường cuối dầm - trên lớp 3</t>
        </r>
      </text>
    </comment>
    <comment ref="R3" authorId="0" shapeId="0" xr:uid="{5F647E98-B015-4318-848E-4C70D7336B10}">
      <text>
        <r>
          <rPr>
            <b/>
            <sz val="9"/>
            <color indexed="81"/>
            <rFont val="Tahoma"/>
            <family val="2"/>
          </rPr>
          <t>Thép chịu lực dưới chạy suốt dầm lớp 1</t>
        </r>
      </text>
    </comment>
    <comment ref="S3" authorId="0" shapeId="0" xr:uid="{2880BE23-7E51-46AC-8DA3-085FC0C5941E}">
      <text>
        <r>
          <rPr>
            <b/>
            <sz val="9"/>
            <color indexed="81"/>
            <rFont val="Tahoma"/>
            <family val="2"/>
          </rPr>
          <t>Thép gia cường đầu dầm - dưới lớp 1</t>
        </r>
      </text>
    </comment>
    <comment ref="T3" authorId="0" shapeId="0" xr:uid="{719EBB68-403A-4DBA-A0E8-7F46C1FA07FC}">
      <text>
        <r>
          <rPr>
            <b/>
            <sz val="9"/>
            <color indexed="81"/>
            <rFont val="Tahoma"/>
            <family val="2"/>
          </rPr>
          <t>Thép gia cường đầu dầm - dưới lớp 2</t>
        </r>
      </text>
    </comment>
    <comment ref="U3" authorId="0" shapeId="0" xr:uid="{B77DE80D-9BD3-4CCB-A4C6-B6855E8AA560}">
      <text>
        <r>
          <rPr>
            <b/>
            <sz val="9"/>
            <color indexed="81"/>
            <rFont val="Tahoma"/>
            <family val="2"/>
          </rPr>
          <t>Thép gia cường đầu dầm - dưới lớp 3</t>
        </r>
      </text>
    </comment>
    <comment ref="V3" authorId="0" shapeId="0" xr:uid="{924F4D62-6D07-4DDA-BA71-3A7AA11270FF}">
      <text>
        <r>
          <rPr>
            <b/>
            <sz val="9"/>
            <color indexed="81"/>
            <rFont val="Tahoma"/>
            <family val="2"/>
          </rPr>
          <t>Thép chịu lực dưới chạy suốt dầm lớp 1</t>
        </r>
      </text>
    </comment>
    <comment ref="W3" authorId="0" shapeId="0" xr:uid="{AEB46815-61F3-4AA7-BF15-FAF20B3F1C3E}">
      <text>
        <r>
          <rPr>
            <b/>
            <sz val="9"/>
            <color indexed="81"/>
            <rFont val="Tahoma"/>
            <family val="2"/>
          </rPr>
          <t>Thép gia cường giữa dầm - dưới lớp 1</t>
        </r>
      </text>
    </comment>
    <comment ref="X3" authorId="0" shapeId="0" xr:uid="{CBB67E01-9BD6-4338-87E3-2EE8A3B34BCE}">
      <text>
        <r>
          <rPr>
            <b/>
            <sz val="9"/>
            <color indexed="81"/>
            <rFont val="Tahoma"/>
            <family val="2"/>
          </rPr>
          <t>Thép gia cường giữa dầm - dưới lớp 2</t>
        </r>
      </text>
    </comment>
    <comment ref="Y3" authorId="0" shapeId="0" xr:uid="{B50DF69D-3328-4043-B087-BFBDEF95D1CA}">
      <text>
        <r>
          <rPr>
            <b/>
            <sz val="9"/>
            <color indexed="81"/>
            <rFont val="Tahoma"/>
            <family val="2"/>
          </rPr>
          <t>Thép gia cường giữa dầm - dưới lớp 3</t>
        </r>
      </text>
    </comment>
    <comment ref="Z3" authorId="0" shapeId="0" xr:uid="{14EF16CE-B997-4079-8251-87CD25C51BF4}">
      <text>
        <r>
          <rPr>
            <b/>
            <sz val="9"/>
            <color indexed="81"/>
            <rFont val="Tahoma"/>
            <family val="2"/>
          </rPr>
          <t>Thép chịu lực dưới chạy suốt dầm lớp 1</t>
        </r>
      </text>
    </comment>
    <comment ref="AA3" authorId="0" shapeId="0" xr:uid="{096FE206-3291-403D-9FD0-19664E3D9DC2}">
      <text>
        <r>
          <rPr>
            <b/>
            <sz val="9"/>
            <color indexed="81"/>
            <rFont val="Tahoma"/>
            <family val="2"/>
          </rPr>
          <t>Thép gia cường cuối dầm - dưới lớp 1</t>
        </r>
      </text>
    </comment>
    <comment ref="AB3" authorId="0" shapeId="0" xr:uid="{466A0245-8D96-4E30-8FF4-591FDE847771}">
      <text>
        <r>
          <rPr>
            <b/>
            <sz val="9"/>
            <color indexed="81"/>
            <rFont val="Tahoma"/>
            <family val="2"/>
          </rPr>
          <t>Thép gia cường cuối dầm - dưới lớp 2</t>
        </r>
      </text>
    </comment>
    <comment ref="AC3" authorId="0" shapeId="0" xr:uid="{3BF6FC11-AB0D-487E-A539-4B3C2D3A42EB}">
      <text>
        <r>
          <rPr>
            <b/>
            <sz val="9"/>
            <color indexed="81"/>
            <rFont val="Tahoma"/>
            <family val="2"/>
          </rPr>
          <t>Thép gia cường cuối dầm - dưới lớp 3</t>
        </r>
      </text>
    </comment>
    <comment ref="AD3" authorId="0" shapeId="0" xr:uid="{DB464AAA-932D-48F1-9ED0-36240F88D0B7}">
      <text>
        <r>
          <rPr>
            <b/>
            <sz val="9"/>
            <color indexed="81"/>
            <rFont val="Tahoma"/>
            <family val="2"/>
          </rPr>
          <t>Đường kính đai bao ngoài.</t>
        </r>
      </text>
    </comment>
    <comment ref="AE3" authorId="0" shapeId="0" xr:uid="{64198235-FCBC-4215-8398-20A0BE56FF21}">
      <text>
        <r>
          <rPr>
            <b/>
            <sz val="9"/>
            <color indexed="81"/>
            <rFont val="Tahoma"/>
            <family val="2"/>
          </rPr>
          <t>Khoảng cách đai đầu dầm của đai bao ngoài.</t>
        </r>
      </text>
    </comment>
    <comment ref="AF3" authorId="0" shapeId="0" xr:uid="{1EEF7EF5-3440-4FD3-ADC9-F67B0B2EE3E3}">
      <text>
        <r>
          <rPr>
            <b/>
            <sz val="9"/>
            <color indexed="81"/>
            <rFont val="Tahoma"/>
            <family val="2"/>
          </rPr>
          <t>Khoảng cách đai giữa dầm của đai bao ngoài.</t>
        </r>
      </text>
    </comment>
    <comment ref="AG3" authorId="0" shapeId="0" xr:uid="{1C4BF883-FA17-4BB7-A841-16345CCEC87B}">
      <text>
        <r>
          <rPr>
            <b/>
            <sz val="9"/>
            <color indexed="81"/>
            <rFont val="Tahoma"/>
            <family val="2"/>
          </rPr>
          <t>Khoảng cách đai cuối dầm của đai bao ngoài.</t>
        </r>
      </text>
    </comment>
    <comment ref="AH3" authorId="0" shapeId="0" xr:uid="{60521756-7338-4E1C-8EBB-437933072CD4}">
      <text>
        <r>
          <rPr>
            <b/>
            <sz val="9"/>
            <color indexed="81"/>
            <rFont val="Tahoma"/>
            <family val="2"/>
          </rPr>
          <t>Đường kính đai đứng bên trong.</t>
        </r>
      </text>
    </comment>
    <comment ref="AI3" authorId="0" shapeId="0" xr:uid="{474FC574-6D13-4D5C-A217-1B68D3633009}">
      <text>
        <r>
          <rPr>
            <b/>
            <sz val="9"/>
            <color indexed="81"/>
            <rFont val="Tahoma"/>
            <family val="2"/>
          </rPr>
          <t>Khoảng cách đai đầu dầm của đai đứng bên trong.</t>
        </r>
      </text>
    </comment>
    <comment ref="AJ3" authorId="0" shapeId="0" xr:uid="{BC8407C6-5661-4BF2-8FA2-FA20B391E0E8}">
      <text>
        <r>
          <rPr>
            <b/>
            <sz val="9"/>
            <color indexed="81"/>
            <rFont val="Tahoma"/>
            <family val="2"/>
          </rPr>
          <t>Khoảng cách đai giữa dầm của đai đứng bên trong.</t>
        </r>
      </text>
    </comment>
    <comment ref="AK3" authorId="0" shapeId="0" xr:uid="{96F0C2A7-D861-49F4-A33F-6AF082E98EEF}">
      <text>
        <r>
          <rPr>
            <b/>
            <sz val="9"/>
            <color indexed="81"/>
            <rFont val="Tahoma"/>
            <family val="2"/>
          </rPr>
          <t>Khoảng cách đai cuối dầm của đai đứng bên trong.</t>
        </r>
      </text>
    </comment>
    <comment ref="AL3" authorId="0" shapeId="0" xr:uid="{85909423-8291-4585-937A-668982C598A4}">
      <text>
        <r>
          <rPr>
            <b/>
            <sz val="9"/>
            <color indexed="81"/>
            <rFont val="Tahoma"/>
            <family val="2"/>
          </rPr>
          <t>Đai chữ nhật và 2 vị trí đặt theo thứ tự thép trên lớp 1.</t>
        </r>
      </text>
    </comment>
    <comment ref="AM3" authorId="0" shapeId="0" xr:uid="{29B219AE-46C5-4101-B658-5C8E96EB17E0}">
      <text>
        <r>
          <rPr>
            <b/>
            <sz val="9"/>
            <color indexed="81"/>
            <rFont val="Tahoma"/>
            <family val="2"/>
          </rPr>
          <t>Đai C và vị trí đặt theo thứ tự thép trên lớp 1.</t>
        </r>
      </text>
    </comment>
    <comment ref="AN3" authorId="0" shapeId="0" xr:uid="{02791DB4-5EED-4488-B563-87CEB06B1681}">
      <text>
        <r>
          <rPr>
            <b/>
            <sz val="9"/>
            <color indexed="81"/>
            <rFont val="Tahoma"/>
            <family val="2"/>
          </rPr>
          <t>Đai U và 2 vị trí đặt theo thứ tự thép trên lớp 1.</t>
        </r>
      </text>
    </comment>
    <comment ref="AO3" authorId="0" shapeId="0" xr:uid="{E4BC78ED-F03A-4B39-97D5-433B50654BC4}">
      <text>
        <r>
          <rPr>
            <b/>
            <sz val="9"/>
            <color indexed="81"/>
            <rFont val="Tahoma"/>
            <family val="2"/>
          </rPr>
          <t>Thép giá; thép hông.</t>
        </r>
      </text>
    </comment>
    <comment ref="AP3" authorId="0" shapeId="0" xr:uid="{EAB4BE18-8901-4624-AF41-5F0F264AAD77}">
      <text>
        <r>
          <rPr>
            <b/>
            <sz val="9"/>
            <color indexed="81"/>
            <rFont val="Tahoma"/>
            <family val="2"/>
          </rPr>
          <t>Đai C đỡ cốt giá.</t>
        </r>
      </text>
    </comment>
    <comment ref="AQ3" authorId="0" shapeId="0" xr:uid="{8AE709A4-3FA1-4325-BCF5-7DA2C825AC18}">
      <text>
        <r>
          <rPr>
            <b/>
            <sz val="9"/>
            <color indexed="81"/>
            <rFont val="Tahoma"/>
            <family val="2"/>
          </rPr>
          <t>Thép kê giữa các lớp thép chịu lực.</t>
        </r>
      </text>
    </comment>
    <comment ref="AR3" authorId="0" shapeId="0" xr:uid="{88F9A299-F0A2-4926-B30B-88968EF63333}">
      <text>
        <r>
          <rPr>
            <b/>
            <sz val="9"/>
            <color indexed="81"/>
            <rFont val="Tahoma"/>
            <family val="2"/>
          </rPr>
          <t>chiều dài nối đai chống xoắn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MR-NGAN</author>
  </authors>
  <commentList>
    <comment ref="S11" authorId="0" shapeId="0" xr:uid="{8B71AA23-CC31-4CE2-A110-61E555F74FFF}">
      <text>
        <r>
          <rPr>
            <sz val="9"/>
            <color indexed="81"/>
            <rFont val="Tahoma"/>
            <family val="2"/>
          </rPr>
          <t xml:space="preserve">6.2.2.3 tcxd 356
</t>
        </r>
      </text>
    </comment>
  </commentList>
</comments>
</file>

<file path=xl/sharedStrings.xml><?xml version="1.0" encoding="utf-8"?>
<sst xmlns="http://schemas.openxmlformats.org/spreadsheetml/2006/main" count="886" uniqueCount="491">
  <si>
    <t>Bề rộng dầm (mm)</t>
  </si>
  <si>
    <t>1:40</t>
  </si>
  <si>
    <t>1:50</t>
  </si>
  <si>
    <t>1:70</t>
  </si>
  <si>
    <t>1:100</t>
  </si>
  <si>
    <t>Chiều dày sàn (mm)</t>
  </si>
  <si>
    <t>Tỷ lệ bản vẽ cột</t>
  </si>
  <si>
    <t>1:20</t>
  </si>
  <si>
    <t>1:25</t>
  </si>
  <si>
    <t>1:30</t>
  </si>
  <si>
    <t>Cạnh b</t>
  </si>
  <si>
    <t>Số thứ tự</t>
  </si>
  <si>
    <t>Tọa độ thép b1</t>
  </si>
  <si>
    <t>Tọa độ thép h1</t>
  </si>
  <si>
    <t>Tọa độ thép b2</t>
  </si>
  <si>
    <t>Tọa độ thép h2</t>
  </si>
  <si>
    <t>Tỷ lệ vẽ mặt cắt</t>
  </si>
  <si>
    <t>Lớp 1</t>
  </si>
  <si>
    <t>Lớp 2</t>
  </si>
  <si>
    <t>Số cấu kiện</t>
  </si>
  <si>
    <t>Cạnh h</t>
  </si>
  <si>
    <t>a150</t>
  </si>
  <si>
    <t>a200</t>
  </si>
  <si>
    <t>PILECAPS</t>
  </si>
  <si>
    <t>Cao trình đáy đài móng (m)</t>
  </si>
  <si>
    <t>S1</t>
  </si>
  <si>
    <t>TẦNG</t>
  </si>
  <si>
    <t>Chiều cao</t>
  </si>
  <si>
    <t>Số cây thép chịu lực</t>
  </si>
  <si>
    <t>Đường kính thép</t>
  </si>
  <si>
    <t>Vị trí nối thép</t>
  </si>
  <si>
    <t>Chiều cao dầm</t>
  </si>
  <si>
    <t>S2</t>
  </si>
  <si>
    <t>m</t>
  </si>
  <si>
    <t>Fix</t>
  </si>
  <si>
    <t>mm</t>
  </si>
  <si>
    <t>BASEMENT</t>
  </si>
  <si>
    <t>FLOOR 1</t>
  </si>
  <si>
    <t>Bao ngoai</t>
  </si>
  <si>
    <t>FLOOR 2</t>
  </si>
  <si>
    <t>FLOOR 3</t>
  </si>
  <si>
    <t>FLOOR 4</t>
  </si>
  <si>
    <t>FLOOR 5</t>
  </si>
  <si>
    <t>d=</t>
  </si>
  <si>
    <t>Mặt cắt bố trí thép chịu lực tầng</t>
  </si>
  <si>
    <t>fi thép</t>
  </si>
  <si>
    <t>Tổng thép</t>
  </si>
  <si>
    <t>Hàm lượng</t>
  </si>
  <si>
    <t>Ø</t>
  </si>
  <si>
    <t>µ=</t>
  </si>
  <si>
    <t>Tỷ lệ bản vẽ dầm</t>
  </si>
  <si>
    <t>Neo thép vùng kéo (d)</t>
  </si>
  <si>
    <t xml:space="preserve">Info Author: </t>
  </si>
  <si>
    <t>Tên dầm</t>
  </si>
  <si>
    <t>Neo thép vùng nén (d)</t>
  </si>
  <si>
    <t>Tam, Nguyen Kha</t>
  </si>
  <si>
    <t>Đường kính cốt giá</t>
  </si>
  <si>
    <t>Civil Engineer</t>
  </si>
  <si>
    <t>h dầm (mm)</t>
  </si>
  <si>
    <t>Số lớp cốt giá</t>
  </si>
  <si>
    <r>
      <rPr>
        <u/>
        <sz val="11"/>
        <color rgb="FF002060"/>
        <rFont val="Arial"/>
        <family val="2"/>
      </rPr>
      <t>Phone</t>
    </r>
    <r>
      <rPr>
        <sz val="11"/>
        <color rgb="FF002060"/>
        <rFont val="Arial"/>
        <family val="2"/>
      </rPr>
      <t>: 0985373800</t>
    </r>
  </si>
  <si>
    <t>b dầm (mm)</t>
  </si>
  <si>
    <t>Đường kính đai (mm)</t>
  </si>
  <si>
    <r>
      <rPr>
        <u/>
        <sz val="11"/>
        <color rgb="FF002060"/>
        <rFont val="Arial"/>
        <family val="2"/>
      </rPr>
      <t>Email</t>
    </r>
    <r>
      <rPr>
        <sz val="11"/>
        <color rgb="FF002060"/>
        <rFont val="Arial"/>
        <family val="2"/>
      </rPr>
      <t>: khatamxd@gmail.com</t>
    </r>
  </si>
  <si>
    <t>h sàn (mm)</t>
  </si>
  <si>
    <r>
      <t>Khoảng</t>
    </r>
    <r>
      <rPr>
        <sz val="10"/>
        <color theme="1"/>
        <rFont val="Arial"/>
        <family val="2"/>
      </rPr>
      <t xml:space="preserve"> cách đai </t>
    </r>
  </si>
  <si>
    <t>Gần gối</t>
  </si>
  <si>
    <r>
      <rPr>
        <u/>
        <sz val="11"/>
        <color rgb="FF002060"/>
        <rFont val="Arial"/>
        <family val="2"/>
      </rPr>
      <t>Work</t>
    </r>
    <r>
      <rPr>
        <sz val="11"/>
        <color rgb="FF002060"/>
        <rFont val="Arial"/>
        <family val="2"/>
      </rPr>
      <t xml:space="preserve">: Designing structure buildings and </t>
    </r>
  </si>
  <si>
    <t>Tên trục dầm</t>
  </si>
  <si>
    <t>giữa nhịp</t>
  </si>
  <si>
    <t>a500</t>
  </si>
  <si>
    <t>design spreadsheets link Excel with Autocad</t>
  </si>
  <si>
    <t>Độ lệch của trục</t>
  </si>
  <si>
    <t>Công xôn</t>
  </si>
  <si>
    <t>Cao trình dầm</t>
  </si>
  <si>
    <t>Cột</t>
  </si>
  <si>
    <t>Nhịp</t>
  </si>
  <si>
    <t xml:space="preserve">Cột </t>
  </si>
  <si>
    <t>Thép chịu lực trên</t>
  </si>
  <si>
    <t>Thép chịu lực dưới</t>
  </si>
  <si>
    <t>Thép gia cường trên</t>
  </si>
  <si>
    <t>lớp 1</t>
  </si>
  <si>
    <t>lớp 2</t>
  </si>
  <si>
    <t>Thép gia cường dưới</t>
  </si>
  <si>
    <t>Bề rộng dầm giao tại cột (mm)</t>
  </si>
  <si>
    <t>Độ lệch dầm giao so với tâm cột</t>
  </si>
  <si>
    <t>Tên các trục cột</t>
  </si>
  <si>
    <t>Độ lệch của trục so với tâm cột</t>
  </si>
  <si>
    <t>Đai □</t>
  </si>
  <si>
    <t>Đai C</t>
  </si>
  <si>
    <t>Đai U</t>
  </si>
  <si>
    <t>Bao</t>
  </si>
  <si>
    <t>x</t>
  </si>
  <si>
    <t>y</t>
  </si>
  <si>
    <t>y1</t>
  </si>
  <si>
    <t>x1</t>
  </si>
  <si>
    <t>x2</t>
  </si>
  <si>
    <t>y2</t>
  </si>
  <si>
    <t>lớp 3</t>
  </si>
  <si>
    <t>L từ mép cột</t>
  </si>
  <si>
    <t>L từ tâm cột</t>
  </si>
  <si>
    <t>a bảo vệ (mm)</t>
  </si>
  <si>
    <t>Giật mép trên dầm;thép chịu lực</t>
  </si>
  <si>
    <t>Thép trên</t>
  </si>
  <si>
    <t>Thép dưới</t>
  </si>
  <si>
    <t>Đai bao</t>
  </si>
  <si>
    <t>Đai □ Ver</t>
  </si>
  <si>
    <t>Đai □ Hor</t>
  </si>
  <si>
    <t>Đai C Ver</t>
  </si>
  <si>
    <t>Đai C Hor</t>
  </si>
  <si>
    <t>đk+kc</t>
  </si>
  <si>
    <t>tỷ lệ</t>
  </si>
  <si>
    <t>Số lượng</t>
  </si>
  <si>
    <t>d10a100/200</t>
  </si>
  <si>
    <t>d10a400</t>
  </si>
  <si>
    <t>Đai gc</t>
  </si>
  <si>
    <t>Đai gia cường tự bố trí</t>
  </si>
  <si>
    <t>d8a400</t>
  </si>
  <si>
    <t>TÊN CẤU KIỆN</t>
  </si>
  <si>
    <t>SỐ HIỆU</t>
  </si>
  <si>
    <t>HÌNH DÁNG VÀ KÍCH THƯỚC (mm)</t>
  </si>
  <si>
    <t>Ø (mm)</t>
  </si>
  <si>
    <t>SỐ C.KIỆN</t>
  </si>
  <si>
    <t>SỐ THANH</t>
  </si>
  <si>
    <t>MỘT CK</t>
  </si>
  <si>
    <t>TOÀN BỘ</t>
  </si>
  <si>
    <t>TỔNG</t>
  </si>
  <si>
    <t>CHIỀU DÀI</t>
  </si>
  <si>
    <t>TRỌNG LƯỢNG</t>
  </si>
  <si>
    <t>(m)</t>
  </si>
  <si>
    <t>(kg)</t>
  </si>
  <si>
    <t xml:space="preserve"> 1 THANH</t>
  </si>
  <si>
    <t>(mm)</t>
  </si>
  <si>
    <t>L1</t>
  </si>
  <si>
    <t>L2</t>
  </si>
  <si>
    <t>L3</t>
  </si>
  <si>
    <t>L4</t>
  </si>
  <si>
    <t>L5</t>
  </si>
  <si>
    <t>BẢNG THỐNG KÊ CỐT THÉP</t>
  </si>
  <si>
    <t>TỔNG HỢP CỐT THÉP</t>
  </si>
  <si>
    <t>ĐƯỜNG KÍNH</t>
  </si>
  <si>
    <t xml:space="preserve">CHIỀU DÀI </t>
  </si>
  <si>
    <t>NHÓM Ø&lt;=10</t>
  </si>
  <si>
    <t>NHÓM 10&lt;Ø&lt;=18</t>
  </si>
  <si>
    <t>NHÓM 18&lt;Ø</t>
  </si>
  <si>
    <t>Chiều dài 1 thanh ko kể nối thép</t>
  </si>
  <si>
    <t>DẠNG</t>
  </si>
  <si>
    <t>L6</t>
  </si>
  <si>
    <t>+3.300</t>
  </si>
  <si>
    <t>25/20</t>
  </si>
  <si>
    <t>Chiều dài</t>
  </si>
  <si>
    <t>Đoạn bẻ ke (d)</t>
  </si>
  <si>
    <t>2</t>
  </si>
  <si>
    <t>Ghi chú</t>
  </si>
  <si>
    <t>Mô tả cách cắt thép</t>
  </si>
  <si>
    <t>Tên cấu kiện</t>
  </si>
  <si>
    <t>Số hiệu</t>
  </si>
  <si>
    <t>BẢNG THỐNG KÊ CỐT THÉP CHỜ KẾT HỢP</t>
  </si>
  <si>
    <t>BẢNG HƯỚNG DẪN CẮT THÉP ĐÃ KẾT HỢP</t>
  </si>
  <si>
    <t>Kéo thép gia cường</t>
  </si>
  <si>
    <t>a bảo vệ thép chủ/đai</t>
  </si>
  <si>
    <t>Bề rộng vùng biên</t>
  </si>
  <si>
    <t>2/3</t>
  </si>
  <si>
    <t>V1</t>
  </si>
  <si>
    <t>C1</t>
  </si>
  <si>
    <t>Đai biên</t>
  </si>
  <si>
    <t>Đai tự bố trí</t>
  </si>
  <si>
    <t>Kích thước vách</t>
  </si>
  <si>
    <t>Cạnh dài</t>
  </si>
  <si>
    <t>Cạnh ngắn</t>
  </si>
  <si>
    <t>Biên</t>
  </si>
  <si>
    <t>Giữa</t>
  </si>
  <si>
    <t>Tên vách</t>
  </si>
  <si>
    <t>biên</t>
  </si>
  <si>
    <t>giữa</t>
  </si>
  <si>
    <t>S biên</t>
  </si>
  <si>
    <t>S giữa</t>
  </si>
  <si>
    <t>L từ mép dầm bẹt</t>
  </si>
  <si>
    <t>TỔNG/CẤU KIỆN</t>
  </si>
  <si>
    <t>Tên bản vẽ</t>
  </si>
  <si>
    <t>Hạng mục</t>
  </si>
  <si>
    <t>Diện tích (m2)
-A-</t>
  </si>
  <si>
    <t>Chiều dài (m)
-L-</t>
  </si>
  <si>
    <t>Chiều cao (m)
-H-</t>
  </si>
  <si>
    <t>Tổng diện tích (m2)</t>
  </si>
  <si>
    <t>Tổng chiều dài (m)</t>
  </si>
  <si>
    <t>Tổng thể tích (m3)</t>
  </si>
  <si>
    <t>Diện tích xung quanh (m2)</t>
  </si>
  <si>
    <t>(0)</t>
  </si>
  <si>
    <t>(1)</t>
  </si>
  <si>
    <t>(2)</t>
  </si>
  <si>
    <t>(3)</t>
  </si>
  <si>
    <t>(4)</t>
  </si>
  <si>
    <t>(5)</t>
  </si>
  <si>
    <t>(6) = (3)x(2)</t>
  </si>
  <si>
    <t>(7)=(4)x(2)</t>
  </si>
  <si>
    <t>(8)=(3)x(5)</t>
  </si>
  <si>
    <t>(9)=(4)x(5)</t>
  </si>
  <si>
    <t>Đoạn thừa</t>
  </si>
  <si>
    <t>BẢNG CẮT THÉP TÓM TẮT</t>
  </si>
  <si>
    <t>THÉP THÀNH PHẨM</t>
  </si>
  <si>
    <t>B01</t>
  </si>
  <si>
    <t>50/25</t>
  </si>
  <si>
    <t>2f20</t>
  </si>
  <si>
    <t>Tên block</t>
  </si>
  <si>
    <t>kata_block_Ten</t>
  </si>
  <si>
    <r>
      <t xml:space="preserve">Lệnh </t>
    </r>
    <r>
      <rPr>
        <sz val="11"/>
        <color rgb="FFFF0000"/>
        <rFont val="Calibri"/>
        <family val="2"/>
        <scheme val="minor"/>
      </rPr>
      <t>"ganblock"</t>
    </r>
  </si>
  <si>
    <t>KEY</t>
  </si>
  <si>
    <t>COLOR</t>
  </si>
  <si>
    <t>TAG PHỤ</t>
  </si>
  <si>
    <t>TEN</t>
  </si>
  <si>
    <t>MÀU</t>
  </si>
  <si>
    <t>CHU_THICH</t>
  </si>
  <si>
    <t>L từ tâm cột, tính từ tâm</t>
  </si>
  <si>
    <t>6f20</t>
  </si>
  <si>
    <t>3-4</t>
  </si>
  <si>
    <t>5</t>
  </si>
  <si>
    <t>0f12</t>
  </si>
  <si>
    <t>-</t>
  </si>
  <si>
    <t>*</t>
  </si>
  <si>
    <t>3f20</t>
  </si>
  <si>
    <t>2f20;2f16</t>
  </si>
  <si>
    <t>2f16</t>
  </si>
  <si>
    <t>1f12</t>
  </si>
  <si>
    <t>6f20;0</t>
  </si>
  <si>
    <t>6f25</t>
  </si>
  <si>
    <t>KHO THÉP TRƯỚC TỔ HỢP</t>
  </si>
  <si>
    <t>KHO THÉP SAU TỔ HỢP</t>
  </si>
  <si>
    <t>SỐ LƯỢNG</t>
  </si>
  <si>
    <t>TỔNG Ø6</t>
  </si>
  <si>
    <t>TỔNG Ø8</t>
  </si>
  <si>
    <t>30/100</t>
  </si>
  <si>
    <r>
      <t xml:space="preserve">VIẾT CHƯƠNG TRÌNH
</t>
    </r>
    <r>
      <rPr>
        <b/>
        <sz val="10"/>
        <color indexed="8"/>
        <rFont val="Arial"/>
        <family val="2"/>
      </rPr>
      <t>NGUYỄN KHẢ TAM</t>
    </r>
    <r>
      <rPr>
        <sz val="10"/>
        <color indexed="8"/>
        <rFont val="Arial"/>
        <family val="2"/>
      </rPr>
      <t xml:space="preserve">
Tel: 0985373800
 Mail: khatamxd@gmail.com; </t>
    </r>
  </si>
  <si>
    <t>Project:</t>
  </si>
  <si>
    <t>Item:</t>
  </si>
  <si>
    <t>CALCULATE BEAM</t>
  </si>
  <si>
    <t>Client:</t>
  </si>
  <si>
    <t>Caculated:</t>
  </si>
  <si>
    <t>NGUYỄN KHẢ TAM</t>
  </si>
  <si>
    <t>Location:</t>
  </si>
  <si>
    <t>Date:</t>
  </si>
  <si>
    <t>Article:</t>
  </si>
  <si>
    <t>Check:</t>
  </si>
  <si>
    <t>B15</t>
  </si>
  <si>
    <t>B20</t>
  </si>
  <si>
    <t>B25</t>
  </si>
  <si>
    <t>B30</t>
  </si>
  <si>
    <t>B35</t>
  </si>
  <si>
    <t>B40</t>
  </si>
  <si>
    <t>B45</t>
  </si>
  <si>
    <t xml:space="preserve"> Vật liệu </t>
  </si>
  <si>
    <t>Cường độ tính toán</t>
  </si>
  <si>
    <t>Hệ số giới hạn</t>
  </si>
  <si>
    <t xml:space="preserve">     Modul dan hoi</t>
  </si>
  <si>
    <t>Cấp bền bêtông</t>
  </si>
  <si>
    <r>
      <t>R</t>
    </r>
    <r>
      <rPr>
        <b/>
        <vertAlign val="subscript"/>
        <sz val="9"/>
        <rFont val="Arial"/>
        <family val="2"/>
      </rPr>
      <t xml:space="preserve">b </t>
    </r>
    <r>
      <rPr>
        <b/>
        <sz val="9"/>
        <rFont val="Arial"/>
        <family val="2"/>
      </rPr>
      <t xml:space="preserve">= </t>
    </r>
  </si>
  <si>
    <r>
      <t>R</t>
    </r>
    <r>
      <rPr>
        <b/>
        <vertAlign val="subscript"/>
        <sz val="9"/>
        <rFont val="Arial"/>
        <family val="2"/>
      </rPr>
      <t>bt</t>
    </r>
    <r>
      <rPr>
        <b/>
        <sz val="9"/>
        <rFont val="Arial"/>
        <family val="2"/>
      </rPr>
      <t>=</t>
    </r>
  </si>
  <si>
    <r>
      <t>a</t>
    </r>
    <r>
      <rPr>
        <b/>
        <vertAlign val="subscript"/>
        <sz val="9"/>
        <rFont val="Arial"/>
        <family val="2"/>
      </rPr>
      <t>R</t>
    </r>
    <r>
      <rPr>
        <b/>
        <sz val="9"/>
        <rFont val="Arial"/>
        <family val="2"/>
      </rPr>
      <t xml:space="preserve"> =</t>
    </r>
  </si>
  <si>
    <r>
      <t>E</t>
    </r>
    <r>
      <rPr>
        <b/>
        <vertAlign val="subscript"/>
        <sz val="9"/>
        <rFont val="Arial"/>
        <family val="2"/>
      </rPr>
      <t>s</t>
    </r>
    <r>
      <rPr>
        <b/>
        <sz val="9"/>
        <rFont val="Arial"/>
        <family val="2"/>
      </rPr>
      <t xml:space="preserve"> =</t>
    </r>
  </si>
  <si>
    <t>Thép  dọc</t>
  </si>
  <si>
    <r>
      <t>R</t>
    </r>
    <r>
      <rPr>
        <b/>
        <vertAlign val="subscript"/>
        <sz val="9"/>
        <rFont val="Arial"/>
        <family val="2"/>
      </rPr>
      <t>s</t>
    </r>
    <r>
      <rPr>
        <b/>
        <sz val="9"/>
        <rFont val="Arial"/>
        <family val="2"/>
      </rPr>
      <t xml:space="preserve"> = </t>
    </r>
  </si>
  <si>
    <r>
      <t>R</t>
    </r>
    <r>
      <rPr>
        <b/>
        <vertAlign val="subscript"/>
        <sz val="9"/>
        <rFont val="Arial"/>
        <family val="2"/>
      </rPr>
      <t>sc</t>
    </r>
    <r>
      <rPr>
        <b/>
        <sz val="9"/>
        <rFont val="Arial"/>
        <family val="2"/>
      </rPr>
      <t>=</t>
    </r>
  </si>
  <si>
    <r>
      <t>x</t>
    </r>
    <r>
      <rPr>
        <b/>
        <vertAlign val="subscript"/>
        <sz val="9"/>
        <rFont val="Arial"/>
        <family val="2"/>
      </rPr>
      <t>R</t>
    </r>
    <r>
      <rPr>
        <b/>
        <sz val="9"/>
        <rFont val="Arial"/>
        <family val="2"/>
      </rPr>
      <t xml:space="preserve"> =</t>
    </r>
  </si>
  <si>
    <r>
      <t>j</t>
    </r>
    <r>
      <rPr>
        <b/>
        <sz val="9"/>
        <rFont val="Arial"/>
        <family val="2"/>
      </rPr>
      <t>b1 =</t>
    </r>
    <r>
      <rPr>
        <b/>
        <sz val="9"/>
        <rFont val="Symbol"/>
        <family val="1"/>
        <charset val="2"/>
      </rPr>
      <t xml:space="preserve">    </t>
    </r>
  </si>
  <si>
    <t>Thép đai</t>
  </si>
  <si>
    <r>
      <t>R</t>
    </r>
    <r>
      <rPr>
        <b/>
        <vertAlign val="subscript"/>
        <sz val="9"/>
        <rFont val="Arial"/>
        <family val="2"/>
      </rPr>
      <t>sw</t>
    </r>
    <r>
      <rPr>
        <b/>
        <sz val="9"/>
        <rFont val="Arial"/>
        <family val="2"/>
      </rPr>
      <t xml:space="preserve">= </t>
    </r>
  </si>
  <si>
    <r>
      <t>a</t>
    </r>
    <r>
      <rPr>
        <b/>
        <vertAlign val="subscript"/>
        <sz val="9"/>
        <rFont val="Arial"/>
        <family val="2"/>
      </rPr>
      <t>bv</t>
    </r>
    <r>
      <rPr>
        <b/>
        <sz val="9"/>
        <rFont val="Arial"/>
        <family val="2"/>
      </rPr>
      <t>=</t>
    </r>
  </si>
  <si>
    <t>α =</t>
  </si>
  <si>
    <r>
      <t>E</t>
    </r>
    <r>
      <rPr>
        <b/>
        <vertAlign val="subscript"/>
        <sz val="9"/>
        <rFont val="Arial"/>
        <family val="2"/>
      </rPr>
      <t>b</t>
    </r>
    <r>
      <rPr>
        <b/>
        <sz val="9"/>
        <rFont val="Arial"/>
        <family val="2"/>
      </rPr>
      <t xml:space="preserve"> =</t>
    </r>
  </si>
  <si>
    <t>THÔNG SỐ TÍNH TOÁN CỐT THÉP</t>
  </si>
  <si>
    <t>Cấu kiện</t>
  </si>
  <si>
    <t>Tên Etabs</t>
  </si>
  <si>
    <t>b</t>
  </si>
  <si>
    <t>h</t>
  </si>
  <si>
    <t>Vị trí</t>
  </si>
  <si>
    <t>Tính toán thớ trên</t>
  </si>
  <si>
    <t>Tính toán thớ dưới</t>
  </si>
  <si>
    <t>Tính toán chịu cắt</t>
  </si>
  <si>
    <t>Kiểm tra</t>
  </si>
  <si>
    <t>M</t>
  </si>
  <si>
    <t>a'</t>
  </si>
  <si>
    <t>Hệ số</t>
  </si>
  <si>
    <r>
      <t>A</t>
    </r>
    <r>
      <rPr>
        <b/>
        <vertAlign val="subscript"/>
        <sz val="8"/>
        <rFont val="Arial"/>
        <family val="2"/>
      </rPr>
      <t>s</t>
    </r>
  </si>
  <si>
    <t>Thép chạy suốt</t>
  </si>
  <si>
    <t>Thép gia cường</t>
  </si>
  <si>
    <r>
      <t>A</t>
    </r>
    <r>
      <rPr>
        <b/>
        <vertAlign val="subscript"/>
        <sz val="8"/>
        <rFont val="Arial"/>
        <family val="2"/>
      </rPr>
      <t xml:space="preserve">s </t>
    </r>
    <r>
      <rPr>
        <b/>
        <sz val="8"/>
        <rFont val="Arial"/>
        <family val="2"/>
      </rPr>
      <t>tk</t>
    </r>
  </si>
  <si>
    <r>
      <t>m</t>
    </r>
    <r>
      <rPr>
        <b/>
        <vertAlign val="subscript"/>
        <sz val="9"/>
        <rFont val="Arial"/>
        <family val="2"/>
      </rPr>
      <t>tk</t>
    </r>
    <r>
      <rPr>
        <b/>
        <sz val="9"/>
        <rFont val="Arial"/>
        <family val="2"/>
      </rPr>
      <t>%</t>
    </r>
  </si>
  <si>
    <t>a</t>
  </si>
  <si>
    <t>Q</t>
  </si>
  <si>
    <t>Đai bố trí</t>
  </si>
  <si>
    <t>Số nhánh</t>
  </si>
  <si>
    <t>q</t>
  </si>
  <si>
    <r>
      <t>Q</t>
    </r>
    <r>
      <rPr>
        <b/>
        <vertAlign val="subscript"/>
        <sz val="8"/>
        <rFont val="Arial"/>
        <family val="2"/>
      </rPr>
      <t>db</t>
    </r>
  </si>
  <si>
    <t>(cm)</t>
  </si>
  <si>
    <t>KNm</t>
  </si>
  <si>
    <t xml:space="preserve"> a</t>
  </si>
  <si>
    <t>ξ</t>
  </si>
  <si>
    <r>
      <t>(cm</t>
    </r>
    <r>
      <rPr>
        <b/>
        <vertAlign val="superscript"/>
        <sz val="8"/>
        <rFont val="Arial"/>
        <family val="2"/>
      </rPr>
      <t>2</t>
    </r>
    <r>
      <rPr>
        <b/>
        <sz val="8"/>
        <rFont val="Arial"/>
        <family val="2"/>
      </rPr>
      <t>)</t>
    </r>
  </si>
  <si>
    <t>Lớp 3</t>
  </si>
  <si>
    <r>
      <t>(mm</t>
    </r>
    <r>
      <rPr>
        <b/>
        <vertAlign val="superscript"/>
        <sz val="8"/>
        <rFont val="Arial"/>
        <family val="2"/>
      </rPr>
      <t>2</t>
    </r>
    <r>
      <rPr>
        <b/>
        <sz val="8"/>
        <rFont val="Arial"/>
        <family val="2"/>
      </rPr>
      <t>)</t>
    </r>
  </si>
  <si>
    <t>kN</t>
  </si>
  <si>
    <t>kN/cm</t>
  </si>
  <si>
    <t>THÔNG SỐ THIẾT KẾ CỦA BÊ TÔNG TCVN 5574-2018</t>
  </si>
  <si>
    <t>Kí hiệu</t>
  </si>
  <si>
    <t>Định nghĩa</t>
  </si>
  <si>
    <t>Trích dẫn</t>
  </si>
  <si>
    <t>B10</t>
  </si>
  <si>
    <t>B22.5</t>
  </si>
  <si>
    <t>B50</t>
  </si>
  <si>
    <t>B55</t>
  </si>
  <si>
    <t>B60</t>
  </si>
  <si>
    <t>B70</t>
  </si>
  <si>
    <t>B80</t>
  </si>
  <si>
    <t>B90</t>
  </si>
  <si>
    <t>B100</t>
  </si>
  <si>
    <r>
      <t>R</t>
    </r>
    <r>
      <rPr>
        <b/>
        <vertAlign val="subscript"/>
        <sz val="12"/>
        <color theme="1"/>
        <rFont val="Calibri"/>
        <family val="2"/>
        <scheme val="minor"/>
      </rPr>
      <t>m</t>
    </r>
  </si>
  <si>
    <t>Cường độ chịu nén trung bình (MPa)</t>
  </si>
  <si>
    <t>Phụ lục A.2</t>
  </si>
  <si>
    <t>B</t>
  </si>
  <si>
    <t>Cấp độ chịu nén đặc trưng (MPa)</t>
  </si>
  <si>
    <t>Phụ lục A.1</t>
  </si>
  <si>
    <r>
      <t>R</t>
    </r>
    <r>
      <rPr>
        <b/>
        <vertAlign val="subscript"/>
        <sz val="12"/>
        <color theme="1"/>
        <rFont val="Calibri"/>
        <family val="2"/>
        <scheme val="minor"/>
      </rPr>
      <t xml:space="preserve">b,n </t>
    </r>
    <r>
      <rPr>
        <b/>
        <sz val="12"/>
        <color theme="1"/>
        <rFont val="Calibri"/>
        <family val="2"/>
        <scheme val="minor"/>
      </rPr>
      <t>= R</t>
    </r>
    <r>
      <rPr>
        <b/>
        <vertAlign val="subscript"/>
        <sz val="12"/>
        <color theme="1"/>
        <rFont val="Calibri"/>
        <family val="2"/>
        <scheme val="minor"/>
      </rPr>
      <t>b,ser</t>
    </r>
  </si>
  <si>
    <t>Cường độ nén tiêu chuẩn (MPa)</t>
  </si>
  <si>
    <t>Bảng 6</t>
  </si>
  <si>
    <r>
      <t>R</t>
    </r>
    <r>
      <rPr>
        <b/>
        <vertAlign val="subscript"/>
        <sz val="12"/>
        <color theme="1"/>
        <rFont val="Calibri"/>
        <family val="2"/>
        <scheme val="minor"/>
      </rPr>
      <t xml:space="preserve">bt,n </t>
    </r>
    <r>
      <rPr>
        <b/>
        <sz val="12"/>
        <color theme="1"/>
        <rFont val="Calibri"/>
        <family val="2"/>
        <scheme val="minor"/>
      </rPr>
      <t>= R</t>
    </r>
    <r>
      <rPr>
        <b/>
        <vertAlign val="subscript"/>
        <sz val="12"/>
        <color theme="1"/>
        <rFont val="Calibri"/>
        <family val="2"/>
        <scheme val="minor"/>
      </rPr>
      <t>bt,ser</t>
    </r>
  </si>
  <si>
    <t>Cường độ kéo tiêu chuẩn (MPa)</t>
  </si>
  <si>
    <r>
      <t>R</t>
    </r>
    <r>
      <rPr>
        <b/>
        <vertAlign val="subscript"/>
        <sz val="12"/>
        <color theme="1"/>
        <rFont val="Calibri"/>
        <family val="2"/>
        <scheme val="minor"/>
      </rPr>
      <t>b</t>
    </r>
  </si>
  <si>
    <t>Cường độ chịu nén tính toán (MPa)</t>
  </si>
  <si>
    <t>Bảng 7</t>
  </si>
  <si>
    <r>
      <t>R</t>
    </r>
    <r>
      <rPr>
        <b/>
        <vertAlign val="subscript"/>
        <sz val="12"/>
        <color theme="1"/>
        <rFont val="Calibri"/>
        <family val="2"/>
        <scheme val="minor"/>
      </rPr>
      <t>bt</t>
    </r>
  </si>
  <si>
    <t>Cường độ chịu kéo tính toán (MPa)</t>
  </si>
  <si>
    <r>
      <t>E</t>
    </r>
    <r>
      <rPr>
        <b/>
        <vertAlign val="subscript"/>
        <sz val="12"/>
        <color theme="1"/>
        <rFont val="Calibri"/>
        <family val="2"/>
        <scheme val="minor"/>
      </rPr>
      <t>b</t>
    </r>
  </si>
  <si>
    <t>Mô đun đàn hồi ban đầu (MPa)</t>
  </si>
  <si>
    <t>Bảng 10</t>
  </si>
  <si>
    <r>
      <rPr>
        <b/>
        <sz val="12"/>
        <color theme="1"/>
        <rFont val="Symbol"/>
        <family val="1"/>
        <charset val="2"/>
      </rPr>
      <t>j</t>
    </r>
    <r>
      <rPr>
        <b/>
        <vertAlign val="subscript"/>
        <sz val="12"/>
        <color theme="1"/>
        <rFont val="Calibri"/>
        <family val="2"/>
        <scheme val="minor"/>
      </rPr>
      <t>b,cr</t>
    </r>
  </si>
  <si>
    <t>Hế số từ biến của bê tông, độ ẩm tương đối &gt;75%</t>
  </si>
  <si>
    <t>Bảng 11</t>
  </si>
  <si>
    <t>Từ 45% đến 75 %</t>
  </si>
  <si>
    <t>Dưới 40%</t>
  </si>
  <si>
    <r>
      <rPr>
        <b/>
        <vertAlign val="subscript"/>
        <sz val="12"/>
        <color theme="1"/>
        <rFont val="Symbol"/>
        <family val="1"/>
        <charset val="2"/>
      </rPr>
      <t xml:space="preserve"> </t>
    </r>
    <r>
      <rPr>
        <b/>
        <sz val="12"/>
        <color theme="1"/>
        <rFont val="Symbol"/>
        <family val="1"/>
        <charset val="2"/>
      </rPr>
      <t>n</t>
    </r>
    <r>
      <rPr>
        <b/>
        <vertAlign val="subscript"/>
        <sz val="12"/>
        <color theme="1"/>
        <rFont val="Calibri"/>
        <family val="2"/>
        <scheme val="minor"/>
      </rPr>
      <t>b,P</t>
    </r>
  </si>
  <si>
    <t xml:space="preserve">Hệ số Poát xông </t>
  </si>
  <si>
    <t>mục 6.1.3.5</t>
  </si>
  <si>
    <r>
      <rPr>
        <b/>
        <sz val="12"/>
        <color theme="1"/>
        <rFont val="Symbol"/>
        <family val="1"/>
        <charset val="2"/>
      </rPr>
      <t xml:space="preserve"> a</t>
    </r>
    <r>
      <rPr>
        <b/>
        <vertAlign val="subscript"/>
        <sz val="12"/>
        <color theme="1"/>
        <rFont val="Calibri"/>
        <family val="2"/>
      </rPr>
      <t>bt</t>
    </r>
  </si>
  <si>
    <r>
      <t>Hệ số biến dạng nhiệt (biến thiên -40</t>
    </r>
    <r>
      <rPr>
        <vertAlign val="super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>C đến +50</t>
    </r>
    <r>
      <rPr>
        <vertAlign val="super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>C)</t>
    </r>
  </si>
  <si>
    <t>mục 6.1.3.6</t>
  </si>
  <si>
    <t>THÔNG SỐ THIẾT KẾ CỦA THÉP</t>
  </si>
  <si>
    <t>TCVN 1651-2018</t>
  </si>
  <si>
    <t>JIS G3112-2010</t>
  </si>
  <si>
    <t>CB240-T</t>
  </si>
  <si>
    <t>CB300-T</t>
  </si>
  <si>
    <t>CB300-V</t>
  </si>
  <si>
    <t>CB400-V</t>
  </si>
  <si>
    <t>CB500-V</t>
  </si>
  <si>
    <t>CB600-V</t>
  </si>
  <si>
    <t>SD295</t>
  </si>
  <si>
    <t>SD345</t>
  </si>
  <si>
    <t>SD390</t>
  </si>
  <si>
    <t>SD490</t>
  </si>
  <si>
    <r>
      <t>f</t>
    </r>
    <r>
      <rPr>
        <b/>
        <vertAlign val="subscript"/>
        <sz val="12"/>
        <color theme="1"/>
        <rFont val="Calibri"/>
        <family val="2"/>
        <scheme val="minor"/>
      </rPr>
      <t>u</t>
    </r>
  </si>
  <si>
    <t>Giới hạn bền</t>
  </si>
  <si>
    <t>Bảng C1</t>
  </si>
  <si>
    <r>
      <t>f</t>
    </r>
    <r>
      <rPr>
        <b/>
        <vertAlign val="subscript"/>
        <sz val="12"/>
        <color theme="1"/>
        <rFont val="Calibri"/>
        <family val="2"/>
        <scheme val="minor"/>
      </rPr>
      <t>y</t>
    </r>
  </si>
  <si>
    <t>Giới hạn chảy</t>
  </si>
  <si>
    <r>
      <t>R</t>
    </r>
    <r>
      <rPr>
        <b/>
        <vertAlign val="subscript"/>
        <sz val="12"/>
        <color theme="1"/>
        <rFont val="Calibri"/>
        <family val="2"/>
        <scheme val="minor"/>
      </rPr>
      <t xml:space="preserve">s,n </t>
    </r>
    <r>
      <rPr>
        <b/>
        <sz val="12"/>
        <color theme="1"/>
        <rFont val="Calibri"/>
        <family val="2"/>
        <scheme val="minor"/>
      </rPr>
      <t>= R</t>
    </r>
    <r>
      <rPr>
        <b/>
        <vertAlign val="subscript"/>
        <sz val="12"/>
        <color theme="1"/>
        <rFont val="Calibri"/>
        <family val="2"/>
        <scheme val="minor"/>
      </rPr>
      <t>s,ser</t>
    </r>
  </si>
  <si>
    <t>Cường độ kéo, nén tiêu chuẩn (MPa)</t>
  </si>
  <si>
    <t>Bảng 12</t>
  </si>
  <si>
    <r>
      <t>R</t>
    </r>
    <r>
      <rPr>
        <b/>
        <vertAlign val="subscript"/>
        <sz val="12"/>
        <color theme="1"/>
        <rFont val="Calibri"/>
        <family val="2"/>
        <scheme val="minor"/>
      </rPr>
      <t>s</t>
    </r>
    <r>
      <rPr>
        <b/>
        <sz val="12"/>
        <color theme="1"/>
        <rFont val="Calibri"/>
        <family val="2"/>
        <scheme val="minor"/>
      </rPr>
      <t/>
    </r>
  </si>
  <si>
    <t>Cường độ kéo tính toán (MPa)</t>
  </si>
  <si>
    <t>Bảng 13</t>
  </si>
  <si>
    <r>
      <t>R</t>
    </r>
    <r>
      <rPr>
        <b/>
        <vertAlign val="subscript"/>
        <sz val="12"/>
        <color theme="1"/>
        <rFont val="Calibri"/>
        <family val="2"/>
        <scheme val="minor"/>
      </rPr>
      <t xml:space="preserve">sc </t>
    </r>
  </si>
  <si>
    <t>Cường độ  nén tính toán (MPa)</t>
  </si>
  <si>
    <r>
      <t>R</t>
    </r>
    <r>
      <rPr>
        <b/>
        <vertAlign val="subscript"/>
        <sz val="12"/>
        <color theme="1"/>
        <rFont val="Calibri"/>
        <family val="2"/>
        <scheme val="minor"/>
      </rPr>
      <t>sw</t>
    </r>
  </si>
  <si>
    <t>Cường độ cắt tính toán</t>
  </si>
  <si>
    <t>Bảng 14</t>
  </si>
  <si>
    <r>
      <t>E</t>
    </r>
    <r>
      <rPr>
        <b/>
        <vertAlign val="subscript"/>
        <sz val="12"/>
        <color theme="1"/>
        <rFont val="Calibri"/>
        <family val="2"/>
        <scheme val="minor"/>
      </rPr>
      <t>s</t>
    </r>
  </si>
  <si>
    <t>Mô đun đàn hồi của thép</t>
  </si>
  <si>
    <t>Mục 6.2.3.3</t>
  </si>
  <si>
    <t>Cây</t>
  </si>
  <si>
    <t>KG</t>
  </si>
  <si>
    <t xml:space="preserve">CẤU KIỆN: </t>
  </si>
  <si>
    <t xml:space="preserve">ĐƠN HÀNG: </t>
  </si>
  <si>
    <t xml:space="preserve">KHÁCH HÀNG: </t>
  </si>
  <si>
    <t xml:space="preserve">DỰ ÁN: </t>
  </si>
  <si>
    <t xml:space="preserve">SỐ HIỆU: </t>
  </si>
  <si>
    <t>Thông tin dự án</t>
  </si>
  <si>
    <t>Có thể chèn hoặc xóa dòng khu vực này</t>
  </si>
  <si>
    <t>Hình dáng và kích thước</t>
  </si>
  <si>
    <t>Chiều dài thanh</t>
  </si>
  <si>
    <t>Số thanh</t>
  </si>
  <si>
    <t>Tổng chiều dài</t>
  </si>
  <si>
    <t>Khối lượng (tấn)</t>
  </si>
  <si>
    <t>1 CK</t>
  </si>
  <si>
    <t>Toàn bộ</t>
  </si>
  <si>
    <t>Tổng</t>
  </si>
  <si>
    <t>D≤10mm</t>
  </si>
  <si>
    <t>D≤18mm</t>
  </si>
  <si>
    <t>D&gt;18mm</t>
  </si>
  <si>
    <t>Dự án:</t>
  </si>
  <si>
    <t>Phần:</t>
  </si>
  <si>
    <t>Chủ đầu tư:</t>
  </si>
  <si>
    <t>Thực hiện:</t>
  </si>
  <si>
    <t>Nguyễn Khả Tam</t>
  </si>
  <si>
    <t>Địa diểm</t>
  </si>
  <si>
    <t>Ngày:</t>
  </si>
  <si>
    <t>Hạng mục:</t>
  </si>
  <si>
    <t>Kiểm tra:</t>
  </si>
  <si>
    <r>
      <t xml:space="preserve">1. </t>
    </r>
    <r>
      <rPr>
        <b/>
        <i/>
        <u val="double"/>
        <sz val="11"/>
        <color theme="1"/>
        <rFont val="Arial"/>
        <family val="2"/>
      </rPr>
      <t>Vật liệu</t>
    </r>
    <r>
      <rPr>
        <b/>
        <i/>
        <sz val="11"/>
        <color theme="1"/>
        <rFont val="Arial"/>
        <family val="2"/>
      </rPr>
      <t>:</t>
    </r>
  </si>
  <si>
    <t>Chọn cấp độ bền bê tông</t>
  </si>
  <si>
    <t>(MPa)</t>
  </si>
  <si>
    <r>
      <t>E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 </t>
    </r>
  </si>
  <si>
    <t>Chọn cốt thép</t>
  </si>
  <si>
    <r>
      <t>R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=R</t>
    </r>
    <r>
      <rPr>
        <vertAlign val="subscript"/>
        <sz val="10"/>
        <rFont val="Arial"/>
        <family val="2"/>
      </rPr>
      <t xml:space="preserve">sc </t>
    </r>
    <r>
      <rPr>
        <sz val="10"/>
        <rFont val="Arial"/>
        <family val="2"/>
      </rPr>
      <t>=</t>
    </r>
  </si>
  <si>
    <r>
      <t>E</t>
    </r>
    <r>
      <rPr>
        <vertAlign val="subscript"/>
        <sz val="10"/>
        <rFont val="Arial"/>
        <family val="2"/>
      </rPr>
      <t xml:space="preserve">s </t>
    </r>
    <r>
      <rPr>
        <sz val="10"/>
        <rFont val="Arial"/>
        <family val="2"/>
      </rPr>
      <t>=</t>
    </r>
  </si>
  <si>
    <r>
      <t xml:space="preserve">2. </t>
    </r>
    <r>
      <rPr>
        <b/>
        <i/>
        <u val="double"/>
        <sz val="11"/>
        <color theme="1"/>
        <rFont val="Arial"/>
        <family val="2"/>
      </rPr>
      <t>Kiểm tra đài</t>
    </r>
    <r>
      <rPr>
        <b/>
        <i/>
        <sz val="11"/>
        <color theme="1"/>
        <rFont val="Arial"/>
        <family val="2"/>
      </rPr>
      <t>:</t>
    </r>
  </si>
  <si>
    <t>Công thức kiểm tra</t>
  </si>
  <si>
    <t>TÍNH TOÁN THÉP LỚP DƯỚI</t>
  </si>
  <si>
    <t>Momen sàn</t>
  </si>
  <si>
    <t>a(mm)</t>
  </si>
  <si>
    <r>
      <t>h</t>
    </r>
    <r>
      <rPr>
        <b/>
        <vertAlign val="subscript"/>
        <sz val="10"/>
        <color theme="1"/>
        <rFont val="Arial"/>
        <family val="2"/>
      </rPr>
      <t>o</t>
    </r>
  </si>
  <si>
    <r>
      <t>A</t>
    </r>
    <r>
      <rPr>
        <b/>
        <vertAlign val="subscript"/>
        <sz val="10"/>
        <color theme="1"/>
        <rFont val="Arial"/>
        <family val="2"/>
      </rPr>
      <t>s</t>
    </r>
  </si>
  <si>
    <t>Thép bố trí</t>
  </si>
  <si>
    <r>
      <t>A</t>
    </r>
    <r>
      <rPr>
        <b/>
        <vertAlign val="subscript"/>
        <sz val="10"/>
        <color theme="1"/>
        <rFont val="Arial"/>
        <family val="2"/>
      </rPr>
      <t xml:space="preserve">s </t>
    </r>
    <r>
      <rPr>
        <b/>
        <sz val="10"/>
        <color theme="1"/>
        <rFont val="Arial"/>
        <family val="2"/>
      </rPr>
      <t>đã Chọn</t>
    </r>
  </si>
  <si>
    <t>(kNm/m)</t>
  </si>
  <si>
    <r>
      <t>(mm</t>
    </r>
    <r>
      <rPr>
        <b/>
        <sz val="10"/>
        <color theme="1"/>
        <rFont val="Arial"/>
        <family val="2"/>
      </rPr>
      <t>)</t>
    </r>
  </si>
  <si>
    <r>
      <t>(mm</t>
    </r>
    <r>
      <rPr>
        <b/>
        <vertAlign val="super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>)</t>
    </r>
  </si>
  <si>
    <t>Phi</t>
  </si>
  <si>
    <t>TÍNH TOÁN THÉP LỚP TRÊN</t>
  </si>
  <si>
    <t>TÍNH TOÁN THÉP MÓNG</t>
  </si>
  <si>
    <t>Vị trí (strip)</t>
  </si>
  <si>
    <t>Chiều dày h(mm)</t>
  </si>
  <si>
    <t>X1-max</t>
  </si>
  <si>
    <t>Y1-min</t>
  </si>
  <si>
    <t>X1-min</t>
  </si>
  <si>
    <t>Y1-max</t>
  </si>
  <si>
    <r>
      <t xml:space="preserve">    Có: R</t>
    </r>
    <r>
      <rPr>
        <vertAlign val="subscript"/>
        <sz val="10"/>
        <rFont val="Arial"/>
        <family val="2"/>
      </rPr>
      <t>b</t>
    </r>
    <r>
      <rPr>
        <sz val="10"/>
        <rFont val="Arial"/>
        <family val="2"/>
      </rPr>
      <t xml:space="preserve"> = </t>
    </r>
  </si>
  <si>
    <t>MÓNG M1</t>
  </si>
  <si>
    <t>BẢNG THỐNG KÊ COUPLER</t>
  </si>
  <si>
    <t>KÍCH THƯỚC (mm)</t>
  </si>
  <si>
    <t>GHI CHÚ</t>
  </si>
  <si>
    <t>BẢNG NHẬP LIỆU THÉP DẦM ALL MBKC</t>
  </si>
  <si>
    <t>Mã dạng</t>
  </si>
  <si>
    <t>sldk</t>
  </si>
  <si>
    <t>dk</t>
  </si>
  <si>
    <t>kc</t>
  </si>
  <si>
    <t>SE</t>
  </si>
  <si>
    <t>SEC</t>
  </si>
  <si>
    <t>SEU</t>
  </si>
  <si>
    <t>lsldk;sldk</t>
  </si>
  <si>
    <t>dkkc</t>
  </si>
  <si>
    <t>ldkkc;dkkc</t>
  </si>
  <si>
    <t>T1.0</t>
  </si>
  <si>
    <t>T1.1</t>
  </si>
  <si>
    <t>T1.2</t>
  </si>
  <si>
    <t>T1.3</t>
  </si>
  <si>
    <t>T2.0</t>
  </si>
  <si>
    <t>T2.1</t>
  </si>
  <si>
    <t>T2.2</t>
  </si>
  <si>
    <t>T2.3</t>
  </si>
  <si>
    <t>T3.0</t>
  </si>
  <si>
    <t>T3.1</t>
  </si>
  <si>
    <t>T3.2</t>
  </si>
  <si>
    <t>T3.3</t>
  </si>
  <si>
    <t>B1.0</t>
  </si>
  <si>
    <t>B1.1</t>
  </si>
  <si>
    <t>B1.2</t>
  </si>
  <si>
    <t>B1.3</t>
  </si>
  <si>
    <t>B2.0</t>
  </si>
  <si>
    <t>B2.1</t>
  </si>
  <si>
    <t>B2.2</t>
  </si>
  <si>
    <t>B2.3</t>
  </si>
  <si>
    <t>B3.0</t>
  </si>
  <si>
    <t>B3.1</t>
  </si>
  <si>
    <t>B3.2</t>
  </si>
  <si>
    <t>B3.3</t>
  </si>
  <si>
    <t>DD</t>
  </si>
  <si>
    <t>S3</t>
  </si>
  <si>
    <t>DDE</t>
  </si>
  <si>
    <t>S1E</t>
  </si>
  <si>
    <t>S2E</t>
  </si>
  <si>
    <t>S3E</t>
  </si>
  <si>
    <t>GIA</t>
  </si>
  <si>
    <t>DGIA</t>
  </si>
  <si>
    <t>KE</t>
  </si>
  <si>
    <t>lap_xoan</t>
  </si>
  <si>
    <t>Height</t>
  </si>
  <si>
    <t>Width</t>
  </si>
  <si>
    <t>Span</t>
  </si>
  <si>
    <t>Name</t>
  </si>
  <si>
    <t>Handle Autocad</t>
  </si>
  <si>
    <t>400x500</t>
  </si>
  <si>
    <t>400x800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</si>
</sst>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3">
    <numFmt numFmtId="6" formatCode="&quot;$&quot;#,##0_);[Red]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#,##0.00;\-#,##0.00;"/>
    <numFmt numFmtId="167" formatCode="\Ø0;;"/>
    <numFmt numFmtId="168" formatCode="_-&quot;$&quot;* #,##0_-;\-&quot;$&quot;* #,##0_-;_-&quot;$&quot;* &quot;-&quot;_-;_-@_-"/>
    <numFmt numFmtId="169" formatCode="&quot;\&quot;#,##0.00;[Red]&quot;\&quot;&quot;\&quot;&quot;\&quot;&quot;\&quot;&quot;\&quot;&quot;\&quot;\-#,##0.00"/>
    <numFmt numFmtId="170" formatCode="&quot;\&quot;#,##0;[Red]&quot;\&quot;&quot;\&quot;\-#,##0"/>
    <numFmt numFmtId="171" formatCode="_(\$* #,##0.0000_);_(\$* \(#,##0.0000\);_(\$* \-??_);_(@_)"/>
    <numFmt numFmtId="172" formatCode="_ * #,##0_ ;_ * \-#,##0_ ;_ * \-_ ;_ @_ "/>
    <numFmt numFmtId="173" formatCode="_-* #,##0_-;\-* #,##0_-;_-* &quot;-&quot;_-;_-@_-"/>
    <numFmt numFmtId="174" formatCode="_-* #,##0.00_-;\-* #,##0.00_-;_-* &quot;-&quot;??_-;_-@_-"/>
    <numFmt numFmtId="175" formatCode="\$#,##0_);[Red]&quot;($&quot;#,##0\)"/>
    <numFmt numFmtId="176" formatCode="_-* #,##0_-;\-* #,##0_-;_-* \-_-;_-@_-"/>
    <numFmt numFmtId="177" formatCode="_(\$* #,##0_);_(\$* \(#,##0\);_(\$* \-_);_(@_)"/>
    <numFmt numFmtId="178" formatCode="_-* #,##0\ _F_-;\-* #,##0\ _F_-;_-* &quot;- &quot;_F_-;_-@_-"/>
    <numFmt numFmtId="179" formatCode="_-* #,##0&quot; F&quot;_-;\-* #,##0&quot; F&quot;_-;_-* &quot;- F&quot;_-;_-@_-"/>
    <numFmt numFmtId="180" formatCode="_-* #,##0&quot; $&quot;_-;\-* #,##0&quot; $&quot;_-;_-* &quot;- $&quot;_-;_-@_-"/>
    <numFmt numFmtId="181" formatCode="_-* #,##0&quot; $&quot;_-;_-* #,##0&quot; $-&quot;;_-* &quot;- $&quot;_-;_-@_-"/>
    <numFmt numFmtId="182" formatCode="_-* #,##0\$_-;_-* #,##0&quot;$-&quot;;_-* &quot;-$&quot;_-;_-@_-"/>
    <numFmt numFmtId="183" formatCode="_-\$* #,##0_-;&quot;-$&quot;* #,##0_-;_-\$* \-_-;_-@_-"/>
    <numFmt numFmtId="184" formatCode="_-\ñ* #,##0_-;&quot;-ñ&quot;* #,##0_-;_-\ñ* \-_-;_-@_-"/>
    <numFmt numFmtId="185" formatCode="_ * #,##0.00_ ;_ * \-#,##0.00_ ;_ * \-??_ ;_ @_ "/>
    <numFmt numFmtId="186" formatCode="_-* #,##0.00\ _V_N_D_-;\-* #,##0.00\ _V_N_D_-;_-* \-??\ _V_N_D_-;_-@_-"/>
    <numFmt numFmtId="187" formatCode="_-* #,##0.00\ _F_-;\-* #,##0.00\ _F_-;_-* \-??\ _F_-;_-@_-"/>
    <numFmt numFmtId="188" formatCode="_-* #,##0.00_-;\-* #,##0.00_-;_-* \-??_-;_-@_-"/>
    <numFmt numFmtId="189" formatCode="_-* #,##0.00\ _V_N_Ñ_-;_-* #,##0.00\ _V_N_Ñ\-;_-* \-??\ _V_N_Ñ_-;_-@_-"/>
    <numFmt numFmtId="190" formatCode="_(* #,##0.00_);_(* \(#,##0.00\);_(* \-??_);_(@_)"/>
    <numFmt numFmtId="191" formatCode="_-* #,##0.00_$_-;_-* #,##0.00_$\-;_-* \-??_$_-;_-@_-"/>
    <numFmt numFmtId="192" formatCode="_-* #,##0.00\ _$_-;_-* #,##0.00\ _$\-;_-* \-??\ _$_-;_-@_-"/>
    <numFmt numFmtId="193" formatCode="_-* #,##0.00\ _ñ_-;\-* #,##0.00\ _ñ_-;_-* \-??\ _ñ_-;_-@_-"/>
    <numFmt numFmtId="194" formatCode="_(&quot;$ &quot;* #,##0_);_(&quot;$ &quot;* \(#,##0\);_(&quot;$ &quot;* \-_);_(@_)"/>
    <numFmt numFmtId="195" formatCode="_-* #,##0&quot; ñ&quot;_-;\-* #,##0&quot; ñ&quot;_-;_-* &quot;- ñ&quot;_-;_-@_-"/>
    <numFmt numFmtId="196" formatCode="_-* #,##0\ _V_N_D_-;\-* #,##0\ _V_N_D_-;_-* &quot;- &quot;_V_N_D_-;_-@_-"/>
    <numFmt numFmtId="197" formatCode="_-* #,##0\ _V_N_Ñ_-;_-* #,##0\ _V_N_Ñ\-;_-* &quot;- &quot;_V_N_Ñ_-;_-@_-"/>
    <numFmt numFmtId="198" formatCode="_-* #,##0\ _$_-;\-* #,##0\ _$_-;_-* &quot;- &quot;_$_-;_-@_-"/>
    <numFmt numFmtId="199" formatCode="_(* #,##0_);_(* \(#,##0\);_(* \-_);_(@_)"/>
    <numFmt numFmtId="200" formatCode="_-* #,##0_$_-;_-* #,##0_$\-;_-* \-_$_-;_-@_-"/>
    <numFmt numFmtId="201" formatCode="_-* #,##0\ _$_-;_-* #,##0\ _$\-;_-* &quot;- &quot;_$_-;_-@_-"/>
    <numFmt numFmtId="202" formatCode="_-* #,##0\ _ñ_-;\-* #,##0\ _ñ_-;_-* &quot;- &quot;_ñ_-;_-@_-"/>
    <numFmt numFmtId="203" formatCode="_ \\* #,##0_ ;_ \\* \-#,##0_ ;_ \\* \-_ ;_ @_ "/>
    <numFmt numFmtId="204" formatCode="_(* #,##0.00_);_(* &quot;\\\(&quot;#,##0.00&quot;\\\)&quot;;_(* \-??_);_(@_)"/>
    <numFmt numFmtId="205" formatCode="_(* #,##0_);_(* &quot;\\\(&quot;#,##0&quot;\\\)&quot;;_(* \-_);_(@_)"/>
    <numFmt numFmtId="206" formatCode="\\#,##0.00;[Red]&quot;\\-&quot;#,##0.00"/>
    <numFmt numFmtId="207" formatCode="\\#,##0;[Red]&quot;\\-&quot;#,##0"/>
    <numFmt numFmtId="208" formatCode="#,##0.0;[Red]#,##0.0"/>
    <numFmt numFmtId="209" formatCode="&quot;SFr.&quot;\ #,##0.00;[Red]&quot;SFr.&quot;\ \-#,##0.00"/>
    <numFmt numFmtId="210" formatCode="&quot;SFr. &quot;#,##0.00;&quot;SFr. -&quot;#,##0.00"/>
    <numFmt numFmtId="211" formatCode="_ &quot;SFr.&quot;\ * #,##0_ ;_ &quot;SFr.&quot;\ * \-#,##0_ ;_ &quot;SFr.&quot;\ * &quot;-&quot;_ ;_ @_ "/>
    <numFmt numFmtId="212" formatCode="_ * #,##0_ ;_ * \-#,##0_ ;_ * &quot;-&quot;_ ;_ @_ "/>
    <numFmt numFmtId="213" formatCode="_ * #,##0.00_ ;_ * \-#,##0.00_ ;_ * &quot;-&quot;??_ ;_ @_ "/>
    <numFmt numFmtId="214" formatCode="ddd\ mmm\ d"/>
    <numFmt numFmtId="215" formatCode="_ \\* ###,0\.00_ ;_ \\* &quot;\\\\\\\\\\\\-&quot;###,0\.00_ ;_ \\* \-??_ ;_ @_ "/>
    <numFmt numFmtId="216" formatCode="_ * ###,0\.00_ ;_ * &quot;\\\\\\\\\\\\-&quot;###,0\.00_ ;_ * \-??_ ;_ @_ "/>
    <numFmt numFmtId="217" formatCode="\\#,##0;&quot;\\\\\\\\\\\\\\-&quot;#,##0"/>
    <numFmt numFmtId="218" formatCode="\\#,##0;[Red]&quot;\\\\\\\\\\\\\\-&quot;#,##0"/>
    <numFmt numFmtId="219" formatCode="_ * #,##0_ ;_ * &quot;\\\\\\\\\\\\-&quot;#,##0_ ;_ * \-_ ;_ @_ "/>
    <numFmt numFmtId="220" formatCode="\\###,0\.00;&quot;\\\\\\\\\\\\\\-&quot;###,0\.00"/>
    <numFmt numFmtId="221" formatCode="_-* #,##0.00\ &quot;F&quot;_-;\-* #,##0.00\ &quot;F&quot;_-;_-* &quot;-&quot;??\ &quot;F&quot;_-;_-@_-"/>
    <numFmt numFmtId="222" formatCode="#,##0.00_);\-#,##0.00_)"/>
    <numFmt numFmtId="223" formatCode="&quot;\&quot;#,##0.00;[Red]\-&quot;\&quot;#,##0.00"/>
    <numFmt numFmtId="224" formatCode="\$#,##0\ ;\(\$#,##0\)"/>
    <numFmt numFmtId="225" formatCode="_(* #,##0.00_);_(* \(#,##0.00\);_(* &quot;-&quot;_);_(@_)"/>
    <numFmt numFmtId="226" formatCode="&quot;\&quot;#,##0;\-&quot;\&quot;#,##0"/>
    <numFmt numFmtId="227" formatCode="_(\$* #,##0.00_);_(\$* \(#,##0.00\);_(\$* \-??_);_(@_)"/>
    <numFmt numFmtId="228" formatCode="0.0000%"/>
    <numFmt numFmtId="229" formatCode="_ * #,##0_)_$_ ;_ * \(#,##0\)_$_ ;_ * \-_)_$_ ;_ @_ "/>
    <numFmt numFmtId="230" formatCode="#,##0;[Red]#,##0"/>
    <numFmt numFmtId="231" formatCode="_-* #,##0\ _?_-;\-* #,##0\ _?_-;_-* &quot;- &quot;_?_-;_-@_-"/>
    <numFmt numFmtId="232" formatCode="_-* #,##0.00\ _?_-;\-* #,##0.00\ _?_-;_-* \-??\ _?_-;_-@_-"/>
    <numFmt numFmtId="233" formatCode="_-* #,##0\ _₫_-;\-* #,##0\ _₫_-;_-* &quot;- &quot;_₫_-;_-@_-"/>
    <numFmt numFmtId="234" formatCode="_-&quot;VND&quot;* #,##0_-;&quot;-VND&quot;* #,##0_-;_-&quot;VND&quot;* \-_-;_-@_-"/>
    <numFmt numFmtId="235" formatCode="_(&quot;Rp&quot;* #,##0.00_);_(&quot;Rp&quot;* \(#,##0.00\);_(&quot;Rp&quot;* \-??_);_(@_)"/>
    <numFmt numFmtId="236" formatCode="#,##0.00&quot; FB&quot;;[Red]\-#,##0.00&quot; FB&quot;"/>
    <numFmt numFmtId="237" formatCode="_-* #,##0.00\ _₫_-;\-* #,##0.00\ _₫_-;_-* \-??\ _₫_-;_-@_-"/>
    <numFmt numFmtId="238" formatCode="#,##0&quot; $&quot;;\-#,##0&quot; $&quot;"/>
    <numFmt numFmtId="239" formatCode="\$#,##0;&quot;-$&quot;#,##0"/>
    <numFmt numFmtId="240" formatCode="_-* #,##0\ _F_B_-;\-* #,##0\ _F_B_-;_-* &quot;- &quot;_F_B_-;_-@_-"/>
    <numFmt numFmtId="241" formatCode="#,##0_);\-#,##0_)"/>
    <numFmt numFmtId="242" formatCode="#."/>
    <numFmt numFmtId="243" formatCode="_(* #,##0.000000_);_(* \(#,##0.000000\);_(* \-??_);_(@_)"/>
    <numFmt numFmtId="244" formatCode="#,##0&quot; $&quot;_);\(#,##0&quot; $)&quot;"/>
    <numFmt numFmtId="245" formatCode="_ * #,##0.00_)\$_ ;_ * \(#,##0.00&quot;)$&quot;_ ;_ * \-??_)\$_ ;_ @_ "/>
    <numFmt numFmtId="246" formatCode="ddd\ dd\ mmm"/>
    <numFmt numFmtId="247" formatCode="_ * #,##0.00_)_$_ ;_ * \(#,##0.00\)_$_ ;_ * \-??_)_$_ ;_ @_ "/>
    <numFmt numFmtId="248" formatCode="#,##0&quot; $&quot;_);[Red]\(#,##0&quot; $)&quot;"/>
    <numFmt numFmtId="249" formatCode="\$###,0\.00_);[Red]&quot;($&quot;###,0\.00\)"/>
    <numFmt numFmtId="250" formatCode="0.000%"/>
    <numFmt numFmtId="251" formatCode="0.00_)"/>
    <numFmt numFmtId="252" formatCode="#,##0&quot; ₫&quot;;\-#,##0&quot; ₫&quot;"/>
    <numFmt numFmtId="253" formatCode="_ \\* #,##0_ ;_ \\* &quot;\\\\\\\\\\\\\\-&quot;#,##0_ ;_ \\* \-_ ;_ @_ "/>
    <numFmt numFmtId="254" formatCode="#,##0.00\ \ "/>
    <numFmt numFmtId="255" formatCode="\$#,##0;[Red]&quot;-$&quot;#,##0"/>
    <numFmt numFmtId="256" formatCode="_-\£* #,##0_-;&quot;-£&quot;* #,##0_-;_-\£* \-_-;_-@_-"/>
    <numFmt numFmtId="257" formatCode="_ * #,##0_ ;_ * \-#,##0_ ;_ * &quot;-&quot;??_ ;_ @_ "/>
    <numFmt numFmtId="258" formatCode="#,##0.00&quot;  &quot;"/>
    <numFmt numFmtId="259" formatCode="0.00000"/>
    <numFmt numFmtId="260" formatCode="#,##0.00\ &quot;F&quot;;[Red]\-#,##0.00\ &quot;F&quot;"/>
    <numFmt numFmtId="261" formatCode="#,##0.00&quot; F&quot;;[Red]\-#,##0.00&quot; F&quot;"/>
    <numFmt numFmtId="262" formatCode="_ * #,##0_ ;_ * \-#,##0_ ;_ * \-??_ ;_ @_ "/>
    <numFmt numFmtId="263" formatCode="\\###,0\.00;[Red]&quot;\\\\\\\\\\\\\\-&quot;###,0\.00"/>
    <numFmt numFmtId="264" formatCode="_ \\* #,##0_ ;_ \\* &quot;\\\\\\\\\\\\\-&quot;#,##0_ ;_ \\* \-_ ;_ @_ "/>
    <numFmt numFmtId="265" formatCode="#,##0.00\ "/>
    <numFmt numFmtId="266" formatCode="_-* ###,0\.00_-;\-* ###,0\.00_-;_-* \-??_-;_-@_-"/>
    <numFmt numFmtId="267" formatCode="_-\$* ###,0\.00_-;&quot;-$&quot;* ###,0\.00_-;_-\$* \-??_-;_-@_-"/>
    <numFmt numFmtId="268" formatCode="0\ \ \ \ "/>
    <numFmt numFmtId="269" formatCode="#,##0.00\ \ \ "/>
    <numFmt numFmtId="270" formatCode="\$#,##0_);&quot;($&quot;#,##0\)"/>
    <numFmt numFmtId="271" formatCode="_ * #,##0_)\$_ ;_ * \(#,##0&quot;)$&quot;_ ;_ * \-_)\$_ ;_ @_ "/>
    <numFmt numFmtId="272" formatCode="\\#,##0;&quot;\\\\\\\-&quot;#,##0"/>
    <numFmt numFmtId="273" formatCode="_-* #,##0_-;&quot;\&quot;\!\-* #,##0_-;_-* &quot;-&quot;_-;_-@_-"/>
    <numFmt numFmtId="274" formatCode="_-* #,##0.00\ _k_r_._-;\-* #,##0.00\ _k_r_._-;_-* &quot;-&quot;??\ _k_r_._-;_-@_-"/>
    <numFmt numFmtId="275" formatCode="_ \\* #,##0.00_ ;_ \\* \-#,##0.00_ ;_ \\* \-??_ ;_ @_ "/>
    <numFmt numFmtId="276" formatCode="_-&quot;$&quot;* #,##0.00_-;\-&quot;$&quot;* #,##0.00_-;_-&quot;$&quot;* &quot;-&quot;??_-;_-@_-"/>
    <numFmt numFmtId="277" formatCode="0.0&quot; Mpa&quot;"/>
    <numFmt numFmtId="278" formatCode="#&quot; Mpa&quot;"/>
    <numFmt numFmtId="279" formatCode="#&quot; mm&quot;"/>
    <numFmt numFmtId="280" formatCode="#.0E+0"/>
    <numFmt numFmtId="281" formatCode="##.0E+0"/>
  </numFmts>
  <fonts count="194">
    <font>
      <sz val="11"/>
      <color theme="1"/>
      <name val="Calibri"/>
      <family val="2"/>
      <scheme val="minor"/>
    </font>
    <font>
      <sz val="10"/>
      <color theme="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9"/>
      <color theme="1"/>
      <name val="VNI-Helve-Condense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VNI-Helve-Condense"/>
    </font>
    <font>
      <sz val="11"/>
      <color theme="1"/>
      <name val="VNI-Helve-Condense"/>
    </font>
    <font>
      <sz val="10"/>
      <color theme="0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color rgb="FF002060"/>
      <name val="Arial"/>
      <family val="2"/>
    </font>
    <font>
      <sz val="11"/>
      <color rgb="FF002060"/>
      <name val="Arial"/>
      <family val="2"/>
    </font>
    <font>
      <u/>
      <sz val="11"/>
      <color rgb="FF002060"/>
      <name val="Arial"/>
      <family val="2"/>
    </font>
    <font>
      <sz val="8"/>
      <color theme="1"/>
      <name val="Arial"/>
      <family val="2"/>
    </font>
    <font>
      <sz val="9"/>
      <color rgb="FFFF0000"/>
      <name val="Arial"/>
      <family val="2"/>
    </font>
    <font>
      <b/>
      <sz val="10"/>
      <name val="Arial"/>
      <family val="2"/>
    </font>
    <font>
      <sz val="11"/>
      <color theme="1"/>
      <name val="Arial"/>
      <family val="2"/>
    </font>
    <font>
      <sz val="10"/>
      <color theme="5" tint="-0.249977111117893"/>
      <name val="Arial"/>
      <family val="2"/>
    </font>
    <font>
      <sz val="9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b/>
      <sz val="9"/>
      <color indexed="81"/>
      <name val="Tahoma"/>
      <family val="2"/>
    </font>
    <font>
      <sz val="9"/>
      <color theme="1"/>
      <name val="Arial"/>
      <family val="2"/>
    </font>
    <font>
      <sz val="8"/>
      <color rgb="FF000000"/>
      <name val="Tahoma"/>
      <family val="2"/>
    </font>
    <font>
      <sz val="9"/>
      <color indexed="81"/>
      <name val="Tahoma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2"/>
      <color theme="0"/>
      <name val="Calibri"/>
      <family val="2"/>
    </font>
    <font>
      <b/>
      <sz val="9"/>
      <color theme="0"/>
      <name val="Arial"/>
      <family val="2"/>
    </font>
    <font>
      <sz val="12"/>
      <name val="VNI-Times"/>
    </font>
    <font>
      <sz val="10"/>
      <name val="VNI-Helve"/>
    </font>
    <font>
      <sz val="12"/>
      <name val="바탕체"/>
      <family val="1"/>
    </font>
    <font>
      <sz val="12"/>
      <name val="????"/>
      <family val="1"/>
      <charset val="136"/>
    </font>
    <font>
      <sz val="12"/>
      <name val="???"/>
      <family val="1"/>
      <charset val="129"/>
    </font>
    <font>
      <sz val="12"/>
      <name val="|??¢¥¢¬¨Ï"/>
      <family val="1"/>
      <charset val="129"/>
    </font>
    <font>
      <sz val="12"/>
      <name val="|??´¸ⓒ"/>
      <family val="1"/>
      <charset val="129"/>
    </font>
    <font>
      <sz val="10"/>
      <name val="MS Sans Serif"/>
      <family val="2"/>
    </font>
    <font>
      <sz val="10"/>
      <name val="VNI-Times"/>
    </font>
    <font>
      <sz val="10"/>
      <name val=".VnTime"/>
      <family val="2"/>
    </font>
    <font>
      <sz val="11"/>
      <name val="–¾’©"/>
      <family val="1"/>
      <charset val="128"/>
    </font>
    <font>
      <u/>
      <sz val="11"/>
      <color indexed="20"/>
      <name val="lr oSVbN"/>
      <family val="3"/>
    </font>
    <font>
      <u/>
      <sz val="11"/>
      <color indexed="12"/>
      <name val="lr oSVbN"/>
      <family val="3"/>
    </font>
    <font>
      <sz val="11"/>
      <name val="?? ?????"/>
      <family val="3"/>
    </font>
    <font>
      <b/>
      <u/>
      <sz val="14"/>
      <color indexed="8"/>
      <name val=".VnBook-AntiquaH"/>
      <family val="2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</font>
    <font>
      <sz val="12"/>
      <color indexed="8"/>
      <name val="新細明體"/>
      <family val="1"/>
      <charset val="136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1"/>
      <color theme="0"/>
      <name val="Calibri"/>
      <family val="2"/>
      <charset val="163"/>
      <scheme val="minor"/>
    </font>
    <font>
      <sz val="12"/>
      <color indexed="9"/>
      <name val="新細明體"/>
      <family val="1"/>
      <charset val="136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¹UAAA¼"/>
      <family val="3"/>
      <charset val="129"/>
    </font>
    <font>
      <sz val="8"/>
      <name val="Times New Roman"/>
      <family val="1"/>
    </font>
    <font>
      <sz val="12"/>
      <name val="¹ÙÅÁÃ¼"/>
      <charset val="129"/>
    </font>
    <font>
      <sz val="12"/>
      <name val="Times New Roman"/>
      <family val="1"/>
    </font>
    <font>
      <sz val="10"/>
      <name val="Times New Roman"/>
      <family val="1"/>
    </font>
    <font>
      <sz val="11"/>
      <name val="µ¸¿ò"/>
      <charset val="129"/>
    </font>
    <font>
      <b/>
      <sz val="10"/>
      <name val="Helv"/>
    </font>
    <font>
      <sz val="10"/>
      <name val="VNI-Aptima"/>
    </font>
    <font>
      <b/>
      <sz val="11"/>
      <name val="Times New Roman"/>
      <family val="1"/>
    </font>
    <font>
      <sz val="10"/>
      <name val="Arial"/>
      <family val="2"/>
      <charset val="1"/>
    </font>
    <font>
      <sz val="10"/>
      <name val="Arial"/>
      <family val="2"/>
      <charset val="163"/>
    </font>
    <font>
      <sz val="12"/>
      <name val="細明體"/>
      <family val="3"/>
      <charset val="136"/>
    </font>
    <font>
      <sz val="10"/>
      <name val="MS Serif"/>
      <family val="1"/>
    </font>
    <font>
      <sz val="10"/>
      <name val="Courier New"/>
      <family val="3"/>
    </font>
    <font>
      <sz val="12"/>
      <name val="???"/>
    </font>
    <font>
      <sz val="12"/>
      <name val="바탕체"/>
      <family val="1"/>
      <charset val="129"/>
    </font>
    <font>
      <sz val="10"/>
      <color indexed="8"/>
      <name val="Arial"/>
      <family val="2"/>
    </font>
    <font>
      <sz val="1"/>
      <color indexed="8"/>
      <name val="Courier New"/>
      <family val="3"/>
    </font>
    <font>
      <b/>
      <sz val="11"/>
      <color indexed="8"/>
      <name val="Calibri"/>
      <family val="2"/>
    </font>
    <font>
      <sz val="10"/>
      <color indexed="16"/>
      <name val="MS Serif"/>
      <family val="1"/>
    </font>
    <font>
      <sz val="10"/>
      <name val="VNI-Helve-Condense"/>
    </font>
    <font>
      <sz val="8"/>
      <name val="Arial"/>
      <family val="2"/>
    </font>
    <font>
      <b/>
      <sz val="12"/>
      <name val="Helv"/>
    </font>
    <font>
      <b/>
      <sz val="12"/>
      <name val="Arial"/>
      <family val="2"/>
    </font>
    <font>
      <b/>
      <sz val="1"/>
      <color indexed="8"/>
      <name val="Courier"/>
      <family val="3"/>
    </font>
    <font>
      <sz val="12"/>
      <name val=".VnTime"/>
      <family val="2"/>
    </font>
    <font>
      <sz val="11"/>
      <name val="VNI-Times"/>
    </font>
    <font>
      <b/>
      <sz val="11"/>
      <name val="Helv"/>
    </font>
    <font>
      <sz val="12"/>
      <name val="Arial"/>
      <family val="2"/>
    </font>
    <font>
      <sz val="7"/>
      <name val="Small Fonts"/>
      <family val="2"/>
    </font>
    <font>
      <b/>
      <sz val="12"/>
      <name val="VN-NTime"/>
    </font>
    <font>
      <b/>
      <i/>
      <sz val="16"/>
      <name val="Helv"/>
    </font>
    <font>
      <sz val="10"/>
      <name val="Arial CE"/>
      <family val="2"/>
      <charset val="238"/>
    </font>
    <font>
      <b/>
      <sz val="11"/>
      <color rgb="FF3F3F3F"/>
      <name val="Calibri"/>
      <family val="2"/>
      <charset val="163"/>
      <scheme val="minor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b/>
      <sz val="18"/>
      <color indexed="62"/>
      <name val="Cambria"/>
      <family val="2"/>
    </font>
    <font>
      <u/>
      <sz val="12"/>
      <color indexed="12"/>
      <name val="VNI-Times"/>
    </font>
    <font>
      <sz val="10"/>
      <name val="Helv"/>
      <family val="2"/>
    </font>
    <font>
      <sz val="10"/>
      <name val="VNbook-Antiqua"/>
      <family val="2"/>
    </font>
    <font>
      <b/>
      <sz val="8"/>
      <color indexed="8"/>
      <name val="Arial"/>
      <family val="2"/>
    </font>
    <font>
      <sz val="10"/>
      <name val="Symbol"/>
      <family val="1"/>
      <charset val="2"/>
    </font>
    <font>
      <sz val="13"/>
      <name val=".VnArial"/>
      <family val="2"/>
    </font>
    <font>
      <sz val="13"/>
      <name val=".VnTime"/>
      <family val="2"/>
    </font>
    <font>
      <sz val="10"/>
      <name val="VNI-Centur"/>
      <family val="2"/>
    </font>
    <font>
      <sz val="10"/>
      <name val="VNI-Univer"/>
    </font>
    <font>
      <sz val="8"/>
      <name val="VNI-Helve"/>
    </font>
    <font>
      <sz val="10"/>
      <name val=".VnArial Narrow"/>
      <family val="2"/>
    </font>
    <font>
      <sz val="10"/>
      <name val="VNtimes new roman"/>
      <family val="2"/>
    </font>
    <font>
      <sz val="10"/>
      <color indexed="8"/>
      <name val="MS Sans Serif"/>
      <family val="2"/>
    </font>
    <font>
      <b/>
      <sz val="12"/>
      <name val=".VnTime"/>
      <family val="2"/>
    </font>
    <font>
      <b/>
      <sz val="10"/>
      <name val=".VnTime"/>
      <family val="2"/>
    </font>
    <font>
      <sz val="9"/>
      <name val=".VnTime"/>
      <family val="2"/>
    </font>
    <font>
      <sz val="14"/>
      <name val=".VnArial"/>
      <family val="2"/>
    </font>
    <font>
      <sz val="16"/>
      <name val="AngsanaUPC"/>
      <family val="3"/>
    </font>
    <font>
      <sz val="10"/>
      <name val=" "/>
      <family val="1"/>
      <charset val="136"/>
    </font>
    <font>
      <sz val="14"/>
      <name val="뼻뮝"/>
      <family val="3"/>
      <charset val="129"/>
    </font>
    <font>
      <sz val="12"/>
      <name val="바탕체"/>
      <family val="3"/>
    </font>
    <font>
      <sz val="12"/>
      <name val="뼻뮝"/>
      <family val="1"/>
      <charset val="129"/>
    </font>
    <font>
      <sz val="11"/>
      <name val="돋움"/>
      <family val="3"/>
      <charset val="129"/>
    </font>
    <font>
      <sz val="10"/>
      <name val=".VnArial"/>
      <family val="2"/>
    </font>
    <font>
      <sz val="10"/>
      <name val="돋움체"/>
      <family val="3"/>
      <charset val="129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name val="Courier"/>
      <family val="3"/>
    </font>
    <font>
      <u/>
      <sz val="11"/>
      <color indexed="12"/>
      <name val=".VnTime"/>
      <family val="2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2"/>
      <color indexed="52"/>
      <name val="新細明體"/>
      <family val="1"/>
      <charset val="136"/>
    </font>
    <font>
      <u/>
      <sz val="11"/>
      <color indexed="20"/>
      <name val=".VnTime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Arial"/>
      <family val="2"/>
    </font>
    <font>
      <b/>
      <sz val="10"/>
      <color indexed="8"/>
      <name val="Arial"/>
      <family val="2"/>
    </font>
    <font>
      <b/>
      <u/>
      <sz val="14"/>
      <name val="Arial"/>
      <family val="2"/>
    </font>
    <font>
      <sz val="10"/>
      <color rgb="FFFF0000"/>
      <name val="Arial"/>
      <family val="2"/>
      <charset val="163"/>
    </font>
    <font>
      <i/>
      <u/>
      <sz val="10"/>
      <color theme="1"/>
      <name val="Arial"/>
      <family val="2"/>
    </font>
    <font>
      <b/>
      <sz val="9"/>
      <color theme="1"/>
      <name val="Arial"/>
      <family val="2"/>
    </font>
    <font>
      <i/>
      <u/>
      <sz val="9"/>
      <color theme="1"/>
      <name val="Arial"/>
      <family val="2"/>
    </font>
    <font>
      <sz val="10"/>
      <color theme="0"/>
      <name val="Arial"/>
      <family val="2"/>
      <charset val="163"/>
    </font>
    <font>
      <b/>
      <sz val="9"/>
      <name val="Arial"/>
      <family val="2"/>
    </font>
    <font>
      <b/>
      <sz val="9"/>
      <color rgb="FFFF0000"/>
      <name val="Arial"/>
      <family val="2"/>
    </font>
    <font>
      <b/>
      <vertAlign val="subscript"/>
      <sz val="9"/>
      <name val="Arial"/>
      <family val="2"/>
    </font>
    <font>
      <b/>
      <sz val="9"/>
      <name val="Symbol"/>
      <family val="1"/>
      <charset val="2"/>
    </font>
    <font>
      <b/>
      <u/>
      <sz val="12"/>
      <name val="Arial"/>
      <family val="2"/>
    </font>
    <font>
      <sz val="10"/>
      <color indexed="10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vertAlign val="subscript"/>
      <sz val="8"/>
      <name val="Arial"/>
      <family val="2"/>
    </font>
    <font>
      <b/>
      <sz val="7"/>
      <color theme="1"/>
      <name val="Arial"/>
      <family val="2"/>
    </font>
    <font>
      <b/>
      <sz val="8"/>
      <color theme="1"/>
      <name val="Symbol"/>
      <family val="1"/>
      <charset val="2"/>
    </font>
    <font>
      <b/>
      <vertAlign val="superscript"/>
      <sz val="8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Symbol"/>
      <family val="1"/>
      <charset val="2"/>
    </font>
    <font>
      <b/>
      <sz val="12"/>
      <color rgb="FFFF0000"/>
      <name val="Calibri"/>
      <family val="2"/>
      <scheme val="minor"/>
    </font>
    <font>
      <b/>
      <vertAlign val="subscript"/>
      <sz val="12"/>
      <color theme="1"/>
      <name val="Symbol"/>
      <family val="1"/>
      <charset val="2"/>
    </font>
    <font>
      <b/>
      <sz val="12"/>
      <color theme="1"/>
      <name val="Calibri"/>
      <family val="2"/>
    </font>
    <font>
      <b/>
      <vertAlign val="subscript"/>
      <sz val="12"/>
      <color theme="1"/>
      <name val="Calibri"/>
      <family val="2"/>
    </font>
    <font>
      <vertAlign val="superscript"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Times New Roman"/>
      <family val="1"/>
    </font>
    <font>
      <sz val="14"/>
      <color theme="1"/>
      <name val="Times New Roman"/>
      <family val="1"/>
    </font>
    <font>
      <b/>
      <sz val="48"/>
      <color theme="1"/>
      <name val="Times New Roman"/>
      <family val="1"/>
    </font>
    <font>
      <b/>
      <sz val="20"/>
      <color theme="1"/>
      <name val="Arial"/>
      <family val="2"/>
    </font>
    <font>
      <b/>
      <i/>
      <sz val="11"/>
      <color theme="1"/>
      <name val="Arial"/>
      <family val="2"/>
    </font>
    <font>
      <b/>
      <i/>
      <u val="double"/>
      <sz val="11"/>
      <color theme="1"/>
      <name val="Arial"/>
      <family val="2"/>
    </font>
    <font>
      <vertAlign val="subscript"/>
      <sz val="10"/>
      <name val="Arial"/>
      <family val="2"/>
    </font>
    <font>
      <b/>
      <vertAlign val="sub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sz val="11"/>
      <color theme="1"/>
      <name val="Symbol"/>
      <family val="1"/>
      <charset val="2"/>
    </font>
    <font>
      <sz val="10"/>
      <color theme="1"/>
      <name val="Symbol"/>
      <family val="1"/>
      <charset val="2"/>
    </font>
    <font>
      <sz val="11"/>
      <color rgb="FFFF0000"/>
      <name val="Arial"/>
      <family val="2"/>
    </font>
    <font>
      <sz val="10"/>
      <color rgb="FF000000"/>
      <name val="Arial"/>
      <family val="2"/>
    </font>
    <font>
      <b/>
      <sz val="14"/>
      <color rgb="FFFFFFFF"/>
      <name val="Arial"/>
      <family val="2"/>
    </font>
    <font>
      <b/>
      <sz val="9"/>
      <color rgb="FF7F2A00"/>
      <name val="Arial"/>
      <family val="2"/>
    </font>
    <font>
      <b/>
      <sz val="10"/>
      <color rgb="FFFFFFFF"/>
      <name val="Arial"/>
      <family val="2"/>
    </font>
  </fonts>
  <fills count="6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2B4C73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24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55"/>
        <bgColor indexed="23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43"/>
        <bgColor indexed="26"/>
      </patternFill>
    </fill>
    <fill>
      <patternFill patternType="solid">
        <fgColor indexed="54"/>
        <bgColor indexed="23"/>
      </patternFill>
    </fill>
    <fill>
      <patternFill patternType="solid">
        <fgColor indexed="10"/>
        <bgColor indexed="60"/>
      </patternFill>
    </fill>
    <fill>
      <patternFill patternType="solid">
        <fgColor indexed="50"/>
        <bgColor indexed="51"/>
      </patternFill>
    </fill>
    <fill>
      <patternFill patternType="solid">
        <fgColor indexed="57"/>
        <bgColor indexed="21"/>
      </patternFill>
    </fill>
    <fill>
      <patternFill patternType="solid">
        <fgColor indexed="21"/>
        <bgColor indexed="38"/>
      </patternFill>
    </fill>
    <fill>
      <patternFill patternType="solid">
        <fgColor indexed="24"/>
        <bgColor indexed="44"/>
      </patternFill>
    </fill>
    <fill>
      <patternFill patternType="solid">
        <fgColor indexed="40"/>
        <bgColor indexed="49"/>
      </patternFill>
    </fill>
    <fill>
      <patternFill patternType="solid">
        <fgColor indexed="41"/>
        <bgColor indexed="27"/>
      </patternFill>
    </fill>
    <fill>
      <patternFill patternType="solid">
        <fgColor indexed="26"/>
        <bgColor indexed="9"/>
      </patternFill>
    </fill>
    <fill>
      <patternFill patternType="solid">
        <fgColor indexed="62"/>
        <bgColor indexed="56"/>
      </patternFill>
    </fill>
    <fill>
      <patternFill patternType="solid">
        <fgColor indexed="53"/>
        <bgColor indexed="5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1F4E78"/>
      </patternFill>
    </fill>
    <fill>
      <patternFill patternType="solid">
        <fgColor rgb="FFFCE4D6"/>
      </patternFill>
    </fill>
    <fill>
      <patternFill patternType="solid">
        <fgColor rgb="FF0F766E"/>
      </patternFill>
    </fill>
    <fill>
      <patternFill patternType="solid">
        <fgColor theme="4" tint="0.79998168889431442"/>
        <bgColor theme="4" tint="0.79998168889431442"/>
      </patternFill>
    </fill>
  </fills>
  <borders count="10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rgb="FFFF0000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rgb="FFFF0000"/>
      </top>
      <bottom/>
      <diagonal/>
    </border>
    <border>
      <left/>
      <right/>
      <top style="double">
        <color rgb="FFFF0000"/>
      </top>
      <bottom/>
      <diagonal/>
    </border>
    <border>
      <left style="thin">
        <color indexed="64"/>
      </left>
      <right/>
      <top/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double">
        <color rgb="FFFF0000"/>
      </top>
      <bottom/>
      <diagonal/>
    </border>
    <border>
      <left style="thin">
        <color indexed="64"/>
      </left>
      <right style="thin">
        <color indexed="64"/>
      </right>
      <top style="thin">
        <color rgb="FFFF0000"/>
      </top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27"/>
      </left>
      <right style="thin">
        <color indexed="48"/>
      </right>
      <top style="medium">
        <color indexed="27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1310">
    <xf numFmtId="0" fontId="0" fillId="0" borderId="0"/>
    <xf numFmtId="0" fontId="33" fillId="9" borderId="0" applyNumberFormat="0" applyBorder="0" applyAlignment="0" applyProtection="0"/>
    <xf numFmtId="168" fontId="35" fillId="0" borderId="0" applyFont="0" applyFill="0" applyBorder="0" applyAlignment="0" applyProtection="0"/>
    <xf numFmtId="0" fontId="3" fillId="0" borderId="0"/>
    <xf numFmtId="0" fontId="3" fillId="0" borderId="0"/>
    <xf numFmtId="169" fontId="3" fillId="0" borderId="0" applyFont="0" applyFill="0" applyBorder="0" applyAlignment="0" applyProtection="0"/>
    <xf numFmtId="0" fontId="36" fillId="0" borderId="0" applyFill="0" applyBorder="0" applyAlignment="0" applyProtection="0"/>
    <xf numFmtId="170" fontId="3" fillId="0" borderId="0" applyFont="0" applyFill="0" applyBorder="0" applyAlignment="0" applyProtection="0"/>
    <xf numFmtId="0" fontId="37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71" fontId="36" fillId="0" borderId="0" applyFill="0" applyBorder="0" applyAlignment="0" applyProtection="0"/>
    <xf numFmtId="172" fontId="36" fillId="0" borderId="0" applyFill="0" applyBorder="0" applyAlignment="0" applyProtection="0"/>
    <xf numFmtId="173" fontId="38" fillId="0" borderId="0" applyFont="0" applyFill="0" applyBorder="0" applyAlignment="0" applyProtection="0"/>
    <xf numFmtId="174" fontId="38" fillId="0" borderId="0" applyFont="0" applyFill="0" applyBorder="0" applyAlignment="0" applyProtection="0"/>
    <xf numFmtId="175" fontId="36" fillId="0" borderId="0" applyFill="0" applyBorder="0" applyAlignment="0" applyProtection="0"/>
    <xf numFmtId="0" fontId="39" fillId="0" borderId="0" applyFont="0" applyFill="0" applyBorder="0" applyAlignment="0" applyProtection="0"/>
    <xf numFmtId="0" fontId="36" fillId="0" borderId="0" applyFill="0" applyBorder="0" applyAlignment="0" applyProtection="0"/>
    <xf numFmtId="0" fontId="36" fillId="0" borderId="0" applyFill="0" applyBorder="0" applyAlignment="0" applyProtection="0"/>
    <xf numFmtId="0" fontId="40" fillId="0" borderId="0"/>
    <xf numFmtId="0" fontId="41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76" fontId="36" fillId="0" borderId="0" applyFill="0" applyBorder="0" applyAlignment="0" applyProtection="0"/>
    <xf numFmtId="0" fontId="42" fillId="0" borderId="0"/>
    <xf numFmtId="177" fontId="36" fillId="0" borderId="0" applyFill="0" applyBorder="0" applyAlignment="0" applyProtection="0"/>
    <xf numFmtId="178" fontId="36" fillId="0" borderId="0" applyFill="0" applyBorder="0" applyAlignment="0" applyProtection="0"/>
    <xf numFmtId="42" fontId="43" fillId="0" borderId="0" applyFont="0" applyFill="0" applyBorder="0" applyAlignment="0" applyProtection="0"/>
    <xf numFmtId="177" fontId="36" fillId="0" borderId="0" applyFill="0" applyBorder="0" applyAlignment="0" applyProtection="0"/>
    <xf numFmtId="177" fontId="36" fillId="0" borderId="0" applyFill="0" applyBorder="0" applyAlignment="0" applyProtection="0"/>
    <xf numFmtId="179" fontId="36" fillId="0" borderId="0" applyFill="0" applyBorder="0" applyAlignment="0" applyProtection="0"/>
    <xf numFmtId="0" fontId="3" fillId="0" borderId="0"/>
    <xf numFmtId="180" fontId="36" fillId="0" borderId="0" applyFill="0" applyBorder="0" applyAlignment="0" applyProtection="0"/>
    <xf numFmtId="177" fontId="36" fillId="0" borderId="0" applyFill="0" applyBorder="0" applyAlignment="0" applyProtection="0"/>
    <xf numFmtId="181" fontId="36" fillId="0" borderId="0" applyFill="0" applyBorder="0" applyAlignment="0" applyProtection="0"/>
    <xf numFmtId="182" fontId="36" fillId="0" borderId="0" applyFill="0" applyBorder="0" applyAlignment="0" applyProtection="0"/>
    <xf numFmtId="177" fontId="36" fillId="0" borderId="0" applyFill="0" applyBorder="0" applyAlignment="0" applyProtection="0"/>
    <xf numFmtId="0" fontId="42" fillId="0" borderId="0"/>
    <xf numFmtId="0" fontId="42" fillId="0" borderId="0"/>
    <xf numFmtId="0" fontId="42" fillId="0" borderId="0"/>
    <xf numFmtId="0" fontId="3" fillId="0" borderId="0"/>
    <xf numFmtId="0" fontId="42" fillId="0" borderId="0"/>
    <xf numFmtId="177" fontId="36" fillId="0" borderId="0" applyFill="0" applyBorder="0" applyAlignment="0" applyProtection="0"/>
    <xf numFmtId="0" fontId="3" fillId="0" borderId="0"/>
    <xf numFmtId="0" fontId="3" fillId="0" borderId="0"/>
    <xf numFmtId="0" fontId="3" fillId="0" borderId="0"/>
    <xf numFmtId="183" fontId="36" fillId="0" borderId="0" applyFill="0" applyBorder="0" applyAlignment="0" applyProtection="0"/>
    <xf numFmtId="183" fontId="36" fillId="0" borderId="0" applyFill="0" applyBorder="0" applyAlignment="0" applyProtection="0"/>
    <xf numFmtId="0" fontId="3" fillId="0" borderId="0"/>
    <xf numFmtId="0" fontId="3" fillId="0" borderId="0"/>
    <xf numFmtId="0" fontId="42" fillId="0" borderId="0"/>
    <xf numFmtId="184" fontId="36" fillId="0" borderId="0" applyFill="0" applyBorder="0" applyAlignment="0" applyProtection="0"/>
    <xf numFmtId="177" fontId="36" fillId="0" borderId="0" applyFill="0" applyBorder="0" applyAlignment="0" applyProtection="0"/>
    <xf numFmtId="0" fontId="42" fillId="0" borderId="0"/>
    <xf numFmtId="0" fontId="44" fillId="0" borderId="0" applyNumberFormat="0" applyFill="0" applyBorder="0" applyAlignment="0" applyProtection="0"/>
    <xf numFmtId="0" fontId="3" fillId="0" borderId="0"/>
    <xf numFmtId="42" fontId="43" fillId="0" borderId="0" applyFont="0" applyFill="0" applyBorder="0" applyAlignment="0" applyProtection="0"/>
    <xf numFmtId="168" fontId="35" fillId="0" borderId="0" applyFont="0" applyFill="0" applyBorder="0" applyAlignment="0" applyProtection="0"/>
    <xf numFmtId="183" fontId="36" fillId="0" borderId="0" applyFill="0" applyBorder="0" applyAlignment="0" applyProtection="0"/>
    <xf numFmtId="184" fontId="36" fillId="0" borderId="0" applyFill="0" applyBorder="0" applyAlignment="0" applyProtection="0"/>
    <xf numFmtId="174" fontId="35" fillId="0" borderId="0" applyFont="0" applyFill="0" applyBorder="0" applyAlignment="0" applyProtection="0"/>
    <xf numFmtId="174" fontId="43" fillId="0" borderId="0" applyFont="0" applyFill="0" applyBorder="0" applyAlignment="0" applyProtection="0"/>
    <xf numFmtId="185" fontId="36" fillId="0" borderId="0" applyFill="0" applyBorder="0" applyAlignment="0" applyProtection="0"/>
    <xf numFmtId="186" fontId="36" fillId="0" borderId="0" applyFill="0" applyBorder="0" applyAlignment="0" applyProtection="0"/>
    <xf numFmtId="187" fontId="36" fillId="0" borderId="0" applyFill="0" applyBorder="0" applyAlignment="0" applyProtection="0"/>
    <xf numFmtId="186" fontId="36" fillId="0" borderId="0" applyFill="0" applyBorder="0" applyAlignment="0" applyProtection="0"/>
    <xf numFmtId="187" fontId="36" fillId="0" borderId="0" applyFill="0" applyBorder="0" applyAlignment="0" applyProtection="0"/>
    <xf numFmtId="188" fontId="36" fillId="0" borderId="0" applyFill="0" applyBorder="0" applyAlignment="0" applyProtection="0"/>
    <xf numFmtId="187" fontId="36" fillId="0" borderId="0" applyFill="0" applyBorder="0" applyAlignment="0" applyProtection="0"/>
    <xf numFmtId="189" fontId="36" fillId="0" borderId="0" applyFill="0" applyBorder="0" applyAlignment="0" applyProtection="0"/>
    <xf numFmtId="186" fontId="36" fillId="0" borderId="0" applyFill="0" applyBorder="0" applyAlignment="0" applyProtection="0"/>
    <xf numFmtId="188" fontId="36" fillId="0" borderId="0" applyFill="0" applyBorder="0" applyAlignment="0" applyProtection="0"/>
    <xf numFmtId="185" fontId="36" fillId="0" borderId="0" applyFill="0" applyBorder="0" applyAlignment="0" applyProtection="0"/>
    <xf numFmtId="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1" fontId="36" fillId="0" borderId="0" applyFill="0" applyBorder="0" applyAlignment="0" applyProtection="0"/>
    <xf numFmtId="187" fontId="36" fillId="0" borderId="0" applyFill="0" applyBorder="0" applyAlignment="0" applyProtection="0"/>
    <xf numFmtId="187" fontId="36" fillId="0" borderId="0" applyFill="0" applyBorder="0" applyAlignment="0" applyProtection="0"/>
    <xf numFmtId="187" fontId="36" fillId="0" borderId="0" applyFill="0" applyBorder="0" applyAlignment="0" applyProtection="0"/>
    <xf numFmtId="190" fontId="36" fillId="0" borderId="0" applyFill="0" applyBorder="0" applyAlignment="0" applyProtection="0"/>
    <xf numFmtId="192" fontId="36" fillId="0" borderId="0" applyFill="0" applyBorder="0" applyAlignment="0" applyProtection="0"/>
    <xf numFmtId="192" fontId="36" fillId="0" borderId="0" applyFill="0" applyBorder="0" applyAlignment="0" applyProtection="0"/>
    <xf numFmtId="192" fontId="36" fillId="0" borderId="0" applyFill="0" applyBorder="0" applyAlignment="0" applyProtection="0"/>
    <xf numFmtId="192" fontId="36" fillId="0" borderId="0" applyFill="0" applyBorder="0" applyAlignment="0" applyProtection="0"/>
    <xf numFmtId="191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88" fontId="36" fillId="0" borderId="0" applyFill="0" applyBorder="0" applyAlignment="0" applyProtection="0"/>
    <xf numFmtId="192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87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87" fontId="36" fillId="0" borderId="0" applyFill="0" applyBorder="0" applyAlignment="0" applyProtection="0"/>
    <xf numFmtId="186" fontId="36" fillId="0" borderId="0" applyFill="0" applyBorder="0" applyAlignment="0" applyProtection="0"/>
    <xf numFmtId="186" fontId="36" fillId="0" borderId="0" applyFill="0" applyBorder="0" applyAlignment="0" applyProtection="0"/>
    <xf numFmtId="187" fontId="36" fillId="0" borderId="0" applyFill="0" applyBorder="0" applyAlignment="0" applyProtection="0"/>
    <xf numFmtId="186" fontId="36" fillId="0" borderId="0" applyFill="0" applyBorder="0" applyAlignment="0" applyProtection="0"/>
    <xf numFmtId="187" fontId="36" fillId="0" borderId="0" applyFill="0" applyBorder="0" applyAlignment="0" applyProtection="0"/>
    <xf numFmtId="193" fontId="36" fillId="0" borderId="0" applyFill="0" applyBorder="0" applyAlignment="0" applyProtection="0"/>
    <xf numFmtId="173" fontId="35" fillId="0" borderId="0" applyFont="0" applyFill="0" applyBorder="0" applyAlignment="0" applyProtection="0"/>
    <xf numFmtId="42" fontId="43" fillId="0" borderId="0" applyFont="0" applyFill="0" applyBorder="0" applyAlignment="0" applyProtection="0"/>
    <xf numFmtId="177" fontId="36" fillId="0" borderId="0" applyFill="0" applyBorder="0" applyAlignment="0" applyProtection="0"/>
    <xf numFmtId="179" fontId="36" fillId="0" borderId="0" applyFill="0" applyBorder="0" applyAlignment="0" applyProtection="0"/>
    <xf numFmtId="180" fontId="36" fillId="0" borderId="0" applyFill="0" applyBorder="0" applyAlignment="0" applyProtection="0"/>
    <xf numFmtId="177" fontId="36" fillId="0" borderId="0" applyFill="0" applyBorder="0" applyAlignment="0" applyProtection="0"/>
    <xf numFmtId="182" fontId="36" fillId="0" borderId="0" applyFill="0" applyBorder="0" applyAlignment="0" applyProtection="0"/>
    <xf numFmtId="181" fontId="36" fillId="0" borderId="0" applyFill="0" applyBorder="0" applyAlignment="0" applyProtection="0"/>
    <xf numFmtId="181" fontId="36" fillId="0" borderId="0" applyFill="0" applyBorder="0" applyAlignment="0" applyProtection="0"/>
    <xf numFmtId="181" fontId="36" fillId="0" borderId="0" applyFill="0" applyBorder="0" applyAlignment="0" applyProtection="0"/>
    <xf numFmtId="181" fontId="36" fillId="0" borderId="0" applyFill="0" applyBorder="0" applyAlignment="0" applyProtection="0"/>
    <xf numFmtId="182" fontId="36" fillId="0" borderId="0" applyFill="0" applyBorder="0" applyAlignment="0" applyProtection="0"/>
    <xf numFmtId="177" fontId="36" fillId="0" borderId="0" applyFill="0" applyBorder="0" applyAlignment="0" applyProtection="0"/>
    <xf numFmtId="177" fontId="36" fillId="0" borderId="0" applyFill="0" applyBorder="0" applyAlignment="0" applyProtection="0"/>
    <xf numFmtId="177" fontId="36" fillId="0" borderId="0" applyFill="0" applyBorder="0" applyAlignment="0" applyProtection="0"/>
    <xf numFmtId="181" fontId="36" fillId="0" borderId="0" applyFill="0" applyBorder="0" applyAlignment="0" applyProtection="0"/>
    <xf numFmtId="182" fontId="36" fillId="0" borderId="0" applyFill="0" applyBorder="0" applyAlignment="0" applyProtection="0"/>
    <xf numFmtId="194" fontId="36" fillId="0" borderId="0" applyFill="0" applyBorder="0" applyAlignment="0" applyProtection="0"/>
    <xf numFmtId="179" fontId="36" fillId="0" borderId="0" applyFill="0" applyBorder="0" applyAlignment="0" applyProtection="0"/>
    <xf numFmtId="194" fontId="36" fillId="0" borderId="0" applyFill="0" applyBorder="0" applyAlignment="0" applyProtection="0"/>
    <xf numFmtId="179" fontId="36" fillId="0" borderId="0" applyFill="0" applyBorder="0" applyAlignment="0" applyProtection="0"/>
    <xf numFmtId="194" fontId="36" fillId="0" borderId="0" applyFill="0" applyBorder="0" applyAlignment="0" applyProtection="0"/>
    <xf numFmtId="194" fontId="36" fillId="0" borderId="0" applyFill="0" applyBorder="0" applyAlignment="0" applyProtection="0"/>
    <xf numFmtId="179" fontId="36" fillId="0" borderId="0" applyFill="0" applyBorder="0" applyAlignment="0" applyProtection="0"/>
    <xf numFmtId="195" fontId="36" fillId="0" borderId="0" applyFill="0" applyBorder="0" applyAlignment="0" applyProtection="0"/>
    <xf numFmtId="174" fontId="43" fillId="0" borderId="0" applyFont="0" applyFill="0" applyBorder="0" applyAlignment="0" applyProtection="0"/>
    <xf numFmtId="185" fontId="36" fillId="0" borderId="0" applyFill="0" applyBorder="0" applyAlignment="0" applyProtection="0"/>
    <xf numFmtId="186" fontId="36" fillId="0" borderId="0" applyFill="0" applyBorder="0" applyAlignment="0" applyProtection="0"/>
    <xf numFmtId="187" fontId="36" fillId="0" borderId="0" applyFill="0" applyBorder="0" applyAlignment="0" applyProtection="0"/>
    <xf numFmtId="186" fontId="36" fillId="0" borderId="0" applyFill="0" applyBorder="0" applyAlignment="0" applyProtection="0"/>
    <xf numFmtId="187" fontId="36" fillId="0" borderId="0" applyFill="0" applyBorder="0" applyAlignment="0" applyProtection="0"/>
    <xf numFmtId="188" fontId="36" fillId="0" borderId="0" applyFill="0" applyBorder="0" applyAlignment="0" applyProtection="0"/>
    <xf numFmtId="187" fontId="36" fillId="0" borderId="0" applyFill="0" applyBorder="0" applyAlignment="0" applyProtection="0"/>
    <xf numFmtId="189" fontId="36" fillId="0" borderId="0" applyFill="0" applyBorder="0" applyAlignment="0" applyProtection="0"/>
    <xf numFmtId="186" fontId="36" fillId="0" borderId="0" applyFill="0" applyBorder="0" applyAlignment="0" applyProtection="0"/>
    <xf numFmtId="188" fontId="36" fillId="0" borderId="0" applyFill="0" applyBorder="0" applyAlignment="0" applyProtection="0"/>
    <xf numFmtId="185" fontId="36" fillId="0" borderId="0" applyFill="0" applyBorder="0" applyAlignment="0" applyProtection="0"/>
    <xf numFmtId="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1" fontId="36" fillId="0" borderId="0" applyFill="0" applyBorder="0" applyAlignment="0" applyProtection="0"/>
    <xf numFmtId="187" fontId="36" fillId="0" borderId="0" applyFill="0" applyBorder="0" applyAlignment="0" applyProtection="0"/>
    <xf numFmtId="187" fontId="36" fillId="0" borderId="0" applyFill="0" applyBorder="0" applyAlignment="0" applyProtection="0"/>
    <xf numFmtId="187" fontId="36" fillId="0" borderId="0" applyFill="0" applyBorder="0" applyAlignment="0" applyProtection="0"/>
    <xf numFmtId="190" fontId="36" fillId="0" borderId="0" applyFill="0" applyBorder="0" applyAlignment="0" applyProtection="0"/>
    <xf numFmtId="192" fontId="36" fillId="0" borderId="0" applyFill="0" applyBorder="0" applyAlignment="0" applyProtection="0"/>
    <xf numFmtId="192" fontId="36" fillId="0" borderId="0" applyFill="0" applyBorder="0" applyAlignment="0" applyProtection="0"/>
    <xf numFmtId="192" fontId="36" fillId="0" borderId="0" applyFill="0" applyBorder="0" applyAlignment="0" applyProtection="0"/>
    <xf numFmtId="192" fontId="36" fillId="0" borderId="0" applyFill="0" applyBorder="0" applyAlignment="0" applyProtection="0"/>
    <xf numFmtId="191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88" fontId="36" fillId="0" borderId="0" applyFill="0" applyBorder="0" applyAlignment="0" applyProtection="0"/>
    <xf numFmtId="192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87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87" fontId="36" fillId="0" borderId="0" applyFill="0" applyBorder="0" applyAlignment="0" applyProtection="0"/>
    <xf numFmtId="186" fontId="36" fillId="0" borderId="0" applyFill="0" applyBorder="0" applyAlignment="0" applyProtection="0"/>
    <xf numFmtId="186" fontId="36" fillId="0" borderId="0" applyFill="0" applyBorder="0" applyAlignment="0" applyProtection="0"/>
    <xf numFmtId="187" fontId="36" fillId="0" borderId="0" applyFill="0" applyBorder="0" applyAlignment="0" applyProtection="0"/>
    <xf numFmtId="186" fontId="36" fillId="0" borderId="0" applyFill="0" applyBorder="0" applyAlignment="0" applyProtection="0"/>
    <xf numFmtId="187" fontId="36" fillId="0" borderId="0" applyFill="0" applyBorder="0" applyAlignment="0" applyProtection="0"/>
    <xf numFmtId="193" fontId="36" fillId="0" borderId="0" applyFill="0" applyBorder="0" applyAlignment="0" applyProtection="0"/>
    <xf numFmtId="174" fontId="35" fillId="0" borderId="0" applyFont="0" applyFill="0" applyBorder="0" applyAlignment="0" applyProtection="0"/>
    <xf numFmtId="173" fontId="43" fillId="0" borderId="0" applyFont="0" applyFill="0" applyBorder="0" applyAlignment="0" applyProtection="0"/>
    <xf numFmtId="172" fontId="36" fillId="0" borderId="0" applyFill="0" applyBorder="0" applyAlignment="0" applyProtection="0"/>
    <xf numFmtId="196" fontId="36" fillId="0" borderId="0" applyFill="0" applyBorder="0" applyAlignment="0" applyProtection="0"/>
    <xf numFmtId="178" fontId="36" fillId="0" borderId="0" applyFill="0" applyBorder="0" applyAlignment="0" applyProtection="0"/>
    <xf numFmtId="196" fontId="36" fillId="0" borderId="0" applyFill="0" applyBorder="0" applyAlignment="0" applyProtection="0"/>
    <xf numFmtId="178" fontId="36" fillId="0" borderId="0" applyFill="0" applyBorder="0" applyAlignment="0" applyProtection="0"/>
    <xf numFmtId="176" fontId="36" fillId="0" borderId="0" applyFill="0" applyBorder="0" applyAlignment="0" applyProtection="0"/>
    <xf numFmtId="178" fontId="36" fillId="0" borderId="0" applyFill="0" applyBorder="0" applyAlignment="0" applyProtection="0"/>
    <xf numFmtId="197" fontId="36" fillId="0" borderId="0" applyFill="0" applyBorder="0" applyAlignment="0" applyProtection="0"/>
    <xf numFmtId="196" fontId="36" fillId="0" borderId="0" applyFill="0" applyBorder="0" applyAlignment="0" applyProtection="0"/>
    <xf numFmtId="176" fontId="36" fillId="0" borderId="0" applyFill="0" applyBorder="0" applyAlignment="0" applyProtection="0"/>
    <xf numFmtId="172" fontId="36" fillId="0" borderId="0" applyFill="0" applyBorder="0" applyAlignment="0" applyProtection="0"/>
    <xf numFmtId="178" fontId="36" fillId="0" borderId="0" applyFill="0" applyBorder="0" applyAlignment="0" applyProtection="0"/>
    <xf numFmtId="198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200" fontId="36" fillId="0" borderId="0" applyFill="0" applyBorder="0" applyAlignment="0" applyProtection="0"/>
    <xf numFmtId="178" fontId="36" fillId="0" borderId="0" applyFill="0" applyBorder="0" applyAlignment="0" applyProtection="0"/>
    <xf numFmtId="178" fontId="36" fillId="0" borderId="0" applyFill="0" applyBorder="0" applyAlignment="0" applyProtection="0"/>
    <xf numFmtId="178" fontId="36" fillId="0" borderId="0" applyFill="0" applyBorder="0" applyAlignment="0" applyProtection="0"/>
    <xf numFmtId="199" fontId="36" fillId="0" borderId="0" applyFill="0" applyBorder="0" applyAlignment="0" applyProtection="0"/>
    <xf numFmtId="201" fontId="36" fillId="0" borderId="0" applyFill="0" applyBorder="0" applyAlignment="0" applyProtection="0"/>
    <xf numFmtId="201" fontId="36" fillId="0" borderId="0" applyFill="0" applyBorder="0" applyAlignment="0" applyProtection="0"/>
    <xf numFmtId="201" fontId="36" fillId="0" borderId="0" applyFill="0" applyBorder="0" applyAlignment="0" applyProtection="0"/>
    <xf numFmtId="201" fontId="36" fillId="0" borderId="0" applyFill="0" applyBorder="0" applyAlignment="0" applyProtection="0"/>
    <xf numFmtId="200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76" fontId="36" fillId="0" borderId="0" applyFill="0" applyBorder="0" applyAlignment="0" applyProtection="0"/>
    <xf numFmtId="201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78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78" fontId="36" fillId="0" borderId="0" applyFill="0" applyBorder="0" applyAlignment="0" applyProtection="0"/>
    <xf numFmtId="196" fontId="36" fillId="0" borderId="0" applyFill="0" applyBorder="0" applyAlignment="0" applyProtection="0"/>
    <xf numFmtId="196" fontId="36" fillId="0" borderId="0" applyFill="0" applyBorder="0" applyAlignment="0" applyProtection="0"/>
    <xf numFmtId="178" fontId="36" fillId="0" borderId="0" applyFill="0" applyBorder="0" applyAlignment="0" applyProtection="0"/>
    <xf numFmtId="196" fontId="36" fillId="0" borderId="0" applyFill="0" applyBorder="0" applyAlignment="0" applyProtection="0"/>
    <xf numFmtId="178" fontId="36" fillId="0" borderId="0" applyFill="0" applyBorder="0" applyAlignment="0" applyProtection="0"/>
    <xf numFmtId="202" fontId="36" fillId="0" borderId="0" applyFill="0" applyBorder="0" applyAlignment="0" applyProtection="0"/>
    <xf numFmtId="177" fontId="36" fillId="0" borderId="0" applyFill="0" applyBorder="0" applyAlignment="0" applyProtection="0"/>
    <xf numFmtId="179" fontId="36" fillId="0" borderId="0" applyFill="0" applyBorder="0" applyAlignment="0" applyProtection="0"/>
    <xf numFmtId="180" fontId="36" fillId="0" borderId="0" applyFill="0" applyBorder="0" applyAlignment="0" applyProtection="0"/>
    <xf numFmtId="177" fontId="36" fillId="0" borderId="0" applyFill="0" applyBorder="0" applyAlignment="0" applyProtection="0"/>
    <xf numFmtId="182" fontId="36" fillId="0" borderId="0" applyFill="0" applyBorder="0" applyAlignment="0" applyProtection="0"/>
    <xf numFmtId="181" fontId="36" fillId="0" borderId="0" applyFill="0" applyBorder="0" applyAlignment="0" applyProtection="0"/>
    <xf numFmtId="181" fontId="36" fillId="0" borderId="0" applyFill="0" applyBorder="0" applyAlignment="0" applyProtection="0"/>
    <xf numFmtId="181" fontId="36" fillId="0" borderId="0" applyFill="0" applyBorder="0" applyAlignment="0" applyProtection="0"/>
    <xf numFmtId="181" fontId="36" fillId="0" borderId="0" applyFill="0" applyBorder="0" applyAlignment="0" applyProtection="0"/>
    <xf numFmtId="182" fontId="36" fillId="0" borderId="0" applyFill="0" applyBorder="0" applyAlignment="0" applyProtection="0"/>
    <xf numFmtId="177" fontId="36" fillId="0" borderId="0" applyFill="0" applyBorder="0" applyAlignment="0" applyProtection="0"/>
    <xf numFmtId="177" fontId="36" fillId="0" borderId="0" applyFill="0" applyBorder="0" applyAlignment="0" applyProtection="0"/>
    <xf numFmtId="177" fontId="36" fillId="0" borderId="0" applyFill="0" applyBorder="0" applyAlignment="0" applyProtection="0"/>
    <xf numFmtId="181" fontId="36" fillId="0" borderId="0" applyFill="0" applyBorder="0" applyAlignment="0" applyProtection="0"/>
    <xf numFmtId="182" fontId="36" fillId="0" borderId="0" applyFill="0" applyBorder="0" applyAlignment="0" applyProtection="0"/>
    <xf numFmtId="194" fontId="36" fillId="0" borderId="0" applyFill="0" applyBorder="0" applyAlignment="0" applyProtection="0"/>
    <xf numFmtId="179" fontId="36" fillId="0" borderId="0" applyFill="0" applyBorder="0" applyAlignment="0" applyProtection="0"/>
    <xf numFmtId="194" fontId="36" fillId="0" borderId="0" applyFill="0" applyBorder="0" applyAlignment="0" applyProtection="0"/>
    <xf numFmtId="179" fontId="36" fillId="0" borderId="0" applyFill="0" applyBorder="0" applyAlignment="0" applyProtection="0"/>
    <xf numFmtId="194" fontId="36" fillId="0" borderId="0" applyFill="0" applyBorder="0" applyAlignment="0" applyProtection="0"/>
    <xf numFmtId="194" fontId="36" fillId="0" borderId="0" applyFill="0" applyBorder="0" applyAlignment="0" applyProtection="0"/>
    <xf numFmtId="179" fontId="36" fillId="0" borderId="0" applyFill="0" applyBorder="0" applyAlignment="0" applyProtection="0"/>
    <xf numFmtId="195" fontId="36" fillId="0" borderId="0" applyFill="0" applyBorder="0" applyAlignment="0" applyProtection="0"/>
    <xf numFmtId="173" fontId="35" fillId="0" borderId="0" applyFont="0" applyFill="0" applyBorder="0" applyAlignment="0" applyProtection="0"/>
    <xf numFmtId="174" fontId="35" fillId="0" borderId="0" applyFont="0" applyFill="0" applyBorder="0" applyAlignment="0" applyProtection="0"/>
    <xf numFmtId="173" fontId="43" fillId="0" borderId="0" applyFont="0" applyFill="0" applyBorder="0" applyAlignment="0" applyProtection="0"/>
    <xf numFmtId="172" fontId="36" fillId="0" borderId="0" applyFill="0" applyBorder="0" applyAlignment="0" applyProtection="0"/>
    <xf numFmtId="196" fontId="36" fillId="0" borderId="0" applyFill="0" applyBorder="0" applyAlignment="0" applyProtection="0"/>
    <xf numFmtId="178" fontId="36" fillId="0" borderId="0" applyFill="0" applyBorder="0" applyAlignment="0" applyProtection="0"/>
    <xf numFmtId="196" fontId="36" fillId="0" borderId="0" applyFill="0" applyBorder="0" applyAlignment="0" applyProtection="0"/>
    <xf numFmtId="178" fontId="36" fillId="0" borderId="0" applyFill="0" applyBorder="0" applyAlignment="0" applyProtection="0"/>
    <xf numFmtId="176" fontId="36" fillId="0" borderId="0" applyFill="0" applyBorder="0" applyAlignment="0" applyProtection="0"/>
    <xf numFmtId="178" fontId="36" fillId="0" borderId="0" applyFill="0" applyBorder="0" applyAlignment="0" applyProtection="0"/>
    <xf numFmtId="197" fontId="36" fillId="0" borderId="0" applyFill="0" applyBorder="0" applyAlignment="0" applyProtection="0"/>
    <xf numFmtId="196" fontId="36" fillId="0" borderId="0" applyFill="0" applyBorder="0" applyAlignment="0" applyProtection="0"/>
    <xf numFmtId="176" fontId="36" fillId="0" borderId="0" applyFill="0" applyBorder="0" applyAlignment="0" applyProtection="0"/>
    <xf numFmtId="172" fontId="36" fillId="0" borderId="0" applyFill="0" applyBorder="0" applyAlignment="0" applyProtection="0"/>
    <xf numFmtId="178" fontId="36" fillId="0" borderId="0" applyFill="0" applyBorder="0" applyAlignment="0" applyProtection="0"/>
    <xf numFmtId="198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200" fontId="36" fillId="0" borderId="0" applyFill="0" applyBorder="0" applyAlignment="0" applyProtection="0"/>
    <xf numFmtId="178" fontId="36" fillId="0" borderId="0" applyFill="0" applyBorder="0" applyAlignment="0" applyProtection="0"/>
    <xf numFmtId="178" fontId="36" fillId="0" borderId="0" applyFill="0" applyBorder="0" applyAlignment="0" applyProtection="0"/>
    <xf numFmtId="178" fontId="36" fillId="0" borderId="0" applyFill="0" applyBorder="0" applyAlignment="0" applyProtection="0"/>
    <xf numFmtId="199" fontId="36" fillId="0" borderId="0" applyFill="0" applyBorder="0" applyAlignment="0" applyProtection="0"/>
    <xf numFmtId="201" fontId="36" fillId="0" borderId="0" applyFill="0" applyBorder="0" applyAlignment="0" applyProtection="0"/>
    <xf numFmtId="201" fontId="36" fillId="0" borderId="0" applyFill="0" applyBorder="0" applyAlignment="0" applyProtection="0"/>
    <xf numFmtId="201" fontId="36" fillId="0" borderId="0" applyFill="0" applyBorder="0" applyAlignment="0" applyProtection="0"/>
    <xf numFmtId="201" fontId="36" fillId="0" borderId="0" applyFill="0" applyBorder="0" applyAlignment="0" applyProtection="0"/>
    <xf numFmtId="200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76" fontId="36" fillId="0" borderId="0" applyFill="0" applyBorder="0" applyAlignment="0" applyProtection="0"/>
    <xf numFmtId="201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78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78" fontId="36" fillId="0" borderId="0" applyFill="0" applyBorder="0" applyAlignment="0" applyProtection="0"/>
    <xf numFmtId="196" fontId="36" fillId="0" borderId="0" applyFill="0" applyBorder="0" applyAlignment="0" applyProtection="0"/>
    <xf numFmtId="196" fontId="36" fillId="0" borderId="0" applyFill="0" applyBorder="0" applyAlignment="0" applyProtection="0"/>
    <xf numFmtId="178" fontId="36" fillId="0" borderId="0" applyFill="0" applyBorder="0" applyAlignment="0" applyProtection="0"/>
    <xf numFmtId="196" fontId="36" fillId="0" borderId="0" applyFill="0" applyBorder="0" applyAlignment="0" applyProtection="0"/>
    <xf numFmtId="178" fontId="36" fillId="0" borderId="0" applyFill="0" applyBorder="0" applyAlignment="0" applyProtection="0"/>
    <xf numFmtId="202" fontId="36" fillId="0" borderId="0" applyFill="0" applyBorder="0" applyAlignment="0" applyProtection="0"/>
    <xf numFmtId="174" fontId="43" fillId="0" borderId="0" applyFont="0" applyFill="0" applyBorder="0" applyAlignment="0" applyProtection="0"/>
    <xf numFmtId="185" fontId="36" fillId="0" borderId="0" applyFill="0" applyBorder="0" applyAlignment="0" applyProtection="0"/>
    <xf numFmtId="186" fontId="36" fillId="0" borderId="0" applyFill="0" applyBorder="0" applyAlignment="0" applyProtection="0"/>
    <xf numFmtId="187" fontId="36" fillId="0" borderId="0" applyFill="0" applyBorder="0" applyAlignment="0" applyProtection="0"/>
    <xf numFmtId="186" fontId="36" fillId="0" borderId="0" applyFill="0" applyBorder="0" applyAlignment="0" applyProtection="0"/>
    <xf numFmtId="187" fontId="36" fillId="0" borderId="0" applyFill="0" applyBorder="0" applyAlignment="0" applyProtection="0"/>
    <xf numFmtId="188" fontId="36" fillId="0" borderId="0" applyFill="0" applyBorder="0" applyAlignment="0" applyProtection="0"/>
    <xf numFmtId="187" fontId="36" fillId="0" borderId="0" applyFill="0" applyBorder="0" applyAlignment="0" applyProtection="0"/>
    <xf numFmtId="189" fontId="36" fillId="0" borderId="0" applyFill="0" applyBorder="0" applyAlignment="0" applyProtection="0"/>
    <xf numFmtId="186" fontId="36" fillId="0" borderId="0" applyFill="0" applyBorder="0" applyAlignment="0" applyProtection="0"/>
    <xf numFmtId="188" fontId="36" fillId="0" borderId="0" applyFill="0" applyBorder="0" applyAlignment="0" applyProtection="0"/>
    <xf numFmtId="185" fontId="36" fillId="0" borderId="0" applyFill="0" applyBorder="0" applyAlignment="0" applyProtection="0"/>
    <xf numFmtId="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1" fontId="36" fillId="0" borderId="0" applyFill="0" applyBorder="0" applyAlignment="0" applyProtection="0"/>
    <xf numFmtId="187" fontId="36" fillId="0" borderId="0" applyFill="0" applyBorder="0" applyAlignment="0" applyProtection="0"/>
    <xf numFmtId="187" fontId="36" fillId="0" borderId="0" applyFill="0" applyBorder="0" applyAlignment="0" applyProtection="0"/>
    <xf numFmtId="187" fontId="36" fillId="0" borderId="0" applyFill="0" applyBorder="0" applyAlignment="0" applyProtection="0"/>
    <xf numFmtId="190" fontId="36" fillId="0" borderId="0" applyFill="0" applyBorder="0" applyAlignment="0" applyProtection="0"/>
    <xf numFmtId="192" fontId="36" fillId="0" borderId="0" applyFill="0" applyBorder="0" applyAlignment="0" applyProtection="0"/>
    <xf numFmtId="192" fontId="36" fillId="0" borderId="0" applyFill="0" applyBorder="0" applyAlignment="0" applyProtection="0"/>
    <xf numFmtId="192" fontId="36" fillId="0" borderId="0" applyFill="0" applyBorder="0" applyAlignment="0" applyProtection="0"/>
    <xf numFmtId="192" fontId="36" fillId="0" borderId="0" applyFill="0" applyBorder="0" applyAlignment="0" applyProtection="0"/>
    <xf numFmtId="191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88" fontId="36" fillId="0" borderId="0" applyFill="0" applyBorder="0" applyAlignment="0" applyProtection="0"/>
    <xf numFmtId="192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87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87" fontId="36" fillId="0" borderId="0" applyFill="0" applyBorder="0" applyAlignment="0" applyProtection="0"/>
    <xf numFmtId="186" fontId="36" fillId="0" borderId="0" applyFill="0" applyBorder="0" applyAlignment="0" applyProtection="0"/>
    <xf numFmtId="186" fontId="36" fillId="0" borderId="0" applyFill="0" applyBorder="0" applyAlignment="0" applyProtection="0"/>
    <xf numFmtId="187" fontId="36" fillId="0" borderId="0" applyFill="0" applyBorder="0" applyAlignment="0" applyProtection="0"/>
    <xf numFmtId="186" fontId="36" fillId="0" borderId="0" applyFill="0" applyBorder="0" applyAlignment="0" applyProtection="0"/>
    <xf numFmtId="187" fontId="36" fillId="0" borderId="0" applyFill="0" applyBorder="0" applyAlignment="0" applyProtection="0"/>
    <xf numFmtId="193" fontId="36" fillId="0" borderId="0" applyFill="0" applyBorder="0" applyAlignment="0" applyProtection="0"/>
    <xf numFmtId="173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83" fontId="36" fillId="0" borderId="0" applyFill="0" applyBorder="0" applyAlignment="0" applyProtection="0"/>
    <xf numFmtId="184" fontId="36" fillId="0" borderId="0" applyFill="0" applyBorder="0" applyAlignment="0" applyProtection="0"/>
    <xf numFmtId="182" fontId="36" fillId="0" borderId="0" applyFill="0" applyBorder="0" applyAlignment="0" applyProtection="0"/>
    <xf numFmtId="0" fontId="36" fillId="0" borderId="0"/>
    <xf numFmtId="194" fontId="36" fillId="0" borderId="0" applyFill="0" applyBorder="0" applyAlignment="0" applyProtection="0"/>
    <xf numFmtId="179" fontId="36" fillId="0" borderId="0" applyFill="0" applyBorder="0" applyAlignment="0" applyProtection="0"/>
    <xf numFmtId="194" fontId="36" fillId="0" borderId="0" applyFill="0" applyBorder="0" applyAlignment="0" applyProtection="0"/>
    <xf numFmtId="179" fontId="36" fillId="0" borderId="0" applyFill="0" applyBorder="0" applyAlignment="0" applyProtection="0"/>
    <xf numFmtId="194" fontId="36" fillId="0" borderId="0" applyFill="0" applyBorder="0" applyAlignment="0" applyProtection="0"/>
    <xf numFmtId="194" fontId="36" fillId="0" borderId="0" applyFill="0" applyBorder="0" applyAlignment="0" applyProtection="0"/>
    <xf numFmtId="179" fontId="36" fillId="0" borderId="0" applyFill="0" applyBorder="0" applyAlignment="0" applyProtection="0"/>
    <xf numFmtId="195" fontId="36" fillId="0" borderId="0" applyFill="0" applyBorder="0" applyAlignment="0" applyProtection="0"/>
    <xf numFmtId="0" fontId="42" fillId="0" borderId="0"/>
    <xf numFmtId="173" fontId="35" fillId="0" borderId="0" applyFont="0" applyFill="0" applyBorder="0" applyAlignment="0" applyProtection="0"/>
    <xf numFmtId="173" fontId="43" fillId="0" borderId="0" applyFont="0" applyFill="0" applyBorder="0" applyAlignment="0" applyProtection="0"/>
    <xf numFmtId="172" fontId="36" fillId="0" borderId="0" applyFill="0" applyBorder="0" applyAlignment="0" applyProtection="0"/>
    <xf numFmtId="196" fontId="36" fillId="0" borderId="0" applyFill="0" applyBorder="0" applyAlignment="0" applyProtection="0"/>
    <xf numFmtId="178" fontId="36" fillId="0" borderId="0" applyFill="0" applyBorder="0" applyAlignment="0" applyProtection="0"/>
    <xf numFmtId="196" fontId="36" fillId="0" borderId="0" applyFill="0" applyBorder="0" applyAlignment="0" applyProtection="0"/>
    <xf numFmtId="178" fontId="36" fillId="0" borderId="0" applyFill="0" applyBorder="0" applyAlignment="0" applyProtection="0"/>
    <xf numFmtId="176" fontId="36" fillId="0" borderId="0" applyFill="0" applyBorder="0" applyAlignment="0" applyProtection="0"/>
    <xf numFmtId="178" fontId="36" fillId="0" borderId="0" applyFill="0" applyBorder="0" applyAlignment="0" applyProtection="0"/>
    <xf numFmtId="197" fontId="36" fillId="0" borderId="0" applyFill="0" applyBorder="0" applyAlignment="0" applyProtection="0"/>
    <xf numFmtId="196" fontId="36" fillId="0" borderId="0" applyFill="0" applyBorder="0" applyAlignment="0" applyProtection="0"/>
    <xf numFmtId="176" fontId="36" fillId="0" borderId="0" applyFill="0" applyBorder="0" applyAlignment="0" applyProtection="0"/>
    <xf numFmtId="172" fontId="36" fillId="0" borderId="0" applyFill="0" applyBorder="0" applyAlignment="0" applyProtection="0"/>
    <xf numFmtId="178" fontId="36" fillId="0" borderId="0" applyFill="0" applyBorder="0" applyAlignment="0" applyProtection="0"/>
    <xf numFmtId="198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200" fontId="36" fillId="0" borderId="0" applyFill="0" applyBorder="0" applyAlignment="0" applyProtection="0"/>
    <xf numFmtId="178" fontId="36" fillId="0" borderId="0" applyFill="0" applyBorder="0" applyAlignment="0" applyProtection="0"/>
    <xf numFmtId="178" fontId="36" fillId="0" borderId="0" applyFill="0" applyBorder="0" applyAlignment="0" applyProtection="0"/>
    <xf numFmtId="178" fontId="36" fillId="0" borderId="0" applyFill="0" applyBorder="0" applyAlignment="0" applyProtection="0"/>
    <xf numFmtId="199" fontId="36" fillId="0" borderId="0" applyFill="0" applyBorder="0" applyAlignment="0" applyProtection="0"/>
    <xf numFmtId="201" fontId="36" fillId="0" borderId="0" applyFill="0" applyBorder="0" applyAlignment="0" applyProtection="0"/>
    <xf numFmtId="201" fontId="36" fillId="0" borderId="0" applyFill="0" applyBorder="0" applyAlignment="0" applyProtection="0"/>
    <xf numFmtId="201" fontId="36" fillId="0" borderId="0" applyFill="0" applyBorder="0" applyAlignment="0" applyProtection="0"/>
    <xf numFmtId="201" fontId="36" fillId="0" borderId="0" applyFill="0" applyBorder="0" applyAlignment="0" applyProtection="0"/>
    <xf numFmtId="200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76" fontId="36" fillId="0" borderId="0" applyFill="0" applyBorder="0" applyAlignment="0" applyProtection="0"/>
    <xf numFmtId="201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78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78" fontId="36" fillId="0" borderId="0" applyFill="0" applyBorder="0" applyAlignment="0" applyProtection="0"/>
    <xf numFmtId="196" fontId="36" fillId="0" borderId="0" applyFill="0" applyBorder="0" applyAlignment="0" applyProtection="0"/>
    <xf numFmtId="196" fontId="36" fillId="0" borderId="0" applyFill="0" applyBorder="0" applyAlignment="0" applyProtection="0"/>
    <xf numFmtId="178" fontId="36" fillId="0" borderId="0" applyFill="0" applyBorder="0" applyAlignment="0" applyProtection="0"/>
    <xf numFmtId="196" fontId="36" fillId="0" borderId="0" applyFill="0" applyBorder="0" applyAlignment="0" applyProtection="0"/>
    <xf numFmtId="178" fontId="36" fillId="0" borderId="0" applyFill="0" applyBorder="0" applyAlignment="0" applyProtection="0"/>
    <xf numFmtId="202" fontId="36" fillId="0" borderId="0" applyFill="0" applyBorder="0" applyAlignment="0" applyProtection="0"/>
    <xf numFmtId="174" fontId="43" fillId="0" borderId="0" applyFont="0" applyFill="0" applyBorder="0" applyAlignment="0" applyProtection="0"/>
    <xf numFmtId="185" fontId="36" fillId="0" borderId="0" applyFill="0" applyBorder="0" applyAlignment="0" applyProtection="0"/>
    <xf numFmtId="186" fontId="36" fillId="0" borderId="0" applyFill="0" applyBorder="0" applyAlignment="0" applyProtection="0"/>
    <xf numFmtId="187" fontId="36" fillId="0" borderId="0" applyFill="0" applyBorder="0" applyAlignment="0" applyProtection="0"/>
    <xf numFmtId="186" fontId="36" fillId="0" borderId="0" applyFill="0" applyBorder="0" applyAlignment="0" applyProtection="0"/>
    <xf numFmtId="187" fontId="36" fillId="0" borderId="0" applyFill="0" applyBorder="0" applyAlignment="0" applyProtection="0"/>
    <xf numFmtId="188" fontId="36" fillId="0" borderId="0" applyFill="0" applyBorder="0" applyAlignment="0" applyProtection="0"/>
    <xf numFmtId="187" fontId="36" fillId="0" borderId="0" applyFill="0" applyBorder="0" applyAlignment="0" applyProtection="0"/>
    <xf numFmtId="189" fontId="36" fillId="0" borderId="0" applyFill="0" applyBorder="0" applyAlignment="0" applyProtection="0"/>
    <xf numFmtId="186" fontId="36" fillId="0" borderId="0" applyFill="0" applyBorder="0" applyAlignment="0" applyProtection="0"/>
    <xf numFmtId="188" fontId="36" fillId="0" borderId="0" applyFill="0" applyBorder="0" applyAlignment="0" applyProtection="0"/>
    <xf numFmtId="185" fontId="36" fillId="0" borderId="0" applyFill="0" applyBorder="0" applyAlignment="0" applyProtection="0"/>
    <xf numFmtId="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1" fontId="36" fillId="0" borderId="0" applyFill="0" applyBorder="0" applyAlignment="0" applyProtection="0"/>
    <xf numFmtId="187" fontId="36" fillId="0" borderId="0" applyFill="0" applyBorder="0" applyAlignment="0" applyProtection="0"/>
    <xf numFmtId="187" fontId="36" fillId="0" borderId="0" applyFill="0" applyBorder="0" applyAlignment="0" applyProtection="0"/>
    <xf numFmtId="187" fontId="36" fillId="0" borderId="0" applyFill="0" applyBorder="0" applyAlignment="0" applyProtection="0"/>
    <xf numFmtId="190" fontId="36" fillId="0" borderId="0" applyFill="0" applyBorder="0" applyAlignment="0" applyProtection="0"/>
    <xf numFmtId="192" fontId="36" fillId="0" borderId="0" applyFill="0" applyBorder="0" applyAlignment="0" applyProtection="0"/>
    <xf numFmtId="192" fontId="36" fillId="0" borderId="0" applyFill="0" applyBorder="0" applyAlignment="0" applyProtection="0"/>
    <xf numFmtId="192" fontId="36" fillId="0" borderId="0" applyFill="0" applyBorder="0" applyAlignment="0" applyProtection="0"/>
    <xf numFmtId="192" fontId="36" fillId="0" borderId="0" applyFill="0" applyBorder="0" applyAlignment="0" applyProtection="0"/>
    <xf numFmtId="191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88" fontId="36" fillId="0" borderId="0" applyFill="0" applyBorder="0" applyAlignment="0" applyProtection="0"/>
    <xf numFmtId="192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87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87" fontId="36" fillId="0" borderId="0" applyFill="0" applyBorder="0" applyAlignment="0" applyProtection="0"/>
    <xf numFmtId="186" fontId="36" fillId="0" borderId="0" applyFill="0" applyBorder="0" applyAlignment="0" applyProtection="0"/>
    <xf numFmtId="186" fontId="36" fillId="0" borderId="0" applyFill="0" applyBorder="0" applyAlignment="0" applyProtection="0"/>
    <xf numFmtId="187" fontId="36" fillId="0" borderId="0" applyFill="0" applyBorder="0" applyAlignment="0" applyProtection="0"/>
    <xf numFmtId="186" fontId="36" fillId="0" borderId="0" applyFill="0" applyBorder="0" applyAlignment="0" applyProtection="0"/>
    <xf numFmtId="187" fontId="36" fillId="0" borderId="0" applyFill="0" applyBorder="0" applyAlignment="0" applyProtection="0"/>
    <xf numFmtId="193" fontId="36" fillId="0" borderId="0" applyFill="0" applyBorder="0" applyAlignment="0" applyProtection="0"/>
    <xf numFmtId="168" fontId="35" fillId="0" borderId="0" applyFont="0" applyFill="0" applyBorder="0" applyAlignment="0" applyProtection="0"/>
    <xf numFmtId="183" fontId="36" fillId="0" borderId="0" applyFill="0" applyBorder="0" applyAlignment="0" applyProtection="0"/>
    <xf numFmtId="184" fontId="36" fillId="0" borderId="0" applyFill="0" applyBorder="0" applyAlignment="0" applyProtection="0"/>
    <xf numFmtId="174" fontId="35" fillId="0" borderId="0" applyFont="0" applyFill="0" applyBorder="0" applyAlignment="0" applyProtection="0"/>
    <xf numFmtId="177" fontId="36" fillId="0" borderId="0" applyFill="0" applyBorder="0" applyAlignment="0" applyProtection="0"/>
    <xf numFmtId="0" fontId="3" fillId="0" borderId="0"/>
    <xf numFmtId="0" fontId="3" fillId="0" borderId="0"/>
    <xf numFmtId="0" fontId="42" fillId="0" borderId="0"/>
    <xf numFmtId="177" fontId="36" fillId="0" borderId="0" applyFill="0" applyBorder="0" applyAlignment="0" applyProtection="0"/>
    <xf numFmtId="0" fontId="3" fillId="0" borderId="0"/>
    <xf numFmtId="0" fontId="3" fillId="0" borderId="0" applyNumberFormat="0" applyFill="0" applyBorder="0" applyAlignment="0" applyProtection="0"/>
    <xf numFmtId="0" fontId="3" fillId="0" borderId="0"/>
    <xf numFmtId="0" fontId="3" fillId="0" borderId="0"/>
    <xf numFmtId="0" fontId="30" fillId="0" borderId="0"/>
    <xf numFmtId="203" fontId="36" fillId="0" borderId="0" applyFill="0" applyBorder="0" applyAlignment="0" applyProtection="0"/>
    <xf numFmtId="0" fontId="45" fillId="0" borderId="0"/>
    <xf numFmtId="0" fontId="45" fillId="0" borderId="0"/>
    <xf numFmtId="0" fontId="45" fillId="0" borderId="0"/>
    <xf numFmtId="0" fontId="46" fillId="0" borderId="0" applyNumberFormat="0" applyFill="0" applyBorder="0" applyAlignment="0" applyProtection="0"/>
    <xf numFmtId="204" fontId="36" fillId="0" borderId="0" applyFill="0" applyBorder="0" applyAlignment="0" applyProtection="0"/>
    <xf numFmtId="205" fontId="36" fillId="0" borderId="0" applyFill="0" applyBorder="0" applyAlignment="0" applyProtection="0"/>
    <xf numFmtId="206" fontId="36" fillId="0" borderId="0" applyFill="0" applyBorder="0" applyAlignment="0" applyProtection="0"/>
    <xf numFmtId="207" fontId="36" fillId="0" borderId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0"/>
    <xf numFmtId="208" fontId="43" fillId="0" borderId="49" applyNumberFormat="0" applyFont="0" applyAlignment="0"/>
    <xf numFmtId="0" fontId="49" fillId="12" borderId="0"/>
    <xf numFmtId="9" fontId="50" fillId="0" borderId="0" applyBorder="0" applyAlignment="0" applyProtection="0"/>
    <xf numFmtId="0" fontId="51" fillId="12" borderId="0"/>
    <xf numFmtId="0" fontId="52" fillId="13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8" borderId="0" applyNumberFormat="0" applyBorder="0" applyAlignment="0" applyProtection="0"/>
    <xf numFmtId="0" fontId="53" fillId="12" borderId="0"/>
    <xf numFmtId="0" fontId="54" fillId="0" borderId="0">
      <alignment wrapText="1"/>
    </xf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16" borderId="0" applyNumberFormat="0" applyBorder="0" applyAlignment="0" applyProtection="0"/>
    <xf numFmtId="0" fontId="52" fillId="19" borderId="0" applyNumberFormat="0" applyBorder="0" applyAlignment="0" applyProtection="0"/>
    <xf numFmtId="0" fontId="52" fillId="22" borderId="0" applyNumberFormat="0" applyBorder="0" applyAlignment="0" applyProtection="0"/>
    <xf numFmtId="0" fontId="55" fillId="10" borderId="0" applyNumberFormat="0" applyBorder="0" applyAlignment="0" applyProtection="0"/>
    <xf numFmtId="0" fontId="56" fillId="23" borderId="0" applyNumberFormat="0" applyBorder="0" applyAlignment="0" applyProtection="0"/>
    <xf numFmtId="0" fontId="56" fillId="20" borderId="0" applyNumberFormat="0" applyBorder="0" applyAlignment="0" applyProtection="0"/>
    <xf numFmtId="0" fontId="56" fillId="21" borderId="0" applyNumberFormat="0" applyBorder="0" applyAlignment="0" applyProtection="0"/>
    <xf numFmtId="0" fontId="56" fillId="24" borderId="0" applyNumberFormat="0" applyBorder="0" applyAlignment="0" applyProtection="0"/>
    <xf numFmtId="0" fontId="56" fillId="25" borderId="0" applyNumberFormat="0" applyBorder="0" applyAlignment="0" applyProtection="0"/>
    <xf numFmtId="0" fontId="56" fillId="26" borderId="0" applyNumberFormat="0" applyBorder="0" applyAlignment="0" applyProtection="0"/>
    <xf numFmtId="0" fontId="57" fillId="27" borderId="0" applyNumberFormat="0" applyBorder="0" applyAlignment="0" applyProtection="0"/>
    <xf numFmtId="0" fontId="57" fillId="27" borderId="0" applyNumberFormat="0" applyBorder="0" applyAlignment="0" applyProtection="0"/>
    <xf numFmtId="0" fontId="58" fillId="28" borderId="0" applyNumberFormat="0" applyBorder="0" applyAlignment="0" applyProtection="0"/>
    <xf numFmtId="0" fontId="57" fillId="29" borderId="0" applyNumberFormat="0" applyBorder="0" applyAlignment="0" applyProtection="0"/>
    <xf numFmtId="0" fontId="57" fillId="30" borderId="0" applyNumberFormat="0" applyBorder="0" applyAlignment="0" applyProtection="0"/>
    <xf numFmtId="0" fontId="58" fillId="31" borderId="0" applyNumberFormat="0" applyBorder="0" applyAlignment="0" applyProtection="0"/>
    <xf numFmtId="0" fontId="57" fillId="29" borderId="0" applyNumberFormat="0" applyBorder="0" applyAlignment="0" applyProtection="0"/>
    <xf numFmtId="0" fontId="57" fillId="32" borderId="0" applyNumberFormat="0" applyBorder="0" applyAlignment="0" applyProtection="0"/>
    <xf numFmtId="0" fontId="58" fillId="30" borderId="0" applyNumberFormat="0" applyBorder="0" applyAlignment="0" applyProtection="0"/>
    <xf numFmtId="0" fontId="57" fillId="27" borderId="0" applyNumberFormat="0" applyBorder="0" applyAlignment="0" applyProtection="0"/>
    <xf numFmtId="0" fontId="57" fillId="30" borderId="0" applyNumberFormat="0" applyBorder="0" applyAlignment="0" applyProtection="0"/>
    <xf numFmtId="0" fontId="58" fillId="30" borderId="0" applyNumberFormat="0" applyBorder="0" applyAlignment="0" applyProtection="0"/>
    <xf numFmtId="0" fontId="57" fillId="33" borderId="0" applyNumberFormat="0" applyBorder="0" applyAlignment="0" applyProtection="0"/>
    <xf numFmtId="0" fontId="57" fillId="27" borderId="0" applyNumberFormat="0" applyBorder="0" applyAlignment="0" applyProtection="0"/>
    <xf numFmtId="0" fontId="58" fillId="28" borderId="0" applyNumberFormat="0" applyBorder="0" applyAlignment="0" applyProtection="0"/>
    <xf numFmtId="0" fontId="57" fillId="29" borderId="0" applyNumberFormat="0" applyBorder="0" applyAlignment="0" applyProtection="0"/>
    <xf numFmtId="0" fontId="57" fillId="34" borderId="0" applyNumberFormat="0" applyBorder="0" applyAlignment="0" applyProtection="0"/>
    <xf numFmtId="0" fontId="58" fillId="34" borderId="0" applyNumberFormat="0" applyBorder="0" applyAlignment="0" applyProtection="0"/>
    <xf numFmtId="209" fontId="3" fillId="0" borderId="0" applyFont="0" applyFill="0" applyBorder="0" applyAlignment="0" applyProtection="0"/>
    <xf numFmtId="0" fontId="59" fillId="0" borderId="0" applyFont="0" applyFill="0" applyBorder="0" applyAlignment="0" applyProtection="0"/>
    <xf numFmtId="210" fontId="36" fillId="0" borderId="0" applyFill="0" applyBorder="0" applyAlignment="0" applyProtection="0"/>
    <xf numFmtId="211" fontId="3" fillId="0" borderId="0" applyFont="0" applyFill="0" applyBorder="0" applyAlignment="0" applyProtection="0"/>
    <xf numFmtId="0" fontId="59" fillId="0" borderId="0" applyFont="0" applyFill="0" applyBorder="0" applyAlignment="0" applyProtection="0"/>
    <xf numFmtId="211" fontId="3" fillId="0" borderId="0" applyFont="0" applyFill="0" applyBorder="0" applyAlignment="0" applyProtection="0"/>
    <xf numFmtId="0" fontId="60" fillId="0" borderId="0">
      <alignment horizontal="center" wrapText="1"/>
      <protection locked="0"/>
    </xf>
    <xf numFmtId="212" fontId="61" fillId="0" borderId="0" applyFont="0" applyFill="0" applyBorder="0" applyAlignment="0" applyProtection="0"/>
    <xf numFmtId="0" fontId="59" fillId="0" borderId="0" applyFont="0" applyFill="0" applyBorder="0" applyAlignment="0" applyProtection="0"/>
    <xf numFmtId="212" fontId="61" fillId="0" borderId="0" applyFont="0" applyFill="0" applyBorder="0" applyAlignment="0" applyProtection="0"/>
    <xf numFmtId="213" fontId="61" fillId="0" borderId="0" applyFont="0" applyFill="0" applyBorder="0" applyAlignment="0" applyProtection="0"/>
    <xf numFmtId="0" fontId="59" fillId="0" borderId="0" applyFont="0" applyFill="0" applyBorder="0" applyAlignment="0" applyProtection="0"/>
    <xf numFmtId="213" fontId="61" fillId="0" borderId="0" applyFont="0" applyFill="0" applyBorder="0" applyAlignment="0" applyProtection="0"/>
    <xf numFmtId="168" fontId="35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59" fillId="0" borderId="0"/>
    <xf numFmtId="0" fontId="63" fillId="0" borderId="0"/>
    <xf numFmtId="0" fontId="59" fillId="0" borderId="0"/>
    <xf numFmtId="0" fontId="64" fillId="0" borderId="0"/>
    <xf numFmtId="214" fontId="3" fillId="0" borderId="0" applyFill="0" applyBorder="0" applyAlignment="0"/>
    <xf numFmtId="215" fontId="3" fillId="0" borderId="0" applyFill="0" applyBorder="0" applyAlignment="0"/>
    <xf numFmtId="216" fontId="3" fillId="0" borderId="0" applyFill="0" applyBorder="0" applyAlignment="0"/>
    <xf numFmtId="217" fontId="3" fillId="0" borderId="0" applyFill="0" applyBorder="0" applyAlignment="0"/>
    <xf numFmtId="218" fontId="3" fillId="0" borderId="0" applyFill="0" applyBorder="0" applyAlignment="0"/>
    <xf numFmtId="219" fontId="3" fillId="0" borderId="0" applyFill="0" applyBorder="0" applyAlignment="0"/>
    <xf numFmtId="220" fontId="3" fillId="0" borderId="0" applyFill="0" applyBorder="0" applyAlignment="0"/>
    <xf numFmtId="215" fontId="3" fillId="0" borderId="0" applyFill="0" applyBorder="0" applyAlignment="0"/>
    <xf numFmtId="0" fontId="65" fillId="0" borderId="0"/>
    <xf numFmtId="221" fontId="43" fillId="0" borderId="0" applyFont="0" applyFill="0" applyBorder="0" applyAlignment="0" applyProtection="0"/>
    <xf numFmtId="176" fontId="36" fillId="0" borderId="0" applyFill="0" applyBorder="0" applyAlignment="0" applyProtection="0"/>
    <xf numFmtId="1" fontId="66" fillId="0" borderId="7" applyBorder="0"/>
    <xf numFmtId="222" fontId="67" fillId="35" borderId="50">
      <alignment horizontal="center" vertical="center"/>
    </xf>
    <xf numFmtId="41" fontId="3" fillId="0" borderId="0" applyFont="0" applyFill="0" applyBorder="0" applyAlignment="0" applyProtection="0"/>
    <xf numFmtId="219" fontId="36" fillId="0" borderId="0" applyFill="0" applyBorder="0" applyAlignment="0" applyProtection="0"/>
    <xf numFmtId="43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30" fillId="0" borderId="0" applyFont="0" applyFill="0" applyBorder="0" applyAlignment="0" applyProtection="0"/>
    <xf numFmtId="190" fontId="68" fillId="0" borderId="0" applyFill="0" applyBorder="0" applyAlignment="0" applyProtection="0"/>
    <xf numFmtId="190" fontId="68" fillId="0" borderId="0" applyFill="0" applyBorder="0" applyAlignment="0" applyProtection="0"/>
    <xf numFmtId="43" fontId="3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3" fillId="0" borderId="0" applyFont="0" applyFill="0" applyBorder="0" applyAlignment="0" applyProtection="0"/>
    <xf numFmtId="223" fontId="36" fillId="0" borderId="0" applyFill="0" applyBorder="0" applyAlignment="0" applyProtection="0"/>
    <xf numFmtId="224" fontId="36" fillId="0" borderId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0" fontId="36" fillId="0" borderId="0" applyFill="0" applyBorder="0" applyAlignment="0" applyProtection="0"/>
    <xf numFmtId="43" fontId="3" fillId="0" borderId="0" applyFont="0" applyFill="0" applyBorder="0" applyAlignment="0" applyProtection="0"/>
    <xf numFmtId="43" fontId="3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225" fontId="3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226" fontId="68" fillId="0" borderId="0" applyFill="0" applyBorder="0" applyAlignment="0" applyProtection="0"/>
    <xf numFmtId="43" fontId="3" fillId="0" borderId="0" applyFont="0" applyFill="0" applyBorder="0" applyAlignment="0" applyProtection="0"/>
    <xf numFmtId="223" fontId="68" fillId="0" borderId="0" applyFill="0" applyBorder="0" applyAlignment="0" applyProtection="0"/>
    <xf numFmtId="43" fontId="30" fillId="0" borderId="0" applyFont="0" applyFill="0" applyBorder="0" applyAlignment="0" applyProtection="0"/>
    <xf numFmtId="43" fontId="57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6" fillId="0" borderId="0" applyFill="0" applyBorder="0" applyAlignment="0" applyProtection="0"/>
    <xf numFmtId="171" fontId="36" fillId="0" borderId="0" applyFill="0" applyBorder="0" applyAlignment="0" applyProtection="0"/>
    <xf numFmtId="43" fontId="44" fillId="0" borderId="0" applyFont="0" applyFill="0" applyBorder="0" applyAlignment="0" applyProtection="0"/>
    <xf numFmtId="183" fontId="3" fillId="0" borderId="0"/>
    <xf numFmtId="3" fontId="3" fillId="0" borderId="0" applyFont="0" applyFill="0" applyBorder="0" applyAlignment="0" applyProtection="0"/>
    <xf numFmtId="0" fontId="71" fillId="0" borderId="0" applyNumberFormat="0" applyAlignment="0"/>
    <xf numFmtId="0" fontId="72" fillId="0" borderId="0" applyNumberFormat="0" applyAlignment="0"/>
    <xf numFmtId="215" fontId="36" fillId="0" borderId="0" applyFill="0" applyBorder="0" applyAlignment="0" applyProtection="0"/>
    <xf numFmtId="227" fontId="68" fillId="0" borderId="0" applyFill="0" applyBorder="0" applyAlignment="0" applyProtection="0"/>
    <xf numFmtId="224" fontId="3" fillId="0" borderId="0" applyFont="0" applyFill="0" applyBorder="0" applyAlignment="0" applyProtection="0"/>
    <xf numFmtId="228" fontId="3" fillId="0" borderId="0"/>
    <xf numFmtId="212" fontId="73" fillId="0" borderId="0" applyFont="0" applyFill="0" applyBorder="0" applyAlignment="0" applyProtection="0"/>
    <xf numFmtId="212" fontId="74" fillId="0" borderId="0" applyFont="0" applyFill="0" applyBorder="0" applyAlignment="0" applyProtection="0"/>
    <xf numFmtId="0" fontId="3" fillId="0" borderId="0" applyFont="0" applyFill="0" applyBorder="0" applyAlignment="0" applyProtection="0"/>
    <xf numFmtId="14" fontId="75" fillId="0" borderId="0" applyFill="0" applyBorder="0" applyAlignment="0"/>
    <xf numFmtId="0" fontId="76" fillId="0" borderId="0">
      <protection locked="0"/>
    </xf>
    <xf numFmtId="229" fontId="36" fillId="0" borderId="0" applyFill="0" applyBorder="0" applyAlignment="0" applyProtection="0"/>
    <xf numFmtId="4" fontId="36" fillId="0" borderId="0" applyFill="0" applyBorder="0" applyAlignment="0" applyProtection="0"/>
    <xf numFmtId="230" fontId="3" fillId="0" borderId="0"/>
    <xf numFmtId="231" fontId="36" fillId="0" borderId="0" applyFill="0" applyBorder="0" applyAlignment="0" applyProtection="0"/>
    <xf numFmtId="232" fontId="36" fillId="0" borderId="0" applyFill="0" applyBorder="0" applyAlignment="0" applyProtection="0"/>
    <xf numFmtId="231" fontId="36" fillId="0" borderId="0" applyFill="0" applyBorder="0" applyAlignment="0" applyProtection="0"/>
    <xf numFmtId="233" fontId="36" fillId="0" borderId="0" applyFill="0" applyBorder="0" applyAlignment="0" applyProtection="0"/>
    <xf numFmtId="234" fontId="36" fillId="0" borderId="0" applyFill="0" applyBorder="0" applyAlignment="0" applyProtection="0"/>
    <xf numFmtId="234" fontId="36" fillId="0" borderId="0" applyFill="0" applyBorder="0" applyAlignment="0" applyProtection="0"/>
    <xf numFmtId="234" fontId="36" fillId="0" borderId="0" applyFill="0" applyBorder="0" applyAlignment="0" applyProtection="0"/>
    <xf numFmtId="234" fontId="36" fillId="0" borderId="0" applyFill="0" applyBorder="0" applyAlignment="0" applyProtection="0"/>
    <xf numFmtId="231" fontId="36" fillId="0" borderId="0" applyFill="0" applyBorder="0" applyAlignment="0" applyProtection="0"/>
    <xf numFmtId="233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234" fontId="36" fillId="0" borderId="0" applyFill="0" applyBorder="0" applyAlignment="0" applyProtection="0"/>
    <xf numFmtId="234" fontId="36" fillId="0" borderId="0" applyFill="0" applyBorder="0" applyAlignment="0" applyProtection="0"/>
    <xf numFmtId="235" fontId="36" fillId="0" borderId="0" applyFill="0" applyBorder="0" applyAlignment="0" applyProtection="0"/>
    <xf numFmtId="235" fontId="36" fillId="0" borderId="0" applyFill="0" applyBorder="0" applyAlignment="0" applyProtection="0"/>
    <xf numFmtId="236" fontId="36" fillId="0" borderId="0" applyFill="0" applyBorder="0" applyAlignment="0" applyProtection="0"/>
    <xf numFmtId="236" fontId="36" fillId="0" borderId="0" applyFill="0" applyBorder="0" applyAlignment="0" applyProtection="0"/>
    <xf numFmtId="233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233" fontId="36" fillId="0" borderId="0" applyFill="0" applyBorder="0" applyAlignment="0" applyProtection="0"/>
    <xf numFmtId="233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233" fontId="36" fillId="0" borderId="0" applyFill="0" applyBorder="0" applyAlignment="0" applyProtection="0"/>
    <xf numFmtId="199" fontId="36" fillId="0" borderId="0" applyFill="0" applyBorder="0" applyAlignment="0" applyProtection="0"/>
    <xf numFmtId="232" fontId="36" fillId="0" borderId="0" applyFill="0" applyBorder="0" applyAlignment="0" applyProtection="0"/>
    <xf numFmtId="237" fontId="36" fillId="0" borderId="0" applyFill="0" applyBorder="0" applyAlignment="0" applyProtection="0"/>
    <xf numFmtId="238" fontId="36" fillId="0" borderId="0" applyFill="0" applyBorder="0" applyAlignment="0" applyProtection="0"/>
    <xf numFmtId="238" fontId="36" fillId="0" borderId="0" applyFill="0" applyBorder="0" applyAlignment="0" applyProtection="0"/>
    <xf numFmtId="238" fontId="36" fillId="0" borderId="0" applyFill="0" applyBorder="0" applyAlignment="0" applyProtection="0"/>
    <xf numFmtId="238" fontId="36" fillId="0" borderId="0" applyFill="0" applyBorder="0" applyAlignment="0" applyProtection="0"/>
    <xf numFmtId="232" fontId="36" fillId="0" borderId="0" applyFill="0" applyBorder="0" applyAlignment="0" applyProtection="0"/>
    <xf numFmtId="237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238" fontId="36" fillId="0" borderId="0" applyFill="0" applyBorder="0" applyAlignment="0" applyProtection="0"/>
    <xf numFmtId="238" fontId="36" fillId="0" borderId="0" applyFill="0" applyBorder="0" applyAlignment="0" applyProtection="0"/>
    <xf numFmtId="239" fontId="36" fillId="0" borderId="0" applyFill="0" applyBorder="0" applyAlignment="0" applyProtection="0"/>
    <xf numFmtId="239" fontId="36" fillId="0" borderId="0" applyFill="0" applyBorder="0" applyAlignment="0" applyProtection="0"/>
    <xf numFmtId="240" fontId="36" fillId="0" borderId="0" applyFill="0" applyBorder="0" applyAlignment="0" applyProtection="0"/>
    <xf numFmtId="240" fontId="36" fillId="0" borderId="0" applyFill="0" applyBorder="0" applyAlignment="0" applyProtection="0"/>
    <xf numFmtId="237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237" fontId="36" fillId="0" borderId="0" applyFill="0" applyBorder="0" applyAlignment="0" applyProtection="0"/>
    <xf numFmtId="237" fontId="36" fillId="0" borderId="0" applyFill="0" applyBorder="0" applyAlignment="0" applyProtection="0"/>
    <xf numFmtId="190" fontId="36" fillId="0" borderId="0" applyFill="0" applyBorder="0" applyAlignment="0" applyProtection="0"/>
    <xf numFmtId="190" fontId="36" fillId="0" borderId="0" applyFill="0" applyBorder="0" applyAlignment="0" applyProtection="0"/>
    <xf numFmtId="237" fontId="36" fillId="0" borderId="0" applyFill="0" applyBorder="0" applyAlignment="0" applyProtection="0"/>
    <xf numFmtId="190" fontId="36" fillId="0" borderId="0" applyFill="0" applyBorder="0" applyAlignment="0" applyProtection="0"/>
    <xf numFmtId="0" fontId="77" fillId="36" borderId="0" applyNumberFormat="0" applyBorder="0" applyAlignment="0" applyProtection="0"/>
    <xf numFmtId="0" fontId="77" fillId="37" borderId="0" applyNumberFormat="0" applyBorder="0" applyAlignment="0" applyProtection="0"/>
    <xf numFmtId="0" fontId="77" fillId="38" borderId="0" applyNumberFormat="0" applyBorder="0" applyAlignment="0" applyProtection="0"/>
    <xf numFmtId="219" fontId="3" fillId="0" borderId="0" applyFill="0" applyBorder="0" applyAlignment="0"/>
    <xf numFmtId="215" fontId="3" fillId="0" borderId="0" applyFill="0" applyBorder="0" applyAlignment="0"/>
    <xf numFmtId="219" fontId="3" fillId="0" borderId="0" applyFill="0" applyBorder="0" applyAlignment="0"/>
    <xf numFmtId="220" fontId="3" fillId="0" borderId="0" applyFill="0" applyBorder="0" applyAlignment="0"/>
    <xf numFmtId="215" fontId="3" fillId="0" borderId="0" applyFill="0" applyBorder="0" applyAlignment="0"/>
    <xf numFmtId="0" fontId="78" fillId="0" borderId="0" applyNumberFormat="0" applyAlignment="0"/>
    <xf numFmtId="0" fontId="79" fillId="0" borderId="0"/>
    <xf numFmtId="0" fontId="32" fillId="0" borderId="0" applyNumberFormat="0" applyFill="0" applyBorder="0" applyAlignment="0" applyProtection="0"/>
    <xf numFmtId="2" fontId="3" fillId="0" borderId="0" applyFont="0" applyFill="0" applyBorder="0" applyAlignment="0" applyProtection="0"/>
    <xf numFmtId="38" fontId="80" fillId="39" borderId="0" applyNumberFormat="0" applyBorder="0" applyAlignment="0" applyProtection="0"/>
    <xf numFmtId="241" fontId="67" fillId="12" borderId="0" applyBorder="0" applyProtection="0"/>
    <xf numFmtId="0" fontId="36" fillId="0" borderId="0" applyNumberFormat="0" applyBorder="0" applyAlignment="0"/>
    <xf numFmtId="0" fontId="81" fillId="0" borderId="0">
      <alignment horizontal="left"/>
    </xf>
    <xf numFmtId="0" fontId="82" fillId="0" borderId="51" applyNumberFormat="0" applyAlignment="0" applyProtection="0">
      <alignment horizontal="left" vertical="center"/>
    </xf>
    <xf numFmtId="0" fontId="82" fillId="0" borderId="4">
      <alignment horizontal="left" vertical="center"/>
    </xf>
    <xf numFmtId="242" fontId="83" fillId="0" borderId="0">
      <protection locked="0"/>
    </xf>
    <xf numFmtId="243" fontId="35" fillId="0" borderId="0">
      <protection locked="0"/>
    </xf>
    <xf numFmtId="242" fontId="83" fillId="0" borderId="0">
      <protection locked="0"/>
    </xf>
    <xf numFmtId="0" fontId="63" fillId="0" borderId="0"/>
    <xf numFmtId="176" fontId="36" fillId="0" borderId="0" applyFill="0" applyBorder="0" applyAlignment="0" applyProtection="0"/>
    <xf numFmtId="38" fontId="36" fillId="0" borderId="0" applyFill="0" applyBorder="0" applyAlignment="0" applyProtection="0"/>
    <xf numFmtId="178" fontId="36" fillId="0" borderId="0" applyFill="0" applyBorder="0" applyAlignment="0" applyProtection="0"/>
    <xf numFmtId="244" fontId="36" fillId="0" borderId="0" applyFill="0" applyBorder="0" applyAlignment="0" applyProtection="0"/>
    <xf numFmtId="10" fontId="80" fillId="39" borderId="1" applyNumberFormat="0" applyBorder="0" applyAlignment="0" applyProtection="0"/>
    <xf numFmtId="0" fontId="31" fillId="6" borderId="45" applyNumberFormat="0" applyAlignment="0" applyProtection="0"/>
    <xf numFmtId="214" fontId="3" fillId="40" borderId="0"/>
    <xf numFmtId="176" fontId="36" fillId="0" borderId="0" applyFill="0" applyBorder="0" applyAlignment="0" applyProtection="0"/>
    <xf numFmtId="0" fontId="84" fillId="0" borderId="0"/>
    <xf numFmtId="0" fontId="3" fillId="0" borderId="0"/>
    <xf numFmtId="3" fontId="85" fillId="0" borderId="52">
      <alignment horizontal="center"/>
    </xf>
    <xf numFmtId="219" fontId="3" fillId="0" borderId="0" applyFill="0" applyBorder="0" applyAlignment="0"/>
    <xf numFmtId="215" fontId="3" fillId="0" borderId="0" applyFill="0" applyBorder="0" applyAlignment="0"/>
    <xf numFmtId="219" fontId="3" fillId="0" borderId="0" applyFill="0" applyBorder="0" applyAlignment="0"/>
    <xf numFmtId="220" fontId="3" fillId="0" borderId="0" applyFill="0" applyBorder="0" applyAlignment="0"/>
    <xf numFmtId="215" fontId="3" fillId="0" borderId="0" applyFill="0" applyBorder="0" applyAlignment="0"/>
    <xf numFmtId="214" fontId="3" fillId="41" borderId="0"/>
    <xf numFmtId="38" fontId="36" fillId="0" borderId="0" applyFill="0" applyBorder="0" applyAlignment="0" applyProtection="0"/>
    <xf numFmtId="40" fontId="36" fillId="0" borderId="0" applyFill="0" applyBorder="0" applyAlignment="0" applyProtection="0"/>
    <xf numFmtId="245" fontId="36" fillId="0" borderId="0" applyFill="0" applyBorder="0" applyAlignment="0" applyProtection="0"/>
    <xf numFmtId="246" fontId="36" fillId="0" borderId="0" applyFill="0" applyBorder="0" applyAlignment="0" applyProtection="0"/>
    <xf numFmtId="0" fontId="86" fillId="0" borderId="44"/>
    <xf numFmtId="0" fontId="36" fillId="0" borderId="0" applyFill="0" applyBorder="0" applyAlignment="0" applyProtection="0"/>
    <xf numFmtId="247" fontId="36" fillId="0" borderId="0" applyFill="0" applyBorder="0" applyAlignment="0" applyProtection="0"/>
    <xf numFmtId="248" fontId="36" fillId="0" borderId="0" applyFill="0" applyBorder="0" applyAlignment="0" applyProtection="0"/>
    <xf numFmtId="249" fontId="36" fillId="0" borderId="0" applyFill="0" applyBorder="0" applyAlignment="0" applyProtection="0"/>
    <xf numFmtId="14" fontId="36" fillId="0" borderId="0" applyFill="0" applyBorder="0" applyAlignment="0" applyProtection="0"/>
    <xf numFmtId="250" fontId="36" fillId="0" borderId="0" applyFill="0" applyBorder="0" applyAlignment="0" applyProtection="0"/>
    <xf numFmtId="0" fontId="87" fillId="0" borderId="0" applyNumberFormat="0" applyFont="0" applyFill="0" applyAlignment="0"/>
    <xf numFmtId="0" fontId="36" fillId="0" borderId="0" applyNumberFormat="0" applyFill="0" applyAlignment="0"/>
    <xf numFmtId="0" fontId="63" fillId="0" borderId="0"/>
    <xf numFmtId="37" fontId="88" fillId="0" borderId="0"/>
    <xf numFmtId="0" fontId="72" fillId="0" borderId="0"/>
    <xf numFmtId="0" fontId="89" fillId="0" borderId="1" applyNumberFormat="0" applyFont="0" applyFill="0" applyBorder="0" applyAlignment="0">
      <alignment horizontal="center"/>
    </xf>
    <xf numFmtId="251" fontId="90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63" fillId="0" borderId="0"/>
    <xf numFmtId="0" fontId="7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9" fillId="0" borderId="0"/>
    <xf numFmtId="0" fontId="69" fillId="0" borderId="0"/>
    <xf numFmtId="0" fontId="3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3" fillId="0" borderId="0"/>
    <xf numFmtId="0" fontId="3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69" fillId="0" borderId="0"/>
    <xf numFmtId="0" fontId="3" fillId="0" borderId="0"/>
    <xf numFmtId="0" fontId="3" fillId="0" borderId="0"/>
    <xf numFmtId="0" fontId="3" fillId="0" borderId="0"/>
    <xf numFmtId="252" fontId="68" fillId="0" borderId="0"/>
    <xf numFmtId="0" fontId="3" fillId="0" borderId="0"/>
    <xf numFmtId="0" fontId="3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8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" fillId="0" borderId="0" applyNumberFormat="0" applyFont="0" applyFill="0" applyBorder="0" applyAlignment="0" applyProtection="0">
      <alignment vertical="top"/>
    </xf>
    <xf numFmtId="0" fontId="3" fillId="0" borderId="0"/>
    <xf numFmtId="0" fontId="84" fillId="0" borderId="0"/>
    <xf numFmtId="0" fontId="91" fillId="0" borderId="0"/>
    <xf numFmtId="0" fontId="3" fillId="8" borderId="47" applyNumberFormat="0" applyFont="0" applyAlignment="0" applyProtection="0"/>
    <xf numFmtId="222" fontId="36" fillId="0" borderId="0" applyFill="0" applyBorder="0" applyProtection="0">
      <alignment vertical="top" wrapText="1"/>
    </xf>
    <xf numFmtId="0" fontId="3" fillId="0" borderId="0" applyFont="0" applyFill="0" applyBorder="0" applyAlignment="0" applyProtection="0"/>
    <xf numFmtId="0" fontId="63" fillId="0" borderId="0"/>
    <xf numFmtId="0" fontId="92" fillId="7" borderId="46" applyNumberFormat="0" applyAlignment="0" applyProtection="0"/>
    <xf numFmtId="14" fontId="60" fillId="0" borderId="0">
      <alignment horizontal="center" wrapText="1"/>
      <protection locked="0"/>
    </xf>
    <xf numFmtId="218" fontId="36" fillId="0" borderId="0" applyFill="0" applyBorder="0" applyAlignment="0" applyProtection="0"/>
    <xf numFmtId="253" fontId="36" fillId="0" borderId="0" applyFill="0" applyBorder="0" applyAlignment="0" applyProtection="0"/>
    <xf numFmtId="10" fontId="3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70" fillId="0" borderId="0" applyFont="0" applyFill="0" applyBorder="0" applyAlignment="0" applyProtection="0"/>
    <xf numFmtId="9" fontId="70" fillId="0" borderId="0" applyFont="0" applyFill="0" applyBorder="0" applyAlignment="0" applyProtection="0"/>
    <xf numFmtId="9" fontId="36" fillId="0" borderId="0" applyFill="0" applyBorder="0" applyAlignment="0" applyProtection="0"/>
    <xf numFmtId="9" fontId="70" fillId="0" borderId="0" applyFont="0" applyFill="0" applyBorder="0" applyAlignment="0" applyProtection="0"/>
    <xf numFmtId="9" fontId="70" fillId="0" borderId="0" applyFont="0" applyFill="0" applyBorder="0" applyAlignment="0" applyProtection="0"/>
    <xf numFmtId="9" fontId="70" fillId="0" borderId="0" applyFont="0" applyFill="0" applyBorder="0" applyAlignment="0" applyProtection="0"/>
    <xf numFmtId="9" fontId="70" fillId="0" borderId="0" applyFont="0" applyFill="0" applyBorder="0" applyAlignment="0" applyProtection="0"/>
    <xf numFmtId="9" fontId="70" fillId="0" borderId="0" applyFont="0" applyFill="0" applyBorder="0" applyAlignment="0" applyProtection="0"/>
    <xf numFmtId="9" fontId="70" fillId="0" borderId="0" applyFont="0" applyFill="0" applyBorder="0" applyAlignment="0" applyProtection="0"/>
    <xf numFmtId="9" fontId="7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79" fillId="0" borderId="0" applyFont="0" applyFill="0" applyBorder="0" applyAlignment="0" applyProtection="0"/>
    <xf numFmtId="9" fontId="36" fillId="0" borderId="0" applyFill="0" applyBorder="0" applyAlignment="0" applyProtection="0"/>
    <xf numFmtId="9" fontId="30" fillId="0" borderId="0" applyFont="0" applyFill="0" applyBorder="0" applyAlignment="0" applyProtection="0"/>
    <xf numFmtId="0" fontId="42" fillId="0" borderId="0" applyNumberFormat="0" applyBorder="0"/>
    <xf numFmtId="219" fontId="3" fillId="0" borderId="0" applyFill="0" applyBorder="0" applyAlignment="0"/>
    <xf numFmtId="215" fontId="3" fillId="0" borderId="0" applyFill="0" applyBorder="0" applyAlignment="0"/>
    <xf numFmtId="219" fontId="3" fillId="0" borderId="0" applyFill="0" applyBorder="0" applyAlignment="0"/>
    <xf numFmtId="220" fontId="3" fillId="0" borderId="0" applyFill="0" applyBorder="0" applyAlignment="0"/>
    <xf numFmtId="215" fontId="3" fillId="0" borderId="0" applyFill="0" applyBorder="0" applyAlignment="0"/>
    <xf numFmtId="239" fontId="63" fillId="0" borderId="0"/>
    <xf numFmtId="0" fontId="36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78" fontId="36" fillId="0" borderId="0" applyFill="0" applyBorder="0" applyAlignment="0" applyProtection="0"/>
    <xf numFmtId="3" fontId="43" fillId="0" borderId="53">
      <alignment horizontal="right" wrapText="1"/>
    </xf>
    <xf numFmtId="0" fontId="93" fillId="42" borderId="54" applyNumberFormat="0" applyProtection="0">
      <alignment vertical="center"/>
    </xf>
    <xf numFmtId="0" fontId="94" fillId="42" borderId="54" applyNumberFormat="0" applyProtection="0">
      <alignment vertical="center"/>
    </xf>
    <xf numFmtId="0" fontId="95" fillId="42" borderId="54" applyNumberFormat="0" applyProtection="0">
      <alignment horizontal="left" vertical="center"/>
    </xf>
    <xf numFmtId="0" fontId="95" fillId="43" borderId="0" applyNumberFormat="0" applyProtection="0">
      <alignment horizontal="left" vertical="center"/>
    </xf>
    <xf numFmtId="0" fontId="95" fillId="44" borderId="54" applyNumberFormat="0" applyProtection="0">
      <alignment horizontal="right" vertical="center"/>
    </xf>
    <xf numFmtId="0" fontId="95" fillId="14" borderId="54" applyNumberFormat="0" applyProtection="0">
      <alignment horizontal="right" vertical="center"/>
    </xf>
    <xf numFmtId="0" fontId="95" fillId="20" borderId="54" applyNumberFormat="0" applyProtection="0">
      <alignment horizontal="right" vertical="center"/>
    </xf>
    <xf numFmtId="0" fontId="95" fillId="15" borderId="54" applyNumberFormat="0" applyProtection="0">
      <alignment horizontal="right" vertical="center"/>
    </xf>
    <xf numFmtId="0" fontId="95" fillId="22" borderId="54" applyNumberFormat="0" applyProtection="0">
      <alignment horizontal="right" vertical="center"/>
    </xf>
    <xf numFmtId="0" fontId="95" fillId="12" borderId="54" applyNumberFormat="0" applyProtection="0">
      <alignment horizontal="right" vertical="center"/>
    </xf>
    <xf numFmtId="0" fontId="95" fillId="45" borderId="54" applyNumberFormat="0" applyProtection="0">
      <alignment horizontal="right" vertical="center"/>
    </xf>
    <xf numFmtId="0" fontId="95" fillId="46" borderId="54" applyNumberFormat="0" applyProtection="0">
      <alignment horizontal="right" vertical="center"/>
    </xf>
    <xf numFmtId="0" fontId="95" fillId="47" borderId="54" applyNumberFormat="0" applyProtection="0">
      <alignment horizontal="right" vertical="center"/>
    </xf>
    <xf numFmtId="0" fontId="93" fillId="48" borderId="55" applyNumberFormat="0" applyProtection="0">
      <alignment horizontal="left" vertical="center"/>
    </xf>
    <xf numFmtId="0" fontId="93" fillId="19" borderId="0" applyNumberFormat="0" applyProtection="0">
      <alignment horizontal="left" vertical="center"/>
    </xf>
    <xf numFmtId="0" fontId="93" fillId="43" borderId="0" applyNumberFormat="0" applyProtection="0">
      <alignment horizontal="left" vertical="center"/>
    </xf>
    <xf numFmtId="0" fontId="95" fillId="19" borderId="54" applyNumberFormat="0" applyProtection="0">
      <alignment horizontal="right" vertical="center"/>
    </xf>
    <xf numFmtId="0" fontId="75" fillId="19" borderId="0" applyNumberFormat="0" applyProtection="0">
      <alignment horizontal="left" vertical="center"/>
    </xf>
    <xf numFmtId="0" fontId="75" fillId="43" borderId="0" applyNumberFormat="0" applyProtection="0">
      <alignment horizontal="left" vertical="center"/>
    </xf>
    <xf numFmtId="0" fontId="95" fillId="17" borderId="54" applyNumberFormat="0" applyProtection="0">
      <alignment vertical="center"/>
    </xf>
    <xf numFmtId="0" fontId="96" fillId="17" borderId="54" applyNumberFormat="0" applyProtection="0">
      <alignment vertical="center"/>
    </xf>
    <xf numFmtId="0" fontId="93" fillId="19" borderId="56" applyNumberFormat="0" applyProtection="0">
      <alignment horizontal="left" vertical="center"/>
    </xf>
    <xf numFmtId="0" fontId="95" fillId="17" borderId="54" applyNumberFormat="0" applyProtection="0">
      <alignment horizontal="right" vertical="center"/>
    </xf>
    <xf numFmtId="0" fontId="96" fillId="17" borderId="54" applyNumberFormat="0" applyProtection="0">
      <alignment horizontal="right" vertical="center"/>
    </xf>
    <xf numFmtId="0" fontId="93" fillId="19" borderId="54" applyNumberFormat="0" applyProtection="0">
      <alignment horizontal="left" vertical="center"/>
    </xf>
    <xf numFmtId="0" fontId="97" fillId="49" borderId="56" applyNumberFormat="0" applyProtection="0">
      <alignment horizontal="left" vertical="center"/>
    </xf>
    <xf numFmtId="0" fontId="98" fillId="17" borderId="54" applyNumberFormat="0" applyProtection="0">
      <alignment horizontal="right" vertical="center"/>
    </xf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30" fillId="0" borderId="0"/>
    <xf numFmtId="0" fontId="3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165" fontId="68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177" fontId="36" fillId="0" borderId="0" applyFill="0" applyBorder="0" applyAlignment="0" applyProtection="0"/>
    <xf numFmtId="194" fontId="36" fillId="0" borderId="0" applyFill="0" applyBorder="0" applyAlignment="0" applyProtection="0"/>
    <xf numFmtId="179" fontId="36" fillId="0" borderId="0" applyFill="0" applyBorder="0" applyAlignment="0" applyProtection="0"/>
    <xf numFmtId="179" fontId="36" fillId="0" borderId="0" applyFill="0" applyBorder="0" applyAlignment="0" applyProtection="0"/>
    <xf numFmtId="178" fontId="36" fillId="0" borderId="0" applyFill="0" applyBorder="0" applyAlignment="0" applyProtection="0"/>
    <xf numFmtId="176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99" fontId="36" fillId="0" borderId="0" applyFill="0" applyBorder="0" applyAlignment="0" applyProtection="0"/>
    <xf numFmtId="173" fontId="43" fillId="0" borderId="0" applyFont="0" applyFill="0" applyBorder="0" applyAlignment="0" applyProtection="0"/>
    <xf numFmtId="199" fontId="36" fillId="0" borderId="0" applyFill="0" applyBorder="0" applyAlignment="0" applyProtection="0"/>
    <xf numFmtId="177" fontId="36" fillId="0" borderId="0" applyFill="0" applyBorder="0" applyAlignment="0" applyProtection="0"/>
    <xf numFmtId="194" fontId="36" fillId="0" borderId="0" applyFill="0" applyBorder="0" applyAlignment="0" applyProtection="0"/>
    <xf numFmtId="179" fontId="36" fillId="0" borderId="0" applyFill="0" applyBorder="0" applyAlignment="0" applyProtection="0"/>
    <xf numFmtId="179" fontId="36" fillId="0" borderId="0" applyFill="0" applyBorder="0" applyAlignment="0" applyProtection="0"/>
    <xf numFmtId="196" fontId="36" fillId="0" borderId="0" applyFill="0" applyBorder="0" applyAlignment="0" applyProtection="0"/>
    <xf numFmtId="200" fontId="36" fillId="0" borderId="0" applyFill="0" applyBorder="0" applyAlignment="0" applyProtection="0"/>
    <xf numFmtId="197" fontId="36" fillId="0" borderId="0" applyFill="0" applyBorder="0" applyAlignment="0" applyProtection="0"/>
    <xf numFmtId="196" fontId="36" fillId="0" borderId="0" applyFill="0" applyBorder="0" applyAlignment="0" applyProtection="0"/>
    <xf numFmtId="172" fontId="36" fillId="0" borderId="0" applyFill="0" applyBorder="0" applyAlignment="0" applyProtection="0"/>
    <xf numFmtId="173" fontId="43" fillId="0" borderId="0" applyFont="0" applyFill="0" applyBorder="0" applyAlignment="0" applyProtection="0"/>
    <xf numFmtId="178" fontId="36" fillId="0" borderId="0" applyFill="0" applyBorder="0" applyAlignment="0" applyProtection="0"/>
    <xf numFmtId="198" fontId="36" fillId="0" borderId="0" applyFill="0" applyBorder="0" applyAlignment="0" applyProtection="0"/>
    <xf numFmtId="178" fontId="36" fillId="0" borderId="0" applyFill="0" applyBorder="0" applyAlignment="0" applyProtection="0"/>
    <xf numFmtId="178" fontId="36" fillId="0" borderId="0" applyFill="0" applyBorder="0" applyAlignment="0" applyProtection="0"/>
    <xf numFmtId="196" fontId="36" fillId="0" borderId="0" applyFill="0" applyBorder="0" applyAlignment="0" applyProtection="0"/>
    <xf numFmtId="196" fontId="36" fillId="0" borderId="0" applyFill="0" applyBorder="0" applyAlignment="0" applyProtection="0"/>
    <xf numFmtId="178" fontId="36" fillId="0" borderId="0" applyFill="0" applyBorder="0" applyAlignment="0" applyProtection="0"/>
    <xf numFmtId="196" fontId="36" fillId="0" borderId="0" applyFill="0" applyBorder="0" applyAlignment="0" applyProtection="0"/>
    <xf numFmtId="178" fontId="36" fillId="0" borderId="0" applyFill="0" applyBorder="0" applyAlignment="0" applyProtection="0"/>
    <xf numFmtId="202" fontId="36" fillId="0" borderId="0" applyFill="0" applyBorder="0" applyAlignment="0" applyProtection="0"/>
    <xf numFmtId="42" fontId="43" fillId="0" borderId="0" applyFont="0" applyFill="0" applyBorder="0" applyAlignment="0" applyProtection="0"/>
    <xf numFmtId="182" fontId="36" fillId="0" borderId="0" applyFill="0" applyBorder="0" applyAlignment="0" applyProtection="0"/>
    <xf numFmtId="182" fontId="36" fillId="0" borderId="0" applyFill="0" applyBorder="0" applyAlignment="0" applyProtection="0"/>
    <xf numFmtId="179" fontId="36" fillId="0" borderId="0" applyFill="0" applyBorder="0" applyAlignment="0" applyProtection="0"/>
    <xf numFmtId="180" fontId="36" fillId="0" borderId="0" applyFill="0" applyBorder="0" applyAlignment="0" applyProtection="0"/>
    <xf numFmtId="182" fontId="36" fillId="0" borderId="0" applyFill="0" applyBorder="0" applyAlignment="0" applyProtection="0"/>
    <xf numFmtId="179" fontId="36" fillId="0" borderId="0" applyFill="0" applyBorder="0" applyAlignment="0" applyProtection="0"/>
    <xf numFmtId="194" fontId="36" fillId="0" borderId="0" applyFill="0" applyBorder="0" applyAlignment="0" applyProtection="0"/>
    <xf numFmtId="179" fontId="36" fillId="0" borderId="0" applyFill="0" applyBorder="0" applyAlignment="0" applyProtection="0"/>
    <xf numFmtId="195" fontId="36" fillId="0" borderId="0" applyFill="0" applyBorder="0" applyAlignment="0" applyProtection="0"/>
    <xf numFmtId="182" fontId="36" fillId="0" borderId="0" applyFill="0" applyBorder="0" applyAlignment="0" applyProtection="0"/>
    <xf numFmtId="178" fontId="36" fillId="0" borderId="0" applyFill="0" applyBorder="0" applyAlignment="0" applyProtection="0"/>
    <xf numFmtId="182" fontId="36" fillId="0" borderId="0" applyFill="0" applyBorder="0" applyAlignment="0" applyProtection="0"/>
    <xf numFmtId="179" fontId="36" fillId="0" borderId="0" applyFill="0" applyBorder="0" applyAlignment="0" applyProtection="0"/>
    <xf numFmtId="180" fontId="36" fillId="0" borderId="0" applyFill="0" applyBorder="0" applyAlignment="0" applyProtection="0"/>
    <xf numFmtId="182" fontId="36" fillId="0" borderId="0" applyFill="0" applyBorder="0" applyAlignment="0" applyProtection="0"/>
    <xf numFmtId="179" fontId="36" fillId="0" borderId="0" applyFill="0" applyBorder="0" applyAlignment="0" applyProtection="0"/>
    <xf numFmtId="194" fontId="36" fillId="0" borderId="0" applyFill="0" applyBorder="0" applyAlignment="0" applyProtection="0"/>
    <xf numFmtId="179" fontId="36" fillId="0" borderId="0" applyFill="0" applyBorder="0" applyAlignment="0" applyProtection="0"/>
    <xf numFmtId="195" fontId="36" fillId="0" borderId="0" applyFill="0" applyBorder="0" applyAlignment="0" applyProtection="0"/>
    <xf numFmtId="182" fontId="36" fillId="0" borderId="0" applyFill="0" applyBorder="0" applyAlignment="0" applyProtection="0"/>
    <xf numFmtId="182" fontId="36" fillId="0" borderId="0" applyFill="0" applyBorder="0" applyAlignment="0" applyProtection="0"/>
    <xf numFmtId="177" fontId="36" fillId="0" borderId="0" applyFill="0" applyBorder="0" applyAlignment="0" applyProtection="0"/>
    <xf numFmtId="179" fontId="36" fillId="0" borderId="0" applyFill="0" applyBorder="0" applyAlignment="0" applyProtection="0"/>
    <xf numFmtId="180" fontId="36" fillId="0" borderId="0" applyFill="0" applyBorder="0" applyAlignment="0" applyProtection="0"/>
    <xf numFmtId="182" fontId="36" fillId="0" borderId="0" applyFill="0" applyBorder="0" applyAlignment="0" applyProtection="0"/>
    <xf numFmtId="179" fontId="36" fillId="0" borderId="0" applyFill="0" applyBorder="0" applyAlignment="0" applyProtection="0"/>
    <xf numFmtId="194" fontId="36" fillId="0" borderId="0" applyFill="0" applyBorder="0" applyAlignment="0" applyProtection="0"/>
    <xf numFmtId="179" fontId="36" fillId="0" borderId="0" applyFill="0" applyBorder="0" applyAlignment="0" applyProtection="0"/>
    <xf numFmtId="195" fontId="36" fillId="0" borderId="0" applyFill="0" applyBorder="0" applyAlignment="0" applyProtection="0"/>
    <xf numFmtId="181" fontId="36" fillId="0" borderId="0" applyFill="0" applyBorder="0" applyAlignment="0" applyProtection="0"/>
    <xf numFmtId="177" fontId="36" fillId="0" borderId="0" applyFill="0" applyBorder="0" applyAlignment="0" applyProtection="0"/>
    <xf numFmtId="181" fontId="36" fillId="0" borderId="0" applyFill="0" applyBorder="0" applyAlignment="0" applyProtection="0"/>
    <xf numFmtId="194" fontId="36" fillId="0" borderId="0" applyFill="0" applyBorder="0" applyAlignment="0" applyProtection="0"/>
    <xf numFmtId="177" fontId="36" fillId="0" borderId="0" applyFill="0" applyBorder="0" applyAlignment="0" applyProtection="0"/>
    <xf numFmtId="177" fontId="36" fillId="0" borderId="0" applyFill="0" applyBorder="0" applyAlignment="0" applyProtection="0"/>
    <xf numFmtId="194" fontId="36" fillId="0" borderId="0" applyFill="0" applyBorder="0" applyAlignment="0" applyProtection="0"/>
    <xf numFmtId="179" fontId="36" fillId="0" borderId="0" applyFill="0" applyBorder="0" applyAlignment="0" applyProtection="0"/>
    <xf numFmtId="179" fontId="36" fillId="0" borderId="0" applyFill="0" applyBorder="0" applyAlignment="0" applyProtection="0"/>
    <xf numFmtId="181" fontId="36" fillId="0" borderId="0" applyFill="0" applyBorder="0" applyAlignment="0" applyProtection="0"/>
    <xf numFmtId="177" fontId="36" fillId="0" borderId="0" applyFill="0" applyBorder="0" applyAlignment="0" applyProtection="0"/>
    <xf numFmtId="181" fontId="36" fillId="0" borderId="0" applyFill="0" applyBorder="0" applyAlignment="0" applyProtection="0"/>
    <xf numFmtId="177" fontId="36" fillId="0" borderId="0" applyFill="0" applyBorder="0" applyAlignment="0" applyProtection="0"/>
    <xf numFmtId="177" fontId="36" fillId="0" borderId="0" applyFill="0" applyBorder="0" applyAlignment="0" applyProtection="0"/>
    <xf numFmtId="179" fontId="36" fillId="0" borderId="0" applyFill="0" applyBorder="0" applyAlignment="0" applyProtection="0"/>
    <xf numFmtId="194" fontId="36" fillId="0" borderId="0" applyFill="0" applyBorder="0" applyAlignment="0" applyProtection="0"/>
    <xf numFmtId="179" fontId="36" fillId="0" borderId="0" applyFill="0" applyBorder="0" applyAlignment="0" applyProtection="0"/>
    <xf numFmtId="179" fontId="36" fillId="0" borderId="0" applyFill="0" applyBorder="0" applyAlignment="0" applyProtection="0"/>
    <xf numFmtId="177" fontId="36" fillId="0" borderId="0" applyFill="0" applyBorder="0" applyAlignment="0" applyProtection="0"/>
    <xf numFmtId="179" fontId="36" fillId="0" borderId="0" applyFill="0" applyBorder="0" applyAlignment="0" applyProtection="0"/>
    <xf numFmtId="14" fontId="102" fillId="0" borderId="0"/>
    <xf numFmtId="0" fontId="86" fillId="0" borderId="0"/>
    <xf numFmtId="222" fontId="67" fillId="12" borderId="52" applyProtection="0">
      <alignment vertical="center"/>
    </xf>
    <xf numFmtId="40" fontId="103" fillId="0" borderId="0" applyBorder="0">
      <alignment horizontal="right"/>
    </xf>
    <xf numFmtId="0" fontId="104" fillId="0" borderId="0"/>
    <xf numFmtId="254" fontId="43" fillId="0" borderId="2">
      <alignment horizontal="right" vertical="center"/>
    </xf>
    <xf numFmtId="255" fontId="84" fillId="0" borderId="57">
      <alignment horizontal="right" vertical="center"/>
    </xf>
    <xf numFmtId="256" fontId="105" fillId="0" borderId="57">
      <alignment horizontal="right" vertical="center"/>
    </xf>
    <xf numFmtId="256" fontId="105" fillId="0" borderId="57">
      <alignment horizontal="right" vertical="center"/>
    </xf>
    <xf numFmtId="256" fontId="105" fillId="0" borderId="57">
      <alignment horizontal="right" vertical="center"/>
    </xf>
    <xf numFmtId="256" fontId="105" fillId="0" borderId="57">
      <alignment horizontal="right" vertical="center"/>
    </xf>
    <xf numFmtId="256" fontId="105" fillId="0" borderId="57">
      <alignment horizontal="right" vertical="center"/>
    </xf>
    <xf numFmtId="256" fontId="105" fillId="0" borderId="57">
      <alignment horizontal="right" vertical="center"/>
    </xf>
    <xf numFmtId="257" fontId="3" fillId="0" borderId="2">
      <alignment horizontal="right" vertical="center"/>
    </xf>
    <xf numFmtId="258" fontId="43" fillId="0" borderId="57">
      <alignment horizontal="right" vertical="center"/>
    </xf>
    <xf numFmtId="259" fontId="84" fillId="0" borderId="57">
      <alignment horizontal="right" vertical="center"/>
    </xf>
    <xf numFmtId="259" fontId="84" fillId="0" borderId="57">
      <alignment horizontal="right" vertical="center"/>
    </xf>
    <xf numFmtId="259" fontId="84" fillId="0" borderId="57">
      <alignment horizontal="right" vertical="center"/>
    </xf>
    <xf numFmtId="259" fontId="84" fillId="0" borderId="57">
      <alignment horizontal="right" vertical="center"/>
    </xf>
    <xf numFmtId="259" fontId="84" fillId="0" borderId="57">
      <alignment horizontal="right" vertical="center"/>
    </xf>
    <xf numFmtId="260" fontId="106" fillId="0" borderId="2">
      <alignment horizontal="right" vertical="center"/>
    </xf>
    <xf numFmtId="259" fontId="84" fillId="0" borderId="57">
      <alignment horizontal="right" vertical="center"/>
    </xf>
    <xf numFmtId="258" fontId="43" fillId="0" borderId="57">
      <alignment horizontal="right" vertical="center"/>
    </xf>
    <xf numFmtId="259" fontId="84" fillId="0" borderId="57">
      <alignment horizontal="right" vertical="center"/>
    </xf>
    <xf numFmtId="261" fontId="106" fillId="0" borderId="57">
      <alignment horizontal="right" vertical="center"/>
    </xf>
    <xf numFmtId="259" fontId="84" fillId="0" borderId="57">
      <alignment horizontal="right" vertical="center"/>
    </xf>
    <xf numFmtId="256" fontId="105" fillId="0" borderId="57">
      <alignment horizontal="right" vertical="center"/>
    </xf>
    <xf numFmtId="259" fontId="84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2" fontId="3" fillId="0" borderId="57">
      <alignment horizontal="right" vertical="center"/>
    </xf>
    <xf numFmtId="262" fontId="3" fillId="0" borderId="57">
      <alignment horizontal="right" vertical="center"/>
    </xf>
    <xf numFmtId="262" fontId="3" fillId="0" borderId="57">
      <alignment horizontal="right" vertical="center"/>
    </xf>
    <xf numFmtId="261" fontId="106" fillId="0" borderId="57">
      <alignment horizontal="right" vertical="center"/>
    </xf>
    <xf numFmtId="262" fontId="3" fillId="0" borderId="57">
      <alignment horizontal="right" vertical="center"/>
    </xf>
    <xf numFmtId="262" fontId="3" fillId="0" borderId="57">
      <alignment horizontal="right" vertical="center"/>
    </xf>
    <xf numFmtId="262" fontId="3" fillId="0" borderId="57">
      <alignment horizontal="right" vertical="center"/>
    </xf>
    <xf numFmtId="262" fontId="3" fillId="0" borderId="57">
      <alignment horizontal="right" vertical="center"/>
    </xf>
    <xf numFmtId="262" fontId="3" fillId="0" borderId="57">
      <alignment horizontal="right" vertical="center"/>
    </xf>
    <xf numFmtId="262" fontId="3" fillId="0" borderId="57">
      <alignment horizontal="right" vertical="center"/>
    </xf>
    <xf numFmtId="262" fontId="3" fillId="0" borderId="57">
      <alignment horizontal="right" vertical="center"/>
    </xf>
    <xf numFmtId="262" fontId="3" fillId="0" borderId="57">
      <alignment horizontal="right" vertical="center"/>
    </xf>
    <xf numFmtId="262" fontId="3" fillId="0" borderId="57">
      <alignment horizontal="right" vertical="center"/>
    </xf>
    <xf numFmtId="258" fontId="43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2" fontId="3" fillId="0" borderId="57">
      <alignment horizontal="right" vertical="center"/>
    </xf>
    <xf numFmtId="258" fontId="43" fillId="0" borderId="57">
      <alignment horizontal="right" vertical="center"/>
    </xf>
    <xf numFmtId="262" fontId="3" fillId="0" borderId="57">
      <alignment horizontal="right" vertical="center"/>
    </xf>
    <xf numFmtId="261" fontId="106" fillId="0" borderId="57">
      <alignment horizontal="right" vertical="center"/>
    </xf>
    <xf numFmtId="259" fontId="84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58" fontId="43" fillId="0" borderId="57">
      <alignment horizontal="right" vertical="center"/>
    </xf>
    <xf numFmtId="258" fontId="43" fillId="0" borderId="57">
      <alignment horizontal="right" vertical="center"/>
    </xf>
    <xf numFmtId="261" fontId="106" fillId="0" borderId="57">
      <alignment horizontal="right" vertical="center"/>
    </xf>
    <xf numFmtId="258" fontId="43" fillId="0" borderId="57">
      <alignment horizontal="right" vertical="center"/>
    </xf>
    <xf numFmtId="258" fontId="43" fillId="0" borderId="57">
      <alignment horizontal="right" vertical="center"/>
    </xf>
    <xf numFmtId="258" fontId="43" fillId="0" borderId="57">
      <alignment horizontal="right" vertical="center"/>
    </xf>
    <xf numFmtId="258" fontId="43" fillId="0" borderId="57">
      <alignment horizontal="right" vertical="center"/>
    </xf>
    <xf numFmtId="258" fontId="43" fillId="0" borderId="57">
      <alignment horizontal="right" vertical="center"/>
    </xf>
    <xf numFmtId="258" fontId="43" fillId="0" borderId="57">
      <alignment horizontal="right" vertical="center"/>
    </xf>
    <xf numFmtId="258" fontId="43" fillId="0" borderId="57">
      <alignment horizontal="right" vertical="center"/>
    </xf>
    <xf numFmtId="255" fontId="84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56" fontId="105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61" fontId="106" fillId="0" borderId="57">
      <alignment horizontal="right" vertical="center"/>
    </xf>
    <xf numFmtId="255" fontId="84" fillId="0" borderId="57">
      <alignment horizontal="right" vertical="center"/>
    </xf>
    <xf numFmtId="258" fontId="43" fillId="0" borderId="57">
      <alignment horizontal="right" vertical="center"/>
    </xf>
    <xf numFmtId="261" fontId="106" fillId="0" borderId="57">
      <alignment horizontal="right" vertical="center"/>
    </xf>
    <xf numFmtId="3" fontId="107" fillId="0" borderId="50" applyFill="0" applyAlignment="0" applyProtection="0"/>
    <xf numFmtId="49" fontId="75" fillId="0" borderId="0" applyFill="0" applyBorder="0" applyAlignment="0"/>
    <xf numFmtId="263" fontId="3" fillId="0" borderId="0" applyFill="0" applyBorder="0" applyAlignment="0"/>
    <xf numFmtId="264" fontId="3" fillId="0" borderId="0" applyFill="0" applyBorder="0" applyAlignment="0"/>
    <xf numFmtId="265" fontId="108" fillId="0" borderId="2">
      <alignment horizontal="center"/>
    </xf>
    <xf numFmtId="40" fontId="67" fillId="0" borderId="0"/>
    <xf numFmtId="4" fontId="109" fillId="0" borderId="0">
      <alignment horizontal="left" indent="1"/>
    </xf>
    <xf numFmtId="0" fontId="110" fillId="0" borderId="58">
      <alignment horizontal="center"/>
    </xf>
    <xf numFmtId="176" fontId="36" fillId="0" borderId="0" applyFill="0" applyBorder="0" applyAlignment="0" applyProtection="0"/>
    <xf numFmtId="266" fontId="36" fillId="0" borderId="0" applyFill="0" applyBorder="0" applyAlignment="0" applyProtection="0"/>
    <xf numFmtId="239" fontId="36" fillId="0" borderId="0" applyFill="0" applyBorder="0" applyAlignment="0" applyProtection="0"/>
    <xf numFmtId="183" fontId="36" fillId="0" borderId="0" applyFill="0" applyBorder="0" applyAlignment="0" applyProtection="0"/>
    <xf numFmtId="267" fontId="36" fillId="0" borderId="0" applyFill="0" applyBorder="0" applyAlignment="0" applyProtection="0"/>
    <xf numFmtId="268" fontId="79" fillId="0" borderId="0"/>
    <xf numFmtId="269" fontId="79" fillId="0" borderId="1"/>
    <xf numFmtId="0" fontId="109" fillId="0" borderId="0"/>
    <xf numFmtId="0" fontId="111" fillId="0" borderId="0"/>
    <xf numFmtId="0" fontId="112" fillId="0" borderId="0"/>
    <xf numFmtId="0" fontId="111" fillId="0" borderId="0"/>
    <xf numFmtId="0" fontId="113" fillId="50" borderId="50">
      <alignment horizontal="left" vertical="center"/>
    </xf>
    <xf numFmtId="270" fontId="114" fillId="0" borderId="59">
      <alignment horizontal="left" vertical="top"/>
    </xf>
    <xf numFmtId="270" fontId="44" fillId="0" borderId="60">
      <alignment horizontal="left" vertical="top"/>
    </xf>
    <xf numFmtId="0" fontId="115" fillId="0" borderId="60">
      <alignment horizontal="left" vertical="center"/>
    </xf>
    <xf numFmtId="271" fontId="36" fillId="0" borderId="0" applyFill="0" applyBorder="0" applyAlignment="0" applyProtection="0"/>
    <xf numFmtId="272" fontId="36" fillId="0" borderId="0" applyFill="0" applyBorder="0" applyAlignment="0" applyProtection="0"/>
    <xf numFmtId="177" fontId="36" fillId="0" borderId="0" applyFill="0" applyBorder="0" applyAlignment="0" applyProtection="0"/>
    <xf numFmtId="227" fontId="36" fillId="0" borderId="0" applyFill="0" applyBorder="0" applyAlignment="0" applyProtection="0"/>
    <xf numFmtId="0" fontId="116" fillId="0" borderId="0" applyNumberFormat="0" applyFill="0" applyBorder="0" applyAlignment="0" applyProtection="0"/>
    <xf numFmtId="176" fontId="36" fillId="0" borderId="0" applyFill="0" applyBorder="0" applyAlignment="0" applyProtection="0"/>
    <xf numFmtId="0" fontId="101" fillId="0" borderId="0"/>
    <xf numFmtId="42" fontId="117" fillId="0" borderId="0" applyFont="0" applyFill="0" applyBorder="0" applyAlignment="0" applyProtection="0"/>
    <xf numFmtId="44" fontId="117" fillId="0" borderId="0" applyFont="0" applyFill="0" applyBorder="0" applyAlignment="0" applyProtection="0"/>
    <xf numFmtId="0" fontId="117" fillId="0" borderId="0"/>
    <xf numFmtId="0" fontId="118" fillId="0" borderId="0" applyFont="0" applyFill="0" applyBorder="0" applyAlignment="0" applyProtection="0"/>
    <xf numFmtId="0" fontId="118" fillId="0" borderId="0" applyFont="0" applyFill="0" applyBorder="0" applyAlignment="0" applyProtection="0"/>
    <xf numFmtId="0" fontId="62" fillId="0" borderId="0">
      <alignment vertical="center"/>
    </xf>
    <xf numFmtId="40" fontId="119" fillId="0" borderId="0" applyFont="0" applyFill="0" applyBorder="0" applyAlignment="0" applyProtection="0"/>
    <xf numFmtId="38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0" fontId="119" fillId="0" borderId="0" applyFont="0" applyFill="0" applyBorder="0" applyAlignment="0" applyProtection="0"/>
    <xf numFmtId="9" fontId="120" fillId="0" borderId="0" applyFont="0" applyFill="0" applyBorder="0" applyAlignment="0" applyProtection="0"/>
    <xf numFmtId="0" fontId="121" fillId="0" borderId="0"/>
    <xf numFmtId="273" fontId="122" fillId="0" borderId="0" applyFont="0" applyFill="0" applyBorder="0" applyAlignment="0" applyProtection="0"/>
    <xf numFmtId="27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7" fillId="0" borderId="0" applyFont="0" applyFill="0" applyBorder="0" applyAlignment="0" applyProtection="0"/>
    <xf numFmtId="0" fontId="37" fillId="0" borderId="0" applyFont="0" applyFill="0" applyBorder="0" applyAlignment="0" applyProtection="0"/>
    <xf numFmtId="203" fontId="36" fillId="0" borderId="0" applyFill="0" applyBorder="0" applyAlignment="0" applyProtection="0"/>
    <xf numFmtId="275" fontId="36" fillId="0" borderId="0" applyFill="0" applyBorder="0" applyAlignment="0" applyProtection="0"/>
    <xf numFmtId="0" fontId="123" fillId="0" borderId="0"/>
    <xf numFmtId="0" fontId="74" fillId="0" borderId="0"/>
    <xf numFmtId="0" fontId="124" fillId="0" borderId="0"/>
    <xf numFmtId="0" fontId="87" fillId="0" borderId="0"/>
    <xf numFmtId="0" fontId="125" fillId="42" borderId="0" applyNumberFormat="0" applyBorder="0" applyAlignment="0" applyProtection="0"/>
    <xf numFmtId="0" fontId="36" fillId="51" borderId="61" applyNumberFormat="0" applyAlignment="0" applyProtection="0"/>
    <xf numFmtId="173" fontId="21" fillId="0" borderId="0" applyFont="0" applyFill="0" applyBorder="0" applyAlignment="0" applyProtection="0"/>
    <xf numFmtId="174" fontId="21" fillId="0" borderId="0" applyFont="0" applyFill="0" applyBorder="0" applyAlignment="0" applyProtection="0"/>
    <xf numFmtId="0" fontId="126" fillId="0" borderId="62" applyNumberFormat="0" applyFill="0" applyAlignment="0" applyProtection="0"/>
    <xf numFmtId="0" fontId="127" fillId="14" borderId="0" applyNumberFormat="0" applyBorder="0" applyAlignment="0" applyProtection="0"/>
    <xf numFmtId="0" fontId="128" fillId="15" borderId="0" applyNumberFormat="0" applyBorder="0" applyAlignment="0" applyProtection="0"/>
    <xf numFmtId="0" fontId="3" fillId="0" borderId="0"/>
    <xf numFmtId="190" fontId="36" fillId="0" borderId="0" applyFill="0" applyBorder="0" applyAlignment="0" applyProtection="0"/>
    <xf numFmtId="199" fontId="36" fillId="0" borderId="0" applyFill="0" applyBorder="0" applyAlignment="0" applyProtection="0"/>
    <xf numFmtId="204" fontId="36" fillId="0" borderId="0" applyFill="0" applyBorder="0" applyAlignment="0" applyProtection="0"/>
    <xf numFmtId="205" fontId="36" fillId="0" borderId="0" applyFill="0" applyBorder="0" applyAlignment="0" applyProtection="0"/>
    <xf numFmtId="0" fontId="3" fillId="0" borderId="0"/>
    <xf numFmtId="0" fontId="129" fillId="0" borderId="0" applyNumberFormat="0" applyFill="0" applyBorder="0" applyAlignment="0" applyProtection="0"/>
    <xf numFmtId="0" fontId="130" fillId="0" borderId="63" applyNumberFormat="0" applyFill="0" applyAlignment="0" applyProtection="0"/>
    <xf numFmtId="0" fontId="131" fillId="0" borderId="64" applyNumberFormat="0" applyFill="0" applyAlignment="0" applyProtection="0"/>
    <xf numFmtId="0" fontId="132" fillId="0" borderId="65" applyNumberFormat="0" applyFill="0" applyAlignment="0" applyProtection="0"/>
    <xf numFmtId="0" fontId="132" fillId="0" borderId="0" applyNumberFormat="0" applyFill="0" applyBorder="0" applyAlignment="0" applyProtection="0"/>
    <xf numFmtId="0" fontId="133" fillId="35" borderId="66" applyNumberFormat="0" applyAlignment="0" applyProtection="0"/>
    <xf numFmtId="206" fontId="36" fillId="0" borderId="0" applyFill="0" applyBorder="0" applyAlignment="0" applyProtection="0"/>
    <xf numFmtId="207" fontId="36" fillId="0" borderId="0" applyFill="0" applyBorder="0" applyAlignment="0" applyProtection="0"/>
    <xf numFmtId="0" fontId="134" fillId="12" borderId="67" applyNumberFormat="0" applyAlignment="0" applyProtection="0"/>
    <xf numFmtId="0" fontId="135" fillId="0" borderId="0" applyNumberFormat="0" applyFill="0" applyBorder="0" applyAlignment="0" applyProtection="0"/>
    <xf numFmtId="0" fontId="136" fillId="0" borderId="0" applyNumberFormat="0" applyFill="0" applyBorder="0" applyAlignment="0" applyProtection="0"/>
    <xf numFmtId="168" fontId="21" fillId="0" borderId="0" applyFont="0" applyFill="0" applyBorder="0" applyAlignment="0" applyProtection="0"/>
    <xf numFmtId="6" fontId="137" fillId="0" borderId="0" applyFont="0" applyFill="0" applyBorder="0" applyAlignment="0" applyProtection="0"/>
    <xf numFmtId="276" fontId="21" fillId="0" borderId="0" applyFont="0" applyFill="0" applyBorder="0" applyAlignment="0" applyProtection="0"/>
    <xf numFmtId="0" fontId="138" fillId="0" borderId="0" applyNumberFormat="0" applyFill="0" applyBorder="0" applyAlignment="0" applyProtection="0"/>
    <xf numFmtId="0" fontId="56" fillId="52" borderId="0" applyNumberFormat="0" applyBorder="0" applyAlignment="0" applyProtection="0"/>
    <xf numFmtId="0" fontId="56" fillId="44" borderId="0" applyNumberFormat="0" applyBorder="0" applyAlignment="0" applyProtection="0"/>
    <xf numFmtId="0" fontId="56" fillId="46" borderId="0" applyNumberFormat="0" applyBorder="0" applyAlignment="0" applyProtection="0"/>
    <xf numFmtId="0" fontId="56" fillId="24" borderId="0" applyNumberFormat="0" applyBorder="0" applyAlignment="0" applyProtection="0"/>
    <xf numFmtId="0" fontId="56" fillId="25" borderId="0" applyNumberFormat="0" applyBorder="0" applyAlignment="0" applyProtection="0"/>
    <xf numFmtId="0" fontId="56" fillId="53" borderId="0" applyNumberFormat="0" applyBorder="0" applyAlignment="0" applyProtection="0"/>
    <xf numFmtId="0" fontId="139" fillId="18" borderId="67" applyNumberFormat="0" applyAlignment="0" applyProtection="0"/>
    <xf numFmtId="0" fontId="140" fillId="12" borderId="68" applyNumberFormat="0" applyAlignment="0" applyProtection="0"/>
    <xf numFmtId="227" fontId="36" fillId="0" borderId="0" applyFill="0" applyBorder="0" applyAlignment="0" applyProtection="0"/>
    <xf numFmtId="177" fontId="36" fillId="0" borderId="0" applyFill="0" applyBorder="0" applyAlignment="0" applyProtection="0"/>
    <xf numFmtId="0" fontId="141" fillId="0" borderId="69" applyNumberFormat="0" applyFill="0" applyAlignment="0" applyProtection="0"/>
    <xf numFmtId="0" fontId="142" fillId="0" borderId="0" applyNumberFormat="0" applyFill="0" applyBorder="0" applyAlignment="0" applyProtection="0"/>
    <xf numFmtId="0" fontId="84" fillId="0" borderId="0"/>
    <xf numFmtId="0" fontId="190" fillId="0" borderId="0"/>
  </cellStyleXfs>
  <cellXfs count="639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Alignment="1">
      <alignment horizontal="center"/>
    </xf>
    <xf numFmtId="0" fontId="2" fillId="2" borderId="0" xfId="0" applyFont="1" applyFill="1"/>
    <xf numFmtId="0" fontId="1" fillId="2" borderId="0" xfId="0" applyFont="1" applyFill="1"/>
    <xf numFmtId="0" fontId="2" fillId="3" borderId="1" xfId="0" applyFont="1" applyFill="1" applyBorder="1" applyAlignment="1" applyProtection="1">
      <alignment horizontal="center"/>
      <protection locked="0"/>
    </xf>
    <xf numFmtId="0" fontId="1" fillId="2" borderId="0" xfId="0" applyFont="1" applyFill="1" applyProtection="1">
      <protection locked="0"/>
    </xf>
    <xf numFmtId="0" fontId="1" fillId="2" borderId="0" xfId="0" applyFont="1" applyFill="1" applyProtection="1">
      <protection hidden="1"/>
    </xf>
    <xf numFmtId="0" fontId="2" fillId="2" borderId="5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4" fillId="3" borderId="7" xfId="0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8" fillId="3" borderId="7" xfId="0" applyFont="1" applyFill="1" applyBorder="1" applyAlignment="1" applyProtection="1">
      <alignment horizontal="left" vertical="center"/>
      <protection locked="0"/>
    </xf>
    <xf numFmtId="0" fontId="2" fillId="2" borderId="1" xfId="0" applyFont="1" applyFill="1" applyBorder="1" applyAlignment="1">
      <alignment horizontal="center" vertical="center" wrapText="1"/>
    </xf>
    <xf numFmtId="164" fontId="2" fillId="2" borderId="0" xfId="0" applyNumberFormat="1" applyFont="1" applyFill="1"/>
    <xf numFmtId="0" fontId="8" fillId="3" borderId="1" xfId="0" applyFont="1" applyFill="1" applyBorder="1" applyProtection="1">
      <protection locked="0"/>
    </xf>
    <xf numFmtId="164" fontId="4" fillId="3" borderId="1" xfId="0" applyNumberFormat="1" applyFont="1" applyFill="1" applyBorder="1" applyAlignment="1" applyProtection="1">
      <alignment horizont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/>
      <protection locked="0"/>
    </xf>
    <xf numFmtId="0" fontId="3" fillId="2" borderId="0" xfId="0" applyFont="1" applyFill="1"/>
    <xf numFmtId="164" fontId="2" fillId="2" borderId="0" xfId="0" applyNumberFormat="1" applyFont="1" applyFill="1" applyAlignment="1">
      <alignment horizontal="center"/>
    </xf>
    <xf numFmtId="0" fontId="2" fillId="2" borderId="10" xfId="0" applyFont="1" applyFill="1" applyBorder="1"/>
    <xf numFmtId="0" fontId="2" fillId="3" borderId="8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4" xfId="0" applyFont="1" applyFill="1" applyBorder="1" applyAlignment="1">
      <alignment horizontal="left"/>
    </xf>
    <xf numFmtId="0" fontId="2" fillId="2" borderId="0" xfId="0" applyFont="1" applyFill="1" applyAlignment="1">
      <alignment vertical="center" wrapText="1"/>
    </xf>
    <xf numFmtId="49" fontId="1" fillId="2" borderId="0" xfId="0" applyNumberFormat="1" applyFont="1" applyFill="1" applyAlignment="1" applyProtection="1">
      <alignment horizontal="center"/>
      <protection hidden="1"/>
    </xf>
    <xf numFmtId="0" fontId="2" fillId="2" borderId="5" xfId="0" applyFont="1" applyFill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3" fillId="3" borderId="8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13" fillId="2" borderId="0" xfId="0" applyFont="1" applyFill="1" applyAlignment="1">
      <alignment horizontal="left" vertical="center"/>
    </xf>
    <xf numFmtId="0" fontId="2" fillId="2" borderId="0" xfId="0" applyFont="1" applyFill="1" applyAlignment="1" applyProtection="1">
      <alignment horizontal="center"/>
      <protection hidden="1"/>
    </xf>
    <xf numFmtId="0" fontId="3" fillId="3" borderId="16" xfId="0" applyFont="1" applyFill="1" applyBorder="1" applyAlignment="1" applyProtection="1">
      <alignment horizontal="center"/>
      <protection locked="0"/>
    </xf>
    <xf numFmtId="0" fontId="14" fillId="2" borderId="0" xfId="0" applyFont="1" applyFill="1" applyAlignment="1">
      <alignment vertical="center"/>
    </xf>
    <xf numFmtId="0" fontId="2" fillId="2" borderId="17" xfId="0" applyFont="1" applyFill="1" applyBorder="1" applyAlignment="1">
      <alignment horizontal="left"/>
    </xf>
    <xf numFmtId="0" fontId="2" fillId="2" borderId="18" xfId="0" applyFont="1" applyFill="1" applyBorder="1" applyAlignment="1">
      <alignment horizontal="left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/>
      <protection locked="0"/>
    </xf>
    <xf numFmtId="0" fontId="2" fillId="2" borderId="5" xfId="0" applyFont="1" applyFill="1" applyBorder="1" applyAlignment="1">
      <alignment horizontal="left"/>
    </xf>
    <xf numFmtId="0" fontId="2" fillId="2" borderId="19" xfId="0" applyFont="1" applyFill="1" applyBorder="1" applyAlignment="1">
      <alignment horizontal="left"/>
    </xf>
    <xf numFmtId="0" fontId="4" fillId="3" borderId="7" xfId="0" applyFont="1" applyFill="1" applyBorder="1" applyAlignment="1" applyProtection="1">
      <alignment horizontal="center"/>
      <protection locked="0"/>
    </xf>
    <xf numFmtId="0" fontId="2" fillId="2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 vertical="center"/>
    </xf>
    <xf numFmtId="0" fontId="1" fillId="2" borderId="0" xfId="0" applyFont="1" applyFill="1" applyAlignment="1" applyProtection="1">
      <alignment horizontal="center"/>
      <protection locked="0"/>
    </xf>
    <xf numFmtId="0" fontId="2" fillId="2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17" fillId="2" borderId="0" xfId="0" applyFont="1" applyFill="1" applyAlignment="1" applyProtection="1">
      <alignment vertical="top"/>
      <protection locked="0"/>
    </xf>
    <xf numFmtId="0" fontId="2" fillId="2" borderId="7" xfId="0" applyFont="1" applyFill="1" applyBorder="1" applyAlignment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/>
      <protection locked="0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 applyProtection="1">
      <alignment horizontal="center" vertical="center"/>
      <protection locked="0"/>
    </xf>
    <xf numFmtId="0" fontId="18" fillId="3" borderId="0" xfId="0" applyFont="1" applyFill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9" fillId="0" borderId="0" xfId="0" applyFont="1"/>
    <xf numFmtId="0" fontId="18" fillId="2" borderId="0" xfId="0" applyFont="1" applyFill="1" applyAlignment="1">
      <alignment horizontal="center" vertical="center"/>
    </xf>
    <xf numFmtId="164" fontId="3" fillId="2" borderId="0" xfId="0" applyNumberFormat="1" applyFont="1" applyFill="1"/>
    <xf numFmtId="0" fontId="1" fillId="2" borderId="0" xfId="0" applyFont="1" applyFill="1" applyAlignment="1" applyProtection="1">
      <alignment horizontal="center" vertical="center"/>
      <protection hidden="1"/>
    </xf>
    <xf numFmtId="0" fontId="1" fillId="2" borderId="0" xfId="0" applyFont="1" applyFill="1" applyAlignment="1" applyProtection="1">
      <alignment horizontal="center"/>
      <protection hidden="1"/>
    </xf>
    <xf numFmtId="2" fontId="1" fillId="2" borderId="0" xfId="0" applyNumberFormat="1" applyFont="1" applyFill="1" applyProtection="1">
      <protection hidden="1"/>
    </xf>
    <xf numFmtId="0" fontId="10" fillId="2" borderId="0" xfId="0" applyFont="1" applyFill="1" applyProtection="1">
      <protection hidden="1"/>
    </xf>
    <xf numFmtId="165" fontId="1" fillId="2" borderId="0" xfId="0" applyNumberFormat="1" applyFont="1" applyFill="1" applyAlignment="1">
      <alignment horizontal="center"/>
    </xf>
    <xf numFmtId="0" fontId="4" fillId="2" borderId="0" xfId="0" applyFont="1" applyFill="1" applyAlignment="1" applyProtection="1">
      <alignment horizontal="left"/>
      <protection locked="0"/>
    </xf>
    <xf numFmtId="0" fontId="20" fillId="2" borderId="0" xfId="0" applyFont="1" applyFill="1" applyProtection="1">
      <protection locked="0"/>
    </xf>
    <xf numFmtId="0" fontId="20" fillId="2" borderId="0" xfId="0" applyFont="1" applyFill="1" applyAlignment="1" applyProtection="1">
      <alignment vertical="center" wrapText="1"/>
      <protection locked="0"/>
    </xf>
    <xf numFmtId="0" fontId="3" fillId="2" borderId="13" xfId="0" applyFont="1" applyFill="1" applyBorder="1" applyAlignment="1">
      <alignment horizontal="center" vertical="center"/>
    </xf>
    <xf numFmtId="49" fontId="17" fillId="5" borderId="22" xfId="0" applyNumberFormat="1" applyFont="1" applyFill="1" applyBorder="1" applyAlignment="1" applyProtection="1">
      <alignment horizontal="center" vertical="center"/>
      <protection locked="0"/>
    </xf>
    <xf numFmtId="49" fontId="21" fillId="2" borderId="21" xfId="0" applyNumberFormat="1" applyFont="1" applyFill="1" applyBorder="1" applyAlignment="1" applyProtection="1">
      <alignment horizontal="center" vertical="center"/>
      <protection locked="0"/>
    </xf>
    <xf numFmtId="49" fontId="17" fillId="5" borderId="0" xfId="0" applyNumberFormat="1" applyFont="1" applyFill="1" applyAlignment="1" applyProtection="1">
      <alignment horizontal="center" vertical="center"/>
      <protection locked="0"/>
    </xf>
    <xf numFmtId="0" fontId="3" fillId="2" borderId="31" xfId="0" applyFont="1" applyFill="1" applyBorder="1" applyAlignment="1">
      <alignment horizontal="center" vertical="center"/>
    </xf>
    <xf numFmtId="49" fontId="17" fillId="5" borderId="23" xfId="0" applyNumberFormat="1" applyFont="1" applyFill="1" applyBorder="1" applyAlignment="1" applyProtection="1">
      <alignment horizontal="center" vertical="center"/>
      <protection locked="0"/>
    </xf>
    <xf numFmtId="49" fontId="21" fillId="5" borderId="24" xfId="0" applyNumberFormat="1" applyFont="1" applyFill="1" applyBorder="1" applyAlignment="1" applyProtection="1">
      <alignment horizontal="center" vertical="center"/>
      <protection locked="0"/>
    </xf>
    <xf numFmtId="49" fontId="21" fillId="5" borderId="0" xfId="0" applyNumberFormat="1" applyFont="1" applyFill="1" applyAlignment="1" applyProtection="1">
      <alignment horizontal="center" vertical="center"/>
      <protection locked="0"/>
    </xf>
    <xf numFmtId="49" fontId="17" fillId="5" borderId="25" xfId="0" applyNumberFormat="1" applyFont="1" applyFill="1" applyBorder="1" applyAlignment="1" applyProtection="1">
      <alignment horizontal="center" vertical="center"/>
      <protection locked="0"/>
    </xf>
    <xf numFmtId="49" fontId="21" fillId="5" borderId="23" xfId="0" applyNumberFormat="1" applyFont="1" applyFill="1" applyBorder="1" applyAlignment="1" applyProtection="1">
      <alignment horizontal="center" vertical="center"/>
      <protection locked="0"/>
    </xf>
    <xf numFmtId="49" fontId="21" fillId="5" borderId="26" xfId="0" applyNumberFormat="1" applyFont="1" applyFill="1" applyBorder="1" applyAlignment="1" applyProtection="1">
      <alignment horizontal="center" vertical="center"/>
      <protection locked="0"/>
    </xf>
    <xf numFmtId="49" fontId="21" fillId="5" borderId="28" xfId="0" applyNumberFormat="1" applyFont="1" applyFill="1" applyBorder="1" applyAlignment="1" applyProtection="1">
      <alignment horizontal="center" vertical="center"/>
      <protection locked="0"/>
    </xf>
    <xf numFmtId="49" fontId="17" fillId="3" borderId="27" xfId="0" applyNumberFormat="1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3" fillId="2" borderId="29" xfId="0" applyFont="1" applyFill="1" applyBorder="1" applyAlignment="1" applyProtection="1">
      <alignment horizontal="center" vertical="center"/>
      <protection locked="0"/>
    </xf>
    <xf numFmtId="0" fontId="3" fillId="2" borderId="35" xfId="0" applyFont="1" applyFill="1" applyBorder="1" applyAlignment="1" applyProtection="1">
      <alignment horizontal="center" vertical="center"/>
      <protection locked="0"/>
    </xf>
    <xf numFmtId="0" fontId="3" fillId="2" borderId="37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4" fillId="3" borderId="38" xfId="0" applyFont="1" applyFill="1" applyBorder="1" applyAlignment="1" applyProtection="1">
      <alignment horizontal="center" vertical="center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0" fontId="4" fillId="3" borderId="40" xfId="0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165" fontId="3" fillId="2" borderId="0" xfId="0" applyNumberFormat="1" applyFont="1" applyFill="1" applyAlignment="1">
      <alignment vertical="center"/>
    </xf>
    <xf numFmtId="165" fontId="3" fillId="2" borderId="0" xfId="0" applyNumberFormat="1" applyFont="1" applyFill="1" applyAlignment="1">
      <alignment horizontal="center"/>
    </xf>
    <xf numFmtId="0" fontId="4" fillId="3" borderId="42" xfId="0" applyFont="1" applyFill="1" applyBorder="1" applyAlignment="1" applyProtection="1">
      <alignment horizontal="center" vertical="center"/>
      <protection locked="0"/>
    </xf>
    <xf numFmtId="49" fontId="4" fillId="2" borderId="43" xfId="0" applyNumberFormat="1" applyFont="1" applyFill="1" applyBorder="1" applyAlignment="1" applyProtection="1">
      <alignment horizontal="center"/>
      <protection locked="0"/>
    </xf>
    <xf numFmtId="49" fontId="4" fillId="2" borderId="0" xfId="0" applyNumberFormat="1" applyFont="1" applyFill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49" fontId="1" fillId="2" borderId="0" xfId="0" applyNumberFormat="1" applyFont="1" applyFill="1" applyAlignment="1" applyProtection="1">
      <alignment horizontal="center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left" vertical="center" wrapText="1"/>
    </xf>
    <xf numFmtId="0" fontId="3" fillId="2" borderId="0" xfId="0" applyFont="1" applyFill="1" applyAlignment="1" applyProtection="1">
      <alignment horizontal="center" vertical="center"/>
      <protection locked="0"/>
    </xf>
    <xf numFmtId="0" fontId="18" fillId="2" borderId="0" xfId="0" applyFont="1" applyFill="1" applyAlignment="1" applyProtection="1">
      <alignment horizontal="center" vertical="center"/>
      <protection locked="0"/>
    </xf>
    <xf numFmtId="0" fontId="3" fillId="2" borderId="9" xfId="0" applyFont="1" applyFill="1" applyBorder="1" applyAlignment="1">
      <alignment horizontal="left" vertical="center"/>
    </xf>
    <xf numFmtId="0" fontId="4" fillId="3" borderId="12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4" fillId="3" borderId="32" xfId="0" applyFont="1" applyFill="1" applyBorder="1" applyAlignment="1" applyProtection="1">
      <alignment horizontal="center" vertical="center"/>
      <protection locked="0"/>
    </xf>
    <xf numFmtId="0" fontId="4" fillId="3" borderId="34" xfId="0" applyFont="1" applyFill="1" applyBorder="1" applyAlignment="1" applyProtection="1">
      <alignment horizontal="center" vertical="center"/>
      <protection locked="0"/>
    </xf>
    <xf numFmtId="0" fontId="4" fillId="3" borderId="36" xfId="0" applyFont="1" applyFill="1" applyBorder="1" applyAlignment="1" applyProtection="1">
      <alignment horizontal="center" vertical="center"/>
      <protection locked="0"/>
    </xf>
    <xf numFmtId="0" fontId="3" fillId="2" borderId="33" xfId="0" applyFont="1" applyFill="1" applyBorder="1" applyAlignment="1" applyProtection="1">
      <alignment horizontal="center" vertical="center"/>
      <protection locked="0"/>
    </xf>
    <xf numFmtId="0" fontId="3" fillId="2" borderId="12" xfId="0" applyFont="1" applyFill="1" applyBorder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0" fontId="2" fillId="2" borderId="11" xfId="0" applyFont="1" applyFill="1" applyBorder="1" applyAlignment="1">
      <alignment vertical="center"/>
    </xf>
    <xf numFmtId="0" fontId="2" fillId="2" borderId="10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2" borderId="21" xfId="0" applyFont="1" applyFill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0" fontId="2" fillId="2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 applyProtection="1">
      <alignment horizontal="left"/>
      <protection locked="0"/>
    </xf>
    <xf numFmtId="0" fontId="3" fillId="2" borderId="2" xfId="0" applyFont="1" applyFill="1" applyBorder="1" applyProtection="1">
      <protection locked="0"/>
    </xf>
    <xf numFmtId="0" fontId="19" fillId="2" borderId="0" xfId="0" applyFont="1" applyFill="1" applyAlignment="1">
      <alignment vertical="center"/>
    </xf>
    <xf numFmtId="0" fontId="19" fillId="2" borderId="1" xfId="0" applyFont="1" applyFill="1" applyBorder="1" applyAlignment="1">
      <alignment horizontal="center" vertical="center" wrapText="1"/>
    </xf>
    <xf numFmtId="2" fontId="19" fillId="2" borderId="1" xfId="0" applyNumberFormat="1" applyFont="1" applyFill="1" applyBorder="1" applyAlignment="1">
      <alignment horizontal="center" vertical="center" wrapText="1"/>
    </xf>
    <xf numFmtId="0" fontId="19" fillId="2" borderId="0" xfId="0" applyFont="1" applyFill="1" applyAlignment="1">
      <alignment horizontal="center" vertical="center" wrapText="1"/>
    </xf>
    <xf numFmtId="0" fontId="19" fillId="2" borderId="1" xfId="0" applyFont="1" applyFill="1" applyBorder="1" applyAlignment="1">
      <alignment horizontal="left" vertical="center" wrapText="1"/>
    </xf>
    <xf numFmtId="167" fontId="19" fillId="2" borderId="1" xfId="0" applyNumberFormat="1" applyFont="1" applyFill="1" applyBorder="1" applyAlignment="1">
      <alignment horizontal="center" vertical="center"/>
    </xf>
    <xf numFmtId="49" fontId="24" fillId="2" borderId="1" xfId="0" applyNumberFormat="1" applyFont="1" applyFill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2" fontId="19" fillId="2" borderId="1" xfId="0" applyNumberFormat="1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9" fillId="2" borderId="1" xfId="0" applyFont="1" applyFill="1" applyBorder="1" applyAlignment="1">
      <alignment horizontal="left" vertical="center"/>
    </xf>
    <xf numFmtId="166" fontId="19" fillId="2" borderId="1" xfId="0" applyNumberFormat="1" applyFont="1" applyFill="1" applyBorder="1" applyAlignment="1">
      <alignment horizontal="center" vertical="center"/>
    </xf>
    <xf numFmtId="49" fontId="23" fillId="2" borderId="1" xfId="0" applyNumberFormat="1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vertical="center"/>
    </xf>
    <xf numFmtId="0" fontId="26" fillId="2" borderId="1" xfId="0" applyFont="1" applyFill="1" applyBorder="1" applyAlignment="1">
      <alignment vertical="center"/>
    </xf>
    <xf numFmtId="2" fontId="19" fillId="2" borderId="1" xfId="0" applyNumberFormat="1" applyFont="1" applyFill="1" applyBorder="1" applyAlignment="1">
      <alignment vertical="center"/>
    </xf>
    <xf numFmtId="166" fontId="19" fillId="2" borderId="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left" vertical="center"/>
    </xf>
    <xf numFmtId="0" fontId="22" fillId="2" borderId="0" xfId="0" applyFont="1" applyFill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 wrapText="1"/>
    </xf>
    <xf numFmtId="0" fontId="22" fillId="2" borderId="8" xfId="0" applyFont="1" applyFill="1" applyBorder="1" applyAlignment="1">
      <alignment horizontal="center" vertical="center" wrapText="1"/>
    </xf>
    <xf numFmtId="0" fontId="22" fillId="2" borderId="0" xfId="0" applyFont="1" applyFill="1" applyAlignment="1">
      <alignment horizontal="center" vertical="center"/>
    </xf>
    <xf numFmtId="49" fontId="2" fillId="2" borderId="0" xfId="0" applyNumberFormat="1" applyFont="1" applyFill="1"/>
    <xf numFmtId="49" fontId="2" fillId="2" borderId="1" xfId="0" applyNumberFormat="1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4" fillId="2" borderId="0" xfId="0" applyFont="1" applyFill="1"/>
    <xf numFmtId="0" fontId="7" fillId="2" borderId="0" xfId="0" applyFont="1" applyFill="1" applyAlignment="1">
      <alignment horizontal="center" vertical="center"/>
    </xf>
    <xf numFmtId="164" fontId="4" fillId="2" borderId="0" xfId="0" applyNumberFormat="1" applyFont="1" applyFill="1"/>
    <xf numFmtId="0" fontId="29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4" fillId="11" borderId="48" xfId="1" applyFont="1" applyFill="1" applyBorder="1" applyAlignment="1">
      <alignment horizontal="center" vertical="center" wrapText="1"/>
    </xf>
    <xf numFmtId="43" fontId="34" fillId="11" borderId="48" xfId="1" applyNumberFormat="1" applyFont="1" applyFill="1" applyBorder="1" applyAlignment="1">
      <alignment horizontal="center" vertical="center" wrapText="1"/>
    </xf>
    <xf numFmtId="0" fontId="26" fillId="0" borderId="0" xfId="0" applyFont="1"/>
    <xf numFmtId="49" fontId="34" fillId="11" borderId="48" xfId="1" quotePrefix="1" applyNumberFormat="1" applyFont="1" applyFill="1" applyBorder="1" applyAlignment="1">
      <alignment horizontal="center" vertical="center" wrapText="1"/>
    </xf>
    <xf numFmtId="49" fontId="34" fillId="11" borderId="48" xfId="1" applyNumberFormat="1" applyFont="1" applyFill="1" applyBorder="1" applyAlignment="1">
      <alignment horizontal="center" vertical="center" wrapText="1"/>
    </xf>
    <xf numFmtId="49" fontId="26" fillId="0" borderId="0" xfId="0" applyNumberFormat="1" applyFont="1"/>
    <xf numFmtId="43" fontId="26" fillId="0" borderId="0" xfId="0" applyNumberFormat="1" applyFont="1"/>
    <xf numFmtId="166" fontId="19" fillId="2" borderId="1" xfId="0" applyNumberFormat="1" applyFont="1" applyFill="1" applyBorder="1" applyAlignment="1">
      <alignment horizontal="center" vertical="center" wrapText="1"/>
    </xf>
    <xf numFmtId="49" fontId="22" fillId="2" borderId="1" xfId="0" applyNumberFormat="1" applyFont="1" applyFill="1" applyBorder="1" applyAlignment="1">
      <alignment horizontal="center" vertical="center" wrapText="1"/>
    </xf>
    <xf numFmtId="49" fontId="19" fillId="2" borderId="1" xfId="0" applyNumberFormat="1" applyFont="1" applyFill="1" applyBorder="1" applyAlignment="1">
      <alignment horizontal="center" vertical="center"/>
    </xf>
    <xf numFmtId="0" fontId="24" fillId="2" borderId="0" xfId="0" applyFont="1" applyFill="1" applyAlignment="1">
      <alignment horizontal="left" vertical="center"/>
    </xf>
    <xf numFmtId="0" fontId="24" fillId="2" borderId="1" xfId="0" applyFont="1" applyFill="1" applyBorder="1" applyAlignment="1">
      <alignment vertical="center"/>
    </xf>
    <xf numFmtId="0" fontId="0" fillId="0" borderId="1" xfId="0" applyBorder="1"/>
    <xf numFmtId="0" fontId="144" fillId="0" borderId="1" xfId="0" applyFont="1" applyBorder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2" xfId="0" applyFont="1" applyBorder="1" applyAlignment="1" applyProtection="1">
      <alignment vertical="center"/>
      <protection locked="0"/>
    </xf>
    <xf numFmtId="0" fontId="1" fillId="0" borderId="4" xfId="0" applyFont="1" applyBorder="1" applyAlignment="1" applyProtection="1">
      <alignment vertical="center"/>
      <protection locked="0"/>
    </xf>
    <xf numFmtId="0" fontId="1" fillId="0" borderId="3" xfId="0" applyFont="1" applyBorder="1" applyAlignment="1" applyProtection="1">
      <alignment vertical="center"/>
      <protection locked="0"/>
    </xf>
    <xf numFmtId="0" fontId="3" fillId="2" borderId="0" xfId="768" applyFill="1" applyAlignment="1">
      <alignment horizontal="center" vertical="center"/>
    </xf>
    <xf numFmtId="0" fontId="145" fillId="2" borderId="0" xfId="768" applyFont="1" applyFill="1" applyAlignment="1">
      <alignment vertical="center" wrapText="1"/>
    </xf>
    <xf numFmtId="0" fontId="147" fillId="2" borderId="0" xfId="768" applyFont="1" applyFill="1" applyAlignment="1">
      <alignment horizontal="center" vertical="center"/>
    </xf>
    <xf numFmtId="0" fontId="147" fillId="54" borderId="0" xfId="768" applyFont="1" applyFill="1" applyAlignment="1">
      <alignment vertical="center"/>
    </xf>
    <xf numFmtId="0" fontId="4" fillId="54" borderId="0" xfId="768" applyFont="1" applyFill="1"/>
    <xf numFmtId="0" fontId="148" fillId="54" borderId="0" xfId="768" applyFont="1" applyFill="1"/>
    <xf numFmtId="0" fontId="3" fillId="54" borderId="0" xfId="768" applyFill="1"/>
    <xf numFmtId="1" fontId="63" fillId="2" borderId="0" xfId="768" applyNumberFormat="1" applyFont="1" applyFill="1" applyAlignment="1" applyProtection="1">
      <alignment horizontal="center" vertical="center"/>
      <protection locked="0"/>
    </xf>
    <xf numFmtId="0" fontId="147" fillId="54" borderId="0" xfId="768" applyFont="1" applyFill="1" applyAlignment="1">
      <alignment horizontal="center" vertical="center"/>
    </xf>
    <xf numFmtId="1" fontId="63" fillId="2" borderId="0" xfId="768" applyNumberFormat="1" applyFont="1" applyFill="1" applyAlignment="1">
      <alignment horizontal="center" vertical="center"/>
    </xf>
    <xf numFmtId="0" fontId="149" fillId="2" borderId="70" xfId="768" applyFont="1" applyFill="1" applyBorder="1" applyAlignment="1">
      <alignment vertical="center"/>
    </xf>
    <xf numFmtId="0" fontId="3" fillId="2" borderId="71" xfId="768" applyFill="1" applyBorder="1" applyAlignment="1">
      <alignment vertical="center"/>
    </xf>
    <xf numFmtId="0" fontId="6" fillId="2" borderId="71" xfId="768" applyFont="1" applyFill="1" applyBorder="1" applyAlignment="1" applyProtection="1">
      <alignment horizontal="left" vertical="center"/>
      <protection locked="0"/>
    </xf>
    <xf numFmtId="0" fontId="6" fillId="2" borderId="71" xfId="768" applyFont="1" applyFill="1" applyBorder="1" applyAlignment="1">
      <alignment horizontal="center" vertical="center"/>
    </xf>
    <xf numFmtId="165" fontId="6" fillId="2" borderId="71" xfId="768" applyNumberFormat="1" applyFont="1" applyFill="1" applyBorder="1"/>
    <xf numFmtId="0" fontId="6" fillId="2" borderId="71" xfId="768" applyFont="1" applyFill="1" applyBorder="1" applyAlignment="1">
      <alignment horizontal="center"/>
    </xf>
    <xf numFmtId="164" fontId="6" fillId="2" borderId="71" xfId="768" applyNumberFormat="1" applyFont="1" applyFill="1" applyBorder="1"/>
    <xf numFmtId="164" fontId="3" fillId="2" borderId="71" xfId="768" applyNumberFormat="1" applyFill="1" applyBorder="1"/>
    <xf numFmtId="165" fontId="3" fillId="2" borderId="71" xfId="768" applyNumberFormat="1" applyFill="1" applyBorder="1"/>
    <xf numFmtId="2" fontId="3" fillId="2" borderId="71" xfId="768" applyNumberFormat="1" applyFill="1" applyBorder="1" applyAlignment="1">
      <alignment vertical="center"/>
    </xf>
    <xf numFmtId="0" fontId="3" fillId="2" borderId="71" xfId="768" applyFill="1" applyBorder="1"/>
    <xf numFmtId="165" fontId="149" fillId="2" borderId="70" xfId="768" applyNumberFormat="1" applyFont="1" applyFill="1" applyBorder="1"/>
    <xf numFmtId="164" fontId="150" fillId="2" borderId="71" xfId="768" applyNumberFormat="1" applyFont="1" applyFill="1" applyBorder="1"/>
    <xf numFmtId="0" fontId="4" fillId="2" borderId="71" xfId="768" applyFont="1" applyFill="1" applyBorder="1"/>
    <xf numFmtId="0" fontId="148" fillId="2" borderId="71" xfId="768" applyFont="1" applyFill="1" applyBorder="1" applyAlignment="1">
      <alignment horizontal="center"/>
    </xf>
    <xf numFmtId="0" fontId="3" fillId="2" borderId="72" xfId="768" applyFill="1" applyBorder="1" applyAlignment="1">
      <alignment horizontal="center" vertical="center"/>
    </xf>
    <xf numFmtId="0" fontId="3" fillId="2" borderId="72" xfId="768" applyFill="1" applyBorder="1"/>
    <xf numFmtId="0" fontId="3" fillId="2" borderId="0" xfId="768" applyFill="1"/>
    <xf numFmtId="0" fontId="148" fillId="2" borderId="0" xfId="768" applyFont="1" applyFill="1" applyAlignment="1">
      <alignment horizontal="center" vertical="center"/>
    </xf>
    <xf numFmtId="0" fontId="149" fillId="2" borderId="73" xfId="768" applyFont="1" applyFill="1" applyBorder="1" applyAlignment="1">
      <alignment vertical="center"/>
    </xf>
    <xf numFmtId="0" fontId="3" fillId="2" borderId="0" xfId="768" applyFill="1" applyAlignment="1">
      <alignment vertical="center"/>
    </xf>
    <xf numFmtId="0" fontId="6" fillId="2" borderId="0" xfId="768" applyFont="1" applyFill="1" applyAlignment="1" applyProtection="1">
      <alignment horizontal="left" vertical="center"/>
      <protection locked="0"/>
    </xf>
    <xf numFmtId="0" fontId="6" fillId="2" borderId="0" xfId="768" applyFont="1" applyFill="1" applyAlignment="1">
      <alignment horizontal="center" vertical="center"/>
    </xf>
    <xf numFmtId="165" fontId="6" fillId="2" borderId="0" xfId="768" applyNumberFormat="1" applyFont="1" applyFill="1"/>
    <xf numFmtId="0" fontId="6" fillId="2" borderId="0" xfId="768" applyFont="1" applyFill="1" applyAlignment="1">
      <alignment horizontal="center"/>
    </xf>
    <xf numFmtId="164" fontId="6" fillId="2" borderId="0" xfId="768" applyNumberFormat="1" applyFont="1" applyFill="1"/>
    <xf numFmtId="164" fontId="3" fillId="2" borderId="0" xfId="768" applyNumberFormat="1" applyFill="1"/>
    <xf numFmtId="165" fontId="3" fillId="2" borderId="0" xfId="768" applyNumberFormat="1" applyFill="1"/>
    <xf numFmtId="2" fontId="3" fillId="2" borderId="0" xfId="768" applyNumberFormat="1" applyFill="1" applyAlignment="1">
      <alignment vertical="center"/>
    </xf>
    <xf numFmtId="165" fontId="149" fillId="2" borderId="73" xfId="768" applyNumberFormat="1" applyFont="1" applyFill="1" applyBorder="1"/>
    <xf numFmtId="0" fontId="6" fillId="2" borderId="0" xfId="768" applyFont="1" applyFill="1" applyAlignment="1" applyProtection="1">
      <alignment horizontal="center"/>
      <protection locked="0"/>
    </xf>
    <xf numFmtId="164" fontId="150" fillId="2" borderId="0" xfId="768" applyNumberFormat="1" applyFont="1" applyFill="1"/>
    <xf numFmtId="165" fontId="6" fillId="2" borderId="0" xfId="768" applyNumberFormat="1" applyFont="1" applyFill="1" applyProtection="1">
      <protection locked="0"/>
    </xf>
    <xf numFmtId="0" fontId="4" fillId="2" borderId="0" xfId="768" applyFont="1" applyFill="1"/>
    <xf numFmtId="0" fontId="148" fillId="2" borderId="0" xfId="768" applyFont="1" applyFill="1" applyAlignment="1">
      <alignment horizontal="center"/>
    </xf>
    <xf numFmtId="0" fontId="3" fillId="2" borderId="74" xfId="768" applyFill="1" applyBorder="1" applyAlignment="1">
      <alignment horizontal="center" vertical="center"/>
    </xf>
    <xf numFmtId="0" fontId="3" fillId="2" borderId="74" xfId="768" applyFill="1" applyBorder="1"/>
    <xf numFmtId="14" fontId="6" fillId="2" borderId="0" xfId="768" quotePrefix="1" applyNumberFormat="1" applyFont="1" applyFill="1" applyAlignment="1">
      <alignment horizontal="center"/>
    </xf>
    <xf numFmtId="164" fontId="6" fillId="2" borderId="0" xfId="768" quotePrefix="1" applyNumberFormat="1" applyFont="1" applyFill="1"/>
    <xf numFmtId="0" fontId="149" fillId="2" borderId="75" xfId="768" applyFont="1" applyFill="1" applyBorder="1" applyAlignment="1">
      <alignment vertical="center"/>
    </xf>
    <xf numFmtId="0" fontId="3" fillId="2" borderId="44" xfId="768" applyFill="1" applyBorder="1" applyAlignment="1">
      <alignment vertical="center"/>
    </xf>
    <xf numFmtId="0" fontId="6" fillId="2" borderId="44" xfId="768" applyFont="1" applyFill="1" applyBorder="1" applyAlignment="1" applyProtection="1">
      <alignment horizontal="left" vertical="center"/>
      <protection locked="0"/>
    </xf>
    <xf numFmtId="0" fontId="6" fillId="2" borderId="44" xfId="768" applyFont="1" applyFill="1" applyBorder="1" applyAlignment="1">
      <alignment horizontal="center" vertical="center"/>
    </xf>
    <xf numFmtId="165" fontId="6" fillId="2" borderId="44" xfId="768" applyNumberFormat="1" applyFont="1" applyFill="1" applyBorder="1"/>
    <xf numFmtId="0" fontId="6" fillId="2" borderId="44" xfId="768" applyFont="1" applyFill="1" applyBorder="1" applyAlignment="1">
      <alignment horizontal="center"/>
    </xf>
    <xf numFmtId="164" fontId="6" fillId="2" borderId="44" xfId="768" applyNumberFormat="1" applyFont="1" applyFill="1" applyBorder="1"/>
    <xf numFmtId="164" fontId="3" fillId="2" borderId="44" xfId="768" applyNumberFormat="1" applyFill="1" applyBorder="1"/>
    <xf numFmtId="165" fontId="3" fillId="2" borderId="44" xfId="768" applyNumberFormat="1" applyFill="1" applyBorder="1"/>
    <xf numFmtId="2" fontId="3" fillId="2" borderId="44" xfId="768" applyNumberFormat="1" applyFill="1" applyBorder="1" applyAlignment="1">
      <alignment vertical="center"/>
    </xf>
    <xf numFmtId="0" fontId="3" fillId="2" borderId="44" xfId="768" applyFill="1" applyBorder="1"/>
    <xf numFmtId="165" fontId="149" fillId="2" borderId="75" xfId="768" applyNumberFormat="1" applyFont="1" applyFill="1" applyBorder="1"/>
    <xf numFmtId="0" fontId="6" fillId="2" borderId="44" xfId="768" applyFont="1" applyFill="1" applyBorder="1" applyAlignment="1" applyProtection="1">
      <alignment horizontal="center"/>
      <protection locked="0"/>
    </xf>
    <xf numFmtId="164" fontId="151" fillId="2" borderId="44" xfId="768" applyNumberFormat="1" applyFont="1" applyFill="1" applyBorder="1"/>
    <xf numFmtId="165" fontId="6" fillId="2" borderId="44" xfId="768" applyNumberFormat="1" applyFont="1" applyFill="1" applyBorder="1" applyProtection="1">
      <protection locked="0"/>
    </xf>
    <xf numFmtId="0" fontId="4" fillId="2" borderId="44" xfId="768" applyFont="1" applyFill="1" applyBorder="1"/>
    <xf numFmtId="0" fontId="148" fillId="2" borderId="44" xfId="768" applyFont="1" applyFill="1" applyBorder="1" applyAlignment="1">
      <alignment horizontal="center"/>
    </xf>
    <xf numFmtId="0" fontId="3" fillId="2" borderId="76" xfId="768" applyFill="1" applyBorder="1" applyAlignment="1">
      <alignment horizontal="center" vertical="center"/>
    </xf>
    <xf numFmtId="0" fontId="3" fillId="2" borderId="76" xfId="768" applyFill="1" applyBorder="1"/>
    <xf numFmtId="0" fontId="1" fillId="2" borderId="0" xfId="768" applyFont="1" applyFill="1" applyAlignment="1">
      <alignment horizontal="center" vertical="center"/>
    </xf>
    <xf numFmtId="0" fontId="29" fillId="2" borderId="0" xfId="768" applyFont="1" applyFill="1" applyAlignment="1">
      <alignment horizontal="center" vertical="center"/>
    </xf>
    <xf numFmtId="0" fontId="152" fillId="2" borderId="0" xfId="768" applyFont="1" applyFill="1" applyAlignment="1">
      <alignment horizontal="center" vertical="center"/>
    </xf>
    <xf numFmtId="165" fontId="152" fillId="2" borderId="0" xfId="768" applyNumberFormat="1" applyFont="1" applyFill="1" applyAlignment="1">
      <alignment horizontal="center" vertical="center"/>
    </xf>
    <xf numFmtId="164" fontId="152" fillId="2" borderId="0" xfId="768" applyNumberFormat="1" applyFont="1" applyFill="1" applyAlignment="1">
      <alignment horizontal="center" vertical="center"/>
    </xf>
    <xf numFmtId="164" fontId="1" fillId="2" borderId="0" xfId="768" applyNumberFormat="1" applyFont="1" applyFill="1"/>
    <xf numFmtId="165" fontId="1" fillId="2" borderId="0" xfId="768" applyNumberFormat="1" applyFont="1" applyFill="1"/>
    <xf numFmtId="0" fontId="1" fillId="2" borderId="0" xfId="768" applyFont="1" applyFill="1" applyAlignment="1">
      <alignment vertical="center"/>
    </xf>
    <xf numFmtId="0" fontId="1" fillId="2" borderId="0" xfId="768" applyFont="1" applyFill="1"/>
    <xf numFmtId="165" fontId="1" fillId="2" borderId="0" xfId="768" applyNumberFormat="1" applyFont="1" applyFill="1" applyAlignment="1">
      <alignment horizontal="center"/>
    </xf>
    <xf numFmtId="0" fontId="1" fillId="2" borderId="0" xfId="768" applyFont="1" applyFill="1" applyAlignment="1">
      <alignment horizontal="center"/>
    </xf>
    <xf numFmtId="164" fontId="1" fillId="2" borderId="0" xfId="768" applyNumberFormat="1" applyFont="1" applyFill="1" applyAlignment="1">
      <alignment horizontal="center"/>
    </xf>
    <xf numFmtId="2" fontId="1" fillId="2" borderId="0" xfId="768" applyNumberFormat="1" applyFont="1" applyFill="1" applyAlignment="1">
      <alignment horizontal="center" vertical="center"/>
    </xf>
    <xf numFmtId="165" fontId="1" fillId="2" borderId="0" xfId="768" applyNumberFormat="1" applyFont="1" applyFill="1" applyAlignment="1">
      <alignment horizontal="center" vertical="center"/>
    </xf>
    <xf numFmtId="0" fontId="1" fillId="54" borderId="0" xfId="768" applyFont="1" applyFill="1" applyAlignment="1">
      <alignment horizontal="center" vertical="center"/>
    </xf>
    <xf numFmtId="2" fontId="1" fillId="54" borderId="0" xfId="768" applyNumberFormat="1" applyFont="1" applyFill="1" applyAlignment="1">
      <alignment horizontal="center" vertical="center"/>
    </xf>
    <xf numFmtId="0" fontId="1" fillId="54" borderId="0" xfId="768" applyFont="1" applyFill="1"/>
    <xf numFmtId="0" fontId="152" fillId="54" borderId="0" xfId="768" applyFont="1" applyFill="1"/>
    <xf numFmtId="0" fontId="3" fillId="2" borderId="0" xfId="768" applyFill="1" applyAlignment="1">
      <alignment horizontal="center"/>
    </xf>
    <xf numFmtId="0" fontId="148" fillId="2" borderId="0" xfId="768" applyFont="1" applyFill="1"/>
    <xf numFmtId="165" fontId="156" fillId="2" borderId="1" xfId="1308" applyNumberFormat="1" applyFont="1" applyFill="1" applyBorder="1" applyAlignment="1">
      <alignment horizontal="right" vertical="center"/>
    </xf>
    <xf numFmtId="0" fontId="153" fillId="2" borderId="1" xfId="1308" applyFont="1" applyFill="1" applyBorder="1" applyAlignment="1">
      <alignment horizontal="right" vertical="center"/>
    </xf>
    <xf numFmtId="0" fontId="156" fillId="2" borderId="1" xfId="1308" applyFont="1" applyFill="1" applyBorder="1" applyAlignment="1">
      <alignment horizontal="left" vertical="center"/>
    </xf>
    <xf numFmtId="165" fontId="153" fillId="2" borderId="1" xfId="1308" applyNumberFormat="1" applyFont="1" applyFill="1" applyBorder="1" applyAlignment="1">
      <alignment horizontal="right" vertical="center"/>
    </xf>
    <xf numFmtId="0" fontId="157" fillId="2" borderId="0" xfId="768" applyFont="1" applyFill="1" applyAlignment="1">
      <alignment horizontal="left" vertical="center"/>
    </xf>
    <xf numFmtId="165" fontId="3" fillId="2" borderId="0" xfId="768" applyNumberFormat="1" applyFill="1" applyAlignment="1">
      <alignment horizontal="center" vertical="center"/>
    </xf>
    <xf numFmtId="164" fontId="3" fillId="2" borderId="0" xfId="768" applyNumberFormat="1" applyFill="1" applyAlignment="1">
      <alignment horizontal="center" vertical="center"/>
    </xf>
    <xf numFmtId="2" fontId="3" fillId="2" borderId="0" xfId="768" applyNumberFormat="1" applyFill="1" applyAlignment="1">
      <alignment horizontal="center" vertical="center"/>
    </xf>
    <xf numFmtId="0" fontId="158" fillId="2" borderId="0" xfId="768" applyFont="1" applyFill="1" applyAlignment="1">
      <alignment horizontal="center" vertical="center"/>
    </xf>
    <xf numFmtId="164" fontId="158" fillId="2" borderId="0" xfId="768" applyNumberFormat="1" applyFont="1" applyFill="1" applyAlignment="1">
      <alignment horizontal="center" vertical="center"/>
    </xf>
    <xf numFmtId="165" fontId="158" fillId="2" borderId="0" xfId="768" applyNumberFormat="1" applyFont="1" applyFill="1" applyAlignment="1">
      <alignment horizontal="center" vertical="center"/>
    </xf>
    <xf numFmtId="0" fontId="3" fillId="54" borderId="0" xfId="768" applyFill="1" applyAlignment="1">
      <alignment horizontal="center" vertical="center"/>
    </xf>
    <xf numFmtId="2" fontId="3" fillId="54" borderId="0" xfId="768" applyNumberFormat="1" applyFill="1" applyAlignment="1">
      <alignment horizontal="center" vertical="center"/>
    </xf>
    <xf numFmtId="165" fontId="159" fillId="56" borderId="1" xfId="0" applyNumberFormat="1" applyFont="1" applyFill="1" applyBorder="1" applyAlignment="1">
      <alignment horizontal="center" vertical="center"/>
    </xf>
    <xf numFmtId="0" fontId="159" fillId="56" borderId="1" xfId="0" applyFont="1" applyFill="1" applyBorder="1" applyAlignment="1">
      <alignment horizontal="center" vertical="center"/>
    </xf>
    <xf numFmtId="1" fontId="159" fillId="2" borderId="3" xfId="0" applyNumberFormat="1" applyFont="1" applyFill="1" applyBorder="1" applyAlignment="1">
      <alignment horizontal="center" vertical="center"/>
    </xf>
    <xf numFmtId="1" fontId="159" fillId="56" borderId="1" xfId="0" applyNumberFormat="1" applyFont="1" applyFill="1" applyBorder="1" applyAlignment="1">
      <alignment horizontal="center" vertical="center" wrapText="1"/>
    </xf>
    <xf numFmtId="1" fontId="159" fillId="56" borderId="1" xfId="0" applyNumberFormat="1" applyFont="1" applyFill="1" applyBorder="1" applyAlignment="1">
      <alignment horizontal="center" vertical="center"/>
    </xf>
    <xf numFmtId="1" fontId="159" fillId="55" borderId="77" xfId="0" applyNumberFormat="1" applyFont="1" applyFill="1" applyBorder="1" applyAlignment="1">
      <alignment horizontal="center" vertical="center"/>
    </xf>
    <xf numFmtId="165" fontId="159" fillId="56" borderId="77" xfId="0" applyNumberFormat="1" applyFont="1" applyFill="1" applyBorder="1" applyAlignment="1">
      <alignment horizontal="center" vertical="center"/>
    </xf>
    <xf numFmtId="0" fontId="159" fillId="56" borderId="77" xfId="0" applyFont="1" applyFill="1" applyBorder="1" applyAlignment="1">
      <alignment horizontal="center" vertical="center"/>
    </xf>
    <xf numFmtId="164" fontId="163" fillId="2" borderId="77" xfId="0" applyNumberFormat="1" applyFont="1" applyFill="1" applyBorder="1" applyAlignment="1">
      <alignment horizontal="center"/>
    </xf>
    <xf numFmtId="164" fontId="160" fillId="2" borderId="77" xfId="0" applyNumberFormat="1" applyFont="1" applyFill="1" applyBorder="1" applyAlignment="1">
      <alignment horizontal="center"/>
    </xf>
    <xf numFmtId="0" fontId="159" fillId="5" borderId="77" xfId="0" applyFont="1" applyFill="1" applyBorder="1" applyAlignment="1">
      <alignment horizontal="center" vertical="center"/>
    </xf>
    <xf numFmtId="0" fontId="159" fillId="5" borderId="78" xfId="0" applyFont="1" applyFill="1" applyBorder="1" applyAlignment="1">
      <alignment horizontal="center" vertical="center"/>
    </xf>
    <xf numFmtId="1" fontId="159" fillId="2" borderId="79" xfId="0" applyNumberFormat="1" applyFont="1" applyFill="1" applyBorder="1" applyAlignment="1">
      <alignment horizontal="center" vertical="center"/>
    </xf>
    <xf numFmtId="1" fontId="159" fillId="56" borderId="77" xfId="0" applyNumberFormat="1" applyFont="1" applyFill="1" applyBorder="1" applyAlignment="1">
      <alignment horizontal="center" vertical="center" wrapText="1"/>
    </xf>
    <xf numFmtId="1" fontId="159" fillId="56" borderId="77" xfId="0" applyNumberFormat="1" applyFont="1" applyFill="1" applyBorder="1" applyAlignment="1">
      <alignment horizontal="center" vertical="center"/>
    </xf>
    <xf numFmtId="0" fontId="3" fillId="2" borderId="80" xfId="768" applyFill="1" applyBorder="1" applyAlignment="1">
      <alignment horizontal="center" vertical="center"/>
    </xf>
    <xf numFmtId="0" fontId="3" fillId="2" borderId="80" xfId="768" applyFill="1" applyBorder="1" applyAlignment="1">
      <alignment vertical="center"/>
    </xf>
    <xf numFmtId="165" fontId="3" fillId="2" borderId="80" xfId="768" applyNumberFormat="1" applyFill="1" applyBorder="1"/>
    <xf numFmtId="0" fontId="3" fillId="2" borderId="81" xfId="768" applyFill="1" applyBorder="1" applyAlignment="1">
      <alignment horizontal="center"/>
    </xf>
    <xf numFmtId="164" fontId="3" fillId="2" borderId="82" xfId="768" applyNumberFormat="1" applyFill="1" applyBorder="1"/>
    <xf numFmtId="164" fontId="3" fillId="2" borderId="83" xfId="768" applyNumberFormat="1" applyFill="1" applyBorder="1"/>
    <xf numFmtId="2" fontId="3" fillId="2" borderId="80" xfId="768" applyNumberFormat="1" applyFill="1" applyBorder="1" applyAlignment="1">
      <alignment vertical="center"/>
    </xf>
    <xf numFmtId="0" fontId="3" fillId="2" borderId="80" xfId="768" applyFill="1" applyBorder="1"/>
    <xf numFmtId="0" fontId="3" fillId="2" borderId="84" xfId="768" applyFill="1" applyBorder="1"/>
    <xf numFmtId="0" fontId="3" fillId="2" borderId="53" xfId="768" applyFill="1" applyBorder="1"/>
    <xf numFmtId="0" fontId="3" fillId="2" borderId="80" xfId="768" applyFill="1" applyBorder="1" applyAlignment="1">
      <alignment horizontal="center"/>
    </xf>
    <xf numFmtId="0" fontId="3" fillId="2" borderId="84" xfId="768" applyFill="1" applyBorder="1" applyAlignment="1">
      <alignment horizontal="center" vertical="center"/>
    </xf>
    <xf numFmtId="0" fontId="165" fillId="57" borderId="0" xfId="0" applyFont="1" applyFill="1"/>
    <xf numFmtId="0" fontId="166" fillId="58" borderId="85" xfId="0" applyFont="1" applyFill="1" applyBorder="1" applyAlignment="1">
      <alignment horizontal="center"/>
    </xf>
    <xf numFmtId="0" fontId="166" fillId="0" borderId="85" xfId="0" applyFont="1" applyBorder="1" applyAlignment="1">
      <alignment horizontal="left" indent="1"/>
    </xf>
    <xf numFmtId="0" fontId="168" fillId="0" borderId="85" xfId="0" applyFont="1" applyBorder="1" applyAlignment="1">
      <alignment horizontal="left"/>
    </xf>
    <xf numFmtId="0" fontId="169" fillId="54" borderId="85" xfId="0" applyFont="1" applyFill="1" applyBorder="1" applyAlignment="1">
      <alignment horizontal="left"/>
    </xf>
    <xf numFmtId="2" fontId="170" fillId="59" borderId="85" xfId="0" applyNumberFormat="1" applyFont="1" applyFill="1" applyBorder="1" applyAlignment="1">
      <alignment horizontal="center"/>
    </xf>
    <xf numFmtId="0" fontId="166" fillId="54" borderId="85" xfId="0" applyFont="1" applyFill="1" applyBorder="1" applyAlignment="1">
      <alignment horizontal="left" indent="1"/>
    </xf>
    <xf numFmtId="0" fontId="168" fillId="54" borderId="85" xfId="0" applyFont="1" applyFill="1" applyBorder="1" applyAlignment="1">
      <alignment horizontal="left"/>
    </xf>
    <xf numFmtId="0" fontId="168" fillId="54" borderId="85" xfId="0" applyFont="1" applyFill="1" applyBorder="1" applyAlignment="1">
      <alignment horizontal="center"/>
    </xf>
    <xf numFmtId="0" fontId="168" fillId="54" borderId="85" xfId="0" applyFont="1" applyFill="1" applyBorder="1"/>
    <xf numFmtId="0" fontId="169" fillId="0" borderId="85" xfId="0" applyFont="1" applyBorder="1" applyAlignment="1">
      <alignment horizontal="left"/>
    </xf>
    <xf numFmtId="165" fontId="168" fillId="0" borderId="85" xfId="0" applyNumberFormat="1" applyFont="1" applyBorder="1" applyAlignment="1">
      <alignment horizontal="center"/>
    </xf>
    <xf numFmtId="165" fontId="168" fillId="0" borderId="85" xfId="0" applyNumberFormat="1" applyFont="1" applyBorder="1"/>
    <xf numFmtId="2" fontId="168" fillId="54" borderId="85" xfId="0" applyNumberFormat="1" applyFont="1" applyFill="1" applyBorder="1" applyAlignment="1">
      <alignment horizontal="center" vertical="center"/>
    </xf>
    <xf numFmtId="165" fontId="170" fillId="59" borderId="85" xfId="0" applyNumberFormat="1" applyFont="1" applyFill="1" applyBorder="1" applyAlignment="1">
      <alignment horizontal="center"/>
    </xf>
    <xf numFmtId="165" fontId="170" fillId="59" borderId="85" xfId="0" applyNumberFormat="1" applyFont="1" applyFill="1" applyBorder="1"/>
    <xf numFmtId="2" fontId="168" fillId="54" borderId="85" xfId="0" applyNumberFormat="1" applyFont="1" applyFill="1" applyBorder="1" applyAlignment="1">
      <alignment horizontal="center"/>
    </xf>
    <xf numFmtId="2" fontId="168" fillId="54" borderId="85" xfId="0" applyNumberFormat="1" applyFont="1" applyFill="1" applyBorder="1"/>
    <xf numFmtId="48" fontId="170" fillId="59" borderId="85" xfId="0" applyNumberFormat="1" applyFont="1" applyFill="1" applyBorder="1" applyAlignment="1">
      <alignment horizontal="center"/>
    </xf>
    <xf numFmtId="48" fontId="170" fillId="59" borderId="85" xfId="0" applyNumberFormat="1" applyFont="1" applyFill="1" applyBorder="1"/>
    <xf numFmtId="165" fontId="172" fillId="59" borderId="85" xfId="0" applyNumberFormat="1" applyFont="1" applyFill="1" applyBorder="1" applyAlignment="1">
      <alignment horizontal="center"/>
    </xf>
    <xf numFmtId="165" fontId="172" fillId="59" borderId="85" xfId="0" applyNumberFormat="1" applyFont="1" applyFill="1" applyBorder="1"/>
    <xf numFmtId="165" fontId="168" fillId="54" borderId="85" xfId="0" applyNumberFormat="1" applyFont="1" applyFill="1" applyBorder="1" applyAlignment="1">
      <alignment horizontal="center"/>
    </xf>
    <xf numFmtId="165" fontId="168" fillId="54" borderId="85" xfId="0" applyNumberFormat="1" applyFont="1" applyFill="1" applyBorder="1"/>
    <xf numFmtId="0" fontId="167" fillId="54" borderId="85" xfId="0" applyFont="1" applyFill="1" applyBorder="1" applyAlignment="1">
      <alignment horizontal="left" indent="1"/>
    </xf>
    <xf numFmtId="0" fontId="174" fillId="0" borderId="85" xfId="0" applyFont="1" applyBorder="1" applyAlignment="1">
      <alignment horizontal="left" indent="1"/>
    </xf>
    <xf numFmtId="280" fontId="168" fillId="0" borderId="85" xfId="0" applyNumberFormat="1" applyFont="1" applyBorder="1" applyAlignment="1">
      <alignment horizontal="center" vertical="center"/>
    </xf>
    <xf numFmtId="0" fontId="165" fillId="57" borderId="19" xfId="0" applyFont="1" applyFill="1" applyBorder="1"/>
    <xf numFmtId="0" fontId="166" fillId="0" borderId="85" xfId="0" applyFont="1" applyBorder="1" applyAlignment="1">
      <alignment horizontal="center"/>
    </xf>
    <xf numFmtId="0" fontId="168" fillId="0" borderId="85" xfId="0" applyFont="1" applyBorder="1" applyAlignment="1">
      <alignment horizontal="center" vertical="center"/>
    </xf>
    <xf numFmtId="0" fontId="170" fillId="59" borderId="85" xfId="0" applyFont="1" applyFill="1" applyBorder="1" applyAlignment="1">
      <alignment horizontal="center" vertical="center"/>
    </xf>
    <xf numFmtId="1" fontId="177" fillId="59" borderId="85" xfId="0" applyNumberFormat="1" applyFont="1" applyFill="1" applyBorder="1" applyAlignment="1">
      <alignment horizontal="center" vertical="center"/>
    </xf>
    <xf numFmtId="0" fontId="172" fillId="0" borderId="85" xfId="0" applyFont="1" applyBorder="1" applyAlignment="1">
      <alignment horizontal="center" vertical="center"/>
    </xf>
    <xf numFmtId="1" fontId="168" fillId="0" borderId="85" xfId="0" applyNumberFormat="1" applyFont="1" applyBorder="1" applyAlignment="1">
      <alignment horizontal="center" vertical="center"/>
    </xf>
    <xf numFmtId="0" fontId="172" fillId="59" borderId="85" xfId="0" applyFont="1" applyFill="1" applyBorder="1" applyAlignment="1">
      <alignment horizontal="center" vertical="center"/>
    </xf>
    <xf numFmtId="1" fontId="170" fillId="59" borderId="85" xfId="0" applyNumberFormat="1" applyFont="1" applyFill="1" applyBorder="1" applyAlignment="1">
      <alignment horizontal="center" vertical="center"/>
    </xf>
    <xf numFmtId="281" fontId="168" fillId="0" borderId="85" xfId="0" applyNumberFormat="1" applyFont="1" applyBorder="1" applyAlignment="1">
      <alignment horizontal="center" vertical="center"/>
    </xf>
    <xf numFmtId="0" fontId="153" fillId="2" borderId="85" xfId="1308" applyFont="1" applyFill="1" applyBorder="1" applyAlignment="1">
      <alignment horizontal="center" vertical="center"/>
    </xf>
    <xf numFmtId="0" fontId="179" fillId="0" borderId="86" xfId="0" applyFont="1" applyBorder="1" applyAlignment="1">
      <alignment horizontal="right"/>
    </xf>
    <xf numFmtId="49" fontId="3" fillId="2" borderId="87" xfId="0" applyNumberFormat="1" applyFont="1" applyFill="1" applyBorder="1" applyAlignment="1">
      <alignment horizontal="left" vertical="center"/>
    </xf>
    <xf numFmtId="0" fontId="26" fillId="2" borderId="0" xfId="0" applyFont="1" applyFill="1" applyAlignment="1">
      <alignment vertical="center"/>
    </xf>
    <xf numFmtId="2" fontId="19" fillId="2" borderId="0" xfId="0" applyNumberFormat="1" applyFont="1" applyFill="1" applyAlignment="1">
      <alignment vertical="center"/>
    </xf>
    <xf numFmtId="49" fontId="3" fillId="2" borderId="0" xfId="0" applyNumberFormat="1" applyFont="1" applyFill="1" applyAlignment="1">
      <alignment horizontal="left" vertical="center"/>
    </xf>
    <xf numFmtId="0" fontId="19" fillId="2" borderId="19" xfId="0" applyFont="1" applyFill="1" applyBorder="1" applyAlignment="1">
      <alignment horizontal="center" vertical="center"/>
    </xf>
    <xf numFmtId="0" fontId="19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2" fontId="19" fillId="2" borderId="19" xfId="0" applyNumberFormat="1" applyFont="1" applyFill="1" applyBorder="1" applyAlignment="1">
      <alignment vertical="center"/>
    </xf>
    <xf numFmtId="2" fontId="19" fillId="2" borderId="6" xfId="0" applyNumberFormat="1" applyFont="1" applyFill="1" applyBorder="1" applyAlignment="1">
      <alignment vertical="center"/>
    </xf>
    <xf numFmtId="0" fontId="22" fillId="2" borderId="0" xfId="0" applyFont="1" applyFill="1" applyAlignment="1">
      <alignment horizontal="center" vertical="center" textRotation="90"/>
    </xf>
    <xf numFmtId="0" fontId="22" fillId="2" borderId="5" xfId="0" applyFont="1" applyFill="1" applyBorder="1" applyAlignment="1">
      <alignment horizontal="center" vertical="center" textRotation="90"/>
    </xf>
    <xf numFmtId="0" fontId="22" fillId="2" borderId="1" xfId="0" applyFont="1" applyFill="1" applyBorder="1" applyAlignment="1">
      <alignment horizontal="center" vertical="center" textRotation="90"/>
    </xf>
    <xf numFmtId="49" fontId="24" fillId="2" borderId="0" xfId="0" applyNumberFormat="1" applyFont="1" applyFill="1" applyAlignment="1">
      <alignment horizontal="center" vertical="center"/>
    </xf>
    <xf numFmtId="49" fontId="24" fillId="2" borderId="19" xfId="0" applyNumberFormat="1" applyFont="1" applyFill="1" applyBorder="1" applyAlignment="1">
      <alignment horizontal="center" vertical="center"/>
    </xf>
    <xf numFmtId="49" fontId="24" fillId="2" borderId="1" xfId="0" applyNumberFormat="1" applyFont="1" applyFill="1" applyBorder="1" applyAlignment="1">
      <alignment horizontal="center" vertical="center"/>
    </xf>
    <xf numFmtId="0" fontId="22" fillId="2" borderId="7" xfId="0" applyFont="1" applyFill="1" applyBorder="1" applyAlignment="1">
      <alignment horizontal="center" vertical="center" textRotation="90"/>
    </xf>
    <xf numFmtId="0" fontId="19" fillId="2" borderId="7" xfId="0" applyFont="1" applyFill="1" applyBorder="1" applyAlignment="1">
      <alignment horizontal="center" vertical="center"/>
    </xf>
    <xf numFmtId="49" fontId="24" fillId="2" borderId="7" xfId="0" applyNumberFormat="1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vertical="center"/>
    </xf>
    <xf numFmtId="0" fontId="26" fillId="2" borderId="7" xfId="0" applyFont="1" applyFill="1" applyBorder="1" applyAlignment="1">
      <alignment vertical="center"/>
    </xf>
    <xf numFmtId="2" fontId="19" fillId="2" borderId="7" xfId="0" applyNumberFormat="1" applyFont="1" applyFill="1" applyBorder="1" applyAlignment="1">
      <alignment vertical="center"/>
    </xf>
    <xf numFmtId="2" fontId="19" fillId="2" borderId="41" xfId="0" applyNumberFormat="1" applyFont="1" applyFill="1" applyBorder="1" applyAlignment="1">
      <alignment horizontal="center" vertical="center" wrapText="1"/>
    </xf>
    <xf numFmtId="0" fontId="19" fillId="2" borderId="93" xfId="0" applyFont="1" applyFill="1" applyBorder="1" applyAlignment="1">
      <alignment horizontal="center" vertical="center" wrapText="1"/>
    </xf>
    <xf numFmtId="49" fontId="24" fillId="2" borderId="93" xfId="0" applyNumberFormat="1" applyFont="1" applyFill="1" applyBorder="1" applyAlignment="1">
      <alignment horizontal="center" vertical="center" wrapText="1"/>
    </xf>
    <xf numFmtId="0" fontId="19" fillId="2" borderId="93" xfId="0" applyFont="1" applyFill="1" applyBorder="1" applyAlignment="1">
      <alignment horizontal="center" vertical="center"/>
    </xf>
    <xf numFmtId="2" fontId="19" fillId="2" borderId="93" xfId="0" applyNumberFormat="1" applyFont="1" applyFill="1" applyBorder="1" applyAlignment="1">
      <alignment horizontal="center" vertical="center"/>
    </xf>
    <xf numFmtId="2" fontId="19" fillId="2" borderId="43" xfId="0" applyNumberFormat="1" applyFont="1" applyFill="1" applyBorder="1" applyAlignment="1">
      <alignment horizontal="center" vertical="center"/>
    </xf>
    <xf numFmtId="0" fontId="179" fillId="0" borderId="0" xfId="0" applyFont="1" applyAlignment="1">
      <alignment horizontal="center"/>
    </xf>
    <xf numFmtId="0" fontId="179" fillId="0" borderId="0" xfId="0" applyFont="1" applyAlignment="1">
      <alignment horizontal="right"/>
    </xf>
    <xf numFmtId="0" fontId="0" fillId="0" borderId="86" xfId="0" applyBorder="1" applyAlignment="1">
      <alignment horizontal="right"/>
    </xf>
    <xf numFmtId="0" fontId="179" fillId="0" borderId="0" xfId="0" applyFont="1" applyAlignment="1">
      <alignment horizontal="left"/>
    </xf>
    <xf numFmtId="0" fontId="0" fillId="0" borderId="0" xfId="0" applyAlignment="1">
      <alignment horizontal="right"/>
    </xf>
    <xf numFmtId="0" fontId="180" fillId="0" borderId="0" xfId="0" applyFont="1" applyAlignment="1">
      <alignment horizontal="right"/>
    </xf>
    <xf numFmtId="0" fontId="178" fillId="0" borderId="0" xfId="0" applyFont="1" applyAlignment="1">
      <alignment horizontal="center"/>
    </xf>
    <xf numFmtId="0" fontId="18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19" fillId="55" borderId="0" xfId="0" applyFont="1" applyFill="1"/>
    <xf numFmtId="0" fontId="181" fillId="0" borderId="0" xfId="0" applyFont="1" applyAlignment="1">
      <alignment horizontal="center" vertical="center"/>
    </xf>
    <xf numFmtId="0" fontId="149" fillId="0" borderId="70" xfId="0" applyFont="1" applyBorder="1"/>
    <xf numFmtId="0" fontId="6" fillId="0" borderId="71" xfId="0" applyFont="1" applyBorder="1"/>
    <xf numFmtId="0" fontId="2" fillId="0" borderId="72" xfId="0" applyFont="1" applyBorder="1"/>
    <xf numFmtId="0" fontId="19" fillId="0" borderId="71" xfId="0" applyFont="1" applyBorder="1"/>
    <xf numFmtId="0" fontId="2" fillId="0" borderId="71" xfId="0" applyFont="1" applyBorder="1"/>
    <xf numFmtId="0" fontId="149" fillId="0" borderId="73" xfId="0" applyFont="1" applyBorder="1"/>
    <xf numFmtId="0" fontId="6" fillId="0" borderId="0" xfId="0" applyFont="1"/>
    <xf numFmtId="0" fontId="2" fillId="0" borderId="74" xfId="0" applyFont="1" applyBorder="1"/>
    <xf numFmtId="0" fontId="2" fillId="0" borderId="0" xfId="0" applyFont="1"/>
    <xf numFmtId="14" fontId="6" fillId="0" borderId="0" xfId="0" applyNumberFormat="1" applyFont="1" applyAlignment="1">
      <alignment horizontal="left"/>
    </xf>
    <xf numFmtId="0" fontId="149" fillId="0" borderId="75" xfId="0" applyFont="1" applyBorder="1"/>
    <xf numFmtId="0" fontId="6" fillId="0" borderId="44" xfId="0" applyFont="1" applyBorder="1"/>
    <xf numFmtId="0" fontId="2" fillId="0" borderId="76" xfId="0" applyFont="1" applyBorder="1"/>
    <xf numFmtId="0" fontId="19" fillId="0" borderId="44" xfId="0" applyFont="1" applyBorder="1"/>
    <xf numFmtId="0" fontId="2" fillId="0" borderId="44" xfId="0" applyFont="1" applyBorder="1"/>
    <xf numFmtId="0" fontId="182" fillId="0" borderId="0" xfId="0" applyFont="1"/>
    <xf numFmtId="0" fontId="2" fillId="0" borderId="0" xfId="0" applyFont="1" applyAlignment="1">
      <alignment horizontal="right" vertical="center"/>
    </xf>
    <xf numFmtId="3" fontId="2" fillId="0" borderId="0" xfId="0" applyNumberFormat="1" applyFont="1" applyAlignment="1">
      <alignment horizontal="right" vertical="center"/>
    </xf>
    <xf numFmtId="1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left" vertical="top"/>
    </xf>
    <xf numFmtId="1" fontId="2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3" fontId="2" fillId="0" borderId="0" xfId="0" applyNumberFormat="1" applyFont="1" applyAlignment="1">
      <alignment horizontal="center" vertical="center"/>
    </xf>
    <xf numFmtId="0" fontId="6" fillId="54" borderId="70" xfId="0" applyFont="1" applyFill="1" applyBorder="1" applyAlignment="1">
      <alignment vertical="center"/>
    </xf>
    <xf numFmtId="0" fontId="6" fillId="54" borderId="71" xfId="0" applyFont="1" applyFill="1" applyBorder="1" applyAlignment="1">
      <alignment vertical="center"/>
    </xf>
    <xf numFmtId="0" fontId="6" fillId="54" borderId="73" xfId="0" applyFont="1" applyFill="1" applyBorder="1" applyAlignment="1">
      <alignment vertical="center"/>
    </xf>
    <xf numFmtId="0" fontId="6" fillId="54" borderId="75" xfId="0" applyFont="1" applyFill="1" applyBorder="1" applyAlignment="1">
      <alignment vertical="center"/>
    </xf>
    <xf numFmtId="0" fontId="6" fillId="54" borderId="44" xfId="0" applyFont="1" applyFill="1" applyBorder="1" applyAlignment="1">
      <alignment vertical="center"/>
    </xf>
    <xf numFmtId="0" fontId="6" fillId="54" borderId="88" xfId="0" applyFont="1" applyFill="1" applyBorder="1" applyAlignment="1">
      <alignment horizontal="center" vertical="center"/>
    </xf>
    <xf numFmtId="0" fontId="6" fillId="54" borderId="93" xfId="0" applyFont="1" applyFill="1" applyBorder="1" applyAlignment="1">
      <alignment horizontal="center" vertical="center"/>
    </xf>
    <xf numFmtId="0" fontId="19" fillId="55" borderId="0" xfId="0" applyFont="1" applyFill="1" applyAlignment="1">
      <alignment horizontal="center" vertical="center"/>
    </xf>
    <xf numFmtId="0" fontId="187" fillId="55" borderId="0" xfId="0" applyFont="1" applyFill="1"/>
    <xf numFmtId="0" fontId="6" fillId="54" borderId="38" xfId="0" applyFont="1" applyFill="1" applyBorder="1" applyAlignment="1">
      <alignment horizontal="center" vertical="center"/>
    </xf>
    <xf numFmtId="2" fontId="4" fillId="54" borderId="88" xfId="0" applyNumberFormat="1" applyFont="1" applyFill="1" applyBorder="1" applyAlignment="1">
      <alignment horizontal="center" vertical="center"/>
    </xf>
    <xf numFmtId="0" fontId="2" fillId="54" borderId="88" xfId="0" applyFont="1" applyFill="1" applyBorder="1" applyAlignment="1">
      <alignment horizontal="center" vertical="center"/>
    </xf>
    <xf numFmtId="2" fontId="2" fillId="54" borderId="88" xfId="0" applyNumberFormat="1" applyFont="1" applyFill="1" applyBorder="1" applyAlignment="1">
      <alignment horizontal="center" vertical="center"/>
    </xf>
    <xf numFmtId="0" fontId="188" fillId="54" borderId="88" xfId="0" applyFont="1" applyFill="1" applyBorder="1" applyAlignment="1">
      <alignment horizontal="center" vertical="center"/>
    </xf>
    <xf numFmtId="0" fontId="2" fillId="54" borderId="39" xfId="0" applyFont="1" applyFill="1" applyBorder="1" applyAlignment="1">
      <alignment horizontal="center" vertical="center"/>
    </xf>
    <xf numFmtId="0" fontId="6" fillId="54" borderId="40" xfId="0" applyFont="1" applyFill="1" applyBorder="1" applyAlignment="1">
      <alignment horizontal="center" vertical="center"/>
    </xf>
    <xf numFmtId="2" fontId="4" fillId="54" borderId="1" xfId="0" applyNumberFormat="1" applyFont="1" applyFill="1" applyBorder="1" applyAlignment="1">
      <alignment horizontal="center" vertical="center"/>
    </xf>
    <xf numFmtId="0" fontId="2" fillId="54" borderId="7" xfId="0" applyFont="1" applyFill="1" applyBorder="1" applyAlignment="1">
      <alignment horizontal="center" vertical="center"/>
    </xf>
    <xf numFmtId="0" fontId="2" fillId="54" borderId="1" xfId="0" applyFont="1" applyFill="1" applyBorder="1" applyAlignment="1">
      <alignment horizontal="center" vertical="center"/>
    </xf>
    <xf numFmtId="2" fontId="2" fillId="54" borderId="1" xfId="0" applyNumberFormat="1" applyFont="1" applyFill="1" applyBorder="1" applyAlignment="1">
      <alignment horizontal="center" vertical="center"/>
    </xf>
    <xf numFmtId="0" fontId="188" fillId="54" borderId="1" xfId="0" applyFont="1" applyFill="1" applyBorder="1" applyAlignment="1">
      <alignment horizontal="center" vertical="center"/>
    </xf>
    <xf numFmtId="0" fontId="2" fillId="54" borderId="41" xfId="0" applyFont="1" applyFill="1" applyBorder="1" applyAlignment="1">
      <alignment horizontal="center" vertical="center"/>
    </xf>
    <xf numFmtId="0" fontId="19" fillId="54" borderId="0" xfId="0" applyFont="1" applyFill="1"/>
    <xf numFmtId="0" fontId="6" fillId="54" borderId="42" xfId="0" applyFont="1" applyFill="1" applyBorder="1" applyAlignment="1">
      <alignment horizontal="center" vertical="center"/>
    </xf>
    <xf numFmtId="2" fontId="4" fillId="54" borderId="93" xfId="0" applyNumberFormat="1" applyFont="1" applyFill="1" applyBorder="1" applyAlignment="1">
      <alignment horizontal="center" vertical="center"/>
    </xf>
    <xf numFmtId="0" fontId="2" fillId="54" borderId="93" xfId="0" applyFont="1" applyFill="1" applyBorder="1" applyAlignment="1">
      <alignment horizontal="center" vertical="center"/>
    </xf>
    <xf numFmtId="2" fontId="2" fillId="54" borderId="93" xfId="0" applyNumberFormat="1" applyFont="1" applyFill="1" applyBorder="1" applyAlignment="1">
      <alignment horizontal="center" vertical="center"/>
    </xf>
    <xf numFmtId="0" fontId="188" fillId="54" borderId="93" xfId="0" applyFont="1" applyFill="1" applyBorder="1" applyAlignment="1">
      <alignment horizontal="center" vertical="center"/>
    </xf>
    <xf numFmtId="2" fontId="2" fillId="54" borderId="94" xfId="0" applyNumberFormat="1" applyFont="1" applyFill="1" applyBorder="1" applyAlignment="1">
      <alignment horizontal="center" vertical="center"/>
    </xf>
    <xf numFmtId="0" fontId="2" fillId="54" borderId="43" xfId="0" applyFont="1" applyFill="1" applyBorder="1" applyAlignment="1">
      <alignment horizontal="center" vertical="center"/>
    </xf>
    <xf numFmtId="0" fontId="189" fillId="0" borderId="0" xfId="0" applyFont="1"/>
    <xf numFmtId="2" fontId="4" fillId="0" borderId="0" xfId="0" applyNumberFormat="1" applyFont="1" applyAlignment="1">
      <alignment horizontal="center" vertical="center"/>
    </xf>
    <xf numFmtId="0" fontId="189" fillId="55" borderId="0" xfId="0" applyFont="1" applyFill="1" applyAlignment="1">
      <alignment horizontal="center" vertical="center"/>
    </xf>
    <xf numFmtId="0" fontId="189" fillId="55" borderId="0" xfId="0" applyFont="1" applyFill="1"/>
    <xf numFmtId="0" fontId="4" fillId="54" borderId="88" xfId="0" applyFont="1" applyFill="1" applyBorder="1" applyAlignment="1">
      <alignment horizontal="center" vertical="center"/>
    </xf>
    <xf numFmtId="0" fontId="4" fillId="54" borderId="1" xfId="0" applyFont="1" applyFill="1" applyBorder="1" applyAlignment="1">
      <alignment horizontal="center" vertical="center"/>
    </xf>
    <xf numFmtId="0" fontId="4" fillId="54" borderId="93" xfId="0" applyFont="1" applyFill="1" applyBorder="1" applyAlignment="1">
      <alignment horizontal="center" vertical="center"/>
    </xf>
    <xf numFmtId="0" fontId="6" fillId="54" borderId="0" xfId="0" applyFont="1" applyFill="1" applyAlignment="1">
      <alignment vertical="center"/>
    </xf>
    <xf numFmtId="0" fontId="6" fillId="54" borderId="72" xfId="0" applyFont="1" applyFill="1" applyBorder="1" applyAlignment="1">
      <alignment vertical="center"/>
    </xf>
    <xf numFmtId="0" fontId="6" fillId="54" borderId="74" xfId="0" applyFont="1" applyFill="1" applyBorder="1" applyAlignment="1">
      <alignment vertical="center"/>
    </xf>
    <xf numFmtId="0" fontId="6" fillId="54" borderId="76" xfId="0" applyFont="1" applyFill="1" applyBorder="1" applyAlignment="1">
      <alignment vertical="center"/>
    </xf>
    <xf numFmtId="0" fontId="19" fillId="2" borderId="95" xfId="0" applyFont="1" applyFill="1" applyBorder="1" applyAlignment="1">
      <alignment vertical="center"/>
    </xf>
    <xf numFmtId="167" fontId="19" fillId="2" borderId="97" xfId="0" applyNumberFormat="1" applyFont="1" applyFill="1" applyBorder="1" applyAlignment="1">
      <alignment horizontal="center" vertical="center"/>
    </xf>
    <xf numFmtId="166" fontId="19" fillId="2" borderId="97" xfId="0" applyNumberFormat="1" applyFont="1" applyFill="1" applyBorder="1" applyAlignment="1">
      <alignment horizontal="center" vertical="center" wrapText="1"/>
    </xf>
    <xf numFmtId="166" fontId="19" fillId="2" borderId="97" xfId="0" applyNumberFormat="1" applyFont="1" applyFill="1" applyBorder="1" applyAlignment="1">
      <alignment horizontal="center" vertical="center"/>
    </xf>
    <xf numFmtId="0" fontId="19" fillId="2" borderId="85" xfId="0" applyFont="1" applyFill="1" applyBorder="1" applyAlignment="1">
      <alignment horizontal="left" vertical="center" wrapText="1"/>
    </xf>
    <xf numFmtId="167" fontId="19" fillId="2" borderId="85" xfId="0" applyNumberFormat="1" applyFont="1" applyFill="1" applyBorder="1" applyAlignment="1">
      <alignment horizontal="center" vertical="center"/>
    </xf>
    <xf numFmtId="166" fontId="19" fillId="2" borderId="85" xfId="0" applyNumberFormat="1" applyFont="1" applyFill="1" applyBorder="1" applyAlignment="1">
      <alignment horizontal="center" vertical="center" wrapText="1"/>
    </xf>
    <xf numFmtId="0" fontId="19" fillId="2" borderId="85" xfId="0" applyFont="1" applyFill="1" applyBorder="1" applyAlignment="1">
      <alignment horizontal="left" vertical="center"/>
    </xf>
    <xf numFmtId="166" fontId="19" fillId="2" borderId="85" xfId="0" applyNumberFormat="1" applyFont="1" applyFill="1" applyBorder="1" applyAlignment="1">
      <alignment horizontal="center" vertical="center"/>
    </xf>
    <xf numFmtId="0" fontId="19" fillId="2" borderId="85" xfId="0" applyFont="1" applyFill="1" applyBorder="1" applyAlignment="1">
      <alignment vertical="center"/>
    </xf>
    <xf numFmtId="0" fontId="19" fillId="2" borderId="85" xfId="0" applyFont="1" applyFill="1" applyBorder="1" applyAlignment="1">
      <alignment horizontal="center" vertical="center"/>
    </xf>
    <xf numFmtId="167" fontId="19" fillId="2" borderId="95" xfId="0" applyNumberFormat="1" applyFont="1" applyFill="1" applyBorder="1" applyAlignment="1">
      <alignment horizontal="center" vertical="center"/>
    </xf>
    <xf numFmtId="166" fontId="19" fillId="2" borderId="95" xfId="0" applyNumberFormat="1" applyFont="1" applyFill="1" applyBorder="1" applyAlignment="1">
      <alignment horizontal="center" vertical="center" wrapText="1"/>
    </xf>
    <xf numFmtId="166" fontId="19" fillId="2" borderId="95" xfId="0" applyNumberFormat="1" applyFont="1" applyFill="1" applyBorder="1" applyAlignment="1">
      <alignment horizontal="center" vertical="center"/>
    </xf>
    <xf numFmtId="167" fontId="19" fillId="2" borderId="85" xfId="0" applyNumberFormat="1" applyFont="1" applyFill="1" applyBorder="1" applyAlignment="1">
      <alignment horizontal="left" vertical="center"/>
    </xf>
    <xf numFmtId="166" fontId="19" fillId="2" borderId="85" xfId="0" applyNumberFormat="1" applyFont="1" applyFill="1" applyBorder="1" applyAlignment="1">
      <alignment horizontal="left" vertical="center" wrapText="1"/>
    </xf>
    <xf numFmtId="166" fontId="19" fillId="2" borderId="85" xfId="0" applyNumberFormat="1" applyFont="1" applyFill="1" applyBorder="1" applyAlignment="1">
      <alignment horizontal="left" vertical="center"/>
    </xf>
    <xf numFmtId="0" fontId="190" fillId="0" borderId="0" xfId="1309"/>
    <xf numFmtId="0" fontId="192" fillId="64" borderId="0" xfId="1309" applyFont="1" applyFill="1" applyAlignment="1">
      <alignment horizontal="center" vertical="center" wrapText="1"/>
    </xf>
    <xf numFmtId="0" fontId="193" fillId="65" borderId="0" xfId="1309" applyFont="1" applyFill="1" applyAlignment="1">
      <alignment horizontal="center" vertical="center" wrapText="1"/>
    </xf>
    <xf numFmtId="49" fontId="190" fillId="0" borderId="0" xfId="1309" applyNumberFormat="1" applyAlignment="1">
      <alignment vertical="center" wrapText="1"/>
    </xf>
    <xf numFmtId="49" fontId="190" fillId="0" borderId="106" xfId="1309" applyNumberFormat="1" applyBorder="1" applyAlignment="1">
      <alignment vertical="center" wrapText="1"/>
    </xf>
    <xf numFmtId="49" fontId="190" fillId="66" borderId="106" xfId="1309" applyNumberFormat="1" applyFill="1" applyBorder="1" applyAlignment="1">
      <alignment vertical="center" wrapText="1"/>
    </xf>
    <xf numFmtId="49" fontId="190" fillId="66" borderId="105" xfId="1309" applyNumberFormat="1" applyFill="1" applyBorder="1" applyAlignment="1">
      <alignment vertical="center" wrapText="1"/>
    </xf>
    <xf numFmtId="49" fontId="190" fillId="0" borderId="105" xfId="1309" applyNumberFormat="1" applyBorder="1" applyAlignment="1">
      <alignment vertical="center" wrapText="1"/>
    </xf>
    <xf numFmtId="0" fontId="3" fillId="2" borderId="8" xfId="0" applyFont="1" applyFill="1" applyBorder="1" applyAlignment="1">
      <alignment vertical="center" wrapText="1"/>
    </xf>
    <xf numFmtId="0" fontId="19" fillId="0" borderId="7" xfId="0" applyFont="1" applyBorder="1" applyAlignment="1">
      <alignment vertical="center"/>
    </xf>
    <xf numFmtId="0" fontId="2" fillId="2" borderId="12" xfId="0" applyFont="1" applyFill="1" applyBorder="1" applyAlignment="1">
      <alignment horizontal="left"/>
    </xf>
    <xf numFmtId="0" fontId="2" fillId="2" borderId="13" xfId="0" applyFont="1" applyFill="1" applyBorder="1" applyAlignment="1">
      <alignment horizontal="left"/>
    </xf>
    <xf numFmtId="0" fontId="2" fillId="2" borderId="14" xfId="0" applyFont="1" applyFill="1" applyBorder="1" applyAlignment="1">
      <alignment horizontal="left"/>
    </xf>
    <xf numFmtId="0" fontId="2" fillId="2" borderId="15" xfId="0" applyFont="1" applyFill="1" applyBorder="1" applyAlignment="1">
      <alignment horizontal="left"/>
    </xf>
    <xf numFmtId="0" fontId="16" fillId="2" borderId="1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 applyProtection="1">
      <alignment horizontal="right"/>
      <protection locked="0"/>
    </xf>
    <xf numFmtId="0" fontId="2" fillId="2" borderId="0" xfId="0" applyFont="1" applyFill="1" applyAlignment="1" applyProtection="1">
      <alignment horizontal="right"/>
      <protection locked="0"/>
    </xf>
    <xf numFmtId="0" fontId="1" fillId="2" borderId="0" xfId="0" applyFont="1" applyFill="1" applyAlignment="1">
      <alignment horizontal="center" wrapText="1"/>
    </xf>
    <xf numFmtId="0" fontId="3" fillId="2" borderId="1" xfId="0" applyFont="1" applyFill="1" applyBorder="1" applyAlignment="1">
      <alignment horizontal="left" vertical="center"/>
    </xf>
    <xf numFmtId="0" fontId="3" fillId="2" borderId="30" xfId="0" applyFont="1" applyFill="1" applyBorder="1" applyAlignment="1">
      <alignment horizontal="left" vertical="center"/>
    </xf>
    <xf numFmtId="0" fontId="3" fillId="2" borderId="31" xfId="0" applyFont="1" applyFill="1" applyBorder="1" applyAlignment="1">
      <alignment horizontal="left" vertical="center"/>
    </xf>
    <xf numFmtId="0" fontId="3" fillId="2" borderId="17" xfId="0" applyFont="1" applyFill="1" applyBorder="1" applyAlignment="1">
      <alignment horizontal="left" vertical="center"/>
    </xf>
    <xf numFmtId="0" fontId="3" fillId="2" borderId="18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5" fillId="3" borderId="2" xfId="0" applyFont="1" applyFill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0" fontId="2" fillId="2" borderId="2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1" fillId="2" borderId="0" xfId="0" applyFont="1" applyFill="1" applyAlignment="1" applyProtection="1">
      <alignment horizontal="center" vertical="center"/>
      <protection hidden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191" fillId="63" borderId="0" xfId="1309" applyFont="1" applyFill="1" applyAlignment="1">
      <alignment horizontal="center" vertical="center"/>
    </xf>
    <xf numFmtId="0" fontId="193" fillId="65" borderId="108" xfId="1309" applyFont="1" applyFill="1" applyBorder="1" applyAlignment="1">
      <alignment horizontal="center" vertical="center" wrapText="1"/>
    </xf>
    <xf numFmtId="0" fontId="193" fillId="65" borderId="107" xfId="1309" applyFont="1" applyFill="1" applyBorder="1" applyAlignment="1">
      <alignment horizontal="center" vertical="center" wrapText="1"/>
    </xf>
    <xf numFmtId="0" fontId="192" fillId="64" borderId="0" xfId="1309" applyFont="1" applyFill="1" applyAlignment="1">
      <alignment horizontal="center" vertical="center" wrapText="1"/>
    </xf>
    <xf numFmtId="0" fontId="22" fillId="2" borderId="2" xfId="0" applyFont="1" applyFill="1" applyBorder="1" applyAlignment="1">
      <alignment horizontal="center" vertical="center"/>
    </xf>
    <xf numFmtId="0" fontId="22" fillId="2" borderId="4" xfId="0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left" vertical="center"/>
    </xf>
    <xf numFmtId="0" fontId="22" fillId="2" borderId="4" xfId="0" applyFont="1" applyFill="1" applyBorder="1" applyAlignment="1">
      <alignment horizontal="left" vertical="center"/>
    </xf>
    <xf numFmtId="0" fontId="22" fillId="2" borderId="3" xfId="0" applyFont="1" applyFill="1" applyBorder="1" applyAlignment="1">
      <alignment horizontal="left" vertical="center"/>
    </xf>
    <xf numFmtId="0" fontId="19" fillId="2" borderId="1" xfId="0" applyFont="1" applyFill="1" applyBorder="1" applyAlignment="1">
      <alignment horizontal="center" vertical="center" wrapText="1"/>
    </xf>
    <xf numFmtId="0" fontId="19" fillId="2" borderId="8" xfId="0" applyFont="1" applyFill="1" applyBorder="1" applyAlignment="1">
      <alignment horizontal="center" vertical="center" wrapText="1"/>
    </xf>
    <xf numFmtId="0" fontId="19" fillId="2" borderId="21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2" fillId="2" borderId="85" xfId="0" applyFont="1" applyFill="1" applyBorder="1" applyAlignment="1">
      <alignment horizontal="center" vertical="center"/>
    </xf>
    <xf numFmtId="0" fontId="19" fillId="2" borderId="85" xfId="0" applyFont="1" applyFill="1" applyBorder="1" applyAlignment="1">
      <alignment horizontal="center" vertical="center" wrapText="1"/>
    </xf>
    <xf numFmtId="0" fontId="19" fillId="2" borderId="95" xfId="0" applyFont="1" applyFill="1" applyBorder="1" applyAlignment="1">
      <alignment horizontal="center" vertical="center" wrapText="1"/>
    </xf>
    <xf numFmtId="0" fontId="22" fillId="2" borderId="78" xfId="0" applyFont="1" applyFill="1" applyBorder="1" applyAlignment="1">
      <alignment horizontal="center" vertical="center"/>
    </xf>
    <xf numFmtId="0" fontId="22" fillId="2" borderId="87" xfId="0" applyFont="1" applyFill="1" applyBorder="1" applyAlignment="1">
      <alignment horizontal="center" vertical="center"/>
    </xf>
    <xf numFmtId="0" fontId="22" fillId="2" borderId="79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left" vertical="center"/>
    </xf>
    <xf numFmtId="0" fontId="19" fillId="2" borderId="38" xfId="0" applyFont="1" applyFill="1" applyBorder="1" applyAlignment="1">
      <alignment horizontal="center" vertical="center" wrapText="1"/>
    </xf>
    <xf numFmtId="0" fontId="19" fillId="2" borderId="40" xfId="0" applyFont="1" applyFill="1" applyBorder="1" applyAlignment="1">
      <alignment horizontal="center" vertical="center" wrapText="1"/>
    </xf>
    <xf numFmtId="0" fontId="19" fillId="2" borderId="42" xfId="0" applyFont="1" applyFill="1" applyBorder="1" applyAlignment="1">
      <alignment horizontal="center" vertical="center" wrapText="1"/>
    </xf>
    <xf numFmtId="0" fontId="19" fillId="2" borderId="88" xfId="0" applyFont="1" applyFill="1" applyBorder="1" applyAlignment="1">
      <alignment horizontal="center" vertical="center" wrapText="1"/>
    </xf>
    <xf numFmtId="0" fontId="19" fillId="2" borderId="93" xfId="0" applyFont="1" applyFill="1" applyBorder="1" applyAlignment="1">
      <alignment horizontal="center" vertical="center" wrapText="1"/>
    </xf>
    <xf numFmtId="0" fontId="19" fillId="2" borderId="89" xfId="0" applyFont="1" applyFill="1" applyBorder="1" applyAlignment="1">
      <alignment horizontal="center" vertical="center" wrapText="1"/>
    </xf>
    <xf numFmtId="0" fontId="19" fillId="2" borderId="94" xfId="0" applyFont="1" applyFill="1" applyBorder="1" applyAlignment="1">
      <alignment horizontal="center" vertical="center" wrapText="1"/>
    </xf>
    <xf numFmtId="2" fontId="19" fillId="2" borderId="89" xfId="0" applyNumberFormat="1" applyFont="1" applyFill="1" applyBorder="1" applyAlignment="1">
      <alignment horizontal="center" vertical="center" wrapText="1"/>
    </xf>
    <xf numFmtId="2" fontId="19" fillId="2" borderId="7" xfId="0" applyNumberFormat="1" applyFont="1" applyFill="1" applyBorder="1" applyAlignment="1">
      <alignment horizontal="center" vertical="center" wrapText="1"/>
    </xf>
    <xf numFmtId="2" fontId="19" fillId="2" borderId="90" xfId="0" applyNumberFormat="1" applyFont="1" applyFill="1" applyBorder="1" applyAlignment="1">
      <alignment horizontal="center" vertical="center" wrapText="1"/>
    </xf>
    <xf numFmtId="2" fontId="19" fillId="2" borderId="91" xfId="0" applyNumberFormat="1" applyFont="1" applyFill="1" applyBorder="1" applyAlignment="1">
      <alignment horizontal="center" vertical="center" wrapText="1"/>
    </xf>
    <xf numFmtId="2" fontId="19" fillId="2" borderId="92" xfId="0" applyNumberFormat="1" applyFont="1" applyFill="1" applyBorder="1" applyAlignment="1">
      <alignment horizontal="center" vertical="center" wrapText="1"/>
    </xf>
    <xf numFmtId="2" fontId="19" fillId="2" borderId="79" xfId="0" applyNumberFormat="1" applyFont="1" applyFill="1" applyBorder="1" applyAlignment="1">
      <alignment horizontal="center" vertical="center" wrapText="1"/>
    </xf>
    <xf numFmtId="2" fontId="19" fillId="2" borderId="86" xfId="0" applyNumberFormat="1" applyFont="1" applyFill="1" applyBorder="1" applyAlignment="1">
      <alignment horizontal="center" vertical="center" wrapText="1"/>
    </xf>
    <xf numFmtId="2" fontId="19" fillId="2" borderId="6" xfId="0" applyNumberFormat="1" applyFont="1" applyFill="1" applyBorder="1" applyAlignment="1">
      <alignment horizontal="center" vertical="center" wrapText="1"/>
    </xf>
    <xf numFmtId="0" fontId="19" fillId="2" borderId="0" xfId="0" applyFont="1" applyFill="1" applyAlignment="1">
      <alignment horizontal="left" vertical="center" wrapText="1"/>
    </xf>
    <xf numFmtId="0" fontId="22" fillId="2" borderId="1" xfId="0" applyFont="1" applyFill="1" applyBorder="1" applyAlignment="1">
      <alignment horizontal="center" vertical="center"/>
    </xf>
    <xf numFmtId="0" fontId="22" fillId="2" borderId="1" xfId="0" applyFont="1" applyFill="1" applyBorder="1" applyAlignment="1">
      <alignment horizontal="center" vertical="center" wrapText="1"/>
    </xf>
    <xf numFmtId="0" fontId="144" fillId="0" borderId="1" xfId="0" applyFont="1" applyBorder="1" applyAlignment="1">
      <alignment horizontal="center" vertical="center"/>
    </xf>
    <xf numFmtId="0" fontId="160" fillId="55" borderId="1" xfId="0" applyFont="1" applyFill="1" applyBorder="1" applyAlignment="1">
      <alignment horizontal="center" vertical="center" wrapText="1"/>
    </xf>
    <xf numFmtId="0" fontId="160" fillId="55" borderId="77" xfId="0" applyFont="1" applyFill="1" applyBorder="1" applyAlignment="1">
      <alignment horizontal="center" vertical="center" wrapText="1"/>
    </xf>
    <xf numFmtId="0" fontId="159" fillId="2" borderId="1" xfId="0" applyFont="1" applyFill="1" applyBorder="1" applyAlignment="1">
      <alignment horizontal="center" vertical="center" wrapText="1"/>
    </xf>
    <xf numFmtId="0" fontId="159" fillId="5" borderId="1" xfId="0" applyFont="1" applyFill="1" applyBorder="1" applyAlignment="1">
      <alignment horizontal="center" vertical="center" wrapText="1"/>
    </xf>
    <xf numFmtId="0" fontId="159" fillId="5" borderId="77" xfId="0" applyFont="1" applyFill="1" applyBorder="1" applyAlignment="1">
      <alignment horizontal="center" vertical="center" wrapText="1"/>
    </xf>
    <xf numFmtId="0" fontId="162" fillId="5" borderId="2" xfId="0" applyFont="1" applyFill="1" applyBorder="1" applyAlignment="1">
      <alignment horizontal="center" vertical="center"/>
    </xf>
    <xf numFmtId="0" fontId="162" fillId="5" borderId="4" xfId="0" applyFont="1" applyFill="1" applyBorder="1" applyAlignment="1">
      <alignment horizontal="center" vertical="center"/>
    </xf>
    <xf numFmtId="0" fontId="162" fillId="5" borderId="3" xfId="0" applyFont="1" applyFill="1" applyBorder="1" applyAlignment="1">
      <alignment horizontal="center" vertical="center"/>
    </xf>
    <xf numFmtId="0" fontId="156" fillId="55" borderId="1" xfId="0" applyFont="1" applyFill="1" applyBorder="1" applyAlignment="1">
      <alignment horizontal="center" vertical="center" wrapText="1"/>
    </xf>
    <xf numFmtId="0" fontId="156" fillId="55" borderId="77" xfId="0" applyFont="1" applyFill="1" applyBorder="1" applyAlignment="1">
      <alignment horizontal="center" vertical="center" wrapText="1"/>
    </xf>
    <xf numFmtId="1" fontId="159" fillId="5" borderId="1" xfId="0" applyNumberFormat="1" applyFont="1" applyFill="1" applyBorder="1" applyAlignment="1">
      <alignment horizontal="center" vertical="center" wrapText="1"/>
    </xf>
    <xf numFmtId="1" fontId="159" fillId="5" borderId="77" xfId="0" applyNumberFormat="1" applyFont="1" applyFill="1" applyBorder="1" applyAlignment="1">
      <alignment horizontal="center" vertical="center" wrapText="1"/>
    </xf>
    <xf numFmtId="0" fontId="18" fillId="2" borderId="1" xfId="768" applyFont="1" applyFill="1" applyBorder="1" applyAlignment="1">
      <alignment horizontal="center" vertical="center"/>
    </xf>
    <xf numFmtId="2" fontId="18" fillId="2" borderId="1" xfId="768" applyNumberFormat="1" applyFont="1" applyFill="1" applyBorder="1" applyAlignment="1">
      <alignment horizontal="center" vertical="center"/>
    </xf>
    <xf numFmtId="164" fontId="159" fillId="2" borderId="1" xfId="0" applyNumberFormat="1" applyFont="1" applyFill="1" applyBorder="1" applyAlignment="1">
      <alignment horizontal="center" vertical="center" wrapText="1"/>
    </xf>
    <xf numFmtId="278" fontId="153" fillId="2" borderId="85" xfId="768" applyNumberFormat="1" applyFont="1" applyFill="1" applyBorder="1" applyAlignment="1">
      <alignment horizontal="left" vertical="center"/>
    </xf>
    <xf numFmtId="279" fontId="154" fillId="2" borderId="85" xfId="768" applyNumberFormat="1" applyFont="1" applyFill="1" applyBorder="1" applyAlignment="1">
      <alignment horizontal="left" vertical="center"/>
    </xf>
    <xf numFmtId="164" fontId="153" fillId="2" borderId="1" xfId="1308" applyNumberFormat="1" applyFont="1" applyFill="1" applyBorder="1" applyAlignment="1">
      <alignment horizontal="left" vertical="center"/>
    </xf>
    <xf numFmtId="278" fontId="153" fillId="2" borderId="1" xfId="768" applyNumberFormat="1" applyFont="1" applyFill="1" applyBorder="1" applyAlignment="1">
      <alignment horizontal="left" vertical="center"/>
    </xf>
    <xf numFmtId="0" fontId="153" fillId="2" borderId="85" xfId="1308" applyFont="1" applyFill="1" applyBorder="1" applyAlignment="1">
      <alignment horizontal="center" vertical="center"/>
    </xf>
    <xf numFmtId="165" fontId="154" fillId="2" borderId="85" xfId="768" applyNumberFormat="1" applyFont="1" applyFill="1" applyBorder="1" applyAlignment="1">
      <alignment horizontal="center" vertical="center"/>
    </xf>
    <xf numFmtId="277" fontId="153" fillId="2" borderId="85" xfId="768" applyNumberFormat="1" applyFont="1" applyFill="1" applyBorder="1" applyAlignment="1">
      <alignment horizontal="left" vertical="center"/>
    </xf>
    <xf numFmtId="0" fontId="153" fillId="2" borderId="85" xfId="1308" applyFont="1" applyFill="1" applyBorder="1" applyAlignment="1">
      <alignment horizontal="center" vertical="center" wrapText="1"/>
    </xf>
    <xf numFmtId="164" fontId="153" fillId="2" borderId="1" xfId="768" applyNumberFormat="1" applyFont="1" applyFill="1" applyBorder="1" applyAlignment="1">
      <alignment horizontal="left" vertical="center"/>
    </xf>
    <xf numFmtId="0" fontId="153" fillId="2" borderId="1" xfId="1308" applyFont="1" applyFill="1" applyBorder="1" applyAlignment="1">
      <alignment horizontal="left" vertical="center"/>
    </xf>
    <xf numFmtId="0" fontId="159" fillId="55" borderId="1" xfId="0" applyFont="1" applyFill="1" applyBorder="1" applyAlignment="1">
      <alignment horizontal="center" vertical="center" wrapText="1"/>
    </xf>
    <xf numFmtId="0" fontId="159" fillId="55" borderId="77" xfId="0" applyFont="1" applyFill="1" applyBorder="1" applyAlignment="1">
      <alignment horizontal="center" vertical="center" wrapText="1"/>
    </xf>
    <xf numFmtId="1" fontId="159" fillId="55" borderId="1" xfId="0" applyNumberFormat="1" applyFont="1" applyFill="1" applyBorder="1" applyAlignment="1">
      <alignment horizontal="center" vertical="center"/>
    </xf>
    <xf numFmtId="0" fontId="159" fillId="55" borderId="1" xfId="0" applyFont="1" applyFill="1" applyBorder="1" applyAlignment="1">
      <alignment horizontal="center" vertical="center"/>
    </xf>
    <xf numFmtId="165" fontId="154" fillId="2" borderId="85" xfId="768" applyNumberFormat="1" applyFont="1" applyFill="1" applyBorder="1" applyAlignment="1">
      <alignment horizontal="center" vertical="center" wrapText="1"/>
    </xf>
    <xf numFmtId="0" fontId="75" fillId="2" borderId="0" xfId="768" applyFont="1" applyFill="1" applyAlignment="1">
      <alignment horizontal="center" vertical="center" wrapText="1"/>
    </xf>
    <xf numFmtId="14" fontId="6" fillId="2" borderId="0" xfId="768" quotePrefix="1" applyNumberFormat="1" applyFont="1" applyFill="1" applyAlignment="1">
      <alignment horizontal="left"/>
    </xf>
    <xf numFmtId="0" fontId="153" fillId="2" borderId="1" xfId="1308" applyFont="1" applyFill="1" applyBorder="1" applyAlignment="1">
      <alignment horizontal="center" vertical="center"/>
    </xf>
    <xf numFmtId="0" fontId="6" fillId="56" borderId="102" xfId="0" applyFont="1" applyFill="1" applyBorder="1" applyAlignment="1">
      <alignment horizontal="center" vertical="center"/>
    </xf>
    <xf numFmtId="0" fontId="6" fillId="56" borderId="21" xfId="0" applyFont="1" applyFill="1" applyBorder="1" applyAlignment="1">
      <alignment horizontal="center" vertical="center"/>
    </xf>
    <xf numFmtId="0" fontId="6" fillId="56" borderId="10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6" fillId="62" borderId="98" xfId="0" applyFont="1" applyFill="1" applyBorder="1" applyAlignment="1">
      <alignment horizontal="center" vertical="center"/>
    </xf>
    <xf numFmtId="0" fontId="6" fillId="62" borderId="99" xfId="0" applyFont="1" applyFill="1" applyBorder="1" applyAlignment="1">
      <alignment horizontal="center" vertical="center"/>
    </xf>
    <xf numFmtId="0" fontId="6" fillId="62" borderId="104" xfId="0" applyFont="1" applyFill="1" applyBorder="1" applyAlignment="1">
      <alignment horizontal="center" vertical="center"/>
    </xf>
    <xf numFmtId="0" fontId="6" fillId="56" borderId="100" xfId="0" applyFont="1" applyFill="1" applyBorder="1" applyAlignment="1">
      <alignment horizontal="center" vertical="center"/>
    </xf>
    <xf numFmtId="0" fontId="6" fillId="56" borderId="89" xfId="0" applyFont="1" applyFill="1" applyBorder="1" applyAlignment="1">
      <alignment horizontal="center" vertical="center"/>
    </xf>
    <xf numFmtId="0" fontId="6" fillId="56" borderId="101" xfId="0" applyFont="1" applyFill="1" applyBorder="1" applyAlignment="1">
      <alignment horizontal="center" vertical="center"/>
    </xf>
    <xf numFmtId="0" fontId="6" fillId="54" borderId="38" xfId="0" applyFont="1" applyFill="1" applyBorder="1" applyAlignment="1">
      <alignment horizontal="center" vertical="center" wrapText="1"/>
    </xf>
    <xf numFmtId="0" fontId="6" fillId="54" borderId="42" xfId="0" applyFont="1" applyFill="1" applyBorder="1" applyAlignment="1">
      <alignment horizontal="center" vertical="center" wrapText="1"/>
    </xf>
    <xf numFmtId="0" fontId="6" fillId="54" borderId="88" xfId="0" applyFont="1" applyFill="1" applyBorder="1" applyAlignment="1">
      <alignment horizontal="center" vertical="center" wrapText="1"/>
    </xf>
    <xf numFmtId="0" fontId="6" fillId="54" borderId="93" xfId="0" applyFont="1" applyFill="1" applyBorder="1" applyAlignment="1">
      <alignment horizontal="center" vertical="center" wrapText="1"/>
    </xf>
    <xf numFmtId="0" fontId="6" fillId="54" borderId="88" xfId="0" applyFont="1" applyFill="1" applyBorder="1" applyAlignment="1">
      <alignment horizontal="center" vertical="center"/>
    </xf>
    <xf numFmtId="0" fontId="6" fillId="54" borderId="39" xfId="0" applyFont="1" applyFill="1" applyBorder="1" applyAlignment="1">
      <alignment horizontal="center" vertical="center"/>
    </xf>
    <xf numFmtId="0" fontId="6" fillId="54" borderId="43" xfId="0" applyFont="1" applyFill="1" applyBorder="1" applyAlignment="1">
      <alignment horizontal="center" vertical="center"/>
    </xf>
    <xf numFmtId="0" fontId="179" fillId="0" borderId="0" xfId="0" applyFont="1" applyAlignment="1">
      <alignment horizontal="right"/>
    </xf>
    <xf numFmtId="0" fontId="179" fillId="0" borderId="85" xfId="0" applyFont="1" applyBorder="1" applyAlignment="1">
      <alignment horizontal="left"/>
    </xf>
    <xf numFmtId="0" fontId="179" fillId="0" borderId="0" xfId="0" applyFont="1" applyAlignment="1">
      <alignment horizontal="left"/>
    </xf>
    <xf numFmtId="0" fontId="180" fillId="0" borderId="5" xfId="0" applyFont="1" applyBorder="1" applyAlignment="1">
      <alignment horizontal="right"/>
    </xf>
    <xf numFmtId="0" fontId="180" fillId="0" borderId="19" xfId="0" applyFont="1" applyBorder="1" applyAlignment="1">
      <alignment horizontal="right"/>
    </xf>
    <xf numFmtId="0" fontId="178" fillId="0" borderId="19" xfId="0" applyFont="1" applyBorder="1" applyAlignment="1">
      <alignment horizontal="center"/>
    </xf>
    <xf numFmtId="0" fontId="178" fillId="0" borderId="6" xfId="0" applyFont="1" applyBorder="1" applyAlignment="1">
      <alignment horizontal="center"/>
    </xf>
    <xf numFmtId="0" fontId="179" fillId="0" borderId="95" xfId="0" applyFont="1" applyBorder="1" applyAlignment="1">
      <alignment horizontal="left"/>
    </xf>
    <xf numFmtId="0" fontId="179" fillId="0" borderId="96" xfId="0" applyFont="1" applyBorder="1" applyAlignment="1">
      <alignment horizontal="left"/>
    </xf>
    <xf numFmtId="0" fontId="179" fillId="0" borderId="97" xfId="0" applyFont="1" applyBorder="1" applyAlignment="1">
      <alignment horizontal="left"/>
    </xf>
    <xf numFmtId="0" fontId="179" fillId="0" borderId="23" xfId="0" applyFont="1" applyBorder="1" applyAlignment="1">
      <alignment horizontal="center"/>
    </xf>
    <xf numFmtId="0" fontId="179" fillId="0" borderId="0" xfId="0" applyFont="1" applyAlignment="1">
      <alignment horizontal="center"/>
    </xf>
    <xf numFmtId="0" fontId="180" fillId="0" borderId="0" xfId="0" applyFont="1" applyAlignment="1">
      <alignment horizontal="right"/>
    </xf>
    <xf numFmtId="0" fontId="178" fillId="0" borderId="0" xfId="0" applyFont="1" applyAlignment="1">
      <alignment horizontal="center"/>
    </xf>
    <xf numFmtId="0" fontId="166" fillId="0" borderId="77" xfId="0" applyFont="1" applyBorder="1" applyAlignment="1">
      <alignment horizontal="center" vertical="center"/>
    </xf>
    <xf numFmtId="0" fontId="166" fillId="0" borderId="21" xfId="0" applyFont="1" applyBorder="1" applyAlignment="1">
      <alignment horizontal="center" vertical="center"/>
    </xf>
    <xf numFmtId="0" fontId="166" fillId="0" borderId="7" xfId="0" applyFont="1" applyBorder="1" applyAlignment="1">
      <alignment horizontal="center" vertical="center"/>
    </xf>
    <xf numFmtId="0" fontId="169" fillId="0" borderId="77" xfId="0" applyFont="1" applyBorder="1" applyAlignment="1">
      <alignment horizontal="left" vertical="center"/>
    </xf>
    <xf numFmtId="0" fontId="169" fillId="0" borderId="21" xfId="0" applyFont="1" applyBorder="1" applyAlignment="1">
      <alignment horizontal="left" vertical="center"/>
    </xf>
    <xf numFmtId="0" fontId="169" fillId="0" borderId="7" xfId="0" applyFont="1" applyBorder="1" applyAlignment="1">
      <alignment horizontal="left" vertical="center"/>
    </xf>
    <xf numFmtId="0" fontId="165" fillId="60" borderId="19" xfId="0" applyFont="1" applyFill="1" applyBorder="1" applyAlignment="1">
      <alignment horizontal="center"/>
    </xf>
    <xf numFmtId="0" fontId="165" fillId="61" borderId="19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</cellXfs>
  <cellStyles count="1310">
    <cellStyle name="_x0001_" xfId="2" xr:uid="{00000000-0005-0000-0000-000000000000}"/>
    <cellStyle name="_x0007_ 2" xfId="3" xr:uid="{00000000-0005-0000-0000-000001000000}"/>
    <cellStyle name="_x0007_ 59" xfId="4" xr:uid="{00000000-0005-0000-0000-000002000000}"/>
    <cellStyle name="??" xfId="5" xr:uid="{00000000-0005-0000-0000-000003000000}"/>
    <cellStyle name="?? [0.00]_ Att. 1- Cover" xfId="6" xr:uid="{00000000-0005-0000-0000-000004000000}"/>
    <cellStyle name="?? [0]" xfId="7" xr:uid="{00000000-0005-0000-0000-000005000000}"/>
    <cellStyle name="??&amp;O?&amp;H?_x0008_??_x0007__x0001__x0001_" xfId="8" xr:uid="{00000000-0005-0000-0000-000006000000}"/>
    <cellStyle name="?_x001d_??" xfId="9" xr:uid="{00000000-0005-0000-0000-000007000000}"/>
    <cellStyle name="?_x001d_??%U©÷u" xfId="10" xr:uid="{00000000-0005-0000-0000-000008000000}"/>
    <cellStyle name="?_x001d_??%U©÷u&amp;H©÷" xfId="11" xr:uid="{00000000-0005-0000-0000-000009000000}"/>
    <cellStyle name="?_x001d_??%U©÷u&amp;H©÷9_x0008_? " xfId="12" xr:uid="{00000000-0005-0000-0000-00000A000000}"/>
    <cellStyle name="?_x001d_??%U©÷u&amp;H©÷9_x0008_? s_x000a__x0007__x0001__x0001_" xfId="13" xr:uid="{00000000-0005-0000-0000-00000B000000}"/>
    <cellStyle name="?_x001d_??%U²u&amp;H²9_x0008_? s_x000a__x0007__x0001__x0001_" xfId="14" xr:uid="{00000000-0005-0000-0000-00000C000000}"/>
    <cellStyle name="???? [0.00]_List-dwg" xfId="15" xr:uid="{00000000-0005-0000-0000-00000D000000}"/>
    <cellStyle name="????_List-dwg" xfId="16" xr:uid="{00000000-0005-0000-0000-00000E000000}"/>
    <cellStyle name="???[0]_?? DI" xfId="17" xr:uid="{00000000-0005-0000-0000-00000F000000}"/>
    <cellStyle name="???_?? DI" xfId="18" xr:uid="{00000000-0005-0000-0000-000010000000}"/>
    <cellStyle name="??[0]_BRE" xfId="19" xr:uid="{00000000-0005-0000-0000-000011000000}"/>
    <cellStyle name="??_ ??? ???? " xfId="20" xr:uid="{00000000-0005-0000-0000-000012000000}"/>
    <cellStyle name="??A? [0]_laroux_1_¸???™? " xfId="21" xr:uid="{00000000-0005-0000-0000-000013000000}"/>
    <cellStyle name="??A?_laroux_1_¸???™? " xfId="22" xr:uid="{00000000-0005-0000-0000-000014000000}"/>
    <cellStyle name="?¡±¢¥?_?¨ù??¢´¢¥_¢¬???¢â? " xfId="23" xr:uid="{00000000-0005-0000-0000-000015000000}"/>
    <cellStyle name="?”´?_?¼??¤´_¸???™? " xfId="24" xr:uid="{00000000-0005-0000-0000-000016000000}"/>
    <cellStyle name="?ðÇ" xfId="25" xr:uid="{00000000-0005-0000-0000-000017000000}"/>
    <cellStyle name="?ðÇ%" xfId="26" xr:uid="{00000000-0005-0000-0000-000018000000}"/>
    <cellStyle name="?ðÇ%U?&amp;H" xfId="27" xr:uid="{00000000-0005-0000-0000-000019000000}"/>
    <cellStyle name="?ðÇ%U?&amp;H?_x0008_?s_x000a__x0007__x0001__x0001_" xfId="28" xr:uid="{00000000-0005-0000-0000-00001A000000}"/>
    <cellStyle name="?曹%U?&amp;H?_x0008_?s_x000a__x0007__x0001__x0001_" xfId="29" xr:uid="{00000000-0005-0000-0000-00001B000000}"/>
    <cellStyle name="[0]_Chi phÝ kh¸c_V" xfId="30" xr:uid="{00000000-0005-0000-0000-00001C000000}"/>
    <cellStyle name="_04 (vn)SECC Bills of Quantities" xfId="31" xr:uid="{00000000-0005-0000-0000-00001D000000}"/>
    <cellStyle name="_1107" xfId="32" xr:uid="{00000000-0005-0000-0000-00001E000000}"/>
    <cellStyle name="_Bang Chi tieu (2)" xfId="33" xr:uid="{00000000-0005-0000-0000-00001F000000}"/>
    <cellStyle name="_Book1" xfId="34" xr:uid="{00000000-0005-0000-0000-000020000000}"/>
    <cellStyle name="_Book1_1" xfId="35" xr:uid="{00000000-0005-0000-0000-000021000000}"/>
    <cellStyle name="_Book1_1_BOQ-Thuan thao (Tai 07May)" xfId="36" xr:uid="{00000000-0005-0000-0000-000022000000}"/>
    <cellStyle name="_Book1_1_CAU TAO GIA THE OCEAN VILLAS DANANG" xfId="37" xr:uid="{00000000-0005-0000-0000-000023000000}"/>
    <cellStyle name="_Book1_2" xfId="38" xr:uid="{00000000-0005-0000-0000-000024000000}"/>
    <cellStyle name="_Book1_BC-QT-WB-dthao" xfId="39" xr:uid="{00000000-0005-0000-0000-000025000000}"/>
    <cellStyle name="_Book1_Book1" xfId="40" xr:uid="{00000000-0005-0000-0000-000026000000}"/>
    <cellStyle name="_Book1_BOQ-Thuan thao (Tai 07May)" xfId="41" xr:uid="{00000000-0005-0000-0000-000027000000}"/>
    <cellStyle name="_Book1_CAU TAO GIA THE OCEAN VILLAS DANANG" xfId="42" xr:uid="{00000000-0005-0000-0000-000028000000}"/>
    <cellStyle name="_Book1_Thong tin chung Groz" xfId="43" xr:uid="{00000000-0005-0000-0000-000029000000}"/>
    <cellStyle name="_Book2" xfId="44" xr:uid="{00000000-0005-0000-0000-00002A000000}"/>
    <cellStyle name="_Book2_Cau tao gia Arico T2-2009" xfId="45" xr:uid="{00000000-0005-0000-0000-00002B000000}"/>
    <cellStyle name="_Book2_CTC - BoQ Agrex Building" xfId="46" xr:uid="{00000000-0005-0000-0000-00002C000000}"/>
    <cellStyle name="_BOQ of exhaust fan" xfId="47" xr:uid="{00000000-0005-0000-0000-00002D000000}"/>
    <cellStyle name="_BOQ- Phan XD-COTECCONS (02-4-08)" xfId="48" xr:uid="{00000000-0005-0000-0000-00002E000000}"/>
    <cellStyle name="_BoQ-E-TOWN 2 Building -COTECCONS" xfId="49" xr:uid="{00000000-0005-0000-0000-00002F000000}"/>
    <cellStyle name="_Cau tao gia Nop thau Mau" xfId="50" xr:uid="{00000000-0005-0000-0000-000030000000}"/>
    <cellStyle name="_CAU TAO GIA THE OCEAN VILLAS DANANG" xfId="51" xr:uid="{00000000-0005-0000-0000-000031000000}"/>
    <cellStyle name="_Cau tao gia Thien Long Ha Nam (28-2-08)" xfId="52" xr:uid="{00000000-0005-0000-0000-000032000000}"/>
    <cellStyle name="_x0001__Cong tac CBi" xfId="53" xr:uid="{00000000-0005-0000-0000-000033000000}"/>
    <cellStyle name="_x0001__Cong tac chuan bi Cao su" xfId="54" xr:uid="{00000000-0005-0000-0000-000034000000}"/>
    <cellStyle name="_cong tac chuan bi Nhatrang Plaza" xfId="55" xr:uid="{00000000-0005-0000-0000-000035000000}"/>
    <cellStyle name="_Cong tac chuan bi-Thanh" xfId="56" xr:uid="{00000000-0005-0000-0000-000036000000}"/>
    <cellStyle name="_CTC - BoQ Agrex Building" xfId="57" xr:uid="{00000000-0005-0000-0000-000037000000}"/>
    <cellStyle name="_x0001__CTC - BoQ Agrex Building" xfId="58" xr:uid="{00000000-0005-0000-0000-000038000000}"/>
    <cellStyle name="_dutoan1" xfId="59" xr:uid="{00000000-0005-0000-0000-000039000000}"/>
    <cellStyle name="_Final Summary Richland Hill (30-9-08)" xfId="60" xr:uid="{00000000-0005-0000-0000-00003A000000}"/>
    <cellStyle name="_giatonghop thanhtoan d1" xfId="61" xr:uid="{00000000-0005-0000-0000-00003B000000}"/>
    <cellStyle name="_Khoi Luong" xfId="62" xr:uid="{00000000-0005-0000-0000-00003C000000}"/>
    <cellStyle name="_KT (2)" xfId="63" xr:uid="{00000000-0005-0000-0000-00003D000000}"/>
    <cellStyle name="_KT (2)_1" xfId="64" xr:uid="{00000000-0005-0000-0000-00003E000000}"/>
    <cellStyle name="_KT (2)_1_Lora-tungchau" xfId="65" xr:uid="{00000000-0005-0000-0000-00003F000000}"/>
    <cellStyle name="_KT (2)_1_Qt-HT3PQ1(CauKho)" xfId="66" xr:uid="{00000000-0005-0000-0000-000040000000}"/>
    <cellStyle name="_KT (2)_2" xfId="67" xr:uid="{00000000-0005-0000-0000-000041000000}"/>
    <cellStyle name="_KT (2)_2_TG-TH" xfId="68" xr:uid="{00000000-0005-0000-0000-000042000000}"/>
    <cellStyle name="_KT (2)_2_TG-TH_BAO CAO KLCT PT2000" xfId="69" xr:uid="{00000000-0005-0000-0000-000043000000}"/>
    <cellStyle name="_KT (2)_2_TG-TH_BAO CAO PT2000" xfId="70" xr:uid="{00000000-0005-0000-0000-000044000000}"/>
    <cellStyle name="_KT (2)_2_TG-TH_BAO CAO PT2000_Book1" xfId="71" xr:uid="{00000000-0005-0000-0000-000045000000}"/>
    <cellStyle name="_KT (2)_2_TG-TH_Bao cao XDCB 2001 - T11 KH dieu chinh 20-11-THAI" xfId="72" xr:uid="{00000000-0005-0000-0000-000046000000}"/>
    <cellStyle name="_KT (2)_2_TG-TH_Book1" xfId="73" xr:uid="{00000000-0005-0000-0000-000047000000}"/>
    <cellStyle name="_KT (2)_2_TG-TH_Book1_1" xfId="74" xr:uid="{00000000-0005-0000-0000-000048000000}"/>
    <cellStyle name="_KT (2)_2_TG-TH_Book1_1_Cong tac chuan bi Cao su" xfId="75" xr:uid="{00000000-0005-0000-0000-000049000000}"/>
    <cellStyle name="_KT (2)_2_TG-TH_Book1_1_CTC - BoQ Agrex Building" xfId="76" xr:uid="{00000000-0005-0000-0000-00004A000000}"/>
    <cellStyle name="_KT (2)_2_TG-TH_Book1_2" xfId="77" xr:uid="{00000000-0005-0000-0000-00004B000000}"/>
    <cellStyle name="_KT (2)_2_TG-TH_Book1_2_Cong tac chuan bi Cao su" xfId="78" xr:uid="{00000000-0005-0000-0000-00004C000000}"/>
    <cellStyle name="_KT (2)_2_TG-TH_Book1_3" xfId="79" xr:uid="{00000000-0005-0000-0000-00004D000000}"/>
    <cellStyle name="_KT (2)_2_TG-TH_Book1_4" xfId="80" xr:uid="{00000000-0005-0000-0000-00004E000000}"/>
    <cellStyle name="_KT (2)_2_TG-TH_Book1_Book2" xfId="81" xr:uid="{00000000-0005-0000-0000-00004F000000}"/>
    <cellStyle name="_KT (2)_2_TG-TH_Book1_BOQ-Thuan thao (Tai 07May)" xfId="82" xr:uid="{00000000-0005-0000-0000-000050000000}"/>
    <cellStyle name="_KT (2)_2_TG-TH_Book1_Cau tao gia Arico T2-2009" xfId="83" xr:uid="{00000000-0005-0000-0000-000051000000}"/>
    <cellStyle name="_KT (2)_2_TG-TH_Book1_Cau tao gia phan Tho (ham + Than) 15-9-08" xfId="84" xr:uid="{00000000-0005-0000-0000-000052000000}"/>
    <cellStyle name="_KT (2)_2_TG-TH_Book1_CAU TAO GIA THE OCEAN VILLAS DANANG" xfId="85" xr:uid="{00000000-0005-0000-0000-000053000000}"/>
    <cellStyle name="_KT (2)_2_TG-TH_Book1_cong tac chuan bi Nhatrang Plaza" xfId="86" xr:uid="{00000000-0005-0000-0000-000054000000}"/>
    <cellStyle name="_KT (2)_2_TG-TH_Book1_Cong tac chuan bi-Thanh" xfId="87" xr:uid="{00000000-0005-0000-0000-000055000000}"/>
    <cellStyle name="_KT (2)_2_TG-TH_Book1_Copy of Cau tao gia Mau" xfId="88" xr:uid="{00000000-0005-0000-0000-000056000000}"/>
    <cellStyle name="_KT (2)_2_TG-TH_Book1_CTC - BoQ Agrex Building" xfId="89" xr:uid="{00000000-0005-0000-0000-000057000000}"/>
    <cellStyle name="_KT (2)_2_TG-TH_Book2" xfId="90" xr:uid="{00000000-0005-0000-0000-000058000000}"/>
    <cellStyle name="_KT (2)_2_TG-TH_BOQ-Thuan thao (Tai 07May)" xfId="91" xr:uid="{00000000-0005-0000-0000-000059000000}"/>
    <cellStyle name="_KT (2)_2_TG-TH_Cau tao gia Arico T2-2009" xfId="92" xr:uid="{00000000-0005-0000-0000-00005A000000}"/>
    <cellStyle name="_KT (2)_2_TG-TH_Cau tao gia phan Tho (ham + Than) 15-9-08" xfId="93" xr:uid="{00000000-0005-0000-0000-00005B000000}"/>
    <cellStyle name="_KT (2)_2_TG-TH_CAU TAO GIA THE OCEAN VILLAS DANANG" xfId="94" xr:uid="{00000000-0005-0000-0000-00005C000000}"/>
    <cellStyle name="_KT (2)_2_TG-TH_cong tac chuan bi Nhatrang Plaza" xfId="95" xr:uid="{00000000-0005-0000-0000-00005D000000}"/>
    <cellStyle name="_KT (2)_2_TG-TH_Cong tac chuan bi-Thanh" xfId="96" xr:uid="{00000000-0005-0000-0000-00005E000000}"/>
    <cellStyle name="_KT (2)_2_TG-TH_Copy of Cau tao gia Mau" xfId="97" xr:uid="{00000000-0005-0000-0000-00005F000000}"/>
    <cellStyle name="_KT (2)_2_TG-TH_CROWN WELL 冠威報價單20071015" xfId="98" xr:uid="{00000000-0005-0000-0000-000060000000}"/>
    <cellStyle name="_KT (2)_2_TG-TH_CTC - BoQ Agrex Building" xfId="99" xr:uid="{00000000-0005-0000-0000-000061000000}"/>
    <cellStyle name="_KT (2)_2_TG-TH_DT kho 50x72 ,52x45m -11-5" xfId="100" xr:uid="{00000000-0005-0000-0000-000062000000}"/>
    <cellStyle name="_KT (2)_2_TG-TH_DT kho 50x72 ,52x45m ASIA NUTRITION" xfId="101" xr:uid="{00000000-0005-0000-0000-000063000000}"/>
    <cellStyle name="_KT (2)_2_TG-TH_DTCDT MR.2N110.HOCMON.TDTOAN.CCUNG" xfId="102" xr:uid="{00000000-0005-0000-0000-000064000000}"/>
    <cellStyle name="_KT (2)_2_TG-TH_DTkho 52x70m ASIA NUTRITION" xfId="103" xr:uid="{00000000-0005-0000-0000-000065000000}"/>
    <cellStyle name="_KT (2)_2_TG-TH_DTkho 52x70m ASIA NUTRITION-change-tuong bt6m" xfId="104" xr:uid="{00000000-0005-0000-0000-000066000000}"/>
    <cellStyle name="_KT (2)_2_TG-TH_DTkho 52x70m ASIA NUTRITION-seno betong" xfId="105" xr:uid="{00000000-0005-0000-0000-000067000000}"/>
    <cellStyle name="_KT (2)_2_TG-TH_Lora-tungchau" xfId="106" xr:uid="{00000000-0005-0000-0000-000068000000}"/>
    <cellStyle name="_KT (2)_2_TG-TH_PGIA-phieu tham tra Kho bac" xfId="107" xr:uid="{00000000-0005-0000-0000-000069000000}"/>
    <cellStyle name="_KT (2)_2_TG-TH_PT02-02" xfId="108" xr:uid="{00000000-0005-0000-0000-00006A000000}"/>
    <cellStyle name="_KT (2)_2_TG-TH_PT02-02_Book1" xfId="109" xr:uid="{00000000-0005-0000-0000-00006B000000}"/>
    <cellStyle name="_KT (2)_2_TG-TH_PT02-03" xfId="110" xr:uid="{00000000-0005-0000-0000-00006C000000}"/>
    <cellStyle name="_KT (2)_2_TG-TH_PT02-03_Book1" xfId="111" xr:uid="{00000000-0005-0000-0000-00006D000000}"/>
    <cellStyle name="_KT (2)_2_TG-TH_Qt-HT3PQ1(CauKho)" xfId="112" xr:uid="{00000000-0005-0000-0000-00006E000000}"/>
    <cellStyle name="_KT (2)_3" xfId="113" xr:uid="{00000000-0005-0000-0000-00006F000000}"/>
    <cellStyle name="_KT (2)_3_TG-TH" xfId="114" xr:uid="{00000000-0005-0000-0000-000070000000}"/>
    <cellStyle name="_KT (2)_3_TG-TH_Book1" xfId="115" xr:uid="{00000000-0005-0000-0000-000071000000}"/>
    <cellStyle name="_KT (2)_3_TG-TH_Book1_1" xfId="116" xr:uid="{00000000-0005-0000-0000-000072000000}"/>
    <cellStyle name="_KT (2)_3_TG-TH_Book1_BC-QT-WB-dthao" xfId="117" xr:uid="{00000000-0005-0000-0000-000073000000}"/>
    <cellStyle name="_KT (2)_3_TG-TH_Book1_BOQ-Thuan thao (Tai 07May)" xfId="118" xr:uid="{00000000-0005-0000-0000-000074000000}"/>
    <cellStyle name="_KT (2)_3_TG-TH_Book1_CAU TAO GIA THE OCEAN VILLAS DANANG" xfId="119" xr:uid="{00000000-0005-0000-0000-000075000000}"/>
    <cellStyle name="_KT (2)_3_TG-TH_Book2" xfId="120" xr:uid="{00000000-0005-0000-0000-000076000000}"/>
    <cellStyle name="_KT (2)_3_TG-TH_BOQ-Thuan thao (Tai 07May)" xfId="121" xr:uid="{00000000-0005-0000-0000-000077000000}"/>
    <cellStyle name="_KT (2)_3_TG-TH_Cau tao gia Arico T2-2009" xfId="122" xr:uid="{00000000-0005-0000-0000-000078000000}"/>
    <cellStyle name="_KT (2)_3_TG-TH_Cau tao gia phan Tho (ham + Than) 15-9-08" xfId="123" xr:uid="{00000000-0005-0000-0000-000079000000}"/>
    <cellStyle name="_KT (2)_3_TG-TH_CAU TAO GIA THE OCEAN VILLAS DANANG" xfId="124" xr:uid="{00000000-0005-0000-0000-00007A000000}"/>
    <cellStyle name="_KT (2)_3_TG-TH_cong tac chuan bi Nhatrang Plaza" xfId="125" xr:uid="{00000000-0005-0000-0000-00007B000000}"/>
    <cellStyle name="_KT (2)_3_TG-TH_Cong tac chuan bi-Thanh" xfId="126" xr:uid="{00000000-0005-0000-0000-00007C000000}"/>
    <cellStyle name="_KT (2)_3_TG-TH_Copy of Cau tao gia Mau" xfId="127" xr:uid="{00000000-0005-0000-0000-00007D000000}"/>
    <cellStyle name="_KT (2)_3_TG-TH_CTC - BoQ Agrex Building" xfId="128" xr:uid="{00000000-0005-0000-0000-00007E000000}"/>
    <cellStyle name="_KT (2)_3_TG-TH_Lora-tungchau" xfId="129" xr:uid="{00000000-0005-0000-0000-00007F000000}"/>
    <cellStyle name="_KT (2)_3_TG-TH_PERSONAL" xfId="130" xr:uid="{00000000-0005-0000-0000-000080000000}"/>
    <cellStyle name="_KT (2)_3_TG-TH_PERSONAL_Book1" xfId="131" xr:uid="{00000000-0005-0000-0000-000081000000}"/>
    <cellStyle name="_KT (2)_3_TG-TH_PERSONAL_BOQ-Thuan thao (Tai 07May)" xfId="132" xr:uid="{00000000-0005-0000-0000-000082000000}"/>
    <cellStyle name="_KT (2)_3_TG-TH_PERSONAL_CAU TAO GIA THE OCEAN VILLAS DANANG" xfId="133" xr:uid="{00000000-0005-0000-0000-000083000000}"/>
    <cellStyle name="_KT (2)_3_TG-TH_PERSONAL_Copy of Cau tao gia Mau" xfId="134" xr:uid="{00000000-0005-0000-0000-000084000000}"/>
    <cellStyle name="_KT (2)_3_TG-TH_PERSONAL_HTQ.8 GD1" xfId="135" xr:uid="{00000000-0005-0000-0000-000085000000}"/>
    <cellStyle name="_KT (2)_3_TG-TH_PERSONAL_Tong hop KHCB 2001" xfId="136" xr:uid="{00000000-0005-0000-0000-000086000000}"/>
    <cellStyle name="_KT (2)_3_TG-TH_Qt-HT3PQ1(CauKho)" xfId="137" xr:uid="{00000000-0005-0000-0000-000087000000}"/>
    <cellStyle name="_KT (2)_4" xfId="138" xr:uid="{00000000-0005-0000-0000-000088000000}"/>
    <cellStyle name="_KT (2)_4_BAO CAO KLCT PT2000" xfId="139" xr:uid="{00000000-0005-0000-0000-000089000000}"/>
    <cellStyle name="_KT (2)_4_BAO CAO PT2000" xfId="140" xr:uid="{00000000-0005-0000-0000-00008A000000}"/>
    <cellStyle name="_KT (2)_4_BAO CAO PT2000_Book1" xfId="141" xr:uid="{00000000-0005-0000-0000-00008B000000}"/>
    <cellStyle name="_KT (2)_4_Bao cao XDCB 2001 - T11 KH dieu chinh 20-11-THAI" xfId="142" xr:uid="{00000000-0005-0000-0000-00008C000000}"/>
    <cellStyle name="_KT (2)_4_Book1" xfId="143" xr:uid="{00000000-0005-0000-0000-00008D000000}"/>
    <cellStyle name="_KT (2)_4_Book1_1" xfId="144" xr:uid="{00000000-0005-0000-0000-00008E000000}"/>
    <cellStyle name="_KT (2)_4_Book1_1_Cong tac chuan bi Cao su" xfId="145" xr:uid="{00000000-0005-0000-0000-00008F000000}"/>
    <cellStyle name="_KT (2)_4_Book1_1_CTC - BoQ Agrex Building" xfId="146" xr:uid="{00000000-0005-0000-0000-000090000000}"/>
    <cellStyle name="_KT (2)_4_Book1_2" xfId="147" xr:uid="{00000000-0005-0000-0000-000091000000}"/>
    <cellStyle name="_KT (2)_4_Book1_2_Cong tac chuan bi Cao su" xfId="148" xr:uid="{00000000-0005-0000-0000-000092000000}"/>
    <cellStyle name="_KT (2)_4_Book1_3" xfId="149" xr:uid="{00000000-0005-0000-0000-000093000000}"/>
    <cellStyle name="_KT (2)_4_Book1_4" xfId="150" xr:uid="{00000000-0005-0000-0000-000094000000}"/>
    <cellStyle name="_KT (2)_4_Book1_Book2" xfId="151" xr:uid="{00000000-0005-0000-0000-000095000000}"/>
    <cellStyle name="_KT (2)_4_Book1_BOQ-Thuan thao (Tai 07May)" xfId="152" xr:uid="{00000000-0005-0000-0000-000096000000}"/>
    <cellStyle name="_KT (2)_4_Book1_Cau tao gia Arico T2-2009" xfId="153" xr:uid="{00000000-0005-0000-0000-000097000000}"/>
    <cellStyle name="_KT (2)_4_Book1_Cau tao gia phan Tho (ham + Than) 15-9-08" xfId="154" xr:uid="{00000000-0005-0000-0000-000098000000}"/>
    <cellStyle name="_KT (2)_4_Book1_CAU TAO GIA THE OCEAN VILLAS DANANG" xfId="155" xr:uid="{00000000-0005-0000-0000-000099000000}"/>
    <cellStyle name="_KT (2)_4_Book1_cong tac chuan bi Nhatrang Plaza" xfId="156" xr:uid="{00000000-0005-0000-0000-00009A000000}"/>
    <cellStyle name="_KT (2)_4_Book1_Cong tac chuan bi-Thanh" xfId="157" xr:uid="{00000000-0005-0000-0000-00009B000000}"/>
    <cellStyle name="_KT (2)_4_Book1_Copy of Cau tao gia Mau" xfId="158" xr:uid="{00000000-0005-0000-0000-00009C000000}"/>
    <cellStyle name="_KT (2)_4_Book1_CTC - BoQ Agrex Building" xfId="159" xr:uid="{00000000-0005-0000-0000-00009D000000}"/>
    <cellStyle name="_KT (2)_4_Book2" xfId="160" xr:uid="{00000000-0005-0000-0000-00009E000000}"/>
    <cellStyle name="_KT (2)_4_BOQ-Thuan thao (Tai 07May)" xfId="161" xr:uid="{00000000-0005-0000-0000-00009F000000}"/>
    <cellStyle name="_KT (2)_4_Cau tao gia Arico T2-2009" xfId="162" xr:uid="{00000000-0005-0000-0000-0000A0000000}"/>
    <cellStyle name="_KT (2)_4_Cau tao gia phan Tho (ham + Than) 15-9-08" xfId="163" xr:uid="{00000000-0005-0000-0000-0000A1000000}"/>
    <cellStyle name="_KT (2)_4_CAU TAO GIA THE OCEAN VILLAS DANANG" xfId="164" xr:uid="{00000000-0005-0000-0000-0000A2000000}"/>
    <cellStyle name="_KT (2)_4_cong tac chuan bi Nhatrang Plaza" xfId="165" xr:uid="{00000000-0005-0000-0000-0000A3000000}"/>
    <cellStyle name="_KT (2)_4_Cong tac chuan bi-Thanh" xfId="166" xr:uid="{00000000-0005-0000-0000-0000A4000000}"/>
    <cellStyle name="_KT (2)_4_Copy of Cau tao gia Mau" xfId="167" xr:uid="{00000000-0005-0000-0000-0000A5000000}"/>
    <cellStyle name="_KT (2)_4_CROWN WELL 冠威報價單20071015" xfId="168" xr:uid="{00000000-0005-0000-0000-0000A6000000}"/>
    <cellStyle name="_KT (2)_4_CTC - BoQ Agrex Building" xfId="169" xr:uid="{00000000-0005-0000-0000-0000A7000000}"/>
    <cellStyle name="_KT (2)_4_DT kho 50x72 ,52x45m -11-5" xfId="170" xr:uid="{00000000-0005-0000-0000-0000A8000000}"/>
    <cellStyle name="_KT (2)_4_DT kho 50x72 ,52x45m ASIA NUTRITION" xfId="171" xr:uid="{00000000-0005-0000-0000-0000A9000000}"/>
    <cellStyle name="_KT (2)_4_DTCDT MR.2N110.HOCMON.TDTOAN.CCUNG" xfId="172" xr:uid="{00000000-0005-0000-0000-0000AA000000}"/>
    <cellStyle name="_KT (2)_4_DTkho 52x70m ASIA NUTRITION" xfId="173" xr:uid="{00000000-0005-0000-0000-0000AB000000}"/>
    <cellStyle name="_KT (2)_4_DTkho 52x70m ASIA NUTRITION-change-tuong bt6m" xfId="174" xr:uid="{00000000-0005-0000-0000-0000AC000000}"/>
    <cellStyle name="_KT (2)_4_DTkho 52x70m ASIA NUTRITION-seno betong" xfId="175" xr:uid="{00000000-0005-0000-0000-0000AD000000}"/>
    <cellStyle name="_KT (2)_4_Lora-tungchau" xfId="176" xr:uid="{00000000-0005-0000-0000-0000AE000000}"/>
    <cellStyle name="_KT (2)_4_PGIA-phieu tham tra Kho bac" xfId="177" xr:uid="{00000000-0005-0000-0000-0000AF000000}"/>
    <cellStyle name="_KT (2)_4_PT02-02" xfId="178" xr:uid="{00000000-0005-0000-0000-0000B0000000}"/>
    <cellStyle name="_KT (2)_4_PT02-02_Book1" xfId="179" xr:uid="{00000000-0005-0000-0000-0000B1000000}"/>
    <cellStyle name="_KT (2)_4_PT02-03" xfId="180" xr:uid="{00000000-0005-0000-0000-0000B2000000}"/>
    <cellStyle name="_KT (2)_4_PT02-03_Book1" xfId="181" xr:uid="{00000000-0005-0000-0000-0000B3000000}"/>
    <cellStyle name="_KT (2)_4_Qt-HT3PQ1(CauKho)" xfId="182" xr:uid="{00000000-0005-0000-0000-0000B4000000}"/>
    <cellStyle name="_KT (2)_4_TG-TH" xfId="183" xr:uid="{00000000-0005-0000-0000-0000B5000000}"/>
    <cellStyle name="_KT (2)_5" xfId="184" xr:uid="{00000000-0005-0000-0000-0000B6000000}"/>
    <cellStyle name="_KT (2)_5_BAO CAO KLCT PT2000" xfId="185" xr:uid="{00000000-0005-0000-0000-0000B7000000}"/>
    <cellStyle name="_KT (2)_5_BAO CAO PT2000" xfId="186" xr:uid="{00000000-0005-0000-0000-0000B8000000}"/>
    <cellStyle name="_KT (2)_5_BAO CAO PT2000_Book1" xfId="187" xr:uid="{00000000-0005-0000-0000-0000B9000000}"/>
    <cellStyle name="_KT (2)_5_Bao cao XDCB 2001 - T11 KH dieu chinh 20-11-THAI" xfId="188" xr:uid="{00000000-0005-0000-0000-0000BA000000}"/>
    <cellStyle name="_KT (2)_5_Book1" xfId="189" xr:uid="{00000000-0005-0000-0000-0000BB000000}"/>
    <cellStyle name="_KT (2)_5_Book1_1" xfId="190" xr:uid="{00000000-0005-0000-0000-0000BC000000}"/>
    <cellStyle name="_KT (2)_5_Book1_1_Cong tac chuan bi Cao su" xfId="191" xr:uid="{00000000-0005-0000-0000-0000BD000000}"/>
    <cellStyle name="_KT (2)_5_Book1_1_CTC - BoQ Agrex Building" xfId="192" xr:uid="{00000000-0005-0000-0000-0000BE000000}"/>
    <cellStyle name="_KT (2)_5_Book1_2" xfId="193" xr:uid="{00000000-0005-0000-0000-0000BF000000}"/>
    <cellStyle name="_KT (2)_5_Book1_2_Cong tac chuan bi Cao su" xfId="194" xr:uid="{00000000-0005-0000-0000-0000C0000000}"/>
    <cellStyle name="_KT (2)_5_Book1_3" xfId="195" xr:uid="{00000000-0005-0000-0000-0000C1000000}"/>
    <cellStyle name="_KT (2)_5_Book1_4" xfId="196" xr:uid="{00000000-0005-0000-0000-0000C2000000}"/>
    <cellStyle name="_KT (2)_5_Book1_BC-QT-WB-dthao" xfId="197" xr:uid="{00000000-0005-0000-0000-0000C3000000}"/>
    <cellStyle name="_KT (2)_5_Book1_Book2" xfId="198" xr:uid="{00000000-0005-0000-0000-0000C4000000}"/>
    <cellStyle name="_KT (2)_5_Book1_BOQ-Thuan thao (Tai 07May)" xfId="199" xr:uid="{00000000-0005-0000-0000-0000C5000000}"/>
    <cellStyle name="_KT (2)_5_Book1_Cau tao gia Arico T2-2009" xfId="200" xr:uid="{00000000-0005-0000-0000-0000C6000000}"/>
    <cellStyle name="_KT (2)_5_Book1_Cau tao gia phan Tho (ham + Than) 15-9-08" xfId="201" xr:uid="{00000000-0005-0000-0000-0000C7000000}"/>
    <cellStyle name="_KT (2)_5_Book1_CAU TAO GIA THE OCEAN VILLAS DANANG" xfId="202" xr:uid="{00000000-0005-0000-0000-0000C8000000}"/>
    <cellStyle name="_KT (2)_5_Book1_cong tac chuan bi Nhatrang Plaza" xfId="203" xr:uid="{00000000-0005-0000-0000-0000C9000000}"/>
    <cellStyle name="_KT (2)_5_Book1_Cong tac chuan bi-Thanh" xfId="204" xr:uid="{00000000-0005-0000-0000-0000CA000000}"/>
    <cellStyle name="_KT (2)_5_Book1_Copy of Cau tao gia Mau" xfId="205" xr:uid="{00000000-0005-0000-0000-0000CB000000}"/>
    <cellStyle name="_KT (2)_5_Book1_CTC - BoQ Agrex Building" xfId="206" xr:uid="{00000000-0005-0000-0000-0000CC000000}"/>
    <cellStyle name="_KT (2)_5_Book2" xfId="207" xr:uid="{00000000-0005-0000-0000-0000CD000000}"/>
    <cellStyle name="_KT (2)_5_BOQ-Thuan thao (Tai 07May)" xfId="208" xr:uid="{00000000-0005-0000-0000-0000CE000000}"/>
    <cellStyle name="_KT (2)_5_Cau tao gia Arico T2-2009" xfId="209" xr:uid="{00000000-0005-0000-0000-0000CF000000}"/>
    <cellStyle name="_KT (2)_5_Cau tao gia phan Tho (ham + Than) 15-9-08" xfId="210" xr:uid="{00000000-0005-0000-0000-0000D0000000}"/>
    <cellStyle name="_KT (2)_5_CAU TAO GIA THE OCEAN VILLAS DANANG" xfId="211" xr:uid="{00000000-0005-0000-0000-0000D1000000}"/>
    <cellStyle name="_KT (2)_5_cong tac chuan bi Nhatrang Plaza" xfId="212" xr:uid="{00000000-0005-0000-0000-0000D2000000}"/>
    <cellStyle name="_KT (2)_5_Cong tac chuan bi-Thanh" xfId="213" xr:uid="{00000000-0005-0000-0000-0000D3000000}"/>
    <cellStyle name="_KT (2)_5_Copy of Cau tao gia Mau" xfId="214" xr:uid="{00000000-0005-0000-0000-0000D4000000}"/>
    <cellStyle name="_KT (2)_5_CROWN WELL 冠威報價單20071015" xfId="215" xr:uid="{00000000-0005-0000-0000-0000D5000000}"/>
    <cellStyle name="_KT (2)_5_CTC - BoQ Agrex Building" xfId="216" xr:uid="{00000000-0005-0000-0000-0000D6000000}"/>
    <cellStyle name="_KT (2)_5_DT kho 50x72 ,52x45m -11-5" xfId="217" xr:uid="{00000000-0005-0000-0000-0000D7000000}"/>
    <cellStyle name="_KT (2)_5_DT kho 50x72 ,52x45m ASIA NUTRITION" xfId="218" xr:uid="{00000000-0005-0000-0000-0000D8000000}"/>
    <cellStyle name="_KT (2)_5_DTCDT MR.2N110.HOCMON.TDTOAN.CCUNG" xfId="219" xr:uid="{00000000-0005-0000-0000-0000D9000000}"/>
    <cellStyle name="_KT (2)_5_DTkho 52x70m ASIA NUTRITION" xfId="220" xr:uid="{00000000-0005-0000-0000-0000DA000000}"/>
    <cellStyle name="_KT (2)_5_DTkho 52x70m ASIA NUTRITION-change-tuong bt6m" xfId="221" xr:uid="{00000000-0005-0000-0000-0000DB000000}"/>
    <cellStyle name="_KT (2)_5_DTkho 52x70m ASIA NUTRITION-seno betong" xfId="222" xr:uid="{00000000-0005-0000-0000-0000DC000000}"/>
    <cellStyle name="_KT (2)_5_Lora-tungchau" xfId="223" xr:uid="{00000000-0005-0000-0000-0000DD000000}"/>
    <cellStyle name="_KT (2)_5_PGIA-phieu tham tra Kho bac" xfId="224" xr:uid="{00000000-0005-0000-0000-0000DE000000}"/>
    <cellStyle name="_KT (2)_5_PT02-02" xfId="225" xr:uid="{00000000-0005-0000-0000-0000DF000000}"/>
    <cellStyle name="_KT (2)_5_PT02-02_Book1" xfId="226" xr:uid="{00000000-0005-0000-0000-0000E0000000}"/>
    <cellStyle name="_KT (2)_5_PT02-03" xfId="227" xr:uid="{00000000-0005-0000-0000-0000E1000000}"/>
    <cellStyle name="_KT (2)_5_PT02-03_Book1" xfId="228" xr:uid="{00000000-0005-0000-0000-0000E2000000}"/>
    <cellStyle name="_KT (2)_5_Qt-HT3PQ1(CauKho)" xfId="229" xr:uid="{00000000-0005-0000-0000-0000E3000000}"/>
    <cellStyle name="_KT (2)_Book1" xfId="230" xr:uid="{00000000-0005-0000-0000-0000E4000000}"/>
    <cellStyle name="_KT (2)_Book1_1" xfId="231" xr:uid="{00000000-0005-0000-0000-0000E5000000}"/>
    <cellStyle name="_KT (2)_Book1_BC-QT-WB-dthao" xfId="232" xr:uid="{00000000-0005-0000-0000-0000E6000000}"/>
    <cellStyle name="_KT (2)_Book1_BOQ-Thuan thao (Tai 07May)" xfId="233" xr:uid="{00000000-0005-0000-0000-0000E7000000}"/>
    <cellStyle name="_KT (2)_Book1_CAU TAO GIA THE OCEAN VILLAS DANANG" xfId="234" xr:uid="{00000000-0005-0000-0000-0000E8000000}"/>
    <cellStyle name="_KT (2)_Book2" xfId="235" xr:uid="{00000000-0005-0000-0000-0000E9000000}"/>
    <cellStyle name="_KT (2)_BOQ-Thuan thao (Tai 07May)" xfId="236" xr:uid="{00000000-0005-0000-0000-0000EA000000}"/>
    <cellStyle name="_KT (2)_Cau tao gia Arico T2-2009" xfId="237" xr:uid="{00000000-0005-0000-0000-0000EB000000}"/>
    <cellStyle name="_KT (2)_Cau tao gia phan Tho (ham + Than) 15-9-08" xfId="238" xr:uid="{00000000-0005-0000-0000-0000EC000000}"/>
    <cellStyle name="_KT (2)_CAU TAO GIA THE OCEAN VILLAS DANANG" xfId="239" xr:uid="{00000000-0005-0000-0000-0000ED000000}"/>
    <cellStyle name="_KT (2)_cong tac chuan bi Nhatrang Plaza" xfId="240" xr:uid="{00000000-0005-0000-0000-0000EE000000}"/>
    <cellStyle name="_KT (2)_Cong tac chuan bi-Thanh" xfId="241" xr:uid="{00000000-0005-0000-0000-0000EF000000}"/>
    <cellStyle name="_KT (2)_Copy of Cau tao gia Mau" xfId="242" xr:uid="{00000000-0005-0000-0000-0000F0000000}"/>
    <cellStyle name="_KT (2)_CTC - BoQ Agrex Building" xfId="243" xr:uid="{00000000-0005-0000-0000-0000F1000000}"/>
    <cellStyle name="_KT (2)_Lora-tungchau" xfId="244" xr:uid="{00000000-0005-0000-0000-0000F2000000}"/>
    <cellStyle name="_KT (2)_PERSONAL" xfId="245" xr:uid="{00000000-0005-0000-0000-0000F3000000}"/>
    <cellStyle name="_KT (2)_PERSONAL_Book1" xfId="246" xr:uid="{00000000-0005-0000-0000-0000F4000000}"/>
    <cellStyle name="_KT (2)_PERSONAL_BOQ-Thuan thao (Tai 07May)" xfId="247" xr:uid="{00000000-0005-0000-0000-0000F5000000}"/>
    <cellStyle name="_KT (2)_PERSONAL_CAU TAO GIA THE OCEAN VILLAS DANANG" xfId="248" xr:uid="{00000000-0005-0000-0000-0000F6000000}"/>
    <cellStyle name="_KT (2)_PERSONAL_Copy of Cau tao gia Mau" xfId="249" xr:uid="{00000000-0005-0000-0000-0000F7000000}"/>
    <cellStyle name="_KT (2)_PERSONAL_HTQ.8 GD1" xfId="250" xr:uid="{00000000-0005-0000-0000-0000F8000000}"/>
    <cellStyle name="_KT (2)_PERSONAL_Tong hop KHCB 2001" xfId="251" xr:uid="{00000000-0005-0000-0000-0000F9000000}"/>
    <cellStyle name="_KT (2)_Qt-HT3PQ1(CauKho)" xfId="252" xr:uid="{00000000-0005-0000-0000-0000FA000000}"/>
    <cellStyle name="_KT (2)_TG-TH" xfId="253" xr:uid="{00000000-0005-0000-0000-0000FB000000}"/>
    <cellStyle name="_KT_TG" xfId="254" xr:uid="{00000000-0005-0000-0000-0000FC000000}"/>
    <cellStyle name="_KT_TG_1" xfId="255" xr:uid="{00000000-0005-0000-0000-0000FD000000}"/>
    <cellStyle name="_KT_TG_1_BAO CAO KLCT PT2000" xfId="256" xr:uid="{00000000-0005-0000-0000-0000FE000000}"/>
    <cellStyle name="_KT_TG_1_BAO CAO PT2000" xfId="257" xr:uid="{00000000-0005-0000-0000-0000FF000000}"/>
    <cellStyle name="_KT_TG_1_BAO CAO PT2000_Book1" xfId="258" xr:uid="{00000000-0005-0000-0000-000000010000}"/>
    <cellStyle name="_KT_TG_1_Bao cao XDCB 2001 - T11 KH dieu chinh 20-11-THAI" xfId="259" xr:uid="{00000000-0005-0000-0000-000001010000}"/>
    <cellStyle name="_KT_TG_1_Book1" xfId="260" xr:uid="{00000000-0005-0000-0000-000002010000}"/>
    <cellStyle name="_KT_TG_1_Book1_1" xfId="261" xr:uid="{00000000-0005-0000-0000-000003010000}"/>
    <cellStyle name="_KT_TG_1_Book1_1_Cong tac chuan bi Cao su" xfId="262" xr:uid="{00000000-0005-0000-0000-000004010000}"/>
    <cellStyle name="_KT_TG_1_Book1_1_CTC - BoQ Agrex Building" xfId="263" xr:uid="{00000000-0005-0000-0000-000005010000}"/>
    <cellStyle name="_KT_TG_1_Book1_2" xfId="264" xr:uid="{00000000-0005-0000-0000-000006010000}"/>
    <cellStyle name="_KT_TG_1_Book1_2_Cong tac chuan bi Cao su" xfId="265" xr:uid="{00000000-0005-0000-0000-000007010000}"/>
    <cellStyle name="_KT_TG_1_Book1_3" xfId="266" xr:uid="{00000000-0005-0000-0000-000008010000}"/>
    <cellStyle name="_KT_TG_1_Book1_4" xfId="267" xr:uid="{00000000-0005-0000-0000-000009010000}"/>
    <cellStyle name="_KT_TG_1_Book1_BC-QT-WB-dthao" xfId="268" xr:uid="{00000000-0005-0000-0000-00000A010000}"/>
    <cellStyle name="_KT_TG_1_Book1_Book2" xfId="269" xr:uid="{00000000-0005-0000-0000-00000B010000}"/>
    <cellStyle name="_KT_TG_1_Book1_BOQ-Thuan thao (Tai 07May)" xfId="270" xr:uid="{00000000-0005-0000-0000-00000C010000}"/>
    <cellStyle name="_KT_TG_1_Book1_Cau tao gia Arico T2-2009" xfId="271" xr:uid="{00000000-0005-0000-0000-00000D010000}"/>
    <cellStyle name="_KT_TG_1_Book1_Cau tao gia phan Tho (ham + Than) 15-9-08" xfId="272" xr:uid="{00000000-0005-0000-0000-00000E010000}"/>
    <cellStyle name="_KT_TG_1_Book1_CAU TAO GIA THE OCEAN VILLAS DANANG" xfId="273" xr:uid="{00000000-0005-0000-0000-00000F010000}"/>
    <cellStyle name="_KT_TG_1_Book1_cong tac chuan bi Nhatrang Plaza" xfId="274" xr:uid="{00000000-0005-0000-0000-000010010000}"/>
    <cellStyle name="_KT_TG_1_Book1_Cong tac chuan bi-Thanh" xfId="275" xr:uid="{00000000-0005-0000-0000-000011010000}"/>
    <cellStyle name="_KT_TG_1_Book1_Copy of Cau tao gia Mau" xfId="276" xr:uid="{00000000-0005-0000-0000-000012010000}"/>
    <cellStyle name="_KT_TG_1_Book1_CTC - BoQ Agrex Building" xfId="277" xr:uid="{00000000-0005-0000-0000-000013010000}"/>
    <cellStyle name="_KT_TG_1_Book2" xfId="278" xr:uid="{00000000-0005-0000-0000-000014010000}"/>
    <cellStyle name="_KT_TG_1_BOQ-Thuan thao (Tai 07May)" xfId="279" xr:uid="{00000000-0005-0000-0000-000015010000}"/>
    <cellStyle name="_KT_TG_1_Cau tao gia Arico T2-2009" xfId="280" xr:uid="{00000000-0005-0000-0000-000016010000}"/>
    <cellStyle name="_KT_TG_1_Cau tao gia phan Tho (ham + Than) 15-9-08" xfId="281" xr:uid="{00000000-0005-0000-0000-000017010000}"/>
    <cellStyle name="_KT_TG_1_CAU TAO GIA THE OCEAN VILLAS DANANG" xfId="282" xr:uid="{00000000-0005-0000-0000-000018010000}"/>
    <cellStyle name="_KT_TG_1_cong tac chuan bi Nhatrang Plaza" xfId="283" xr:uid="{00000000-0005-0000-0000-000019010000}"/>
    <cellStyle name="_KT_TG_1_Cong tac chuan bi-Thanh" xfId="284" xr:uid="{00000000-0005-0000-0000-00001A010000}"/>
    <cellStyle name="_KT_TG_1_Copy of Cau tao gia Mau" xfId="285" xr:uid="{00000000-0005-0000-0000-00001B010000}"/>
    <cellStyle name="_KT_TG_1_CROWN WELL 冠威報價單20071015" xfId="286" xr:uid="{00000000-0005-0000-0000-00001C010000}"/>
    <cellStyle name="_KT_TG_1_CTC - BoQ Agrex Building" xfId="287" xr:uid="{00000000-0005-0000-0000-00001D010000}"/>
    <cellStyle name="_KT_TG_1_DT kho 50x72 ,52x45m -11-5" xfId="288" xr:uid="{00000000-0005-0000-0000-00001E010000}"/>
    <cellStyle name="_KT_TG_1_DT kho 50x72 ,52x45m ASIA NUTRITION" xfId="289" xr:uid="{00000000-0005-0000-0000-00001F010000}"/>
    <cellStyle name="_KT_TG_1_DTCDT MR.2N110.HOCMON.TDTOAN.CCUNG" xfId="290" xr:uid="{00000000-0005-0000-0000-000020010000}"/>
    <cellStyle name="_KT_TG_1_DTkho 52x70m ASIA NUTRITION" xfId="291" xr:uid="{00000000-0005-0000-0000-000021010000}"/>
    <cellStyle name="_KT_TG_1_DTkho 52x70m ASIA NUTRITION-change-tuong bt6m" xfId="292" xr:uid="{00000000-0005-0000-0000-000022010000}"/>
    <cellStyle name="_KT_TG_1_DTkho 52x70m ASIA NUTRITION-seno betong" xfId="293" xr:uid="{00000000-0005-0000-0000-000023010000}"/>
    <cellStyle name="_KT_TG_1_Lora-tungchau" xfId="294" xr:uid="{00000000-0005-0000-0000-000024010000}"/>
    <cellStyle name="_KT_TG_1_PGIA-phieu tham tra Kho bac" xfId="295" xr:uid="{00000000-0005-0000-0000-000025010000}"/>
    <cellStyle name="_KT_TG_1_PT02-02" xfId="296" xr:uid="{00000000-0005-0000-0000-000026010000}"/>
    <cellStyle name="_KT_TG_1_PT02-02_Book1" xfId="297" xr:uid="{00000000-0005-0000-0000-000027010000}"/>
    <cellStyle name="_KT_TG_1_PT02-03" xfId="298" xr:uid="{00000000-0005-0000-0000-000028010000}"/>
    <cellStyle name="_KT_TG_1_PT02-03_Book1" xfId="299" xr:uid="{00000000-0005-0000-0000-000029010000}"/>
    <cellStyle name="_KT_TG_1_Qt-HT3PQ1(CauKho)" xfId="300" xr:uid="{00000000-0005-0000-0000-00002A010000}"/>
    <cellStyle name="_KT_TG_2" xfId="301" xr:uid="{00000000-0005-0000-0000-00002B010000}"/>
    <cellStyle name="_KT_TG_2_BAO CAO KLCT PT2000" xfId="302" xr:uid="{00000000-0005-0000-0000-00002C010000}"/>
    <cellStyle name="_KT_TG_2_BAO CAO PT2000" xfId="303" xr:uid="{00000000-0005-0000-0000-00002D010000}"/>
    <cellStyle name="_KT_TG_2_BAO CAO PT2000_Book1" xfId="304" xr:uid="{00000000-0005-0000-0000-00002E010000}"/>
    <cellStyle name="_KT_TG_2_Bao cao XDCB 2001 - T11 KH dieu chinh 20-11-THAI" xfId="305" xr:uid="{00000000-0005-0000-0000-00002F010000}"/>
    <cellStyle name="_KT_TG_2_Book1" xfId="306" xr:uid="{00000000-0005-0000-0000-000030010000}"/>
    <cellStyle name="_KT_TG_2_Book1_1" xfId="307" xr:uid="{00000000-0005-0000-0000-000031010000}"/>
    <cellStyle name="_KT_TG_2_Book1_1_Cong tac chuan bi Cao su" xfId="308" xr:uid="{00000000-0005-0000-0000-000032010000}"/>
    <cellStyle name="_KT_TG_2_Book1_1_CTC - BoQ Agrex Building" xfId="309" xr:uid="{00000000-0005-0000-0000-000033010000}"/>
    <cellStyle name="_KT_TG_2_Book1_2" xfId="310" xr:uid="{00000000-0005-0000-0000-000034010000}"/>
    <cellStyle name="_KT_TG_2_Book1_2_Cong tac chuan bi Cao su" xfId="311" xr:uid="{00000000-0005-0000-0000-000035010000}"/>
    <cellStyle name="_KT_TG_2_Book1_3" xfId="312" xr:uid="{00000000-0005-0000-0000-000036010000}"/>
    <cellStyle name="_KT_TG_2_Book1_4" xfId="313" xr:uid="{00000000-0005-0000-0000-000037010000}"/>
    <cellStyle name="_KT_TG_2_Book1_Book2" xfId="314" xr:uid="{00000000-0005-0000-0000-000038010000}"/>
    <cellStyle name="_KT_TG_2_Book1_BOQ-Thuan thao (Tai 07May)" xfId="315" xr:uid="{00000000-0005-0000-0000-000039010000}"/>
    <cellStyle name="_KT_TG_2_Book1_Cau tao gia Arico T2-2009" xfId="316" xr:uid="{00000000-0005-0000-0000-00003A010000}"/>
    <cellStyle name="_KT_TG_2_Book1_Cau tao gia phan Tho (ham + Than) 15-9-08" xfId="317" xr:uid="{00000000-0005-0000-0000-00003B010000}"/>
    <cellStyle name="_KT_TG_2_Book1_CAU TAO GIA THE OCEAN VILLAS DANANG" xfId="318" xr:uid="{00000000-0005-0000-0000-00003C010000}"/>
    <cellStyle name="_KT_TG_2_Book1_cong tac chuan bi Nhatrang Plaza" xfId="319" xr:uid="{00000000-0005-0000-0000-00003D010000}"/>
    <cellStyle name="_KT_TG_2_Book1_Cong tac chuan bi-Thanh" xfId="320" xr:uid="{00000000-0005-0000-0000-00003E010000}"/>
    <cellStyle name="_KT_TG_2_Book1_Copy of Cau tao gia Mau" xfId="321" xr:uid="{00000000-0005-0000-0000-00003F010000}"/>
    <cellStyle name="_KT_TG_2_Book1_CTC - BoQ Agrex Building" xfId="322" xr:uid="{00000000-0005-0000-0000-000040010000}"/>
    <cellStyle name="_KT_TG_2_Book2" xfId="323" xr:uid="{00000000-0005-0000-0000-000041010000}"/>
    <cellStyle name="_KT_TG_2_BOQ-Thuan thao (Tai 07May)" xfId="324" xr:uid="{00000000-0005-0000-0000-000042010000}"/>
    <cellStyle name="_KT_TG_2_Cau tao gia Arico T2-2009" xfId="325" xr:uid="{00000000-0005-0000-0000-000043010000}"/>
    <cellStyle name="_KT_TG_2_Cau tao gia phan Tho (ham + Than) 15-9-08" xfId="326" xr:uid="{00000000-0005-0000-0000-000044010000}"/>
    <cellStyle name="_KT_TG_2_CAU TAO GIA THE OCEAN VILLAS DANANG" xfId="327" xr:uid="{00000000-0005-0000-0000-000045010000}"/>
    <cellStyle name="_KT_TG_2_cong tac chuan bi Nhatrang Plaza" xfId="328" xr:uid="{00000000-0005-0000-0000-000046010000}"/>
    <cellStyle name="_KT_TG_2_Cong tac chuan bi-Thanh" xfId="329" xr:uid="{00000000-0005-0000-0000-000047010000}"/>
    <cellStyle name="_KT_TG_2_Copy of Cau tao gia Mau" xfId="330" xr:uid="{00000000-0005-0000-0000-000048010000}"/>
    <cellStyle name="_KT_TG_2_CROWN WELL 冠威報價單20071015" xfId="331" xr:uid="{00000000-0005-0000-0000-000049010000}"/>
    <cellStyle name="_KT_TG_2_CTC - BoQ Agrex Building" xfId="332" xr:uid="{00000000-0005-0000-0000-00004A010000}"/>
    <cellStyle name="_KT_TG_2_DT kho 50x72 ,52x45m -11-5" xfId="333" xr:uid="{00000000-0005-0000-0000-00004B010000}"/>
    <cellStyle name="_KT_TG_2_DT kho 50x72 ,52x45m ASIA NUTRITION" xfId="334" xr:uid="{00000000-0005-0000-0000-00004C010000}"/>
    <cellStyle name="_KT_TG_2_DTCDT MR.2N110.HOCMON.TDTOAN.CCUNG" xfId="335" xr:uid="{00000000-0005-0000-0000-00004D010000}"/>
    <cellStyle name="_KT_TG_2_DTkho 52x70m ASIA NUTRITION" xfId="336" xr:uid="{00000000-0005-0000-0000-00004E010000}"/>
    <cellStyle name="_KT_TG_2_DTkho 52x70m ASIA NUTRITION-change-tuong bt6m" xfId="337" xr:uid="{00000000-0005-0000-0000-00004F010000}"/>
    <cellStyle name="_KT_TG_2_DTkho 52x70m ASIA NUTRITION-seno betong" xfId="338" xr:uid="{00000000-0005-0000-0000-000050010000}"/>
    <cellStyle name="_KT_TG_2_Lora-tungchau" xfId="339" xr:uid="{00000000-0005-0000-0000-000051010000}"/>
    <cellStyle name="_KT_TG_2_PGIA-phieu tham tra Kho bac" xfId="340" xr:uid="{00000000-0005-0000-0000-000052010000}"/>
    <cellStyle name="_KT_TG_2_PT02-02" xfId="341" xr:uid="{00000000-0005-0000-0000-000053010000}"/>
    <cellStyle name="_KT_TG_2_PT02-02_Book1" xfId="342" xr:uid="{00000000-0005-0000-0000-000054010000}"/>
    <cellStyle name="_KT_TG_2_PT02-03" xfId="343" xr:uid="{00000000-0005-0000-0000-000055010000}"/>
    <cellStyle name="_KT_TG_2_PT02-03_Book1" xfId="344" xr:uid="{00000000-0005-0000-0000-000056010000}"/>
    <cellStyle name="_KT_TG_2_Qt-HT3PQ1(CauKho)" xfId="345" xr:uid="{00000000-0005-0000-0000-000057010000}"/>
    <cellStyle name="_KT_TG_3" xfId="346" xr:uid="{00000000-0005-0000-0000-000058010000}"/>
    <cellStyle name="_KT_TG_4" xfId="347" xr:uid="{00000000-0005-0000-0000-000059010000}"/>
    <cellStyle name="_KT_TG_4_Lora-tungchau" xfId="348" xr:uid="{00000000-0005-0000-0000-00005A010000}"/>
    <cellStyle name="_KT_TG_4_Qt-HT3PQ1(CauKho)" xfId="349" xr:uid="{00000000-0005-0000-0000-00005B010000}"/>
    <cellStyle name="_Lora-tungchau" xfId="350" xr:uid="{00000000-0005-0000-0000-00005C010000}"/>
    <cellStyle name="_OFG-mockup1_1_Jan CPA2_CD UM 11.3 Summary 0.6 OFA 5" xfId="351" xr:uid="{00000000-0005-0000-0000-00005D010000}"/>
    <cellStyle name="_PERSONAL" xfId="352" xr:uid="{00000000-0005-0000-0000-00005E010000}"/>
    <cellStyle name="_PERSONAL_Book1" xfId="353" xr:uid="{00000000-0005-0000-0000-00005F010000}"/>
    <cellStyle name="_PERSONAL_BOQ-Thuan thao (Tai 07May)" xfId="354" xr:uid="{00000000-0005-0000-0000-000060010000}"/>
    <cellStyle name="_PERSONAL_CAU TAO GIA THE OCEAN VILLAS DANANG" xfId="355" xr:uid="{00000000-0005-0000-0000-000061010000}"/>
    <cellStyle name="_PERSONAL_Copy of Cau tao gia Mau" xfId="356" xr:uid="{00000000-0005-0000-0000-000062010000}"/>
    <cellStyle name="_PERSONAL_HTQ.8 GD1" xfId="357" xr:uid="{00000000-0005-0000-0000-000063010000}"/>
    <cellStyle name="_PERSONAL_Tong hop KHCB 2001" xfId="358" xr:uid="{00000000-0005-0000-0000-000064010000}"/>
    <cellStyle name="_Qt-HT3PQ1(CauKho)" xfId="359" xr:uid="{00000000-0005-0000-0000-000065010000}"/>
    <cellStyle name="_Sheet2" xfId="360" xr:uid="{00000000-0005-0000-0000-000066010000}"/>
    <cellStyle name="_TG-TH" xfId="361" xr:uid="{00000000-0005-0000-0000-000067010000}"/>
    <cellStyle name="_TG-TH_1" xfId="362" xr:uid="{00000000-0005-0000-0000-000068010000}"/>
    <cellStyle name="_TG-TH_1_BAO CAO KLCT PT2000" xfId="363" xr:uid="{00000000-0005-0000-0000-000069010000}"/>
    <cellStyle name="_TG-TH_1_BAO CAO PT2000" xfId="364" xr:uid="{00000000-0005-0000-0000-00006A010000}"/>
    <cellStyle name="_TG-TH_1_BAO CAO PT2000_Book1" xfId="365" xr:uid="{00000000-0005-0000-0000-00006B010000}"/>
    <cellStyle name="_TG-TH_1_Bao cao XDCB 2001 - T11 KH dieu chinh 20-11-THAI" xfId="366" xr:uid="{00000000-0005-0000-0000-00006C010000}"/>
    <cellStyle name="_TG-TH_1_Book1" xfId="367" xr:uid="{00000000-0005-0000-0000-00006D010000}"/>
    <cellStyle name="_TG-TH_1_Book1_1" xfId="368" xr:uid="{00000000-0005-0000-0000-00006E010000}"/>
    <cellStyle name="_TG-TH_1_Book1_1_Cong tac chuan bi Cao su" xfId="369" xr:uid="{00000000-0005-0000-0000-00006F010000}"/>
    <cellStyle name="_TG-TH_1_Book1_1_CTC - BoQ Agrex Building" xfId="370" xr:uid="{00000000-0005-0000-0000-000070010000}"/>
    <cellStyle name="_TG-TH_1_Book1_2" xfId="371" xr:uid="{00000000-0005-0000-0000-000071010000}"/>
    <cellStyle name="_TG-TH_1_Book1_2_Cong tac chuan bi Cao su" xfId="372" xr:uid="{00000000-0005-0000-0000-000072010000}"/>
    <cellStyle name="_TG-TH_1_Book1_3" xfId="373" xr:uid="{00000000-0005-0000-0000-000073010000}"/>
    <cellStyle name="_TG-TH_1_Book1_4" xfId="374" xr:uid="{00000000-0005-0000-0000-000074010000}"/>
    <cellStyle name="_TG-TH_1_Book1_BC-QT-WB-dthao" xfId="375" xr:uid="{00000000-0005-0000-0000-000075010000}"/>
    <cellStyle name="_TG-TH_1_Book1_Book2" xfId="376" xr:uid="{00000000-0005-0000-0000-000076010000}"/>
    <cellStyle name="_TG-TH_1_Book1_BOQ-Thuan thao (Tai 07May)" xfId="377" xr:uid="{00000000-0005-0000-0000-000077010000}"/>
    <cellStyle name="_TG-TH_1_Book1_Cau tao gia Arico T2-2009" xfId="378" xr:uid="{00000000-0005-0000-0000-000078010000}"/>
    <cellStyle name="_TG-TH_1_Book1_Cau tao gia phan Tho (ham + Than) 15-9-08" xfId="379" xr:uid="{00000000-0005-0000-0000-000079010000}"/>
    <cellStyle name="_TG-TH_1_Book1_CAU TAO GIA THE OCEAN VILLAS DANANG" xfId="380" xr:uid="{00000000-0005-0000-0000-00007A010000}"/>
    <cellStyle name="_TG-TH_1_Book1_cong tac chuan bi Nhatrang Plaza" xfId="381" xr:uid="{00000000-0005-0000-0000-00007B010000}"/>
    <cellStyle name="_TG-TH_1_Book1_Cong tac chuan bi-Thanh" xfId="382" xr:uid="{00000000-0005-0000-0000-00007C010000}"/>
    <cellStyle name="_TG-TH_1_Book1_Copy of Cau tao gia Mau" xfId="383" xr:uid="{00000000-0005-0000-0000-00007D010000}"/>
    <cellStyle name="_TG-TH_1_Book1_CTC - BoQ Agrex Building" xfId="384" xr:uid="{00000000-0005-0000-0000-00007E010000}"/>
    <cellStyle name="_TG-TH_1_Book2" xfId="385" xr:uid="{00000000-0005-0000-0000-00007F010000}"/>
    <cellStyle name="_TG-TH_1_BOQ-Thuan thao (Tai 07May)" xfId="386" xr:uid="{00000000-0005-0000-0000-000080010000}"/>
    <cellStyle name="_TG-TH_1_Cau tao gia Arico T2-2009" xfId="387" xr:uid="{00000000-0005-0000-0000-000081010000}"/>
    <cellStyle name="_TG-TH_1_Cau tao gia phan Tho (ham + Than) 15-9-08" xfId="388" xr:uid="{00000000-0005-0000-0000-000082010000}"/>
    <cellStyle name="_TG-TH_1_CAU TAO GIA THE OCEAN VILLAS DANANG" xfId="389" xr:uid="{00000000-0005-0000-0000-000083010000}"/>
    <cellStyle name="_TG-TH_1_cong tac chuan bi Nhatrang Plaza" xfId="390" xr:uid="{00000000-0005-0000-0000-000084010000}"/>
    <cellStyle name="_TG-TH_1_Cong tac chuan bi-Thanh" xfId="391" xr:uid="{00000000-0005-0000-0000-000085010000}"/>
    <cellStyle name="_TG-TH_1_Copy of Cau tao gia Mau" xfId="392" xr:uid="{00000000-0005-0000-0000-000086010000}"/>
    <cellStyle name="_TG-TH_1_CROWN WELL 冠威報價單20071015" xfId="393" xr:uid="{00000000-0005-0000-0000-000087010000}"/>
    <cellStyle name="_TG-TH_1_CTC - BoQ Agrex Building" xfId="394" xr:uid="{00000000-0005-0000-0000-000088010000}"/>
    <cellStyle name="_TG-TH_1_DT kho 50x72 ,52x45m -11-5" xfId="395" xr:uid="{00000000-0005-0000-0000-000089010000}"/>
    <cellStyle name="_TG-TH_1_DT kho 50x72 ,52x45m ASIA NUTRITION" xfId="396" xr:uid="{00000000-0005-0000-0000-00008A010000}"/>
    <cellStyle name="_TG-TH_1_DTCDT MR.2N110.HOCMON.TDTOAN.CCUNG" xfId="397" xr:uid="{00000000-0005-0000-0000-00008B010000}"/>
    <cellStyle name="_TG-TH_1_DTkho 52x70m ASIA NUTRITION" xfId="398" xr:uid="{00000000-0005-0000-0000-00008C010000}"/>
    <cellStyle name="_TG-TH_1_DTkho 52x70m ASIA NUTRITION-change-tuong bt6m" xfId="399" xr:uid="{00000000-0005-0000-0000-00008D010000}"/>
    <cellStyle name="_TG-TH_1_DTkho 52x70m ASIA NUTRITION-seno betong" xfId="400" xr:uid="{00000000-0005-0000-0000-00008E010000}"/>
    <cellStyle name="_TG-TH_1_Lora-tungchau" xfId="401" xr:uid="{00000000-0005-0000-0000-00008F010000}"/>
    <cellStyle name="_TG-TH_1_PGIA-phieu tham tra Kho bac" xfId="402" xr:uid="{00000000-0005-0000-0000-000090010000}"/>
    <cellStyle name="_TG-TH_1_PT02-02" xfId="403" xr:uid="{00000000-0005-0000-0000-000091010000}"/>
    <cellStyle name="_TG-TH_1_PT02-02_Book1" xfId="404" xr:uid="{00000000-0005-0000-0000-000092010000}"/>
    <cellStyle name="_TG-TH_1_PT02-03" xfId="405" xr:uid="{00000000-0005-0000-0000-000093010000}"/>
    <cellStyle name="_TG-TH_1_PT02-03_Book1" xfId="406" xr:uid="{00000000-0005-0000-0000-000094010000}"/>
    <cellStyle name="_TG-TH_1_Qt-HT3PQ1(CauKho)" xfId="407" xr:uid="{00000000-0005-0000-0000-000095010000}"/>
    <cellStyle name="_TG-TH_2" xfId="408" xr:uid="{00000000-0005-0000-0000-000096010000}"/>
    <cellStyle name="_TG-TH_2_BAO CAO KLCT PT2000" xfId="409" xr:uid="{00000000-0005-0000-0000-000097010000}"/>
    <cellStyle name="_TG-TH_2_BAO CAO PT2000" xfId="410" xr:uid="{00000000-0005-0000-0000-000098010000}"/>
    <cellStyle name="_TG-TH_2_BAO CAO PT2000_Book1" xfId="411" xr:uid="{00000000-0005-0000-0000-000099010000}"/>
    <cellStyle name="_TG-TH_2_Bao cao XDCB 2001 - T11 KH dieu chinh 20-11-THAI" xfId="412" xr:uid="{00000000-0005-0000-0000-00009A010000}"/>
    <cellStyle name="_TG-TH_2_Book1" xfId="413" xr:uid="{00000000-0005-0000-0000-00009B010000}"/>
    <cellStyle name="_TG-TH_2_Book1_1" xfId="414" xr:uid="{00000000-0005-0000-0000-00009C010000}"/>
    <cellStyle name="_TG-TH_2_Book1_1_Cong tac chuan bi Cao su" xfId="415" xr:uid="{00000000-0005-0000-0000-00009D010000}"/>
    <cellStyle name="_TG-TH_2_Book1_1_CTC - BoQ Agrex Building" xfId="416" xr:uid="{00000000-0005-0000-0000-00009E010000}"/>
    <cellStyle name="_TG-TH_2_Book1_2" xfId="417" xr:uid="{00000000-0005-0000-0000-00009F010000}"/>
    <cellStyle name="_TG-TH_2_Book1_2_Cong tac chuan bi Cao su" xfId="418" xr:uid="{00000000-0005-0000-0000-0000A0010000}"/>
    <cellStyle name="_TG-TH_2_Book1_3" xfId="419" xr:uid="{00000000-0005-0000-0000-0000A1010000}"/>
    <cellStyle name="_TG-TH_2_Book1_4" xfId="420" xr:uid="{00000000-0005-0000-0000-0000A2010000}"/>
    <cellStyle name="_TG-TH_2_Book1_Book2" xfId="421" xr:uid="{00000000-0005-0000-0000-0000A3010000}"/>
    <cellStyle name="_TG-TH_2_Book1_BOQ-Thuan thao (Tai 07May)" xfId="422" xr:uid="{00000000-0005-0000-0000-0000A4010000}"/>
    <cellStyle name="_TG-TH_2_Book1_Cau tao gia Arico T2-2009" xfId="423" xr:uid="{00000000-0005-0000-0000-0000A5010000}"/>
    <cellStyle name="_TG-TH_2_Book1_Cau tao gia phan Tho (ham + Than) 15-9-08" xfId="424" xr:uid="{00000000-0005-0000-0000-0000A6010000}"/>
    <cellStyle name="_TG-TH_2_Book1_CAU TAO GIA THE OCEAN VILLAS DANANG" xfId="425" xr:uid="{00000000-0005-0000-0000-0000A7010000}"/>
    <cellStyle name="_TG-TH_2_Book1_cong tac chuan bi Nhatrang Plaza" xfId="426" xr:uid="{00000000-0005-0000-0000-0000A8010000}"/>
    <cellStyle name="_TG-TH_2_Book1_Cong tac chuan bi-Thanh" xfId="427" xr:uid="{00000000-0005-0000-0000-0000A9010000}"/>
    <cellStyle name="_TG-TH_2_Book1_Copy of Cau tao gia Mau" xfId="428" xr:uid="{00000000-0005-0000-0000-0000AA010000}"/>
    <cellStyle name="_TG-TH_2_Book1_CTC - BoQ Agrex Building" xfId="429" xr:uid="{00000000-0005-0000-0000-0000AB010000}"/>
    <cellStyle name="_TG-TH_2_Book2" xfId="430" xr:uid="{00000000-0005-0000-0000-0000AC010000}"/>
    <cellStyle name="_TG-TH_2_BOQ-Thuan thao (Tai 07May)" xfId="431" xr:uid="{00000000-0005-0000-0000-0000AD010000}"/>
    <cellStyle name="_TG-TH_2_Cau tao gia Arico T2-2009" xfId="432" xr:uid="{00000000-0005-0000-0000-0000AE010000}"/>
    <cellStyle name="_TG-TH_2_Cau tao gia phan Tho (ham + Than) 15-9-08" xfId="433" xr:uid="{00000000-0005-0000-0000-0000AF010000}"/>
    <cellStyle name="_TG-TH_2_CAU TAO GIA THE OCEAN VILLAS DANANG" xfId="434" xr:uid="{00000000-0005-0000-0000-0000B0010000}"/>
    <cellStyle name="_TG-TH_2_cong tac chuan bi Nhatrang Plaza" xfId="435" xr:uid="{00000000-0005-0000-0000-0000B1010000}"/>
    <cellStyle name="_TG-TH_2_Cong tac chuan bi-Thanh" xfId="436" xr:uid="{00000000-0005-0000-0000-0000B2010000}"/>
    <cellStyle name="_TG-TH_2_Copy of Cau tao gia Mau" xfId="437" xr:uid="{00000000-0005-0000-0000-0000B3010000}"/>
    <cellStyle name="_TG-TH_2_CROWN WELL 冠威報價單20071015" xfId="438" xr:uid="{00000000-0005-0000-0000-0000B4010000}"/>
    <cellStyle name="_TG-TH_2_CTC - BoQ Agrex Building" xfId="439" xr:uid="{00000000-0005-0000-0000-0000B5010000}"/>
    <cellStyle name="_TG-TH_2_DT kho 50x72 ,52x45m -11-5" xfId="440" xr:uid="{00000000-0005-0000-0000-0000B6010000}"/>
    <cellStyle name="_TG-TH_2_DT kho 50x72 ,52x45m ASIA NUTRITION" xfId="441" xr:uid="{00000000-0005-0000-0000-0000B7010000}"/>
    <cellStyle name="_TG-TH_2_DTCDT MR.2N110.HOCMON.TDTOAN.CCUNG" xfId="442" xr:uid="{00000000-0005-0000-0000-0000B8010000}"/>
    <cellStyle name="_TG-TH_2_DTkho 52x70m ASIA NUTRITION" xfId="443" xr:uid="{00000000-0005-0000-0000-0000B9010000}"/>
    <cellStyle name="_TG-TH_2_DTkho 52x70m ASIA NUTRITION-change-tuong bt6m" xfId="444" xr:uid="{00000000-0005-0000-0000-0000BA010000}"/>
    <cellStyle name="_TG-TH_2_DTkho 52x70m ASIA NUTRITION-seno betong" xfId="445" xr:uid="{00000000-0005-0000-0000-0000BB010000}"/>
    <cellStyle name="_TG-TH_2_Lora-tungchau" xfId="446" xr:uid="{00000000-0005-0000-0000-0000BC010000}"/>
    <cellStyle name="_TG-TH_2_PGIA-phieu tham tra Kho bac" xfId="447" xr:uid="{00000000-0005-0000-0000-0000BD010000}"/>
    <cellStyle name="_TG-TH_2_PT02-02" xfId="448" xr:uid="{00000000-0005-0000-0000-0000BE010000}"/>
    <cellStyle name="_TG-TH_2_PT02-02_Book1" xfId="449" xr:uid="{00000000-0005-0000-0000-0000BF010000}"/>
    <cellStyle name="_TG-TH_2_PT02-03" xfId="450" xr:uid="{00000000-0005-0000-0000-0000C0010000}"/>
    <cellStyle name="_TG-TH_2_PT02-03_Book1" xfId="451" xr:uid="{00000000-0005-0000-0000-0000C1010000}"/>
    <cellStyle name="_TG-TH_2_Qt-HT3PQ1(CauKho)" xfId="452" xr:uid="{00000000-0005-0000-0000-0000C2010000}"/>
    <cellStyle name="_TG-TH_3" xfId="453" xr:uid="{00000000-0005-0000-0000-0000C3010000}"/>
    <cellStyle name="_TG-TH_3_Lora-tungchau" xfId="454" xr:uid="{00000000-0005-0000-0000-0000C4010000}"/>
    <cellStyle name="_TG-TH_3_Qt-HT3PQ1(CauKho)" xfId="455" xr:uid="{00000000-0005-0000-0000-0000C5010000}"/>
    <cellStyle name="_TG-TH_4" xfId="456" xr:uid="{00000000-0005-0000-0000-0000C6010000}"/>
    <cellStyle name="_Thau phu NCC" xfId="457" xr:uid="{00000000-0005-0000-0000-0000C7010000}"/>
    <cellStyle name="_THEP BINH TAY" xfId="458" xr:uid="{00000000-0005-0000-0000-0000C8010000}"/>
    <cellStyle name="_Thong tin chung Groz" xfId="459" xr:uid="{00000000-0005-0000-0000-0000C9010000}"/>
    <cellStyle name="_To Mr Cang -Cotecons Hanh phuc Hosp Dr" xfId="460" xr:uid="{00000000-0005-0000-0000-0000CA010000}"/>
    <cellStyle name="_TONG HOP BETONG HAI AU " xfId="461" xr:uid="{00000000-0005-0000-0000-0000CB010000}"/>
    <cellStyle name="_TUONG RAO" xfId="462" xr:uid="{00000000-0005-0000-0000-0000CC010000}"/>
    <cellStyle name="_TUONG RAO_1" xfId="463" xr:uid="{00000000-0005-0000-0000-0000CD010000}"/>
    <cellStyle name="_Villa A,B,C,D-Coteccons" xfId="464" xr:uid="{00000000-0005-0000-0000-0000CE010000}"/>
    <cellStyle name="_YC bao gia-Phan cong CV River Garden" xfId="465" xr:uid="{00000000-0005-0000-0000-0000CF010000}"/>
    <cellStyle name="_광안리내역서(구도)" xfId="466" xr:uid="{00000000-0005-0000-0000-0000D0010000}"/>
    <cellStyle name="~1" xfId="467" xr:uid="{00000000-0005-0000-0000-0000D1010000}"/>
    <cellStyle name="•W?_Format" xfId="468" xr:uid="{00000000-0005-0000-0000-0000D2010000}"/>
    <cellStyle name="•W€_Format" xfId="469" xr:uid="{00000000-0005-0000-0000-0000D3010000}"/>
    <cellStyle name="•W_Format" xfId="470" xr:uid="{00000000-0005-0000-0000-0000D4010000}"/>
    <cellStyle name="\¦ÏÝÌnCp[N" xfId="471" xr:uid="{00000000-0005-0000-0000-0000D5010000}"/>
    <cellStyle name="aOe [0.00]_s-ns-bq" xfId="472" xr:uid="{00000000-0005-0000-0000-0000D6010000}"/>
    <cellStyle name="aOe_s-ns-bq" xfId="473" xr:uid="{00000000-0005-0000-0000-0000D7010000}"/>
    <cellStyle name="EY [0.00]_CONDITION (2)" xfId="474" xr:uid="{00000000-0005-0000-0000-0000D8010000}"/>
    <cellStyle name="EY_CONDITION (2)" xfId="475" xr:uid="{00000000-0005-0000-0000-0000D9010000}"/>
    <cellStyle name="nCp[N" xfId="476" xr:uid="{00000000-0005-0000-0000-0000DA010000}"/>
    <cellStyle name="W_D8" xfId="477" xr:uid="{00000000-0005-0000-0000-0000DB010000}"/>
    <cellStyle name="1" xfId="478" xr:uid="{00000000-0005-0000-0000-0000DC010000}"/>
    <cellStyle name="1_kho luong bo sung ACMV" xfId="479" xr:uid="{00000000-0005-0000-0000-0000DD010000}"/>
    <cellStyle name="¹éºÐÀ²_      " xfId="480" xr:uid="{00000000-0005-0000-0000-0000DE010000}"/>
    <cellStyle name="2" xfId="481" xr:uid="{00000000-0005-0000-0000-0000DF010000}"/>
    <cellStyle name="20% - 輔色1" xfId="482" xr:uid="{00000000-0005-0000-0000-0000E0010000}"/>
    <cellStyle name="20% - 輔色2" xfId="483" xr:uid="{00000000-0005-0000-0000-0000E1010000}"/>
    <cellStyle name="20% - 輔色3" xfId="484" xr:uid="{00000000-0005-0000-0000-0000E2010000}"/>
    <cellStyle name="20% - 輔色4" xfId="485" xr:uid="{00000000-0005-0000-0000-0000E3010000}"/>
    <cellStyle name="20% - 輔色5" xfId="486" xr:uid="{00000000-0005-0000-0000-0000E4010000}"/>
    <cellStyle name="20% - 輔色6" xfId="487" xr:uid="{00000000-0005-0000-0000-0000E5010000}"/>
    <cellStyle name="3" xfId="488" xr:uid="{00000000-0005-0000-0000-0000E6010000}"/>
    <cellStyle name="4" xfId="489" xr:uid="{00000000-0005-0000-0000-0000E7010000}"/>
    <cellStyle name="40% - 輔色1" xfId="490" xr:uid="{00000000-0005-0000-0000-0000E8010000}"/>
    <cellStyle name="40% - 輔色2" xfId="491" xr:uid="{00000000-0005-0000-0000-0000E9010000}"/>
    <cellStyle name="40% - 輔色3" xfId="492" xr:uid="{00000000-0005-0000-0000-0000EA010000}"/>
    <cellStyle name="40% - 輔色4" xfId="493" xr:uid="{00000000-0005-0000-0000-0000EB010000}"/>
    <cellStyle name="40% - 輔色5" xfId="494" xr:uid="{00000000-0005-0000-0000-0000EC010000}"/>
    <cellStyle name="40% - 輔色6" xfId="495" xr:uid="{00000000-0005-0000-0000-0000ED010000}"/>
    <cellStyle name="60% - Accent1 2" xfId="496" xr:uid="{00000000-0005-0000-0000-0000EE010000}"/>
    <cellStyle name="60% - 輔色1" xfId="497" xr:uid="{00000000-0005-0000-0000-0000EF010000}"/>
    <cellStyle name="60% - 輔色2" xfId="498" xr:uid="{00000000-0005-0000-0000-0000F0010000}"/>
    <cellStyle name="60% - 輔色3" xfId="499" xr:uid="{00000000-0005-0000-0000-0000F1010000}"/>
    <cellStyle name="60% - 輔色4" xfId="500" xr:uid="{00000000-0005-0000-0000-0000F2010000}"/>
    <cellStyle name="60% - 輔色5" xfId="501" xr:uid="{00000000-0005-0000-0000-0000F3010000}"/>
    <cellStyle name="60% - 輔色6" xfId="502" xr:uid="{00000000-0005-0000-0000-0000F4010000}"/>
    <cellStyle name="Accent1 - 20%" xfId="503" xr:uid="{00000000-0005-0000-0000-0000F5010000}"/>
    <cellStyle name="Accent1 - 40%" xfId="504" xr:uid="{00000000-0005-0000-0000-0000F6010000}"/>
    <cellStyle name="Accent1 - 60%" xfId="505" xr:uid="{00000000-0005-0000-0000-0000F7010000}"/>
    <cellStyle name="Accent1 2" xfId="1" xr:uid="{00000000-0005-0000-0000-0000F8010000}"/>
    <cellStyle name="Accent2 - 20%" xfId="506" xr:uid="{00000000-0005-0000-0000-0000F9010000}"/>
    <cellStyle name="Accent2 - 40%" xfId="507" xr:uid="{00000000-0005-0000-0000-0000FA010000}"/>
    <cellStyle name="Accent2 - 60%" xfId="508" xr:uid="{00000000-0005-0000-0000-0000FB010000}"/>
    <cellStyle name="Accent3 - 20%" xfId="509" xr:uid="{00000000-0005-0000-0000-0000FC010000}"/>
    <cellStyle name="Accent3 - 40%" xfId="510" xr:uid="{00000000-0005-0000-0000-0000FD010000}"/>
    <cellStyle name="Accent3 - 60%" xfId="511" xr:uid="{00000000-0005-0000-0000-0000FE010000}"/>
    <cellStyle name="Accent4 - 20%" xfId="512" xr:uid="{00000000-0005-0000-0000-0000FF010000}"/>
    <cellStyle name="Accent4 - 40%" xfId="513" xr:uid="{00000000-0005-0000-0000-000000020000}"/>
    <cellStyle name="Accent4 - 60%" xfId="514" xr:uid="{00000000-0005-0000-0000-000001020000}"/>
    <cellStyle name="Accent5 - 20%" xfId="515" xr:uid="{00000000-0005-0000-0000-000002020000}"/>
    <cellStyle name="Accent5 - 40%" xfId="516" xr:uid="{00000000-0005-0000-0000-000003020000}"/>
    <cellStyle name="Accent5 - 60%" xfId="517" xr:uid="{00000000-0005-0000-0000-000004020000}"/>
    <cellStyle name="Accent6 - 20%" xfId="518" xr:uid="{00000000-0005-0000-0000-000005020000}"/>
    <cellStyle name="Accent6 - 40%" xfId="519" xr:uid="{00000000-0005-0000-0000-000006020000}"/>
    <cellStyle name="Accent6 - 60%" xfId="520" xr:uid="{00000000-0005-0000-0000-000007020000}"/>
    <cellStyle name="ÅëÈ­ [0]_      " xfId="521" xr:uid="{00000000-0005-0000-0000-000008020000}"/>
    <cellStyle name="AeE­ [0]_INQUIRY ¿?¾÷AßAø " xfId="522" xr:uid="{00000000-0005-0000-0000-000009020000}"/>
    <cellStyle name="ÅëÈ­ [0]_L601CPT" xfId="523" xr:uid="{00000000-0005-0000-0000-00000A020000}"/>
    <cellStyle name="ÅëÈ­_      " xfId="524" xr:uid="{00000000-0005-0000-0000-00000B020000}"/>
    <cellStyle name="AeE­_INQUIRY ¿?¾÷AßAø " xfId="525" xr:uid="{00000000-0005-0000-0000-00000C020000}"/>
    <cellStyle name="ÅëÈ­_L601CPT" xfId="526" xr:uid="{00000000-0005-0000-0000-00000D020000}"/>
    <cellStyle name="args.style" xfId="527" xr:uid="{00000000-0005-0000-0000-00000E020000}"/>
    <cellStyle name="ÄÞ¸¶ [0]_      " xfId="528" xr:uid="{00000000-0005-0000-0000-00000F020000}"/>
    <cellStyle name="AÞ¸¶ [0]_INQUIRY ¿?¾÷AßAø " xfId="529" xr:uid="{00000000-0005-0000-0000-000010020000}"/>
    <cellStyle name="ÄÞ¸¶ [0]_L601CPT" xfId="530" xr:uid="{00000000-0005-0000-0000-000011020000}"/>
    <cellStyle name="ÄÞ¸¶_      " xfId="531" xr:uid="{00000000-0005-0000-0000-000012020000}"/>
    <cellStyle name="AÞ¸¶_INQUIRY ¿?¾÷AßAø " xfId="532" xr:uid="{00000000-0005-0000-0000-000013020000}"/>
    <cellStyle name="ÄÞ¸¶_L601CPT" xfId="533" xr:uid="{00000000-0005-0000-0000-000014020000}"/>
    <cellStyle name="AutoFormat Options" xfId="534" xr:uid="{00000000-0005-0000-0000-000015020000}"/>
    <cellStyle name="Body" xfId="535" xr:uid="{00000000-0005-0000-0000-000016020000}"/>
    <cellStyle name="C?AØ_¿?¾÷CoE² " xfId="536" xr:uid="{00000000-0005-0000-0000-000017020000}"/>
    <cellStyle name="Ç¥ÁØ_      " xfId="537" xr:uid="{00000000-0005-0000-0000-000018020000}"/>
    <cellStyle name="C￥AØ_¿μ¾÷CoE² " xfId="538" xr:uid="{00000000-0005-0000-0000-000019020000}"/>
    <cellStyle name="Ç¥ÁØ_±¸¹Ì´ëÃ¥" xfId="539" xr:uid="{00000000-0005-0000-0000-00001A020000}"/>
    <cellStyle name="Calc Currency (0)" xfId="540" xr:uid="{00000000-0005-0000-0000-00001B020000}"/>
    <cellStyle name="Calc Currency (2)" xfId="541" xr:uid="{00000000-0005-0000-0000-00001C020000}"/>
    <cellStyle name="Calc Percent (0)" xfId="542" xr:uid="{00000000-0005-0000-0000-00001D020000}"/>
    <cellStyle name="Calc Percent (1)" xfId="543" xr:uid="{00000000-0005-0000-0000-00001E020000}"/>
    <cellStyle name="Calc Percent (2)" xfId="544" xr:uid="{00000000-0005-0000-0000-00001F020000}"/>
    <cellStyle name="Calc Units (0)" xfId="545" xr:uid="{00000000-0005-0000-0000-000020020000}"/>
    <cellStyle name="Calc Units (1)" xfId="546" xr:uid="{00000000-0005-0000-0000-000021020000}"/>
    <cellStyle name="Calc Units (2)" xfId="547" xr:uid="{00000000-0005-0000-0000-000022020000}"/>
    <cellStyle name="category" xfId="548" xr:uid="{00000000-0005-0000-0000-000023020000}"/>
    <cellStyle name="Cerrency_Sheet2_XANGDAU" xfId="549" xr:uid="{00000000-0005-0000-0000-000024020000}"/>
    <cellStyle name="Chi phÝ kh¸c_Book1" xfId="550" xr:uid="{00000000-0005-0000-0000-000025020000}"/>
    <cellStyle name="CHUONG" xfId="551" xr:uid="{00000000-0005-0000-0000-000026020000}"/>
    <cellStyle name="Column Header" xfId="552" xr:uid="{00000000-0005-0000-0000-000027020000}"/>
    <cellStyle name="Comma [0] 2" xfId="553" xr:uid="{00000000-0005-0000-0000-000028020000}"/>
    <cellStyle name="Comma [00]" xfId="554" xr:uid="{00000000-0005-0000-0000-000029020000}"/>
    <cellStyle name="Comma 10" xfId="555" xr:uid="{00000000-0005-0000-0000-00002A020000}"/>
    <cellStyle name="Comma 10 2 10" xfId="556" xr:uid="{00000000-0005-0000-0000-00002B020000}"/>
    <cellStyle name="Comma 10 2 2" xfId="557" xr:uid="{00000000-0005-0000-0000-00002C020000}"/>
    <cellStyle name="Comma 10 2 3" xfId="558" xr:uid="{00000000-0005-0000-0000-00002D020000}"/>
    <cellStyle name="Comma 11" xfId="559" xr:uid="{00000000-0005-0000-0000-00002E020000}"/>
    <cellStyle name="Comma 15" xfId="560" xr:uid="{00000000-0005-0000-0000-00002F020000}"/>
    <cellStyle name="Comma 16" xfId="561" xr:uid="{00000000-0005-0000-0000-000030020000}"/>
    <cellStyle name="Comma 2" xfId="562" xr:uid="{00000000-0005-0000-0000-000031020000}"/>
    <cellStyle name="Comma 2 10" xfId="563" xr:uid="{00000000-0005-0000-0000-000032020000}"/>
    <cellStyle name="Comma 2 11" xfId="564" xr:uid="{00000000-0005-0000-0000-000033020000}"/>
    <cellStyle name="Comma 2 2" xfId="565" xr:uid="{00000000-0005-0000-0000-000034020000}"/>
    <cellStyle name="Comma 2 2 2" xfId="566" xr:uid="{00000000-0005-0000-0000-000035020000}"/>
    <cellStyle name="Comma 2 2 3" xfId="567" xr:uid="{00000000-0005-0000-0000-000036020000}"/>
    <cellStyle name="Comma 2 3" xfId="568" xr:uid="{00000000-0005-0000-0000-000037020000}"/>
    <cellStyle name="Comma 2 4" xfId="569" xr:uid="{00000000-0005-0000-0000-000038020000}"/>
    <cellStyle name="Comma 2 5" xfId="570" xr:uid="{00000000-0005-0000-0000-000039020000}"/>
    <cellStyle name="Comma 2 6" xfId="571" xr:uid="{00000000-0005-0000-0000-00003A020000}"/>
    <cellStyle name="Comma 2 7" xfId="572" xr:uid="{00000000-0005-0000-0000-00003B020000}"/>
    <cellStyle name="Comma 2 8" xfId="573" xr:uid="{00000000-0005-0000-0000-00003C020000}"/>
    <cellStyle name="Comma 2 9" xfId="574" xr:uid="{00000000-0005-0000-0000-00003D020000}"/>
    <cellStyle name="Comma 2_Cau tao gia Arico T2-2009" xfId="575" xr:uid="{00000000-0005-0000-0000-00003E020000}"/>
    <cellStyle name="Comma 22" xfId="576" xr:uid="{00000000-0005-0000-0000-00003F020000}"/>
    <cellStyle name="Comma 3" xfId="577" xr:uid="{00000000-0005-0000-0000-000040020000}"/>
    <cellStyle name="Comma 3 10" xfId="578" xr:uid="{00000000-0005-0000-0000-000041020000}"/>
    <cellStyle name="Comma 3 2" xfId="579" xr:uid="{00000000-0005-0000-0000-000042020000}"/>
    <cellStyle name="Comma 3 2 2" xfId="580" xr:uid="{00000000-0005-0000-0000-000043020000}"/>
    <cellStyle name="Comma 3 3" xfId="581" xr:uid="{00000000-0005-0000-0000-000044020000}"/>
    <cellStyle name="Comma 3 4" xfId="582" xr:uid="{00000000-0005-0000-0000-000045020000}"/>
    <cellStyle name="Comma 3 5" xfId="583" xr:uid="{00000000-0005-0000-0000-000046020000}"/>
    <cellStyle name="Comma 3 6" xfId="584" xr:uid="{00000000-0005-0000-0000-000047020000}"/>
    <cellStyle name="Comma 3 7" xfId="585" xr:uid="{00000000-0005-0000-0000-000048020000}"/>
    <cellStyle name="Comma 3 8" xfId="586" xr:uid="{00000000-0005-0000-0000-000049020000}"/>
    <cellStyle name="Comma 3 9" xfId="587" xr:uid="{00000000-0005-0000-0000-00004A020000}"/>
    <cellStyle name="Comma 3_08  Bill of Quantities 2" xfId="588" xr:uid="{00000000-0005-0000-0000-00004B020000}"/>
    <cellStyle name="Comma 4" xfId="589" xr:uid="{00000000-0005-0000-0000-00004C020000}"/>
    <cellStyle name="Comma 4 10" xfId="590" xr:uid="{00000000-0005-0000-0000-00004D020000}"/>
    <cellStyle name="Comma 4 2" xfId="591" xr:uid="{00000000-0005-0000-0000-00004E020000}"/>
    <cellStyle name="Comma 4 3" xfId="592" xr:uid="{00000000-0005-0000-0000-00004F020000}"/>
    <cellStyle name="Comma 4 4" xfId="593" xr:uid="{00000000-0005-0000-0000-000050020000}"/>
    <cellStyle name="Comma 4 5" xfId="594" xr:uid="{00000000-0005-0000-0000-000051020000}"/>
    <cellStyle name="Comma 4 6" xfId="595" xr:uid="{00000000-0005-0000-0000-000052020000}"/>
    <cellStyle name="Comma 4 7" xfId="596" xr:uid="{00000000-0005-0000-0000-000053020000}"/>
    <cellStyle name="Comma 4 8" xfId="597" xr:uid="{00000000-0005-0000-0000-000054020000}"/>
    <cellStyle name="Comma 4 9" xfId="598" xr:uid="{00000000-0005-0000-0000-000055020000}"/>
    <cellStyle name="Comma 5" xfId="599" xr:uid="{00000000-0005-0000-0000-000056020000}"/>
    <cellStyle name="Comma 5 10" xfId="600" xr:uid="{00000000-0005-0000-0000-000057020000}"/>
    <cellStyle name="Comma 5 2" xfId="601" xr:uid="{00000000-0005-0000-0000-000058020000}"/>
    <cellStyle name="Comma 5 3" xfId="602" xr:uid="{00000000-0005-0000-0000-000059020000}"/>
    <cellStyle name="Comma 5 4" xfId="603" xr:uid="{00000000-0005-0000-0000-00005A020000}"/>
    <cellStyle name="Comma 5 5" xfId="604" xr:uid="{00000000-0005-0000-0000-00005B020000}"/>
    <cellStyle name="Comma 5 6" xfId="605" xr:uid="{00000000-0005-0000-0000-00005C020000}"/>
    <cellStyle name="Comma 5 7" xfId="606" xr:uid="{00000000-0005-0000-0000-00005D020000}"/>
    <cellStyle name="Comma 5 8" xfId="607" xr:uid="{00000000-0005-0000-0000-00005E020000}"/>
    <cellStyle name="Comma 5 9" xfId="608" xr:uid="{00000000-0005-0000-0000-00005F020000}"/>
    <cellStyle name="Comma 6" xfId="609" xr:uid="{00000000-0005-0000-0000-000060020000}"/>
    <cellStyle name="Comma 6 10" xfId="610" xr:uid="{00000000-0005-0000-0000-000061020000}"/>
    <cellStyle name="Comma 6 2" xfId="611" xr:uid="{00000000-0005-0000-0000-000062020000}"/>
    <cellStyle name="Comma 6 3" xfId="612" xr:uid="{00000000-0005-0000-0000-000063020000}"/>
    <cellStyle name="Comma 6 4" xfId="613" xr:uid="{00000000-0005-0000-0000-000064020000}"/>
    <cellStyle name="Comma 6 5" xfId="614" xr:uid="{00000000-0005-0000-0000-000065020000}"/>
    <cellStyle name="Comma 6 6" xfId="615" xr:uid="{00000000-0005-0000-0000-000066020000}"/>
    <cellStyle name="Comma 6 7" xfId="616" xr:uid="{00000000-0005-0000-0000-000067020000}"/>
    <cellStyle name="Comma 6 8" xfId="617" xr:uid="{00000000-0005-0000-0000-000068020000}"/>
    <cellStyle name="Comma 6 9" xfId="618" xr:uid="{00000000-0005-0000-0000-000069020000}"/>
    <cellStyle name="Comma 7" xfId="619" xr:uid="{00000000-0005-0000-0000-00006A020000}"/>
    <cellStyle name="Comma 7 2" xfId="620" xr:uid="{00000000-0005-0000-0000-00006B020000}"/>
    <cellStyle name="Comma 7 3" xfId="621" xr:uid="{00000000-0005-0000-0000-00006C020000}"/>
    <cellStyle name="Comma 8" xfId="622" xr:uid="{00000000-0005-0000-0000-00006D020000}"/>
    <cellStyle name="Comma 8 10" xfId="623" xr:uid="{00000000-0005-0000-0000-00006E020000}"/>
    <cellStyle name="Comma 8 2 2" xfId="624" xr:uid="{00000000-0005-0000-0000-00006F020000}"/>
    <cellStyle name="Comma 9" xfId="625" xr:uid="{00000000-0005-0000-0000-000070020000}"/>
    <cellStyle name="Comma 9 2" xfId="626" xr:uid="{00000000-0005-0000-0000-000071020000}"/>
    <cellStyle name="Comma 9 2 2" xfId="627" xr:uid="{00000000-0005-0000-0000-000072020000}"/>
    <cellStyle name="comma zerodec" xfId="628" xr:uid="{00000000-0005-0000-0000-000073020000}"/>
    <cellStyle name="Comma0" xfId="629" xr:uid="{00000000-0005-0000-0000-000074020000}"/>
    <cellStyle name="Copied" xfId="630" xr:uid="{00000000-0005-0000-0000-000075020000}"/>
    <cellStyle name="COST1" xfId="631" xr:uid="{00000000-0005-0000-0000-000076020000}"/>
    <cellStyle name="Currency [00]" xfId="632" xr:uid="{00000000-0005-0000-0000-000077020000}"/>
    <cellStyle name="Currency 2" xfId="633" xr:uid="{00000000-0005-0000-0000-000078020000}"/>
    <cellStyle name="Currency0" xfId="634" xr:uid="{00000000-0005-0000-0000-000079020000}"/>
    <cellStyle name="Currency1" xfId="635" xr:uid="{00000000-0005-0000-0000-00007A020000}"/>
    <cellStyle name="D$_x0004_P??_x0010__x000b_?_x0015_?$_x0004_?_x000f_?" xfId="636" xr:uid="{00000000-0005-0000-0000-00007B020000}"/>
    <cellStyle name="D$_x0004_P?_x0010__x000b_픲_x0015_딡$_x0004_뗈_x000f_?" xfId="637" xr:uid="{00000000-0005-0000-0000-00007C020000}"/>
    <cellStyle name="Date" xfId="638" xr:uid="{00000000-0005-0000-0000-00007D020000}"/>
    <cellStyle name="Date Short" xfId="639" xr:uid="{00000000-0005-0000-0000-00007E020000}"/>
    <cellStyle name="Date_Book1" xfId="640" xr:uid="{00000000-0005-0000-0000-00007F020000}"/>
    <cellStyle name="Dezimal [0]_ALLE_ITEMS_280800_EV_NL" xfId="641" xr:uid="{00000000-0005-0000-0000-000080020000}"/>
    <cellStyle name="Dezimal_AKE_100N" xfId="642" xr:uid="{00000000-0005-0000-0000-000081020000}"/>
    <cellStyle name="Dollar (zero dec)" xfId="643" xr:uid="{00000000-0005-0000-0000-000082020000}"/>
    <cellStyle name="Dziesi?tny [0]_Invoices2001Slovakia" xfId="644" xr:uid="{00000000-0005-0000-0000-000083020000}"/>
    <cellStyle name="Dziesi?tny_Invoices2001Slovakia" xfId="645" xr:uid="{00000000-0005-0000-0000-000084020000}"/>
    <cellStyle name="Dziesietny [0]_Invoices2001Slovakia" xfId="646" xr:uid="{00000000-0005-0000-0000-000085020000}"/>
    <cellStyle name="Dziesiętny [0]_Invoices2001Slovakia" xfId="647" xr:uid="{00000000-0005-0000-0000-000086020000}"/>
    <cellStyle name="Dziesietny [0]_Invoices2001Slovakia_01_Nha so 1_Dien" xfId="648" xr:uid="{00000000-0005-0000-0000-000087020000}"/>
    <cellStyle name="Dziesiętny [0]_Invoices2001Slovakia_01_Nha so 1_Dien" xfId="649" xr:uid="{00000000-0005-0000-0000-000088020000}"/>
    <cellStyle name="Dziesietny [0]_Invoices2001Slovakia_10_Nha so 10_Dien1" xfId="650" xr:uid="{00000000-0005-0000-0000-000089020000}"/>
    <cellStyle name="Dziesiętny [0]_Invoices2001Slovakia_10_Nha so 10_Dien1" xfId="651" xr:uid="{00000000-0005-0000-0000-00008A020000}"/>
    <cellStyle name="Dziesietny [0]_Invoices2001Slovakia_bang so sanh gia tri" xfId="652" xr:uid="{00000000-0005-0000-0000-00008B020000}"/>
    <cellStyle name="Dziesiętny [0]_Invoices2001Slovakia_Bao ve ss" xfId="653" xr:uid="{00000000-0005-0000-0000-00008C020000}"/>
    <cellStyle name="Dziesietny [0]_Invoices2001Slovakia_Book1" xfId="654" xr:uid="{00000000-0005-0000-0000-00008D020000}"/>
    <cellStyle name="Dziesiętny [0]_Invoices2001Slovakia_Book1" xfId="655" xr:uid="{00000000-0005-0000-0000-00008E020000}"/>
    <cellStyle name="Dziesietny [0]_Invoices2001Slovakia_Book1_1" xfId="656" xr:uid="{00000000-0005-0000-0000-00008F020000}"/>
    <cellStyle name="Dziesiętny [0]_Invoices2001Slovakia_Book1_1" xfId="657" xr:uid="{00000000-0005-0000-0000-000090020000}"/>
    <cellStyle name="Dziesietny [0]_Invoices2001Slovakia_Book1_1_Book1" xfId="658" xr:uid="{00000000-0005-0000-0000-000091020000}"/>
    <cellStyle name="Dziesiętny [0]_Invoices2001Slovakia_Book1_1_Book1" xfId="659" xr:uid="{00000000-0005-0000-0000-000092020000}"/>
    <cellStyle name="Dziesietny [0]_Invoices2001Slovakia_Book1_2" xfId="660" xr:uid="{00000000-0005-0000-0000-000093020000}"/>
    <cellStyle name="Dziesiętny [0]_Invoices2001Slovakia_Book1_2" xfId="661" xr:uid="{00000000-0005-0000-0000-000094020000}"/>
    <cellStyle name="Dziesietny [0]_Invoices2001Slovakia_Dien A3" xfId="662" xr:uid="{00000000-0005-0000-0000-000095020000}"/>
    <cellStyle name="Dziesiętny [0]_Invoices2001Slovakia_Nhalamviec VTC(25-1-05)" xfId="663" xr:uid="{00000000-0005-0000-0000-000096020000}"/>
    <cellStyle name="Dziesietny [0]_Invoices2001Slovakia_TDT KHANH HOA" xfId="664" xr:uid="{00000000-0005-0000-0000-000097020000}"/>
    <cellStyle name="Dziesiętny [0]_Invoices2001Slovakia_TDT KHANH HOA" xfId="665" xr:uid="{00000000-0005-0000-0000-000098020000}"/>
    <cellStyle name="Dziesietny [0]_Invoices2001Slovakia_TDT quangngai" xfId="666" xr:uid="{00000000-0005-0000-0000-000099020000}"/>
    <cellStyle name="Dziesiętny [0]_Invoices2001Slovakia_TDT quangngai" xfId="667" xr:uid="{00000000-0005-0000-0000-00009A020000}"/>
    <cellStyle name="Dziesietny [0]_Invoices2001Slovakia_TH ha tang ss" xfId="668" xr:uid="{00000000-0005-0000-0000-00009B020000}"/>
    <cellStyle name="Dziesiętny [0]_Invoices2001Slovakia_TH ha tang ss" xfId="669" xr:uid="{00000000-0005-0000-0000-00009C020000}"/>
    <cellStyle name="Dziesietny [0]_Invoices2001Slovakia_XD (mong+than A1) SS" xfId="670" xr:uid="{00000000-0005-0000-0000-00009D020000}"/>
    <cellStyle name="Dziesiętny [0]_Invoices2001Slovakia_XD( xu ly mong )A3ss" xfId="671" xr:uid="{00000000-0005-0000-0000-00009E020000}"/>
    <cellStyle name="Dziesietny_Invoices2001Slovakia" xfId="672" xr:uid="{00000000-0005-0000-0000-00009F020000}"/>
    <cellStyle name="Dziesiętny_Invoices2001Slovakia" xfId="673" xr:uid="{00000000-0005-0000-0000-0000A0020000}"/>
    <cellStyle name="Dziesietny_Invoices2001Slovakia_01_Nha so 1_Dien" xfId="674" xr:uid="{00000000-0005-0000-0000-0000A1020000}"/>
    <cellStyle name="Dziesiętny_Invoices2001Slovakia_01_Nha so 1_Dien" xfId="675" xr:uid="{00000000-0005-0000-0000-0000A2020000}"/>
    <cellStyle name="Dziesietny_Invoices2001Slovakia_10_Nha so 10_Dien1" xfId="676" xr:uid="{00000000-0005-0000-0000-0000A3020000}"/>
    <cellStyle name="Dziesiętny_Invoices2001Slovakia_10_Nha so 10_Dien1" xfId="677" xr:uid="{00000000-0005-0000-0000-0000A4020000}"/>
    <cellStyle name="Dziesietny_Invoices2001Slovakia_bang so sanh gia tri" xfId="678" xr:uid="{00000000-0005-0000-0000-0000A5020000}"/>
    <cellStyle name="Dziesiętny_Invoices2001Slovakia_Bao ve ss" xfId="679" xr:uid="{00000000-0005-0000-0000-0000A6020000}"/>
    <cellStyle name="Dziesietny_Invoices2001Slovakia_Book1" xfId="680" xr:uid="{00000000-0005-0000-0000-0000A7020000}"/>
    <cellStyle name="Dziesiętny_Invoices2001Slovakia_Book1" xfId="681" xr:uid="{00000000-0005-0000-0000-0000A8020000}"/>
    <cellStyle name="Dziesietny_Invoices2001Slovakia_Book1_1" xfId="682" xr:uid="{00000000-0005-0000-0000-0000A9020000}"/>
    <cellStyle name="Dziesiętny_Invoices2001Slovakia_Book1_1" xfId="683" xr:uid="{00000000-0005-0000-0000-0000AA020000}"/>
    <cellStyle name="Dziesietny_Invoices2001Slovakia_Book1_1_Book1" xfId="684" xr:uid="{00000000-0005-0000-0000-0000AB020000}"/>
    <cellStyle name="Dziesiętny_Invoices2001Slovakia_Book1_1_Book1" xfId="685" xr:uid="{00000000-0005-0000-0000-0000AC020000}"/>
    <cellStyle name="Dziesietny_Invoices2001Slovakia_Book1_2" xfId="686" xr:uid="{00000000-0005-0000-0000-0000AD020000}"/>
    <cellStyle name="Dziesiętny_Invoices2001Slovakia_Book1_2" xfId="687" xr:uid="{00000000-0005-0000-0000-0000AE020000}"/>
    <cellStyle name="Dziesietny_Invoices2001Slovakia_Dien A3" xfId="688" xr:uid="{00000000-0005-0000-0000-0000AF020000}"/>
    <cellStyle name="Dziesiętny_Invoices2001Slovakia_Nhalamviec VTC(25-1-05)" xfId="689" xr:uid="{00000000-0005-0000-0000-0000B0020000}"/>
    <cellStyle name="Dziesietny_Invoices2001Slovakia_TDT KHANH HOA" xfId="690" xr:uid="{00000000-0005-0000-0000-0000B1020000}"/>
    <cellStyle name="Dziesiętny_Invoices2001Slovakia_TDT KHANH HOA" xfId="691" xr:uid="{00000000-0005-0000-0000-0000B2020000}"/>
    <cellStyle name="Dziesietny_Invoices2001Slovakia_TDT quangngai" xfId="692" xr:uid="{00000000-0005-0000-0000-0000B3020000}"/>
    <cellStyle name="Dziesiętny_Invoices2001Slovakia_TDT quangngai" xfId="693" xr:uid="{00000000-0005-0000-0000-0000B4020000}"/>
    <cellStyle name="Dziesietny_Invoices2001Slovakia_TH ha tang ss" xfId="694" xr:uid="{00000000-0005-0000-0000-0000B5020000}"/>
    <cellStyle name="Dziesiętny_Invoices2001Slovakia_TH ha tang ss" xfId="695" xr:uid="{00000000-0005-0000-0000-0000B6020000}"/>
    <cellStyle name="Dziesietny_Invoices2001Slovakia_XD (mong+than A1) SS" xfId="696" xr:uid="{00000000-0005-0000-0000-0000B7020000}"/>
    <cellStyle name="Dziesiętny_Invoices2001Slovakia_XD( xu ly mong )A3ss" xfId="697" xr:uid="{00000000-0005-0000-0000-0000B8020000}"/>
    <cellStyle name="Emphasis 1" xfId="698" xr:uid="{00000000-0005-0000-0000-0000B9020000}"/>
    <cellStyle name="Emphasis 2" xfId="699" xr:uid="{00000000-0005-0000-0000-0000BA020000}"/>
    <cellStyle name="Emphasis 3" xfId="700" xr:uid="{00000000-0005-0000-0000-0000BB020000}"/>
    <cellStyle name="Enter Currency (0)" xfId="701" xr:uid="{00000000-0005-0000-0000-0000BC020000}"/>
    <cellStyle name="Enter Currency (2)" xfId="702" xr:uid="{00000000-0005-0000-0000-0000BD020000}"/>
    <cellStyle name="Enter Units (0)" xfId="703" xr:uid="{00000000-0005-0000-0000-0000BE020000}"/>
    <cellStyle name="Enter Units (1)" xfId="704" xr:uid="{00000000-0005-0000-0000-0000BF020000}"/>
    <cellStyle name="Enter Units (2)" xfId="705" xr:uid="{00000000-0005-0000-0000-0000C0020000}"/>
    <cellStyle name="Entered" xfId="706" xr:uid="{00000000-0005-0000-0000-0000C1020000}"/>
    <cellStyle name="Euro" xfId="707" xr:uid="{00000000-0005-0000-0000-0000C2020000}"/>
    <cellStyle name="Explanatory Text 2" xfId="708" xr:uid="{00000000-0005-0000-0000-0000C3020000}"/>
    <cellStyle name="Fixed" xfId="709" xr:uid="{00000000-0005-0000-0000-0000C4020000}"/>
    <cellStyle name="Grey" xfId="710" xr:uid="{00000000-0005-0000-0000-0000C5020000}"/>
    <cellStyle name="Group" xfId="711" xr:uid="{00000000-0005-0000-0000-0000C6020000}"/>
    <cellStyle name="ha" xfId="712" xr:uid="{00000000-0005-0000-0000-0000C7020000}"/>
    <cellStyle name="HEADER" xfId="713" xr:uid="{00000000-0005-0000-0000-0000C8020000}"/>
    <cellStyle name="Header1" xfId="714" xr:uid="{00000000-0005-0000-0000-0000C9020000}"/>
    <cellStyle name="Header2" xfId="715" xr:uid="{00000000-0005-0000-0000-0000CA020000}"/>
    <cellStyle name="Heading1" xfId="716" xr:uid="{00000000-0005-0000-0000-0000CB020000}"/>
    <cellStyle name="Heading1 1" xfId="717" xr:uid="{00000000-0005-0000-0000-0000CC020000}"/>
    <cellStyle name="Heading2" xfId="718" xr:uid="{00000000-0005-0000-0000-0000CD020000}"/>
    <cellStyle name="HUY" xfId="719" xr:uid="{00000000-0005-0000-0000-0000CE020000}"/>
    <cellStyle name="i phÝ kh¸c_B¶ng 2" xfId="720" xr:uid="{00000000-0005-0000-0000-0000CF020000}"/>
    <cellStyle name="I.3" xfId="721" xr:uid="{00000000-0005-0000-0000-0000D0020000}"/>
    <cellStyle name="i·0" xfId="722" xr:uid="{00000000-0005-0000-0000-0000D1020000}"/>
    <cellStyle name="ï-¾È»ê_BiÓu TB" xfId="723" xr:uid="{00000000-0005-0000-0000-0000D2020000}"/>
    <cellStyle name="Input [yellow]" xfId="724" xr:uid="{00000000-0005-0000-0000-0000D3020000}"/>
    <cellStyle name="Input 2" xfId="725" xr:uid="{00000000-0005-0000-0000-0000D4020000}"/>
    <cellStyle name="Input Cells" xfId="726" xr:uid="{00000000-0005-0000-0000-0000D5020000}"/>
    <cellStyle name="kh¸c_Bang Chi tieu" xfId="727" xr:uid="{00000000-0005-0000-0000-0000D6020000}"/>
    <cellStyle name="khanh" xfId="728" xr:uid="{00000000-0005-0000-0000-0000D7020000}"/>
    <cellStyle name="Ledger 17 x 11 in" xfId="729" xr:uid="{00000000-0005-0000-0000-0000D8020000}"/>
    <cellStyle name="linh" xfId="730" xr:uid="{00000000-0005-0000-0000-0000D9020000}"/>
    <cellStyle name="Link Currency (0)" xfId="731" xr:uid="{00000000-0005-0000-0000-0000DA020000}"/>
    <cellStyle name="Link Currency (2)" xfId="732" xr:uid="{00000000-0005-0000-0000-0000DB020000}"/>
    <cellStyle name="Link Units (0)" xfId="733" xr:uid="{00000000-0005-0000-0000-0000DC020000}"/>
    <cellStyle name="Link Units (1)" xfId="734" xr:uid="{00000000-0005-0000-0000-0000DD020000}"/>
    <cellStyle name="Link Units (2)" xfId="735" xr:uid="{00000000-0005-0000-0000-0000DE020000}"/>
    <cellStyle name="Linked Cells" xfId="736" xr:uid="{00000000-0005-0000-0000-0000DF020000}"/>
    <cellStyle name="Millares [0]_Well Timing" xfId="737" xr:uid="{00000000-0005-0000-0000-0000E0020000}"/>
    <cellStyle name="Millares_Well Timing" xfId="738" xr:uid="{00000000-0005-0000-0000-0000E1020000}"/>
    <cellStyle name="Milliers [0]_!!!GO" xfId="739" xr:uid="{00000000-0005-0000-0000-0000E2020000}"/>
    <cellStyle name="Milliers_!!!GO" xfId="740" xr:uid="{00000000-0005-0000-0000-0000E3020000}"/>
    <cellStyle name="Model" xfId="741" xr:uid="{00000000-0005-0000-0000-0000E4020000}"/>
    <cellStyle name="Mon?aire [0]_!!!GO" xfId="742" xr:uid="{00000000-0005-0000-0000-0000E5020000}"/>
    <cellStyle name="Mon?aire_!!!GO" xfId="743" xr:uid="{00000000-0005-0000-0000-0000E6020000}"/>
    <cellStyle name="Moneda [0]_Well Timing" xfId="744" xr:uid="{00000000-0005-0000-0000-0000E7020000}"/>
    <cellStyle name="Moneda_Well Timing" xfId="745" xr:uid="{00000000-0005-0000-0000-0000E8020000}"/>
    <cellStyle name="Monétaire [0]_TARIFFS DB" xfId="746" xr:uid="{00000000-0005-0000-0000-0000E9020000}"/>
    <cellStyle name="Monétaire_TARIFFS DB" xfId="747" xr:uid="{00000000-0005-0000-0000-0000EA020000}"/>
    <cellStyle name="n" xfId="748" xr:uid="{00000000-0005-0000-0000-0000EB020000}"/>
    <cellStyle name="n_CROWN WELL 冠威報價單20071015" xfId="749" xr:uid="{00000000-0005-0000-0000-0000EC020000}"/>
    <cellStyle name="New Times Roman" xfId="750" xr:uid="{00000000-0005-0000-0000-0000ED020000}"/>
    <cellStyle name="no dec" xfId="751" xr:uid="{00000000-0005-0000-0000-0000EE020000}"/>
    <cellStyle name="Non défini" xfId="752" xr:uid="{00000000-0005-0000-0000-0000EF020000}"/>
    <cellStyle name="ÑONVÒ" xfId="753" xr:uid="{00000000-0005-0000-0000-0000F0020000}"/>
    <cellStyle name="Normal" xfId="0" builtinId="0"/>
    <cellStyle name="Normal - Style1" xfId="754" xr:uid="{00000000-0005-0000-0000-0000F2020000}"/>
    <cellStyle name="Normal - Style2" xfId="755" xr:uid="{00000000-0005-0000-0000-0000F3020000}"/>
    <cellStyle name="Normal - Style3" xfId="756" xr:uid="{00000000-0005-0000-0000-0000F4020000}"/>
    <cellStyle name="Normal - Style4" xfId="757" xr:uid="{00000000-0005-0000-0000-0000F5020000}"/>
    <cellStyle name="Normal - Style5" xfId="758" xr:uid="{00000000-0005-0000-0000-0000F6020000}"/>
    <cellStyle name="Normal - Style6" xfId="759" xr:uid="{00000000-0005-0000-0000-0000F7020000}"/>
    <cellStyle name="Normal - Style7" xfId="760" xr:uid="{00000000-0005-0000-0000-0000F8020000}"/>
    <cellStyle name="Normal - Style8" xfId="761" xr:uid="{00000000-0005-0000-0000-0000F9020000}"/>
    <cellStyle name="Normal - 유형1" xfId="762" xr:uid="{00000000-0005-0000-0000-0000FA020000}"/>
    <cellStyle name="Normal 10" xfId="763" xr:uid="{00000000-0005-0000-0000-0000FB020000}"/>
    <cellStyle name="Normal 12" xfId="764" xr:uid="{00000000-0005-0000-0000-0000FC020000}"/>
    <cellStyle name="Normal 13" xfId="765" xr:uid="{00000000-0005-0000-0000-0000FD020000}"/>
    <cellStyle name="Normal 14" xfId="766" xr:uid="{00000000-0005-0000-0000-0000FE020000}"/>
    <cellStyle name="Normal 16" xfId="767" xr:uid="{00000000-0005-0000-0000-0000FF020000}"/>
    <cellStyle name="Normal 2" xfId="768" xr:uid="{00000000-0005-0000-0000-000000030000}"/>
    <cellStyle name="Normal 2 10" xfId="769" xr:uid="{00000000-0005-0000-0000-000001030000}"/>
    <cellStyle name="Normal 2 11" xfId="770" xr:uid="{00000000-0005-0000-0000-000002030000}"/>
    <cellStyle name="Normal 2 2" xfId="771" xr:uid="{00000000-0005-0000-0000-000003030000}"/>
    <cellStyle name="Normal 2 2 10" xfId="772" xr:uid="{00000000-0005-0000-0000-000004030000}"/>
    <cellStyle name="Normal 2 2 2" xfId="773" xr:uid="{00000000-0005-0000-0000-000005030000}"/>
    <cellStyle name="Normal 2 2 3" xfId="774" xr:uid="{00000000-0005-0000-0000-000006030000}"/>
    <cellStyle name="Normal 2 2 4" xfId="775" xr:uid="{00000000-0005-0000-0000-000007030000}"/>
    <cellStyle name="Normal 2 2 5" xfId="776" xr:uid="{00000000-0005-0000-0000-000008030000}"/>
    <cellStyle name="Normal 2 2 6" xfId="777" xr:uid="{00000000-0005-0000-0000-000009030000}"/>
    <cellStyle name="Normal 2 2 7" xfId="778" xr:uid="{00000000-0005-0000-0000-00000A030000}"/>
    <cellStyle name="Normal 2 2 8" xfId="779" xr:uid="{00000000-0005-0000-0000-00000B030000}"/>
    <cellStyle name="Normal 2 2 9" xfId="780" xr:uid="{00000000-0005-0000-0000-00000C030000}"/>
    <cellStyle name="Normal 2 3" xfId="781" xr:uid="{00000000-0005-0000-0000-00000D030000}"/>
    <cellStyle name="Normal 2 38" xfId="782" xr:uid="{00000000-0005-0000-0000-00000E030000}"/>
    <cellStyle name="Normal 2 38 3" xfId="783" xr:uid="{00000000-0005-0000-0000-00000F030000}"/>
    <cellStyle name="Normal 2 4" xfId="784" xr:uid="{00000000-0005-0000-0000-000010030000}"/>
    <cellStyle name="Normal 2 5" xfId="785" xr:uid="{00000000-0005-0000-0000-000011030000}"/>
    <cellStyle name="Normal 2 6" xfId="786" xr:uid="{00000000-0005-0000-0000-000012030000}"/>
    <cellStyle name="Normal 2 7" xfId="787" xr:uid="{00000000-0005-0000-0000-000013030000}"/>
    <cellStyle name="Normal 2 8" xfId="788" xr:uid="{00000000-0005-0000-0000-000014030000}"/>
    <cellStyle name="Normal 2 9" xfId="789" xr:uid="{00000000-0005-0000-0000-000015030000}"/>
    <cellStyle name="Normal 2_08  Bill of Quantities 2" xfId="790" xr:uid="{00000000-0005-0000-0000-000016030000}"/>
    <cellStyle name="Normal 20" xfId="791" xr:uid="{00000000-0005-0000-0000-000017030000}"/>
    <cellStyle name="Normal 21" xfId="792" xr:uid="{00000000-0005-0000-0000-000018030000}"/>
    <cellStyle name="Normal 22" xfId="793" xr:uid="{00000000-0005-0000-0000-000019030000}"/>
    <cellStyle name="Normal 22 2" xfId="794" xr:uid="{00000000-0005-0000-0000-00001A030000}"/>
    <cellStyle name="Normal 3" xfId="795" xr:uid="{00000000-0005-0000-0000-00001B030000}"/>
    <cellStyle name="Normal 3 10" xfId="796" xr:uid="{00000000-0005-0000-0000-00001C030000}"/>
    <cellStyle name="Normal 3 2" xfId="797" xr:uid="{00000000-0005-0000-0000-00001D030000}"/>
    <cellStyle name="Normal 3 3" xfId="798" xr:uid="{00000000-0005-0000-0000-00001E030000}"/>
    <cellStyle name="Normal 3 4" xfId="799" xr:uid="{00000000-0005-0000-0000-00001F030000}"/>
    <cellStyle name="Normal 3 5" xfId="800" xr:uid="{00000000-0005-0000-0000-000020030000}"/>
    <cellStyle name="Normal 3 6" xfId="801" xr:uid="{00000000-0005-0000-0000-000021030000}"/>
    <cellStyle name="Normal 3 7" xfId="802" xr:uid="{00000000-0005-0000-0000-000022030000}"/>
    <cellStyle name="Normal 3 8" xfId="803" xr:uid="{00000000-0005-0000-0000-000023030000}"/>
    <cellStyle name="Normal 3 9" xfId="804" xr:uid="{00000000-0005-0000-0000-000024030000}"/>
    <cellStyle name="Normal 4" xfId="805" xr:uid="{00000000-0005-0000-0000-000025030000}"/>
    <cellStyle name="Normal 4 10" xfId="806" xr:uid="{00000000-0005-0000-0000-000026030000}"/>
    <cellStyle name="Normal 4 2" xfId="807" xr:uid="{00000000-0005-0000-0000-000027030000}"/>
    <cellStyle name="Normal 4 3" xfId="808" xr:uid="{00000000-0005-0000-0000-000028030000}"/>
    <cellStyle name="Normal 4 4" xfId="809" xr:uid="{00000000-0005-0000-0000-000029030000}"/>
    <cellStyle name="Normal 4 5" xfId="810" xr:uid="{00000000-0005-0000-0000-00002A030000}"/>
    <cellStyle name="Normal 4 6" xfId="811" xr:uid="{00000000-0005-0000-0000-00002B030000}"/>
    <cellStyle name="Normal 4 7" xfId="812" xr:uid="{00000000-0005-0000-0000-00002C030000}"/>
    <cellStyle name="Normal 4 8" xfId="813" xr:uid="{00000000-0005-0000-0000-00002D030000}"/>
    <cellStyle name="Normal 4 9" xfId="814" xr:uid="{00000000-0005-0000-0000-00002E030000}"/>
    <cellStyle name="Normal 5" xfId="815" xr:uid="{00000000-0005-0000-0000-00002F030000}"/>
    <cellStyle name="Normal 5 2" xfId="816" xr:uid="{00000000-0005-0000-0000-000030030000}"/>
    <cellStyle name="Normal 5 3" xfId="817" xr:uid="{00000000-0005-0000-0000-000031030000}"/>
    <cellStyle name="Normal 5 3 2" xfId="818" xr:uid="{00000000-0005-0000-0000-000032030000}"/>
    <cellStyle name="Normal 5 3 3" xfId="819" xr:uid="{00000000-0005-0000-0000-000033030000}"/>
    <cellStyle name="Normal 6" xfId="820" xr:uid="{00000000-0005-0000-0000-000034030000}"/>
    <cellStyle name="Normal 7" xfId="821" xr:uid="{00000000-0005-0000-0000-000035030000}"/>
    <cellStyle name="Normal 7 3" xfId="822" xr:uid="{00000000-0005-0000-0000-000036030000}"/>
    <cellStyle name="Normal 8" xfId="823" xr:uid="{00000000-0005-0000-0000-000037030000}"/>
    <cellStyle name="Normal 9" xfId="1309" xr:uid="{8D212183-4211-4B47-83BF-376516950CC9}"/>
    <cellStyle name="Normal_Lech tam xien" xfId="1308" xr:uid="{BD583407-2002-455F-B2A9-4B6AC31DA63F}"/>
    <cellStyle name="Normal1" xfId="824" xr:uid="{00000000-0005-0000-0000-000038030000}"/>
    <cellStyle name="Normalny_Cennik obowiazuje od 06-08-2001 r (1)" xfId="825" xr:uid="{00000000-0005-0000-0000-000039030000}"/>
    <cellStyle name="Note 2" xfId="826" xr:uid="{00000000-0005-0000-0000-00003A030000}"/>
    <cellStyle name="NWM" xfId="827" xr:uid="{00000000-0005-0000-0000-00003B030000}"/>
    <cellStyle name="omma [0]_Mktg Prog" xfId="828" xr:uid="{00000000-0005-0000-0000-00003C030000}"/>
    <cellStyle name="ormal_Sheet1_1" xfId="829" xr:uid="{00000000-0005-0000-0000-00003D030000}"/>
    <cellStyle name="Output 2" xfId="830" xr:uid="{00000000-0005-0000-0000-00003E030000}"/>
    <cellStyle name="per.style" xfId="831" xr:uid="{00000000-0005-0000-0000-00003F030000}"/>
    <cellStyle name="Percent [0]" xfId="832" xr:uid="{00000000-0005-0000-0000-000040030000}"/>
    <cellStyle name="Percent [00]" xfId="833" xr:uid="{00000000-0005-0000-0000-000041030000}"/>
    <cellStyle name="Percent [2]" xfId="834" xr:uid="{00000000-0005-0000-0000-000042030000}"/>
    <cellStyle name="Percent 2" xfId="835" xr:uid="{00000000-0005-0000-0000-000043030000}"/>
    <cellStyle name="Percent 2 10" xfId="836" xr:uid="{00000000-0005-0000-0000-000044030000}"/>
    <cellStyle name="Percent 2 2" xfId="837" xr:uid="{00000000-0005-0000-0000-000045030000}"/>
    <cellStyle name="Percent 2 2 2" xfId="838" xr:uid="{00000000-0005-0000-0000-000046030000}"/>
    <cellStyle name="Percent 2 3" xfId="839" xr:uid="{00000000-0005-0000-0000-000047030000}"/>
    <cellStyle name="Percent 2 4" xfId="840" xr:uid="{00000000-0005-0000-0000-000048030000}"/>
    <cellStyle name="Percent 2 5" xfId="841" xr:uid="{00000000-0005-0000-0000-000049030000}"/>
    <cellStyle name="Percent 2 6" xfId="842" xr:uid="{00000000-0005-0000-0000-00004A030000}"/>
    <cellStyle name="Percent 2 7" xfId="843" xr:uid="{00000000-0005-0000-0000-00004B030000}"/>
    <cellStyle name="Percent 2 8" xfId="844" xr:uid="{00000000-0005-0000-0000-00004C030000}"/>
    <cellStyle name="Percent 2 9" xfId="845" xr:uid="{00000000-0005-0000-0000-00004D030000}"/>
    <cellStyle name="Percent 3" xfId="846" xr:uid="{00000000-0005-0000-0000-00004E030000}"/>
    <cellStyle name="Percent 35" xfId="847" xr:uid="{00000000-0005-0000-0000-00004F030000}"/>
    <cellStyle name="Percent 4" xfId="848" xr:uid="{00000000-0005-0000-0000-000050030000}"/>
    <cellStyle name="Percent 5" xfId="849" xr:uid="{00000000-0005-0000-0000-000051030000}"/>
    <cellStyle name="PERCENTAGE" xfId="850" xr:uid="{00000000-0005-0000-0000-000052030000}"/>
    <cellStyle name="PrePop Currency (0)" xfId="851" xr:uid="{00000000-0005-0000-0000-000053030000}"/>
    <cellStyle name="PrePop Currency (2)" xfId="852" xr:uid="{00000000-0005-0000-0000-000054030000}"/>
    <cellStyle name="PrePop Units (0)" xfId="853" xr:uid="{00000000-0005-0000-0000-000055030000}"/>
    <cellStyle name="PrePop Units (1)" xfId="854" xr:uid="{00000000-0005-0000-0000-000056030000}"/>
    <cellStyle name="PrePop Units (2)" xfId="855" xr:uid="{00000000-0005-0000-0000-000057030000}"/>
    <cellStyle name="pricing" xfId="856" xr:uid="{00000000-0005-0000-0000-000058030000}"/>
    <cellStyle name="PSChar" xfId="857" xr:uid="{00000000-0005-0000-0000-000059030000}"/>
    <cellStyle name="RevList" xfId="858" xr:uid="{00000000-0005-0000-0000-00005A030000}"/>
    <cellStyle name="S—_x0008_" xfId="859" xr:uid="{00000000-0005-0000-0000-00005B030000}"/>
    <cellStyle name="s1" xfId="860" xr:uid="{00000000-0005-0000-0000-00005C030000}"/>
    <cellStyle name="SAPBEXaggData" xfId="861" xr:uid="{00000000-0005-0000-0000-00005D030000}"/>
    <cellStyle name="SAPBEXaggDataEmph" xfId="862" xr:uid="{00000000-0005-0000-0000-00005E030000}"/>
    <cellStyle name="SAPBEXaggItem" xfId="863" xr:uid="{00000000-0005-0000-0000-00005F030000}"/>
    <cellStyle name="SAPBEXchaText" xfId="864" xr:uid="{00000000-0005-0000-0000-000060030000}"/>
    <cellStyle name="SAPBEXexcBad7" xfId="865" xr:uid="{00000000-0005-0000-0000-000061030000}"/>
    <cellStyle name="SAPBEXexcBad8" xfId="866" xr:uid="{00000000-0005-0000-0000-000062030000}"/>
    <cellStyle name="SAPBEXexcBad9" xfId="867" xr:uid="{00000000-0005-0000-0000-000063030000}"/>
    <cellStyle name="SAPBEXexcCritical4" xfId="868" xr:uid="{00000000-0005-0000-0000-000064030000}"/>
    <cellStyle name="SAPBEXexcCritical5" xfId="869" xr:uid="{00000000-0005-0000-0000-000065030000}"/>
    <cellStyle name="SAPBEXexcCritical6" xfId="870" xr:uid="{00000000-0005-0000-0000-000066030000}"/>
    <cellStyle name="SAPBEXexcGood1" xfId="871" xr:uid="{00000000-0005-0000-0000-000067030000}"/>
    <cellStyle name="SAPBEXexcGood2" xfId="872" xr:uid="{00000000-0005-0000-0000-000068030000}"/>
    <cellStyle name="SAPBEXexcGood3" xfId="873" xr:uid="{00000000-0005-0000-0000-000069030000}"/>
    <cellStyle name="SAPBEXfilterDrill" xfId="874" xr:uid="{00000000-0005-0000-0000-00006A030000}"/>
    <cellStyle name="SAPBEXfilterItem" xfId="875" xr:uid="{00000000-0005-0000-0000-00006B030000}"/>
    <cellStyle name="SAPBEXfilterText" xfId="876" xr:uid="{00000000-0005-0000-0000-00006C030000}"/>
    <cellStyle name="SAPBEXformats" xfId="877" xr:uid="{00000000-0005-0000-0000-00006D030000}"/>
    <cellStyle name="SAPBEXheaderItem" xfId="878" xr:uid="{00000000-0005-0000-0000-00006E030000}"/>
    <cellStyle name="SAPBEXheaderText" xfId="879" xr:uid="{00000000-0005-0000-0000-00006F030000}"/>
    <cellStyle name="SAPBEXresData" xfId="880" xr:uid="{00000000-0005-0000-0000-000070030000}"/>
    <cellStyle name="SAPBEXresDataEmph" xfId="881" xr:uid="{00000000-0005-0000-0000-000071030000}"/>
    <cellStyle name="SAPBEXresItem" xfId="882" xr:uid="{00000000-0005-0000-0000-000072030000}"/>
    <cellStyle name="SAPBEXstdData" xfId="883" xr:uid="{00000000-0005-0000-0000-000073030000}"/>
    <cellStyle name="SAPBEXstdDataEmph" xfId="884" xr:uid="{00000000-0005-0000-0000-000074030000}"/>
    <cellStyle name="SAPBEXstdItem" xfId="885" xr:uid="{00000000-0005-0000-0000-000075030000}"/>
    <cellStyle name="SAPBEXtitle" xfId="886" xr:uid="{00000000-0005-0000-0000-000076030000}"/>
    <cellStyle name="SAPBEXundefined" xfId="887" xr:uid="{00000000-0005-0000-0000-000077030000}"/>
    <cellStyle name="Sheet Title" xfId="888" xr:uid="{00000000-0005-0000-0000-000078030000}"/>
    <cellStyle name="Siêu nối kết_ÿÿÿÿÿ" xfId="889" xr:uid="{00000000-0005-0000-0000-000079030000}"/>
    <cellStyle name="Standaard 2" xfId="890" xr:uid="{00000000-0005-0000-0000-00007A030000}"/>
    <cellStyle name="Standard_AAbgleich" xfId="891" xr:uid="{00000000-0005-0000-0000-00007B030000}"/>
    <cellStyle name="Style 1" xfId="892" xr:uid="{00000000-0005-0000-0000-00007C030000}"/>
    <cellStyle name="Style 1 10" xfId="893" xr:uid="{00000000-0005-0000-0000-00007D030000}"/>
    <cellStyle name="Style 1 11" xfId="894" xr:uid="{00000000-0005-0000-0000-00007E030000}"/>
    <cellStyle name="Style 1 2" xfId="895" xr:uid="{00000000-0005-0000-0000-00007F030000}"/>
    <cellStyle name="Style 1 3" xfId="896" xr:uid="{00000000-0005-0000-0000-000080030000}"/>
    <cellStyle name="Style 1 4" xfId="897" xr:uid="{00000000-0005-0000-0000-000081030000}"/>
    <cellStyle name="Style 1 5" xfId="898" xr:uid="{00000000-0005-0000-0000-000082030000}"/>
    <cellStyle name="Style 1 6" xfId="899" xr:uid="{00000000-0005-0000-0000-000083030000}"/>
    <cellStyle name="Style 1 7" xfId="900" xr:uid="{00000000-0005-0000-0000-000084030000}"/>
    <cellStyle name="Style 1 8" xfId="901" xr:uid="{00000000-0005-0000-0000-000085030000}"/>
    <cellStyle name="Style 1 9" xfId="902" xr:uid="{00000000-0005-0000-0000-000086030000}"/>
    <cellStyle name="Style 10" xfId="903" xr:uid="{00000000-0005-0000-0000-000087030000}"/>
    <cellStyle name="Style 11" xfId="904" xr:uid="{00000000-0005-0000-0000-000088030000}"/>
    <cellStyle name="Style 12" xfId="905" xr:uid="{00000000-0005-0000-0000-000089030000}"/>
    <cellStyle name="Style 13" xfId="906" xr:uid="{00000000-0005-0000-0000-00008A030000}"/>
    <cellStyle name="Style 14" xfId="907" xr:uid="{00000000-0005-0000-0000-00008B030000}"/>
    <cellStyle name="Style 15" xfId="908" xr:uid="{00000000-0005-0000-0000-00008C030000}"/>
    <cellStyle name="Style 16" xfId="909" xr:uid="{00000000-0005-0000-0000-00008D030000}"/>
    <cellStyle name="Style 17" xfId="910" xr:uid="{00000000-0005-0000-0000-00008E030000}"/>
    <cellStyle name="Style 18" xfId="911" xr:uid="{00000000-0005-0000-0000-00008F030000}"/>
    <cellStyle name="Style 19" xfId="912" xr:uid="{00000000-0005-0000-0000-000090030000}"/>
    <cellStyle name="Style 2" xfId="913" xr:uid="{00000000-0005-0000-0000-000091030000}"/>
    <cellStyle name="Style 20" xfId="914" xr:uid="{00000000-0005-0000-0000-000092030000}"/>
    <cellStyle name="Style 21" xfId="915" xr:uid="{00000000-0005-0000-0000-000093030000}"/>
    <cellStyle name="Style 22" xfId="916" xr:uid="{00000000-0005-0000-0000-000094030000}"/>
    <cellStyle name="Style 23" xfId="917" xr:uid="{00000000-0005-0000-0000-000095030000}"/>
    <cellStyle name="Style 24" xfId="918" xr:uid="{00000000-0005-0000-0000-000096030000}"/>
    <cellStyle name="Style 25" xfId="919" xr:uid="{00000000-0005-0000-0000-000097030000}"/>
    <cellStyle name="Style 26" xfId="920" xr:uid="{00000000-0005-0000-0000-000098030000}"/>
    <cellStyle name="Style 27" xfId="921" xr:uid="{00000000-0005-0000-0000-000099030000}"/>
    <cellStyle name="Style 28" xfId="922" xr:uid="{00000000-0005-0000-0000-00009A030000}"/>
    <cellStyle name="Style 29" xfId="923" xr:uid="{00000000-0005-0000-0000-00009B030000}"/>
    <cellStyle name="Style 3" xfId="924" xr:uid="{00000000-0005-0000-0000-00009C030000}"/>
    <cellStyle name="Style 30" xfId="925" xr:uid="{00000000-0005-0000-0000-00009D030000}"/>
    <cellStyle name="Style 31" xfId="926" xr:uid="{00000000-0005-0000-0000-00009E030000}"/>
    <cellStyle name="Style 32" xfId="927" xr:uid="{00000000-0005-0000-0000-00009F030000}"/>
    <cellStyle name="Style 33" xfId="928" xr:uid="{00000000-0005-0000-0000-0000A0030000}"/>
    <cellStyle name="Style 34" xfId="929" xr:uid="{00000000-0005-0000-0000-0000A1030000}"/>
    <cellStyle name="Style 35" xfId="930" xr:uid="{00000000-0005-0000-0000-0000A2030000}"/>
    <cellStyle name="Style 36" xfId="931" xr:uid="{00000000-0005-0000-0000-0000A3030000}"/>
    <cellStyle name="Style 37" xfId="932" xr:uid="{00000000-0005-0000-0000-0000A4030000}"/>
    <cellStyle name="Style 38" xfId="933" xr:uid="{00000000-0005-0000-0000-0000A5030000}"/>
    <cellStyle name="Style 39" xfId="934" xr:uid="{00000000-0005-0000-0000-0000A6030000}"/>
    <cellStyle name="Style 4" xfId="935" xr:uid="{00000000-0005-0000-0000-0000A7030000}"/>
    <cellStyle name="Style 40" xfId="936" xr:uid="{00000000-0005-0000-0000-0000A8030000}"/>
    <cellStyle name="Style 41" xfId="937" xr:uid="{00000000-0005-0000-0000-0000A9030000}"/>
    <cellStyle name="Style 42" xfId="938" xr:uid="{00000000-0005-0000-0000-0000AA030000}"/>
    <cellStyle name="Style 43" xfId="939" xr:uid="{00000000-0005-0000-0000-0000AB030000}"/>
    <cellStyle name="Style 44" xfId="940" xr:uid="{00000000-0005-0000-0000-0000AC030000}"/>
    <cellStyle name="Style 45" xfId="941" xr:uid="{00000000-0005-0000-0000-0000AD030000}"/>
    <cellStyle name="Style 46" xfId="942" xr:uid="{00000000-0005-0000-0000-0000AE030000}"/>
    <cellStyle name="Style 47" xfId="943" xr:uid="{00000000-0005-0000-0000-0000AF030000}"/>
    <cellStyle name="Style 48" xfId="944" xr:uid="{00000000-0005-0000-0000-0000B0030000}"/>
    <cellStyle name="Style 49" xfId="945" xr:uid="{00000000-0005-0000-0000-0000B1030000}"/>
    <cellStyle name="Style 5" xfId="946" xr:uid="{00000000-0005-0000-0000-0000B2030000}"/>
    <cellStyle name="Style 50" xfId="947" xr:uid="{00000000-0005-0000-0000-0000B3030000}"/>
    <cellStyle name="Style 51" xfId="948" xr:uid="{00000000-0005-0000-0000-0000B4030000}"/>
    <cellStyle name="Style 52" xfId="949" xr:uid="{00000000-0005-0000-0000-0000B5030000}"/>
    <cellStyle name="Style 53" xfId="950" xr:uid="{00000000-0005-0000-0000-0000B6030000}"/>
    <cellStyle name="Style 54" xfId="951" xr:uid="{00000000-0005-0000-0000-0000B7030000}"/>
    <cellStyle name="Style 55" xfId="952" xr:uid="{00000000-0005-0000-0000-0000B8030000}"/>
    <cellStyle name="Style 56" xfId="953" xr:uid="{00000000-0005-0000-0000-0000B9030000}"/>
    <cellStyle name="Style 57" xfId="954" xr:uid="{00000000-0005-0000-0000-0000BA030000}"/>
    <cellStyle name="Style 58" xfId="955" xr:uid="{00000000-0005-0000-0000-0000BB030000}"/>
    <cellStyle name="Style 59" xfId="956" xr:uid="{00000000-0005-0000-0000-0000BC030000}"/>
    <cellStyle name="Style 6" xfId="957" xr:uid="{00000000-0005-0000-0000-0000BD030000}"/>
    <cellStyle name="Style 60" xfId="958" xr:uid="{00000000-0005-0000-0000-0000BE030000}"/>
    <cellStyle name="Style 61" xfId="959" xr:uid="{00000000-0005-0000-0000-0000BF030000}"/>
    <cellStyle name="Style 62" xfId="960" xr:uid="{00000000-0005-0000-0000-0000C0030000}"/>
    <cellStyle name="Style 63" xfId="961" xr:uid="{00000000-0005-0000-0000-0000C1030000}"/>
    <cellStyle name="Style 64" xfId="962" xr:uid="{00000000-0005-0000-0000-0000C2030000}"/>
    <cellStyle name="Style 65" xfId="963" xr:uid="{00000000-0005-0000-0000-0000C3030000}"/>
    <cellStyle name="Style 66" xfId="964" xr:uid="{00000000-0005-0000-0000-0000C4030000}"/>
    <cellStyle name="Style 67" xfId="965" xr:uid="{00000000-0005-0000-0000-0000C5030000}"/>
    <cellStyle name="Style 68" xfId="966" xr:uid="{00000000-0005-0000-0000-0000C6030000}"/>
    <cellStyle name="Style 69" xfId="967" xr:uid="{00000000-0005-0000-0000-0000C7030000}"/>
    <cellStyle name="Style 7" xfId="968" xr:uid="{00000000-0005-0000-0000-0000C8030000}"/>
    <cellStyle name="Style 70" xfId="969" xr:uid="{00000000-0005-0000-0000-0000C9030000}"/>
    <cellStyle name="Style 71" xfId="970" xr:uid="{00000000-0005-0000-0000-0000CA030000}"/>
    <cellStyle name="Style 72" xfId="971" xr:uid="{00000000-0005-0000-0000-0000CB030000}"/>
    <cellStyle name="Style 73" xfId="972" xr:uid="{00000000-0005-0000-0000-0000CC030000}"/>
    <cellStyle name="Style 74" xfId="973" xr:uid="{00000000-0005-0000-0000-0000CD030000}"/>
    <cellStyle name="Style 75" xfId="974" xr:uid="{00000000-0005-0000-0000-0000CE030000}"/>
    <cellStyle name="Style 76" xfId="975" xr:uid="{00000000-0005-0000-0000-0000CF030000}"/>
    <cellStyle name="Style 77" xfId="976" xr:uid="{00000000-0005-0000-0000-0000D0030000}"/>
    <cellStyle name="Style 78" xfId="977" xr:uid="{00000000-0005-0000-0000-0000D1030000}"/>
    <cellStyle name="Style 79" xfId="978" xr:uid="{00000000-0005-0000-0000-0000D2030000}"/>
    <cellStyle name="Style 8" xfId="979" xr:uid="{00000000-0005-0000-0000-0000D3030000}"/>
    <cellStyle name="Style 80" xfId="980" xr:uid="{00000000-0005-0000-0000-0000D4030000}"/>
    <cellStyle name="Style 81" xfId="981" xr:uid="{00000000-0005-0000-0000-0000D5030000}"/>
    <cellStyle name="Style 82" xfId="982" xr:uid="{00000000-0005-0000-0000-0000D6030000}"/>
    <cellStyle name="Style 83" xfId="983" xr:uid="{00000000-0005-0000-0000-0000D7030000}"/>
    <cellStyle name="Style 9" xfId="984" xr:uid="{00000000-0005-0000-0000-0000D8030000}"/>
    <cellStyle name="Style Date" xfId="985" xr:uid="{00000000-0005-0000-0000-0000D9030000}"/>
    <cellStyle name="subhead" xfId="986" xr:uid="{00000000-0005-0000-0000-0000DA030000}"/>
    <cellStyle name="SubTitle" xfId="987" xr:uid="{00000000-0005-0000-0000-0000DB030000}"/>
    <cellStyle name="Subtotal" xfId="988" xr:uid="{00000000-0005-0000-0000-0000DC030000}"/>
    <cellStyle name="symbol" xfId="989" xr:uid="{00000000-0005-0000-0000-0000DD030000}"/>
    <cellStyle name="T" xfId="990" xr:uid="{00000000-0005-0000-0000-0000DE030000}"/>
    <cellStyle name="T_09_BangTongHopKinhPhiNhaso9" xfId="991" xr:uid="{00000000-0005-0000-0000-0000DF030000}"/>
    <cellStyle name="T_09a_PhanMongNhaSo9" xfId="992" xr:uid="{00000000-0005-0000-0000-0000E0030000}"/>
    <cellStyle name="T_09b_PhanThannhaso9" xfId="993" xr:uid="{00000000-0005-0000-0000-0000E1030000}"/>
    <cellStyle name="T_09c_PhandienNhaso9" xfId="994" xr:uid="{00000000-0005-0000-0000-0000E2030000}"/>
    <cellStyle name="T_09d_Phannuocnhaso9" xfId="995" xr:uid="{00000000-0005-0000-0000-0000E3030000}"/>
    <cellStyle name="T_09f_TienluongThannhaso9" xfId="996" xr:uid="{00000000-0005-0000-0000-0000E4030000}"/>
    <cellStyle name="T_10b_PhanThanNhaSo10" xfId="997" xr:uid="{00000000-0005-0000-0000-0000E5030000}"/>
    <cellStyle name="T_Book1" xfId="998" xr:uid="{00000000-0005-0000-0000-0000E6030000}"/>
    <cellStyle name="T_Book1_09_BangTongHopKinhPhiNhaso9" xfId="999" xr:uid="{00000000-0005-0000-0000-0000E7030000}"/>
    <cellStyle name="T_Book1_09a_PhanMongNhaSo9" xfId="1000" xr:uid="{00000000-0005-0000-0000-0000E8030000}"/>
    <cellStyle name="T_Book1_09b_PhanThannhaso9" xfId="1001" xr:uid="{00000000-0005-0000-0000-0000E9030000}"/>
    <cellStyle name="T_Book1_09c_PhandienNhaso9" xfId="1002" xr:uid="{00000000-0005-0000-0000-0000EA030000}"/>
    <cellStyle name="T_Book1_09d_Phannuocnhaso9" xfId="1003" xr:uid="{00000000-0005-0000-0000-0000EB030000}"/>
    <cellStyle name="T_Book1_09f_TienluongThannhaso9" xfId="1004" xr:uid="{00000000-0005-0000-0000-0000EC030000}"/>
    <cellStyle name="T_Book1_1" xfId="1005" xr:uid="{00000000-0005-0000-0000-0000ED030000}"/>
    <cellStyle name="T_Book1_1_CPK" xfId="1006" xr:uid="{00000000-0005-0000-0000-0000EE030000}"/>
    <cellStyle name="T_Book1_1_CTC - BoQ Agrex Building" xfId="1007" xr:uid="{00000000-0005-0000-0000-0000EF030000}"/>
    <cellStyle name="T_Book1_1_Thiet bi" xfId="1008" xr:uid="{00000000-0005-0000-0000-0000F0030000}"/>
    <cellStyle name="T_Book1_1_Thong tin chung Groz" xfId="1009" xr:uid="{00000000-0005-0000-0000-0000F1030000}"/>
    <cellStyle name="T_Book1_10b_PhanThanNhaSo10" xfId="1010" xr:uid="{00000000-0005-0000-0000-0000F2030000}"/>
    <cellStyle name="T_Book1_2" xfId="1011" xr:uid="{00000000-0005-0000-0000-0000F3030000}"/>
    <cellStyle name="T_Book1_Book1" xfId="1012" xr:uid="{00000000-0005-0000-0000-0000F4030000}"/>
    <cellStyle name="T_Book1_Book2" xfId="1013" xr:uid="{00000000-0005-0000-0000-0000F5030000}"/>
    <cellStyle name="T_Book1_Book2_CTC - BoQ Agrex Building" xfId="1014" xr:uid="{00000000-0005-0000-0000-0000F6030000}"/>
    <cellStyle name="T_Book1_BOQ-Puma-Update (02July, 2008)" xfId="1015" xr:uid="{00000000-0005-0000-0000-0000F7030000}"/>
    <cellStyle name="T_Book1_Cau tao gia Nop thau Mau" xfId="1016" xr:uid="{00000000-0005-0000-0000-0000F8030000}"/>
    <cellStyle name="T_Book1_Cau tao gia Nop thau Mau_Cau tao gia Arico T2-2009" xfId="1017" xr:uid="{00000000-0005-0000-0000-0000F9030000}"/>
    <cellStyle name="T_Book1_Cau tao gia Nop thau Mau_CTC - BoQ Agrex Building" xfId="1018" xr:uid="{00000000-0005-0000-0000-0000FA030000}"/>
    <cellStyle name="T_Book1_Cau tao gia phan Tho (ham + Than) 15-9-08" xfId="1019" xr:uid="{00000000-0005-0000-0000-0000FB030000}"/>
    <cellStyle name="T_Book1_CAU TAO GIA THE OCEAN VILLAS DANANG" xfId="1020" xr:uid="{00000000-0005-0000-0000-0000FC030000}"/>
    <cellStyle name="T_Book1_Cau tao gia Thien Long Ha Nam (28-2-08)" xfId="1021" xr:uid="{00000000-0005-0000-0000-0000FD030000}"/>
    <cellStyle name="T_Book1_Cau tao gia Thien Long Ha Nam (28-2-08)_Cau tao gia Arico T2-2009" xfId="1022" xr:uid="{00000000-0005-0000-0000-0000FE030000}"/>
    <cellStyle name="T_Book1_Cau tao gia Thien Long Ha Nam (28-2-08)_CTC - BoQ Agrex Building" xfId="1023" xr:uid="{00000000-0005-0000-0000-0000FF030000}"/>
    <cellStyle name="T_Book1_cong tac chuan bi Nhatrang Plaza" xfId="1024" xr:uid="{00000000-0005-0000-0000-000000040000}"/>
    <cellStyle name="T_Book1_Cong tac chuan bi-Thanh" xfId="1025" xr:uid="{00000000-0005-0000-0000-000001040000}"/>
    <cellStyle name="T_Book1_Cong tac chuan bi-Thanh_Cau tao gia Arico T2-2009" xfId="1026" xr:uid="{00000000-0005-0000-0000-000002040000}"/>
    <cellStyle name="T_Book1_Cong tac chuan bi-Thanh_CTC - BoQ Agrex Building" xfId="1027" xr:uid="{00000000-0005-0000-0000-000003040000}"/>
    <cellStyle name="T_Book1_Copy of Cau tao gia Mau" xfId="1028" xr:uid="{00000000-0005-0000-0000-000004040000}"/>
    <cellStyle name="T_Book1_CPK" xfId="1029" xr:uid="{00000000-0005-0000-0000-000005040000}"/>
    <cellStyle name="T_Book1_CTC - BoQ Agrex Building" xfId="1030" xr:uid="{00000000-0005-0000-0000-000006040000}"/>
    <cellStyle name="T_Book1_khoi luong gian dao + dam I" xfId="1031" xr:uid="{00000000-0005-0000-0000-000007040000}"/>
    <cellStyle name="T_Book1_Thau phu - Cung cap -2008" xfId="1032" xr:uid="{00000000-0005-0000-0000-000008040000}"/>
    <cellStyle name="T_Book1_Thiet bi" xfId="1033" xr:uid="{00000000-0005-0000-0000-000009040000}"/>
    <cellStyle name="T_Book1_Thong tin chung Groz" xfId="1034" xr:uid="{00000000-0005-0000-0000-00000A040000}"/>
    <cellStyle name="T_Book1_Update rate-27.6.2008" xfId="1035" xr:uid="{00000000-0005-0000-0000-00000B040000}"/>
    <cellStyle name="T_Book1_Yeu cau thanh toan dot 2" xfId="1036" xr:uid="{00000000-0005-0000-0000-00000C040000}"/>
    <cellStyle name="T_Book2" xfId="1037" xr:uid="{00000000-0005-0000-0000-00000D040000}"/>
    <cellStyle name="T_Book2_CTC - BoQ Agrex Building" xfId="1038" xr:uid="{00000000-0005-0000-0000-00000E040000}"/>
    <cellStyle name="T_BoQ-E-TOWN 2 Building -COTECCONS" xfId="1039" xr:uid="{00000000-0005-0000-0000-00000F040000}"/>
    <cellStyle name="T_BoQ-E-TOWN 2 Building -COTECCONS_Cau tao gia Arico T2-2009" xfId="1040" xr:uid="{00000000-0005-0000-0000-000010040000}"/>
    <cellStyle name="T_BoQ-E-TOWN 2 Building -COTECCONS_Cau tao gia phan Tho (ham + Than) 15-9-08" xfId="1041" xr:uid="{00000000-0005-0000-0000-000011040000}"/>
    <cellStyle name="T_BOQ-Puma-Update (02July, 2008)" xfId="1042" xr:uid="{00000000-0005-0000-0000-000012040000}"/>
    <cellStyle name="T_Cau tao gia Nop thau Mau" xfId="1043" xr:uid="{00000000-0005-0000-0000-000013040000}"/>
    <cellStyle name="T_Cau tao gia Nop thau Mau_CTC - BoQ Agrex Building" xfId="1044" xr:uid="{00000000-0005-0000-0000-000014040000}"/>
    <cellStyle name="T_Cau tao gia phan Tho (ham + Than) 15-9-08" xfId="1045" xr:uid="{00000000-0005-0000-0000-000015040000}"/>
    <cellStyle name="T_CAU TAO GIA THE OCEAN VILLAS DANANG" xfId="1046" xr:uid="{00000000-0005-0000-0000-000016040000}"/>
    <cellStyle name="T_Cau tao gia Thien Long Ha Nam (28-2-08)" xfId="1047" xr:uid="{00000000-0005-0000-0000-000017040000}"/>
    <cellStyle name="T_Cau tao gia Thien Long Ha Nam (28-2-08)_CTC - BoQ Agrex Building" xfId="1048" xr:uid="{00000000-0005-0000-0000-000018040000}"/>
    <cellStyle name="T_cong tac chuan bi Nhatrang Plaza" xfId="1049" xr:uid="{00000000-0005-0000-0000-000019040000}"/>
    <cellStyle name="T_Cong tac chuan bi-Thanh" xfId="1050" xr:uid="{00000000-0005-0000-0000-00001A040000}"/>
    <cellStyle name="T_Cong tac chuan bi-Thanh_CTC - BoQ Agrex Building" xfId="1051" xr:uid="{00000000-0005-0000-0000-00001B040000}"/>
    <cellStyle name="T_Copy of Cau tao gia Mau" xfId="1052" xr:uid="{00000000-0005-0000-0000-00001C040000}"/>
    <cellStyle name="T_CPK" xfId="1053" xr:uid="{00000000-0005-0000-0000-00001D040000}"/>
    <cellStyle name="T_CROWN WELL 冠威報價單20071015" xfId="1054" xr:uid="{00000000-0005-0000-0000-00001E040000}"/>
    <cellStyle name="T_CTC - BoQ Agrex Building" xfId="1055" xr:uid="{00000000-0005-0000-0000-00001F040000}"/>
    <cellStyle name="T_Du toan 2 tang ham - 15%lai" xfId="1056" xr:uid="{00000000-0005-0000-0000-000020040000}"/>
    <cellStyle name="T_Du toan 2 tang ham - 15%lai_Cau tao gia Arico T2-2009" xfId="1057" xr:uid="{00000000-0005-0000-0000-000021040000}"/>
    <cellStyle name="T_Du toan 2 tang ham - 15%lai_Cau tao gia phan Tho (ham + Than) 15-9-08" xfId="1058" xr:uid="{00000000-0005-0000-0000-000022040000}"/>
    <cellStyle name="T_Du toan 2 tang ham - 15%lai_Thau phu - Cung cap -2008" xfId="1059" xr:uid="{00000000-0005-0000-0000-000023040000}"/>
    <cellStyle name="T_Du toan 2 tang ham - 15%lai_Thong tin chung Groz" xfId="1060" xr:uid="{00000000-0005-0000-0000-000024040000}"/>
    <cellStyle name="T_DU TOAN SUPOR2806" xfId="1061" xr:uid="{00000000-0005-0000-0000-000025040000}"/>
    <cellStyle name="T_DU TOAN SUPOR2806_General Quotation 5-1-2008" xfId="1062" xr:uid="{00000000-0005-0000-0000-000026040000}"/>
    <cellStyle name="T_giatonghop thanhtoan d1" xfId="1063" xr:uid="{00000000-0005-0000-0000-000027040000}"/>
    <cellStyle name="T_khoi luong gian dao + dam I" xfId="1064" xr:uid="{00000000-0005-0000-0000-000028040000}"/>
    <cellStyle name="T_NHUA TAN HOA 10-6" xfId="1065" xr:uid="{00000000-0005-0000-0000-000029040000}"/>
    <cellStyle name="T_NHUA TAN HOA 10-6,KCmoi" xfId="1066" xr:uid="{00000000-0005-0000-0000-00002A040000}"/>
    <cellStyle name="T_NHUA TAN HOA 10-6,KCmoi_General Quotation 5-1-2008" xfId="1067" xr:uid="{00000000-0005-0000-0000-00002B040000}"/>
    <cellStyle name="T_NHUA TAN HOA 10-6,KCmoi_HUNG" xfId="1068" xr:uid="{00000000-0005-0000-0000-00002C040000}"/>
    <cellStyle name="T_NHUA TAN HOA 10-6,KCmoi_HUNG_05. 080428- BOQ - Main construction(05May, 2008) Tai" xfId="1069" xr:uid="{00000000-0005-0000-0000-00002D040000}"/>
    <cellStyle name="T_NHUA TAN HOA 10-6,KCmoi_HUNG_Addendum- BOQ - Main construction-r.2" xfId="1070" xr:uid="{00000000-0005-0000-0000-00002E040000}"/>
    <cellStyle name="T_NHUA TAN HOA 10-6,KCmoi_HUNG_BOQ - Puma - Main construction (20May, 2008)" xfId="1071" xr:uid="{00000000-0005-0000-0000-00002F040000}"/>
    <cellStyle name="T_NHUA TAN HOA 10-6,KCmoi_HUNG_BOQ - Puma - Main construction (20May, 2008) trinh nop" xfId="1072" xr:uid="{00000000-0005-0000-0000-000030040000}"/>
    <cellStyle name="T_NHUA TAN HOA 10-6,KCmoi_HUNG_BOQ-Puma-Rev 1 (29May, 2008)-Final" xfId="1073" xr:uid="{00000000-0005-0000-0000-000031040000}"/>
    <cellStyle name="T_NHUA TAN HOA 10-6,KCmoi_HUNG_BOQ-Puma-Rev 2 (03June, 2008)" xfId="1074" xr:uid="{00000000-0005-0000-0000-000032040000}"/>
    <cellStyle name="T_NHUA TAN HOA 10-6,KCmoi_HUNG_BOQ-Puma-Rev 2 (04June, 2008)" xfId="1075" xr:uid="{00000000-0005-0000-0000-000033040000}"/>
    <cellStyle name="T_NHUA TAN HOA 10-6,KCmoi_HUNG_BOQ-Puma-Rev 3" xfId="1076" xr:uid="{00000000-0005-0000-0000-000034040000}"/>
    <cellStyle name="T_NHUA TAN HOA 10-6,KCmoi_HUNG_BOQ-Puma-Update (02July, 2008)-R1" xfId="1077" xr:uid="{00000000-0005-0000-0000-000035040000}"/>
    <cellStyle name="T_NHUA TAN HOA 10-6,KCmoi_puma 16.1" xfId="1078" xr:uid="{00000000-0005-0000-0000-000036040000}"/>
    <cellStyle name="T_NHUA TAN HOA 10-6,KCmoi_puma 16.1_05. 080428- BOQ - Main construction(05May, 2008) Tai" xfId="1079" xr:uid="{00000000-0005-0000-0000-000037040000}"/>
    <cellStyle name="T_NHUA TAN HOA 10-6,KCmoi_puma 16.1_Addendum- BOQ - Main construction-r.2" xfId="1080" xr:uid="{00000000-0005-0000-0000-000038040000}"/>
    <cellStyle name="T_NHUA TAN HOA 10-6,KCmoi_puma 16.1_BOQ - Puma - Main construction (20May, 2008)" xfId="1081" xr:uid="{00000000-0005-0000-0000-000039040000}"/>
    <cellStyle name="T_NHUA TAN HOA 10-6,KCmoi_puma 16.1_BOQ - Puma - Main construction (20May, 2008) trinh nop" xfId="1082" xr:uid="{00000000-0005-0000-0000-00003A040000}"/>
    <cellStyle name="T_NHUA TAN HOA 10-6,KCmoi_puma 16.1_BOQ-Puma-Rev 1 (29May, 2008)-Final" xfId="1083" xr:uid="{00000000-0005-0000-0000-00003B040000}"/>
    <cellStyle name="T_NHUA TAN HOA 10-6,KCmoi_puma 16.1_BOQ-Puma-Rev 2 (03June, 2008)" xfId="1084" xr:uid="{00000000-0005-0000-0000-00003C040000}"/>
    <cellStyle name="T_NHUA TAN HOA 10-6,KCmoi_puma 16.1_BOQ-Puma-Rev 2 (04June, 2008)" xfId="1085" xr:uid="{00000000-0005-0000-0000-00003D040000}"/>
    <cellStyle name="T_NHUA TAN HOA 10-6,KCmoi_puma 16.1_BOQ-Puma-Rev 3" xfId="1086" xr:uid="{00000000-0005-0000-0000-00003E040000}"/>
    <cellStyle name="T_NHUA TAN HOA 10-6,KCmoi_puma 16.1_BOQ-Puma-Update (02July, 2008)-R1" xfId="1087" xr:uid="{00000000-0005-0000-0000-00003F040000}"/>
    <cellStyle name="T_NHUA TAN HOA 10-6,KCmoi_puma 17.1" xfId="1088" xr:uid="{00000000-0005-0000-0000-000040040000}"/>
    <cellStyle name="T_NHUA TAN HOA 10-6_05. 080428- BOQ - Main construction(05May, 2008) Tai" xfId="1089" xr:uid="{00000000-0005-0000-0000-000041040000}"/>
    <cellStyle name="T_NHUA TAN HOA 10-6_Addendum- BOQ - Main construction-r.2" xfId="1090" xr:uid="{00000000-0005-0000-0000-000042040000}"/>
    <cellStyle name="T_NHUA TAN HOA 10-6_BOQ - Puma - Main construction (20May, 2008)" xfId="1091" xr:uid="{00000000-0005-0000-0000-000043040000}"/>
    <cellStyle name="T_NHUA TAN HOA 10-6_BOQ - Puma - Main construction (20May, 2008) trinh nop" xfId="1092" xr:uid="{00000000-0005-0000-0000-000044040000}"/>
    <cellStyle name="T_NHUA TAN HOA 10-6_BOQ-Puma-Rev 1 (29May, 2008)-Final" xfId="1093" xr:uid="{00000000-0005-0000-0000-000045040000}"/>
    <cellStyle name="T_NHUA TAN HOA 10-6_BOQ-Puma-Rev 2 (03June, 2008)" xfId="1094" xr:uid="{00000000-0005-0000-0000-000046040000}"/>
    <cellStyle name="T_NHUA TAN HOA 10-6_BOQ-Puma-Rev 2 (04June, 2008)" xfId="1095" xr:uid="{00000000-0005-0000-0000-000047040000}"/>
    <cellStyle name="T_NHUA TAN HOA 10-6_BOQ-Puma-Rev 3" xfId="1096" xr:uid="{00000000-0005-0000-0000-000048040000}"/>
    <cellStyle name="T_NHUA TAN HOA 10-6_BOQ-Puma-Update (02July, 2008)-R1" xfId="1097" xr:uid="{00000000-0005-0000-0000-000049040000}"/>
    <cellStyle name="T_NHUA TAN HOA 10-6_Du toan BONFIGLIOLI-071126" xfId="1098" xr:uid="{00000000-0005-0000-0000-00004A040000}"/>
    <cellStyle name="T_NHUA TAN HOA 10-6_Du toan BONFIGLIOLI-071126_General Quotation 5-1-2008" xfId="1099" xr:uid="{00000000-0005-0000-0000-00004B040000}"/>
    <cellStyle name="T_NHUA TAN HOA 10-6_Du toan BONFIGLIOLI-071126_HUNG" xfId="1100" xr:uid="{00000000-0005-0000-0000-00004C040000}"/>
    <cellStyle name="T_NHUA TAN HOA 10-6_Du toan BONFIGLIOLI-071126_HUNG_05. 080428- BOQ - Main construction(05May, 2008) Tai" xfId="1101" xr:uid="{00000000-0005-0000-0000-00004D040000}"/>
    <cellStyle name="T_NHUA TAN HOA 10-6_Du toan BONFIGLIOLI-071126_HUNG_Addendum- BOQ - Main construction-r.2" xfId="1102" xr:uid="{00000000-0005-0000-0000-00004E040000}"/>
    <cellStyle name="T_NHUA TAN HOA 10-6_Du toan BONFIGLIOLI-071126_HUNG_BOQ - Puma - Main construction (20May, 2008)" xfId="1103" xr:uid="{00000000-0005-0000-0000-00004F040000}"/>
    <cellStyle name="T_NHUA TAN HOA 10-6_Du toan BONFIGLIOLI-071126_HUNG_BOQ - Puma - Main construction (20May, 2008) trinh nop" xfId="1104" xr:uid="{00000000-0005-0000-0000-000050040000}"/>
    <cellStyle name="T_NHUA TAN HOA 10-6_Du toan BONFIGLIOLI-071126_HUNG_BOQ-Puma-Rev 1 (29May, 2008)-Final" xfId="1105" xr:uid="{00000000-0005-0000-0000-000051040000}"/>
    <cellStyle name="T_NHUA TAN HOA 10-6_Du toan BONFIGLIOLI-071126_HUNG_BOQ-Puma-Rev 2 (03June, 2008)" xfId="1106" xr:uid="{00000000-0005-0000-0000-000052040000}"/>
    <cellStyle name="T_NHUA TAN HOA 10-6_Du toan BONFIGLIOLI-071126_HUNG_BOQ-Puma-Rev 2 (04June, 2008)" xfId="1107" xr:uid="{00000000-0005-0000-0000-000053040000}"/>
    <cellStyle name="T_NHUA TAN HOA 10-6_Du toan BONFIGLIOLI-071126_HUNG_BOQ-Puma-Rev 3" xfId="1108" xr:uid="{00000000-0005-0000-0000-000054040000}"/>
    <cellStyle name="T_NHUA TAN HOA 10-6_Du toan BONFIGLIOLI-071126_HUNG_BOQ-Puma-Update (02July, 2008)-R1" xfId="1109" xr:uid="{00000000-0005-0000-0000-000055040000}"/>
    <cellStyle name="T_NHUA TAN HOA 10-6_Du toan BONFIGLIOLI-071126_puma 16.1" xfId="1110" xr:uid="{00000000-0005-0000-0000-000056040000}"/>
    <cellStyle name="T_NHUA TAN HOA 10-6_Du toan BONFIGLIOLI-071126_puma 16.1_05. 080428- BOQ - Main construction(05May, 2008) Tai" xfId="1111" xr:uid="{00000000-0005-0000-0000-000057040000}"/>
    <cellStyle name="T_NHUA TAN HOA 10-6_Du toan BONFIGLIOLI-071126_puma 16.1_Addendum- BOQ - Main construction-r.2" xfId="1112" xr:uid="{00000000-0005-0000-0000-000058040000}"/>
    <cellStyle name="T_NHUA TAN HOA 10-6_Du toan BONFIGLIOLI-071126_puma 16.1_BOQ - Puma - Main construction (20May, 2008)" xfId="1113" xr:uid="{00000000-0005-0000-0000-000059040000}"/>
    <cellStyle name="T_NHUA TAN HOA 10-6_Du toan BONFIGLIOLI-071126_puma 16.1_BOQ - Puma - Main construction (20May, 2008) trinh nop" xfId="1114" xr:uid="{00000000-0005-0000-0000-00005A040000}"/>
    <cellStyle name="T_NHUA TAN HOA 10-6_Du toan BONFIGLIOLI-071126_puma 16.1_BOQ-Puma-Rev 1 (29May, 2008)-Final" xfId="1115" xr:uid="{00000000-0005-0000-0000-00005B040000}"/>
    <cellStyle name="T_NHUA TAN HOA 10-6_Du toan BONFIGLIOLI-071126_puma 16.1_BOQ-Puma-Rev 2 (03June, 2008)" xfId="1116" xr:uid="{00000000-0005-0000-0000-00005C040000}"/>
    <cellStyle name="T_NHUA TAN HOA 10-6_Du toan BONFIGLIOLI-071126_puma 16.1_BOQ-Puma-Rev 2 (04June, 2008)" xfId="1117" xr:uid="{00000000-0005-0000-0000-00005D040000}"/>
    <cellStyle name="T_NHUA TAN HOA 10-6_Du toan BONFIGLIOLI-071126_puma 16.1_BOQ-Puma-Rev 3" xfId="1118" xr:uid="{00000000-0005-0000-0000-00005E040000}"/>
    <cellStyle name="T_NHUA TAN HOA 10-6_Du toan BONFIGLIOLI-071126_puma 16.1_BOQ-Puma-Update (02July, 2008)-R1" xfId="1119" xr:uid="{00000000-0005-0000-0000-00005F040000}"/>
    <cellStyle name="T_NHUA TAN HOA 10-6_Du toan BONFIGLIOLI-071126_puma 17.1" xfId="1120" xr:uid="{00000000-0005-0000-0000-000060040000}"/>
    <cellStyle name="T_NHUA TAN HOA 10-6_Du toan BONFIGLIOLI-071126-Tram" xfId="1121" xr:uid="{00000000-0005-0000-0000-000061040000}"/>
    <cellStyle name="T_NHUA TAN HOA 10-6_Du toan BONFIGLIOLI-071126-Tram_General Quotation 5-1-2008" xfId="1122" xr:uid="{00000000-0005-0000-0000-000062040000}"/>
    <cellStyle name="T_NHUA TAN HOA 10-6_Du toan mau 11-2007" xfId="1123" xr:uid="{00000000-0005-0000-0000-000063040000}"/>
    <cellStyle name="T_NHUA TAN HOA 10-6_Du toan mau 11-2007_General Quotation 5-1-2008" xfId="1124" xr:uid="{00000000-0005-0000-0000-000064040000}"/>
    <cellStyle name="T_NHUA TAN HOA 10-6_Du toan mau 11-2007_HUNG" xfId="1125" xr:uid="{00000000-0005-0000-0000-000065040000}"/>
    <cellStyle name="T_NHUA TAN HOA 10-6_Du toan mau 11-2007_HUNG_05. 080428- BOQ - Main construction(05May, 2008) Tai" xfId="1126" xr:uid="{00000000-0005-0000-0000-000066040000}"/>
    <cellStyle name="T_NHUA TAN HOA 10-6_Du toan mau 11-2007_HUNG_Addendum- BOQ - Main construction-r.2" xfId="1127" xr:uid="{00000000-0005-0000-0000-000067040000}"/>
    <cellStyle name="T_NHUA TAN HOA 10-6_Du toan mau 11-2007_HUNG_BOQ - Puma - Main construction (20May, 2008)" xfId="1128" xr:uid="{00000000-0005-0000-0000-000068040000}"/>
    <cellStyle name="T_NHUA TAN HOA 10-6_Du toan mau 11-2007_HUNG_BOQ - Puma - Main construction (20May, 2008) trinh nop" xfId="1129" xr:uid="{00000000-0005-0000-0000-000069040000}"/>
    <cellStyle name="T_NHUA TAN HOA 10-6_Du toan mau 11-2007_HUNG_BOQ-Puma-Rev 1 (29May, 2008)-Final" xfId="1130" xr:uid="{00000000-0005-0000-0000-00006A040000}"/>
    <cellStyle name="T_NHUA TAN HOA 10-6_Du toan mau 11-2007_HUNG_BOQ-Puma-Rev 2 (03June, 2008)" xfId="1131" xr:uid="{00000000-0005-0000-0000-00006B040000}"/>
    <cellStyle name="T_NHUA TAN HOA 10-6_Du toan mau 11-2007_HUNG_BOQ-Puma-Rev 2 (04June, 2008)" xfId="1132" xr:uid="{00000000-0005-0000-0000-00006C040000}"/>
    <cellStyle name="T_NHUA TAN HOA 10-6_Du toan mau 11-2007_HUNG_BOQ-Puma-Rev 3" xfId="1133" xr:uid="{00000000-0005-0000-0000-00006D040000}"/>
    <cellStyle name="T_NHUA TAN HOA 10-6_Du toan mau 11-2007_HUNG_BOQ-Puma-Update (02July, 2008)-R1" xfId="1134" xr:uid="{00000000-0005-0000-0000-00006E040000}"/>
    <cellStyle name="T_NHUA TAN HOA 10-6_Du toan mau 11-2007_puma 16.1" xfId="1135" xr:uid="{00000000-0005-0000-0000-00006F040000}"/>
    <cellStyle name="T_NHUA TAN HOA 10-6_Du toan mau 11-2007_puma 16.1_05. 080428- BOQ - Main construction(05May, 2008) Tai" xfId="1136" xr:uid="{00000000-0005-0000-0000-000070040000}"/>
    <cellStyle name="T_NHUA TAN HOA 10-6_Du toan mau 11-2007_puma 16.1_Addendum- BOQ - Main construction-r.2" xfId="1137" xr:uid="{00000000-0005-0000-0000-000071040000}"/>
    <cellStyle name="T_NHUA TAN HOA 10-6_Du toan mau 11-2007_puma 16.1_BOQ - Puma - Main construction (20May, 2008)" xfId="1138" xr:uid="{00000000-0005-0000-0000-000072040000}"/>
    <cellStyle name="T_NHUA TAN HOA 10-6_Du toan mau 11-2007_puma 16.1_BOQ - Puma - Main construction (20May, 2008) trinh nop" xfId="1139" xr:uid="{00000000-0005-0000-0000-000073040000}"/>
    <cellStyle name="T_NHUA TAN HOA 10-6_Du toan mau 11-2007_puma 16.1_BOQ-Puma-Rev 1 (29May, 2008)-Final" xfId="1140" xr:uid="{00000000-0005-0000-0000-000074040000}"/>
    <cellStyle name="T_NHUA TAN HOA 10-6_Du toan mau 11-2007_puma 16.1_BOQ-Puma-Rev 2 (03June, 2008)" xfId="1141" xr:uid="{00000000-0005-0000-0000-000075040000}"/>
    <cellStyle name="T_NHUA TAN HOA 10-6_Du toan mau 11-2007_puma 16.1_BOQ-Puma-Rev 2 (04June, 2008)" xfId="1142" xr:uid="{00000000-0005-0000-0000-000076040000}"/>
    <cellStyle name="T_NHUA TAN HOA 10-6_Du toan mau 11-2007_puma 16.1_BOQ-Puma-Rev 3" xfId="1143" xr:uid="{00000000-0005-0000-0000-000077040000}"/>
    <cellStyle name="T_NHUA TAN HOA 10-6_Du toan mau 11-2007_puma 16.1_BOQ-Puma-Update (02July, 2008)-R1" xfId="1144" xr:uid="{00000000-0005-0000-0000-000078040000}"/>
    <cellStyle name="T_NHUA TAN HOA 10-6_Du toan mau 11-2007_puma 17.1" xfId="1145" xr:uid="{00000000-0005-0000-0000-000079040000}"/>
    <cellStyle name="T_No.01 Cat be tong be nang hang xuong 1 " xfId="1146" xr:uid="{00000000-0005-0000-0000-00007A040000}"/>
    <cellStyle name="T_SUPOR2806-2" xfId="1147" xr:uid="{00000000-0005-0000-0000-00007B040000}"/>
    <cellStyle name="T_SUPOR2806-2_05. 080428- BOQ - Main construction(05May, 2008) Tai" xfId="1148" xr:uid="{00000000-0005-0000-0000-00007C040000}"/>
    <cellStyle name="T_SUPOR2806-2_Addendum- BOQ - Main construction-r.2" xfId="1149" xr:uid="{00000000-0005-0000-0000-00007D040000}"/>
    <cellStyle name="T_SUPOR2806-2_BOQ - Puma - Main construction (20May, 2008)" xfId="1150" xr:uid="{00000000-0005-0000-0000-00007E040000}"/>
    <cellStyle name="T_SUPOR2806-2_BOQ - Puma - Main construction (20May, 2008) trinh nop" xfId="1151" xr:uid="{00000000-0005-0000-0000-00007F040000}"/>
    <cellStyle name="T_SUPOR2806-2_BOQ-Puma-Rev 1 (29May, 2008)-Final" xfId="1152" xr:uid="{00000000-0005-0000-0000-000080040000}"/>
    <cellStyle name="T_SUPOR2806-2_BOQ-Puma-Rev 2 (03June, 2008)" xfId="1153" xr:uid="{00000000-0005-0000-0000-000081040000}"/>
    <cellStyle name="T_SUPOR2806-2_BOQ-Puma-Rev 2 (04June, 2008)" xfId="1154" xr:uid="{00000000-0005-0000-0000-000082040000}"/>
    <cellStyle name="T_SUPOR2806-2_BOQ-Puma-Rev 3" xfId="1155" xr:uid="{00000000-0005-0000-0000-000083040000}"/>
    <cellStyle name="T_SUPOR2806-2_BOQ-Puma-Update (02July, 2008)-R1" xfId="1156" xr:uid="{00000000-0005-0000-0000-000084040000}"/>
    <cellStyle name="T_SUPOR2806-2_Du toan BONFIGLIOLI-071126" xfId="1157" xr:uid="{00000000-0005-0000-0000-000085040000}"/>
    <cellStyle name="T_SUPOR2806-2_Du toan BONFIGLIOLI-071126_General Quotation 5-1-2008" xfId="1158" xr:uid="{00000000-0005-0000-0000-000086040000}"/>
    <cellStyle name="T_SUPOR2806-2_Du toan BONFIGLIOLI-071126_HUNG" xfId="1159" xr:uid="{00000000-0005-0000-0000-000087040000}"/>
    <cellStyle name="T_SUPOR2806-2_Du toan BONFIGLIOLI-071126_HUNG_05. 080428- BOQ - Main construction(05May, 2008) Tai" xfId="1160" xr:uid="{00000000-0005-0000-0000-000088040000}"/>
    <cellStyle name="T_SUPOR2806-2_Du toan BONFIGLIOLI-071126_HUNG_Addendum- BOQ - Main construction-r.2" xfId="1161" xr:uid="{00000000-0005-0000-0000-000089040000}"/>
    <cellStyle name="T_SUPOR2806-2_Du toan BONFIGLIOLI-071126_HUNG_BOQ - Puma - Main construction (20May, 2008)" xfId="1162" xr:uid="{00000000-0005-0000-0000-00008A040000}"/>
    <cellStyle name="T_SUPOR2806-2_Du toan BONFIGLIOLI-071126_HUNG_BOQ - Puma - Main construction (20May, 2008) trinh nop" xfId="1163" xr:uid="{00000000-0005-0000-0000-00008B040000}"/>
    <cellStyle name="T_SUPOR2806-2_Du toan BONFIGLIOLI-071126_HUNG_BOQ-Puma-Rev 1 (29May, 2008)-Final" xfId="1164" xr:uid="{00000000-0005-0000-0000-00008C040000}"/>
    <cellStyle name="T_SUPOR2806-2_Du toan BONFIGLIOLI-071126_HUNG_BOQ-Puma-Rev 2 (03June, 2008)" xfId="1165" xr:uid="{00000000-0005-0000-0000-00008D040000}"/>
    <cellStyle name="T_SUPOR2806-2_Du toan BONFIGLIOLI-071126_HUNG_BOQ-Puma-Rev 2 (04June, 2008)" xfId="1166" xr:uid="{00000000-0005-0000-0000-00008E040000}"/>
    <cellStyle name="T_SUPOR2806-2_Du toan BONFIGLIOLI-071126_HUNG_BOQ-Puma-Rev 3" xfId="1167" xr:uid="{00000000-0005-0000-0000-00008F040000}"/>
    <cellStyle name="T_SUPOR2806-2_Du toan BONFIGLIOLI-071126_HUNG_BOQ-Puma-Update (02July, 2008)-R1" xfId="1168" xr:uid="{00000000-0005-0000-0000-000090040000}"/>
    <cellStyle name="T_SUPOR2806-2_Du toan BONFIGLIOLI-071126_puma 16.1" xfId="1169" xr:uid="{00000000-0005-0000-0000-000091040000}"/>
    <cellStyle name="T_SUPOR2806-2_Du toan BONFIGLIOLI-071126_puma 16.1_05. 080428- BOQ - Main construction(05May, 2008) Tai" xfId="1170" xr:uid="{00000000-0005-0000-0000-000092040000}"/>
    <cellStyle name="T_SUPOR2806-2_Du toan BONFIGLIOLI-071126_puma 16.1_Addendum- BOQ - Main construction-r.2" xfId="1171" xr:uid="{00000000-0005-0000-0000-000093040000}"/>
    <cellStyle name="T_SUPOR2806-2_Du toan BONFIGLIOLI-071126_puma 16.1_BOQ - Puma - Main construction (20May, 2008)" xfId="1172" xr:uid="{00000000-0005-0000-0000-000094040000}"/>
    <cellStyle name="T_SUPOR2806-2_Du toan BONFIGLIOLI-071126_puma 16.1_BOQ - Puma - Main construction (20May, 2008) trinh nop" xfId="1173" xr:uid="{00000000-0005-0000-0000-000095040000}"/>
    <cellStyle name="T_SUPOR2806-2_Du toan BONFIGLIOLI-071126_puma 16.1_BOQ-Puma-Rev 1 (29May, 2008)-Final" xfId="1174" xr:uid="{00000000-0005-0000-0000-000096040000}"/>
    <cellStyle name="T_SUPOR2806-2_Du toan BONFIGLIOLI-071126_puma 16.1_BOQ-Puma-Rev 2 (03June, 2008)" xfId="1175" xr:uid="{00000000-0005-0000-0000-000097040000}"/>
    <cellStyle name="T_SUPOR2806-2_Du toan BONFIGLIOLI-071126_puma 16.1_BOQ-Puma-Rev 2 (04June, 2008)" xfId="1176" xr:uid="{00000000-0005-0000-0000-000098040000}"/>
    <cellStyle name="T_SUPOR2806-2_Du toan BONFIGLIOLI-071126_puma 16.1_BOQ-Puma-Rev 3" xfId="1177" xr:uid="{00000000-0005-0000-0000-000099040000}"/>
    <cellStyle name="T_SUPOR2806-2_Du toan BONFIGLIOLI-071126_puma 16.1_BOQ-Puma-Update (02July, 2008)-R1" xfId="1178" xr:uid="{00000000-0005-0000-0000-00009A040000}"/>
    <cellStyle name="T_SUPOR2806-2_Du toan BONFIGLIOLI-071126_puma 17.1" xfId="1179" xr:uid="{00000000-0005-0000-0000-00009B040000}"/>
    <cellStyle name="T_SUPOR2806-2_Du toan BONFIGLIOLI-071126-Tram" xfId="1180" xr:uid="{00000000-0005-0000-0000-00009C040000}"/>
    <cellStyle name="T_SUPOR2806-2_Du toan BONFIGLIOLI-071126-Tram_General Quotation 5-1-2008" xfId="1181" xr:uid="{00000000-0005-0000-0000-00009D040000}"/>
    <cellStyle name="T_SUPOR2806-2_Du toan mau 11-2007" xfId="1182" xr:uid="{00000000-0005-0000-0000-00009E040000}"/>
    <cellStyle name="T_SUPOR2806-2_Du toan mau 11-2007_General Quotation 5-1-2008" xfId="1183" xr:uid="{00000000-0005-0000-0000-00009F040000}"/>
    <cellStyle name="T_SUPOR2806-2_Du toan mau 11-2007_HUNG" xfId="1184" xr:uid="{00000000-0005-0000-0000-0000A0040000}"/>
    <cellStyle name="T_SUPOR2806-2_Du toan mau 11-2007_HUNG_05. 080428- BOQ - Main construction(05May, 2008) Tai" xfId="1185" xr:uid="{00000000-0005-0000-0000-0000A1040000}"/>
    <cellStyle name="T_SUPOR2806-2_Du toan mau 11-2007_HUNG_Addendum- BOQ - Main construction-r.2" xfId="1186" xr:uid="{00000000-0005-0000-0000-0000A2040000}"/>
    <cellStyle name="T_SUPOR2806-2_Du toan mau 11-2007_HUNG_BOQ - Puma - Main construction (20May, 2008)" xfId="1187" xr:uid="{00000000-0005-0000-0000-0000A3040000}"/>
    <cellStyle name="T_SUPOR2806-2_Du toan mau 11-2007_HUNG_BOQ - Puma - Main construction (20May, 2008) trinh nop" xfId="1188" xr:uid="{00000000-0005-0000-0000-0000A4040000}"/>
    <cellStyle name="T_SUPOR2806-2_Du toan mau 11-2007_HUNG_BOQ-Puma-Rev 1 (29May, 2008)-Final" xfId="1189" xr:uid="{00000000-0005-0000-0000-0000A5040000}"/>
    <cellStyle name="T_SUPOR2806-2_Du toan mau 11-2007_HUNG_BOQ-Puma-Rev 2 (03June, 2008)" xfId="1190" xr:uid="{00000000-0005-0000-0000-0000A6040000}"/>
    <cellStyle name="T_SUPOR2806-2_Du toan mau 11-2007_HUNG_BOQ-Puma-Rev 2 (04June, 2008)" xfId="1191" xr:uid="{00000000-0005-0000-0000-0000A7040000}"/>
    <cellStyle name="T_SUPOR2806-2_Du toan mau 11-2007_HUNG_BOQ-Puma-Rev 3" xfId="1192" xr:uid="{00000000-0005-0000-0000-0000A8040000}"/>
    <cellStyle name="T_SUPOR2806-2_Du toan mau 11-2007_HUNG_BOQ-Puma-Update (02July, 2008)-R1" xfId="1193" xr:uid="{00000000-0005-0000-0000-0000A9040000}"/>
    <cellStyle name="T_SUPOR2806-2_Du toan mau 11-2007_puma 16.1" xfId="1194" xr:uid="{00000000-0005-0000-0000-0000AA040000}"/>
    <cellStyle name="T_SUPOR2806-2_Du toan mau 11-2007_puma 16.1_05. 080428- BOQ - Main construction(05May, 2008) Tai" xfId="1195" xr:uid="{00000000-0005-0000-0000-0000AB040000}"/>
    <cellStyle name="T_SUPOR2806-2_Du toan mau 11-2007_puma 16.1_Addendum- BOQ - Main construction-r.2" xfId="1196" xr:uid="{00000000-0005-0000-0000-0000AC040000}"/>
    <cellStyle name="T_SUPOR2806-2_Du toan mau 11-2007_puma 16.1_BOQ - Puma - Main construction (20May, 2008)" xfId="1197" xr:uid="{00000000-0005-0000-0000-0000AD040000}"/>
    <cellStyle name="T_SUPOR2806-2_Du toan mau 11-2007_puma 16.1_BOQ - Puma - Main construction (20May, 2008) trinh nop" xfId="1198" xr:uid="{00000000-0005-0000-0000-0000AE040000}"/>
    <cellStyle name="T_SUPOR2806-2_Du toan mau 11-2007_puma 16.1_BOQ-Puma-Rev 1 (29May, 2008)-Final" xfId="1199" xr:uid="{00000000-0005-0000-0000-0000AF040000}"/>
    <cellStyle name="T_SUPOR2806-2_Du toan mau 11-2007_puma 16.1_BOQ-Puma-Rev 2 (03June, 2008)" xfId="1200" xr:uid="{00000000-0005-0000-0000-0000B0040000}"/>
    <cellStyle name="T_SUPOR2806-2_Du toan mau 11-2007_puma 16.1_BOQ-Puma-Rev 2 (04June, 2008)" xfId="1201" xr:uid="{00000000-0005-0000-0000-0000B1040000}"/>
    <cellStyle name="T_SUPOR2806-2_Du toan mau 11-2007_puma 16.1_BOQ-Puma-Rev 3" xfId="1202" xr:uid="{00000000-0005-0000-0000-0000B2040000}"/>
    <cellStyle name="T_SUPOR2806-2_Du toan mau 11-2007_puma 16.1_BOQ-Puma-Update (02July, 2008)-R1" xfId="1203" xr:uid="{00000000-0005-0000-0000-0000B3040000}"/>
    <cellStyle name="T_SUPOR2806-2_Du toan mau 11-2007_puma 17.1" xfId="1204" xr:uid="{00000000-0005-0000-0000-0000B4040000}"/>
    <cellStyle name="T_Thiet bi" xfId="1205" xr:uid="{00000000-0005-0000-0000-0000B5040000}"/>
    <cellStyle name="T_Thong tin chung Groz" xfId="1206" xr:uid="{00000000-0005-0000-0000-0000B6040000}"/>
    <cellStyle name="T_Update rate-27.6.2008" xfId="1207" xr:uid="{00000000-0005-0000-0000-0000B7040000}"/>
    <cellStyle name="Tan" xfId="1208" xr:uid="{00000000-0005-0000-0000-0000B8040000}"/>
    <cellStyle name="Text Indent A" xfId="1209" xr:uid="{00000000-0005-0000-0000-0000B9040000}"/>
    <cellStyle name="Text Indent B" xfId="1210" xr:uid="{00000000-0005-0000-0000-0000BA040000}"/>
    <cellStyle name="Text Indent C" xfId="1211" xr:uid="{00000000-0005-0000-0000-0000BB040000}"/>
    <cellStyle name="th" xfId="1212" xr:uid="{00000000-0005-0000-0000-0000BC040000}"/>
    <cellStyle name="Times New Roman" xfId="1213" xr:uid="{00000000-0005-0000-0000-0000BD040000}"/>
    <cellStyle name="TNN" xfId="1214" xr:uid="{00000000-0005-0000-0000-0000BE040000}"/>
    <cellStyle name="tt1" xfId="1215" xr:uid="{00000000-0005-0000-0000-0000BF040000}"/>
    <cellStyle name="Tusental (0)_pldt" xfId="1216" xr:uid="{00000000-0005-0000-0000-0000C0040000}"/>
    <cellStyle name="Tusental_pldt" xfId="1217" xr:uid="{00000000-0005-0000-0000-0000C1040000}"/>
    <cellStyle name="ux_3_¼­¿ï-¾È»ê" xfId="1218" xr:uid="{00000000-0005-0000-0000-0000C2040000}"/>
    <cellStyle name="Valuta (0)_pldt" xfId="1219" xr:uid="{00000000-0005-0000-0000-0000C3040000}"/>
    <cellStyle name="Valuta_pldt" xfId="1220" xr:uid="{00000000-0005-0000-0000-0000C4040000}"/>
    <cellStyle name="viet" xfId="1221" xr:uid="{00000000-0005-0000-0000-0000C5040000}"/>
    <cellStyle name="viet2" xfId="1222" xr:uid="{00000000-0005-0000-0000-0000C6040000}"/>
    <cellStyle name="Vietnam 1" xfId="1223" xr:uid="{00000000-0005-0000-0000-0000C7040000}"/>
    <cellStyle name="VN new romanNormal" xfId="1224" xr:uid="{00000000-0005-0000-0000-0000C8040000}"/>
    <cellStyle name="vn time 10" xfId="1225" xr:uid="{00000000-0005-0000-0000-0000C9040000}"/>
    <cellStyle name="VN time new roman" xfId="1226" xr:uid="{00000000-0005-0000-0000-0000CA040000}"/>
    <cellStyle name="vnhead1" xfId="1227" xr:uid="{00000000-0005-0000-0000-0000CB040000}"/>
    <cellStyle name="vnhead3" xfId="1228" xr:uid="{00000000-0005-0000-0000-0000CC040000}"/>
    <cellStyle name="vntxt1" xfId="1229" xr:uid="{00000000-0005-0000-0000-0000CD040000}"/>
    <cellStyle name="vntxt2" xfId="1230" xr:uid="{00000000-0005-0000-0000-0000CE040000}"/>
    <cellStyle name="Währung [0]_ALLE_ITEMS_280800_EV_NL" xfId="1231" xr:uid="{00000000-0005-0000-0000-0000CF040000}"/>
    <cellStyle name="Währung_AKE_100N" xfId="1232" xr:uid="{00000000-0005-0000-0000-0000D0040000}"/>
    <cellStyle name="Walutowy [0]_Invoices2001Slovakia" xfId="1233" xr:uid="{00000000-0005-0000-0000-0000D1040000}"/>
    <cellStyle name="Walutowy_Invoices2001Slovakia" xfId="1234" xr:uid="{00000000-0005-0000-0000-0000D2040000}"/>
    <cellStyle name="xuan" xfId="1235" xr:uid="{00000000-0005-0000-0000-0000D3040000}"/>
    <cellStyle name="Ý kh¸c_B¶ng 1 (2)" xfId="1236" xr:uid="{00000000-0005-0000-0000-0000D4040000}"/>
    <cellStyle name="スタイル 1" xfId="1237" xr:uid="{00000000-0005-0000-0000-0000D5040000}"/>
    <cellStyle name="เครื่องหมายสกุลเงิน [0]_FTC_OFFER" xfId="1238" xr:uid="{00000000-0005-0000-0000-0000D6040000}"/>
    <cellStyle name="เครื่องหมายสกุลเงิน_FTC_OFFER" xfId="1239" xr:uid="{00000000-0005-0000-0000-0000D7040000}"/>
    <cellStyle name="ปกติ_FTC_OFFER" xfId="1240" xr:uid="{00000000-0005-0000-0000-0000D8040000}"/>
    <cellStyle name=" [0.00]_ Att. 1- Cover" xfId="1241" xr:uid="{00000000-0005-0000-0000-0000D9040000}"/>
    <cellStyle name="_ Att. 1- Cover" xfId="1242" xr:uid="{00000000-0005-0000-0000-0000DA040000}"/>
    <cellStyle name="?_ Att. 1- Cover" xfId="1243" xr:uid="{00000000-0005-0000-0000-0000DB040000}"/>
    <cellStyle name="똿뗦먛귟 [0.00]_PRODUCT DETAIL Q1" xfId="1244" xr:uid="{00000000-0005-0000-0000-0000DC040000}"/>
    <cellStyle name="똿뗦먛귟_PRODUCT DETAIL Q1" xfId="1245" xr:uid="{00000000-0005-0000-0000-0000DD040000}"/>
    <cellStyle name="믅됞 [0.00]_PRODUCT DETAIL Q1" xfId="1246" xr:uid="{00000000-0005-0000-0000-0000DE040000}"/>
    <cellStyle name="믅됞_PRODUCT DETAIL Q1" xfId="1247" xr:uid="{00000000-0005-0000-0000-0000DF040000}"/>
    <cellStyle name="백분율_95" xfId="1248" xr:uid="{00000000-0005-0000-0000-0000E0040000}"/>
    <cellStyle name="뷭?_BOOKSHIP" xfId="1249" xr:uid="{00000000-0005-0000-0000-0000E1040000}"/>
    <cellStyle name="쉼표 [0]_PCS-3~1" xfId="1250" xr:uid="{00000000-0005-0000-0000-0000E2040000}"/>
    <cellStyle name="쉼표_EQ_ROOM cost" xfId="1251" xr:uid="{00000000-0005-0000-0000-0000E3040000}"/>
    <cellStyle name="콤마 [ - 유형1" xfId="1252" xr:uid="{00000000-0005-0000-0000-0000E4040000}"/>
    <cellStyle name="콤마 [ - 유형2" xfId="1253" xr:uid="{00000000-0005-0000-0000-0000E5040000}"/>
    <cellStyle name="콤마 [ - 유형3" xfId="1254" xr:uid="{00000000-0005-0000-0000-0000E6040000}"/>
    <cellStyle name="콤마 [ - 유형4" xfId="1255" xr:uid="{00000000-0005-0000-0000-0000E7040000}"/>
    <cellStyle name="콤마 [ - 유형5" xfId="1256" xr:uid="{00000000-0005-0000-0000-0000E8040000}"/>
    <cellStyle name="콤마 [ - 유형6" xfId="1257" xr:uid="{00000000-0005-0000-0000-0000E9040000}"/>
    <cellStyle name="콤마 [ - 유형7" xfId="1258" xr:uid="{00000000-0005-0000-0000-0000EA040000}"/>
    <cellStyle name="콤마 [ - 유형8" xfId="1259" xr:uid="{00000000-0005-0000-0000-0000EB040000}"/>
    <cellStyle name="콤마 [0]_ 비목별 월별기술 " xfId="1260" xr:uid="{00000000-0005-0000-0000-0000EC040000}"/>
    <cellStyle name="콤마_ 비목별 월별기술 " xfId="1261" xr:uid="{00000000-0005-0000-0000-0000ED040000}"/>
    <cellStyle name="통화 [0]_1" xfId="1262" xr:uid="{00000000-0005-0000-0000-0000EE040000}"/>
    <cellStyle name="통화_1" xfId="1263" xr:uid="{00000000-0005-0000-0000-0000EF040000}"/>
    <cellStyle name="표준 11" xfId="1264" xr:uid="{00000000-0005-0000-0000-0000F0040000}"/>
    <cellStyle name="표준_ 97년 경영분석(안)" xfId="1265" xr:uid="{00000000-0005-0000-0000-0000F1040000}"/>
    <cellStyle name="표줠_Sheet1_1_총괄표 (수출입) (2)" xfId="1266" xr:uid="{00000000-0005-0000-0000-0000F2040000}"/>
    <cellStyle name="一般_00Q3902REV.1" xfId="1267" xr:uid="{00000000-0005-0000-0000-0000F3040000}"/>
    <cellStyle name="中等" xfId="1268" xr:uid="{00000000-0005-0000-0000-0000F4040000}"/>
    <cellStyle name="備註" xfId="1269" xr:uid="{00000000-0005-0000-0000-0000F5040000}"/>
    <cellStyle name="千分位[0]_00Q3902REV.1" xfId="1270" xr:uid="{00000000-0005-0000-0000-0000F6040000}"/>
    <cellStyle name="千分位_00Q3902REV.1" xfId="1271" xr:uid="{00000000-0005-0000-0000-0000F7040000}"/>
    <cellStyle name="合計" xfId="1272" xr:uid="{00000000-0005-0000-0000-0000F8040000}"/>
    <cellStyle name="壞" xfId="1273" xr:uid="{00000000-0005-0000-0000-0000F9040000}"/>
    <cellStyle name="好" xfId="1274" xr:uid="{00000000-0005-0000-0000-0000FA040000}"/>
    <cellStyle name="常规_j1" xfId="1275" xr:uid="{00000000-0005-0000-0000-0000FB040000}"/>
    <cellStyle name="桁区切り [0.00]_BE-BQ" xfId="1276" xr:uid="{00000000-0005-0000-0000-0000FC040000}"/>
    <cellStyle name="桁区切り_BE-BQ" xfId="1277" xr:uid="{00000000-0005-0000-0000-0000FD040000}"/>
    <cellStyle name="桁蟻唇Ｆ [0.00]_s-ns-bq" xfId="1278" xr:uid="{00000000-0005-0000-0000-0000FE040000}"/>
    <cellStyle name="桁蟻唇Ｆ_s-ns-bq" xfId="1279" xr:uid="{00000000-0005-0000-0000-0000FF040000}"/>
    <cellStyle name="標準_(A1)BOQ " xfId="1280" xr:uid="{00000000-0005-0000-0000-000000050000}"/>
    <cellStyle name="標題" xfId="1281" xr:uid="{00000000-0005-0000-0000-000001050000}"/>
    <cellStyle name="標題 1" xfId="1282" xr:uid="{00000000-0005-0000-0000-000002050000}"/>
    <cellStyle name="標題 2" xfId="1283" xr:uid="{00000000-0005-0000-0000-000003050000}"/>
    <cellStyle name="標題 3" xfId="1284" xr:uid="{00000000-0005-0000-0000-000004050000}"/>
    <cellStyle name="標題 4" xfId="1285" xr:uid="{00000000-0005-0000-0000-000005050000}"/>
    <cellStyle name="檢查儲存格" xfId="1286" xr:uid="{00000000-0005-0000-0000-000006050000}"/>
    <cellStyle name="脱浦 [0.00]_CONDITION (2)" xfId="1287" xr:uid="{00000000-0005-0000-0000-000007050000}"/>
    <cellStyle name="脱浦_CONDITION (2)" xfId="1288" xr:uid="{00000000-0005-0000-0000-000008050000}"/>
    <cellStyle name="計算方式" xfId="1289" xr:uid="{00000000-0005-0000-0000-000009050000}"/>
    <cellStyle name="說明文字" xfId="1290" xr:uid="{00000000-0005-0000-0000-00000A050000}"/>
    <cellStyle name="警告文字" xfId="1291" xr:uid="{00000000-0005-0000-0000-00000B050000}"/>
    <cellStyle name="貨幣 [0]_00Q3902REV.1" xfId="1292" xr:uid="{00000000-0005-0000-0000-00000C050000}"/>
    <cellStyle name="貨幣[0]_BRE" xfId="1293" xr:uid="{00000000-0005-0000-0000-00000D050000}"/>
    <cellStyle name="貨幣_00Q3902REV.1" xfId="1294" xr:uid="{00000000-0005-0000-0000-00000E050000}"/>
    <cellStyle name="超連結_Book1" xfId="1295" xr:uid="{00000000-0005-0000-0000-00000F050000}"/>
    <cellStyle name="輔色1" xfId="1296" xr:uid="{00000000-0005-0000-0000-000010050000}"/>
    <cellStyle name="輔色2" xfId="1297" xr:uid="{00000000-0005-0000-0000-000011050000}"/>
    <cellStyle name="輔色3" xfId="1298" xr:uid="{00000000-0005-0000-0000-000012050000}"/>
    <cellStyle name="輔色4" xfId="1299" xr:uid="{00000000-0005-0000-0000-000013050000}"/>
    <cellStyle name="輔色5" xfId="1300" xr:uid="{00000000-0005-0000-0000-000014050000}"/>
    <cellStyle name="輔色6" xfId="1301" xr:uid="{00000000-0005-0000-0000-000015050000}"/>
    <cellStyle name="輸入" xfId="1302" xr:uid="{00000000-0005-0000-0000-000016050000}"/>
    <cellStyle name="輸出" xfId="1303" xr:uid="{00000000-0005-0000-0000-000017050000}"/>
    <cellStyle name="通貨 [0.00]_BE-BQ" xfId="1304" xr:uid="{00000000-0005-0000-0000-000018050000}"/>
    <cellStyle name="通貨_BE-BQ" xfId="1305" xr:uid="{00000000-0005-0000-0000-000019050000}"/>
    <cellStyle name="連結的儲存格" xfId="1306" xr:uid="{00000000-0005-0000-0000-00001A050000}"/>
    <cellStyle name="隨後的超連結_Book1" xfId="1307" xr:uid="{00000000-0005-0000-0000-00001B050000}"/>
  </cellStyles>
  <dxfs count="6">
    <dxf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7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0.99794805278060061"/>
          <c:h val="1"/>
        </c:manualLayout>
      </c:layout>
      <c:scatterChart>
        <c:scatterStyle val="lineMarker"/>
        <c:varyColors val="0"/>
        <c:ser>
          <c:idx val="0"/>
          <c:order val="0"/>
          <c:tx>
            <c:v>MC</c:v>
          </c:tx>
          <c:spPr>
            <a:ln w="19050">
              <a:solidFill>
                <a:srgbClr val="1BDBF5"/>
              </a:solidFill>
            </a:ln>
          </c:spPr>
          <c:marker>
            <c:symbol val="none"/>
          </c:marker>
          <c:xVal>
            <c:numRef>
              <c:f>Vach!$AE$17:$AE$21</c:f>
              <c:numCache>
                <c:formatCode>General</c:formatCode>
                <c:ptCount val="5"/>
                <c:pt idx="0">
                  <c:v>-1500</c:v>
                </c:pt>
                <c:pt idx="1">
                  <c:v>1500</c:v>
                </c:pt>
                <c:pt idx="2">
                  <c:v>1500</c:v>
                </c:pt>
                <c:pt idx="3">
                  <c:v>-1500</c:v>
                </c:pt>
                <c:pt idx="4">
                  <c:v>-1500</c:v>
                </c:pt>
              </c:numCache>
            </c:numRef>
          </c:xVal>
          <c:yVal>
            <c:numRef>
              <c:f>Vach!$AF$17:$AF$21</c:f>
              <c:numCache>
                <c:formatCode>General</c:formatCode>
                <c:ptCount val="5"/>
                <c:pt idx="0">
                  <c:v>-300</c:v>
                </c:pt>
                <c:pt idx="1">
                  <c:v>-300</c:v>
                </c:pt>
                <c:pt idx="2">
                  <c:v>300</c:v>
                </c:pt>
                <c:pt idx="3">
                  <c:v>300</c:v>
                </c:pt>
                <c:pt idx="4">
                  <c:v>-300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44-4134-BC3A-A8273CDD0180}"/>
            </c:ext>
          </c:extLst>
        </c:ser>
        <c:ser>
          <c:idx val="1"/>
          <c:order val="1"/>
          <c:tx>
            <c:v>fix</c:v>
          </c:tx>
          <c:spPr>
            <a:ln>
              <a:noFill/>
            </a:ln>
          </c:spPr>
          <c:marker>
            <c:symbol val="none"/>
          </c:marker>
          <c:xVal>
            <c:numRef>
              <c:f>Vach!$AE$14:$AE$15</c:f>
              <c:numCache>
                <c:formatCode>General</c:formatCode>
                <c:ptCount val="2"/>
                <c:pt idx="0">
                  <c:v>1500</c:v>
                </c:pt>
                <c:pt idx="1">
                  <c:v>-1500</c:v>
                </c:pt>
              </c:numCache>
            </c:numRef>
          </c:xVal>
          <c:yVal>
            <c:numRef>
              <c:f>Vach!$AF$14:$AF$15</c:f>
              <c:numCache>
                <c:formatCode>General</c:formatCode>
                <c:ptCount val="2"/>
                <c:pt idx="0">
                  <c:v>1500</c:v>
                </c:pt>
                <c:pt idx="1">
                  <c:v>-1500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44-4134-BC3A-A8273CDD0180}"/>
            </c:ext>
          </c:extLst>
        </c:ser>
        <c:ser>
          <c:idx val="2"/>
          <c:order val="2"/>
          <c:tx>
            <c:v>Thep b1-1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Vach!$AH$3:$AH$52</c:f>
              <c:numCache>
                <c:formatCode>General</c:formatCode>
                <c:ptCount val="50"/>
                <c:pt idx="0">
                  <c:v>-1450</c:v>
                </c:pt>
                <c:pt idx="1">
                  <c:v>-1345.8333333333333</c:v>
                </c:pt>
                <c:pt idx="2">
                  <c:v>-1241.6666666666665</c:v>
                </c:pt>
                <c:pt idx="3">
                  <c:v>-1137.4999999999998</c:v>
                </c:pt>
                <c:pt idx="4">
                  <c:v>-1033.333333333333</c:v>
                </c:pt>
                <c:pt idx="5">
                  <c:v>-929.1666666666664</c:v>
                </c:pt>
                <c:pt idx="6">
                  <c:v>-824.99999999999977</c:v>
                </c:pt>
                <c:pt idx="7">
                  <c:v>-824.99999999999977</c:v>
                </c:pt>
                <c:pt idx="8">
                  <c:v>-824.99999999999977</c:v>
                </c:pt>
                <c:pt idx="9">
                  <c:v>-824.99999999999977</c:v>
                </c:pt>
                <c:pt idx="10">
                  <c:v>-824.99999999999977</c:v>
                </c:pt>
                <c:pt idx="11">
                  <c:v>-824.99999999999977</c:v>
                </c:pt>
                <c:pt idx="12">
                  <c:v>-824.99999999999977</c:v>
                </c:pt>
                <c:pt idx="13">
                  <c:v>-824.99999999999977</c:v>
                </c:pt>
                <c:pt idx="14">
                  <c:v>-824.99999999999977</c:v>
                </c:pt>
                <c:pt idx="15">
                  <c:v>-824.99999999999977</c:v>
                </c:pt>
                <c:pt idx="16">
                  <c:v>-824.99999999999977</c:v>
                </c:pt>
                <c:pt idx="17">
                  <c:v>-824.99999999999977</c:v>
                </c:pt>
                <c:pt idx="18">
                  <c:v>-824.99999999999977</c:v>
                </c:pt>
                <c:pt idx="19">
                  <c:v>-824.99999999999977</c:v>
                </c:pt>
                <c:pt idx="20">
                  <c:v>-824.99999999999977</c:v>
                </c:pt>
                <c:pt idx="21">
                  <c:v>-824.99999999999977</c:v>
                </c:pt>
                <c:pt idx="22">
                  <c:v>-824.99999999999977</c:v>
                </c:pt>
                <c:pt idx="23">
                  <c:v>-824.99999999999977</c:v>
                </c:pt>
                <c:pt idx="24">
                  <c:v>-824.99999999999977</c:v>
                </c:pt>
                <c:pt idx="25">
                  <c:v>1450</c:v>
                </c:pt>
                <c:pt idx="26">
                  <c:v>1345.8333333333333</c:v>
                </c:pt>
                <c:pt idx="27">
                  <c:v>1241.6666666666665</c:v>
                </c:pt>
                <c:pt idx="28">
                  <c:v>1137.4999999999998</c:v>
                </c:pt>
                <c:pt idx="29">
                  <c:v>1033.333333333333</c:v>
                </c:pt>
                <c:pt idx="30">
                  <c:v>929.1666666666664</c:v>
                </c:pt>
                <c:pt idx="31">
                  <c:v>824.99999999999977</c:v>
                </c:pt>
                <c:pt idx="32">
                  <c:v>824.99999999999977</c:v>
                </c:pt>
                <c:pt idx="33">
                  <c:v>824.99999999999977</c:v>
                </c:pt>
                <c:pt idx="34">
                  <c:v>824.99999999999977</c:v>
                </c:pt>
                <c:pt idx="35">
                  <c:v>824.99999999999977</c:v>
                </c:pt>
                <c:pt idx="36">
                  <c:v>824.99999999999977</c:v>
                </c:pt>
                <c:pt idx="37">
                  <c:v>824.99999999999977</c:v>
                </c:pt>
                <c:pt idx="38">
                  <c:v>824.99999999999977</c:v>
                </c:pt>
                <c:pt idx="39">
                  <c:v>824.99999999999977</c:v>
                </c:pt>
                <c:pt idx="40">
                  <c:v>824.99999999999977</c:v>
                </c:pt>
                <c:pt idx="41">
                  <c:v>824.99999999999977</c:v>
                </c:pt>
                <c:pt idx="42">
                  <c:v>824.99999999999977</c:v>
                </c:pt>
                <c:pt idx="43">
                  <c:v>824.99999999999977</c:v>
                </c:pt>
                <c:pt idx="44">
                  <c:v>824.99999999999977</c:v>
                </c:pt>
                <c:pt idx="45">
                  <c:v>824.99999999999977</c:v>
                </c:pt>
                <c:pt idx="46">
                  <c:v>824.99999999999977</c:v>
                </c:pt>
                <c:pt idx="47">
                  <c:v>824.99999999999977</c:v>
                </c:pt>
                <c:pt idx="48">
                  <c:v>824.99999999999977</c:v>
                </c:pt>
                <c:pt idx="49">
                  <c:v>824.99999999999977</c:v>
                </c:pt>
              </c:numCache>
            </c:numRef>
          </c:xVal>
          <c:yVal>
            <c:numRef>
              <c:f>Vach!$AI$3:$AI$52</c:f>
              <c:numCache>
                <c:formatCode>General</c:formatCode>
                <c:ptCount val="50"/>
                <c:pt idx="0">
                  <c:v>-250</c:v>
                </c:pt>
                <c:pt idx="1">
                  <c:v>-250</c:v>
                </c:pt>
                <c:pt idx="2">
                  <c:v>-250</c:v>
                </c:pt>
                <c:pt idx="3">
                  <c:v>-250</c:v>
                </c:pt>
                <c:pt idx="4">
                  <c:v>-250</c:v>
                </c:pt>
                <c:pt idx="5">
                  <c:v>-250</c:v>
                </c:pt>
                <c:pt idx="6">
                  <c:v>-250</c:v>
                </c:pt>
                <c:pt idx="7">
                  <c:v>-250</c:v>
                </c:pt>
                <c:pt idx="8">
                  <c:v>-250</c:v>
                </c:pt>
                <c:pt idx="9">
                  <c:v>-250</c:v>
                </c:pt>
                <c:pt idx="10">
                  <c:v>-250</c:v>
                </c:pt>
                <c:pt idx="11">
                  <c:v>-250</c:v>
                </c:pt>
                <c:pt idx="12">
                  <c:v>-250</c:v>
                </c:pt>
                <c:pt idx="13">
                  <c:v>-250</c:v>
                </c:pt>
                <c:pt idx="14">
                  <c:v>-250</c:v>
                </c:pt>
                <c:pt idx="15">
                  <c:v>-250</c:v>
                </c:pt>
                <c:pt idx="16">
                  <c:v>-250</c:v>
                </c:pt>
                <c:pt idx="17">
                  <c:v>-250</c:v>
                </c:pt>
                <c:pt idx="18">
                  <c:v>-250</c:v>
                </c:pt>
                <c:pt idx="19">
                  <c:v>-250</c:v>
                </c:pt>
                <c:pt idx="20">
                  <c:v>-250</c:v>
                </c:pt>
                <c:pt idx="21">
                  <c:v>-250</c:v>
                </c:pt>
                <c:pt idx="22">
                  <c:v>-250</c:v>
                </c:pt>
                <c:pt idx="23">
                  <c:v>-250</c:v>
                </c:pt>
                <c:pt idx="24">
                  <c:v>-250</c:v>
                </c:pt>
                <c:pt idx="25">
                  <c:v>-250</c:v>
                </c:pt>
                <c:pt idx="26">
                  <c:v>-250</c:v>
                </c:pt>
                <c:pt idx="27">
                  <c:v>-250</c:v>
                </c:pt>
                <c:pt idx="28">
                  <c:v>-250</c:v>
                </c:pt>
                <c:pt idx="29">
                  <c:v>-250</c:v>
                </c:pt>
                <c:pt idx="30">
                  <c:v>-250</c:v>
                </c:pt>
                <c:pt idx="31">
                  <c:v>-250</c:v>
                </c:pt>
                <c:pt idx="32">
                  <c:v>-250</c:v>
                </c:pt>
                <c:pt idx="33">
                  <c:v>-250</c:v>
                </c:pt>
                <c:pt idx="34">
                  <c:v>-250</c:v>
                </c:pt>
                <c:pt idx="35">
                  <c:v>-250</c:v>
                </c:pt>
                <c:pt idx="36">
                  <c:v>-250</c:v>
                </c:pt>
                <c:pt idx="37">
                  <c:v>-250</c:v>
                </c:pt>
                <c:pt idx="38">
                  <c:v>-250</c:v>
                </c:pt>
                <c:pt idx="39">
                  <c:v>-250</c:v>
                </c:pt>
                <c:pt idx="40">
                  <c:v>-250</c:v>
                </c:pt>
                <c:pt idx="41">
                  <c:v>-250</c:v>
                </c:pt>
                <c:pt idx="42">
                  <c:v>-250</c:v>
                </c:pt>
                <c:pt idx="43">
                  <c:v>-250</c:v>
                </c:pt>
                <c:pt idx="44">
                  <c:v>-250</c:v>
                </c:pt>
                <c:pt idx="45">
                  <c:v>-250</c:v>
                </c:pt>
                <c:pt idx="46">
                  <c:v>-250</c:v>
                </c:pt>
                <c:pt idx="47">
                  <c:v>-250</c:v>
                </c:pt>
                <c:pt idx="48">
                  <c:v>-250</c:v>
                </c:pt>
                <c:pt idx="49">
                  <c:v>-250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44-4134-BC3A-A8273CDD0180}"/>
            </c:ext>
          </c:extLst>
        </c:ser>
        <c:ser>
          <c:idx val="3"/>
          <c:order val="3"/>
          <c:tx>
            <c:v>Thep b1-2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Vach!$AH$3:$AH$52</c:f>
              <c:numCache>
                <c:formatCode>General</c:formatCode>
                <c:ptCount val="50"/>
                <c:pt idx="0">
                  <c:v>-1450</c:v>
                </c:pt>
                <c:pt idx="1">
                  <c:v>-1345.8333333333333</c:v>
                </c:pt>
                <c:pt idx="2">
                  <c:v>-1241.6666666666665</c:v>
                </c:pt>
                <c:pt idx="3">
                  <c:v>-1137.4999999999998</c:v>
                </c:pt>
                <c:pt idx="4">
                  <c:v>-1033.333333333333</c:v>
                </c:pt>
                <c:pt idx="5">
                  <c:v>-929.1666666666664</c:v>
                </c:pt>
                <c:pt idx="6">
                  <c:v>-824.99999999999977</c:v>
                </c:pt>
                <c:pt idx="7">
                  <c:v>-824.99999999999977</c:v>
                </c:pt>
                <c:pt idx="8">
                  <c:v>-824.99999999999977</c:v>
                </c:pt>
                <c:pt idx="9">
                  <c:v>-824.99999999999977</c:v>
                </c:pt>
                <c:pt idx="10">
                  <c:v>-824.99999999999977</c:v>
                </c:pt>
                <c:pt idx="11">
                  <c:v>-824.99999999999977</c:v>
                </c:pt>
                <c:pt idx="12">
                  <c:v>-824.99999999999977</c:v>
                </c:pt>
                <c:pt idx="13">
                  <c:v>-824.99999999999977</c:v>
                </c:pt>
                <c:pt idx="14">
                  <c:v>-824.99999999999977</c:v>
                </c:pt>
                <c:pt idx="15">
                  <c:v>-824.99999999999977</c:v>
                </c:pt>
                <c:pt idx="16">
                  <c:v>-824.99999999999977</c:v>
                </c:pt>
                <c:pt idx="17">
                  <c:v>-824.99999999999977</c:v>
                </c:pt>
                <c:pt idx="18">
                  <c:v>-824.99999999999977</c:v>
                </c:pt>
                <c:pt idx="19">
                  <c:v>-824.99999999999977</c:v>
                </c:pt>
                <c:pt idx="20">
                  <c:v>-824.99999999999977</c:v>
                </c:pt>
                <c:pt idx="21">
                  <c:v>-824.99999999999977</c:v>
                </c:pt>
                <c:pt idx="22">
                  <c:v>-824.99999999999977</c:v>
                </c:pt>
                <c:pt idx="23">
                  <c:v>-824.99999999999977</c:v>
                </c:pt>
                <c:pt idx="24">
                  <c:v>-824.99999999999977</c:v>
                </c:pt>
                <c:pt idx="25">
                  <c:v>1450</c:v>
                </c:pt>
                <c:pt idx="26">
                  <c:v>1345.8333333333333</c:v>
                </c:pt>
                <c:pt idx="27">
                  <c:v>1241.6666666666665</c:v>
                </c:pt>
                <c:pt idx="28">
                  <c:v>1137.4999999999998</c:v>
                </c:pt>
                <c:pt idx="29">
                  <c:v>1033.333333333333</c:v>
                </c:pt>
                <c:pt idx="30">
                  <c:v>929.1666666666664</c:v>
                </c:pt>
                <c:pt idx="31">
                  <c:v>824.99999999999977</c:v>
                </c:pt>
                <c:pt idx="32">
                  <c:v>824.99999999999977</c:v>
                </c:pt>
                <c:pt idx="33">
                  <c:v>824.99999999999977</c:v>
                </c:pt>
                <c:pt idx="34">
                  <c:v>824.99999999999977</c:v>
                </c:pt>
                <c:pt idx="35">
                  <c:v>824.99999999999977</c:v>
                </c:pt>
                <c:pt idx="36">
                  <c:v>824.99999999999977</c:v>
                </c:pt>
                <c:pt idx="37">
                  <c:v>824.99999999999977</c:v>
                </c:pt>
                <c:pt idx="38">
                  <c:v>824.99999999999977</c:v>
                </c:pt>
                <c:pt idx="39">
                  <c:v>824.99999999999977</c:v>
                </c:pt>
                <c:pt idx="40">
                  <c:v>824.99999999999977</c:v>
                </c:pt>
                <c:pt idx="41">
                  <c:v>824.99999999999977</c:v>
                </c:pt>
                <c:pt idx="42">
                  <c:v>824.99999999999977</c:v>
                </c:pt>
                <c:pt idx="43">
                  <c:v>824.99999999999977</c:v>
                </c:pt>
                <c:pt idx="44">
                  <c:v>824.99999999999977</c:v>
                </c:pt>
                <c:pt idx="45">
                  <c:v>824.99999999999977</c:v>
                </c:pt>
                <c:pt idx="46">
                  <c:v>824.99999999999977</c:v>
                </c:pt>
                <c:pt idx="47">
                  <c:v>824.99999999999977</c:v>
                </c:pt>
                <c:pt idx="48">
                  <c:v>824.99999999999977</c:v>
                </c:pt>
                <c:pt idx="49">
                  <c:v>824.99999999999977</c:v>
                </c:pt>
              </c:numCache>
            </c:numRef>
          </c:xVal>
          <c:yVal>
            <c:numRef>
              <c:f>Vach!$AJ$3:$AJ$52</c:f>
              <c:numCache>
                <c:formatCode>General</c:formatCode>
                <c:ptCount val="50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44-4134-BC3A-A8273CDD0180}"/>
            </c:ext>
          </c:extLst>
        </c:ser>
        <c:ser>
          <c:idx val="4"/>
          <c:order val="4"/>
          <c:tx>
            <c:v>Thep h1-1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Vach!$AK$3:$AK$52</c:f>
              <c:numCache>
                <c:formatCode>General</c:formatCode>
                <c:ptCount val="50"/>
                <c:pt idx="0">
                  <c:v>-1450</c:v>
                </c:pt>
                <c:pt idx="1">
                  <c:v>-1450</c:v>
                </c:pt>
                <c:pt idx="2">
                  <c:v>-1450</c:v>
                </c:pt>
                <c:pt idx="3">
                  <c:v>-1450</c:v>
                </c:pt>
                <c:pt idx="4">
                  <c:v>-1450</c:v>
                </c:pt>
                <c:pt idx="5">
                  <c:v>-1450</c:v>
                </c:pt>
                <c:pt idx="6">
                  <c:v>-1450</c:v>
                </c:pt>
                <c:pt idx="7">
                  <c:v>-1450</c:v>
                </c:pt>
                <c:pt idx="8">
                  <c:v>-1450</c:v>
                </c:pt>
                <c:pt idx="9">
                  <c:v>-1450</c:v>
                </c:pt>
                <c:pt idx="10">
                  <c:v>-1450</c:v>
                </c:pt>
                <c:pt idx="11">
                  <c:v>-1450</c:v>
                </c:pt>
                <c:pt idx="12">
                  <c:v>-1450</c:v>
                </c:pt>
                <c:pt idx="13">
                  <c:v>-1450</c:v>
                </c:pt>
                <c:pt idx="14">
                  <c:v>-1450</c:v>
                </c:pt>
                <c:pt idx="15">
                  <c:v>-1450</c:v>
                </c:pt>
                <c:pt idx="16">
                  <c:v>-1450</c:v>
                </c:pt>
                <c:pt idx="17">
                  <c:v>-1450</c:v>
                </c:pt>
                <c:pt idx="18">
                  <c:v>-1450</c:v>
                </c:pt>
                <c:pt idx="19">
                  <c:v>-1450</c:v>
                </c:pt>
                <c:pt idx="20">
                  <c:v>-1450</c:v>
                </c:pt>
                <c:pt idx="21">
                  <c:v>-1450</c:v>
                </c:pt>
                <c:pt idx="22">
                  <c:v>-1450</c:v>
                </c:pt>
                <c:pt idx="23">
                  <c:v>-1450</c:v>
                </c:pt>
                <c:pt idx="24">
                  <c:v>-1450</c:v>
                </c:pt>
                <c:pt idx="25">
                  <c:v>-1450</c:v>
                </c:pt>
                <c:pt idx="26">
                  <c:v>-1450</c:v>
                </c:pt>
                <c:pt idx="27">
                  <c:v>-1450</c:v>
                </c:pt>
                <c:pt idx="28">
                  <c:v>-1450</c:v>
                </c:pt>
                <c:pt idx="29">
                  <c:v>-1450</c:v>
                </c:pt>
                <c:pt idx="30">
                  <c:v>-1450</c:v>
                </c:pt>
                <c:pt idx="31">
                  <c:v>-1450</c:v>
                </c:pt>
                <c:pt idx="32">
                  <c:v>-1450</c:v>
                </c:pt>
                <c:pt idx="33">
                  <c:v>-1450</c:v>
                </c:pt>
                <c:pt idx="34">
                  <c:v>-1450</c:v>
                </c:pt>
                <c:pt idx="35">
                  <c:v>-1450</c:v>
                </c:pt>
                <c:pt idx="36">
                  <c:v>-1450</c:v>
                </c:pt>
                <c:pt idx="37">
                  <c:v>-1450</c:v>
                </c:pt>
                <c:pt idx="38">
                  <c:v>-1450</c:v>
                </c:pt>
                <c:pt idx="39">
                  <c:v>-1450</c:v>
                </c:pt>
                <c:pt idx="40">
                  <c:v>-1450</c:v>
                </c:pt>
                <c:pt idx="41">
                  <c:v>-1450</c:v>
                </c:pt>
                <c:pt idx="42">
                  <c:v>-1450</c:v>
                </c:pt>
                <c:pt idx="43">
                  <c:v>-1450</c:v>
                </c:pt>
                <c:pt idx="44">
                  <c:v>-1450</c:v>
                </c:pt>
                <c:pt idx="45">
                  <c:v>-1450</c:v>
                </c:pt>
                <c:pt idx="46">
                  <c:v>-1450</c:v>
                </c:pt>
                <c:pt idx="47">
                  <c:v>-1450</c:v>
                </c:pt>
                <c:pt idx="48">
                  <c:v>-1450</c:v>
                </c:pt>
                <c:pt idx="49">
                  <c:v>-1450</c:v>
                </c:pt>
              </c:numCache>
            </c:numRef>
          </c:xVal>
          <c:yVal>
            <c:numRef>
              <c:f>Vach!$AL$3:$AL$52</c:f>
              <c:numCache>
                <c:formatCode>General</c:formatCode>
                <c:ptCount val="50"/>
                <c:pt idx="0">
                  <c:v>-250</c:v>
                </c:pt>
                <c:pt idx="1">
                  <c:v>-166.66666666666669</c:v>
                </c:pt>
                <c:pt idx="2">
                  <c:v>-83.333333333333357</c:v>
                </c:pt>
                <c:pt idx="3">
                  <c:v>-2.8421709430404007E-14</c:v>
                </c:pt>
                <c:pt idx="4">
                  <c:v>83.3333333333333</c:v>
                </c:pt>
                <c:pt idx="5">
                  <c:v>166.66666666666663</c:v>
                </c:pt>
                <c:pt idx="6">
                  <c:v>249.99999999999994</c:v>
                </c:pt>
                <c:pt idx="7">
                  <c:v>249.99999999999994</c:v>
                </c:pt>
                <c:pt idx="8">
                  <c:v>249.99999999999994</c:v>
                </c:pt>
                <c:pt idx="9">
                  <c:v>249.99999999999994</c:v>
                </c:pt>
                <c:pt idx="10">
                  <c:v>249.99999999999994</c:v>
                </c:pt>
                <c:pt idx="11">
                  <c:v>249.99999999999994</c:v>
                </c:pt>
                <c:pt idx="12">
                  <c:v>249.99999999999994</c:v>
                </c:pt>
                <c:pt idx="13">
                  <c:v>249.99999999999994</c:v>
                </c:pt>
                <c:pt idx="14">
                  <c:v>249.99999999999994</c:v>
                </c:pt>
                <c:pt idx="15">
                  <c:v>249.99999999999994</c:v>
                </c:pt>
                <c:pt idx="16">
                  <c:v>249.99999999999994</c:v>
                </c:pt>
                <c:pt idx="17">
                  <c:v>249.99999999999994</c:v>
                </c:pt>
                <c:pt idx="18">
                  <c:v>249.99999999999994</c:v>
                </c:pt>
                <c:pt idx="19">
                  <c:v>249.99999999999994</c:v>
                </c:pt>
                <c:pt idx="20">
                  <c:v>249.99999999999994</c:v>
                </c:pt>
                <c:pt idx="21">
                  <c:v>249.99999999999994</c:v>
                </c:pt>
                <c:pt idx="22">
                  <c:v>249.99999999999994</c:v>
                </c:pt>
                <c:pt idx="23">
                  <c:v>249.99999999999994</c:v>
                </c:pt>
                <c:pt idx="24">
                  <c:v>249.99999999999994</c:v>
                </c:pt>
                <c:pt idx="25">
                  <c:v>249.99999999999994</c:v>
                </c:pt>
                <c:pt idx="26">
                  <c:v>249.99999999999994</c:v>
                </c:pt>
                <c:pt idx="27">
                  <c:v>249.99999999999994</c:v>
                </c:pt>
                <c:pt idx="28">
                  <c:v>249.99999999999994</c:v>
                </c:pt>
                <c:pt idx="29">
                  <c:v>249.99999999999994</c:v>
                </c:pt>
                <c:pt idx="30">
                  <c:v>249.99999999999994</c:v>
                </c:pt>
                <c:pt idx="31">
                  <c:v>249.99999999999994</c:v>
                </c:pt>
                <c:pt idx="32">
                  <c:v>249.99999999999994</c:v>
                </c:pt>
                <c:pt idx="33">
                  <c:v>249.99999999999994</c:v>
                </c:pt>
                <c:pt idx="34">
                  <c:v>249.99999999999994</c:v>
                </c:pt>
                <c:pt idx="35">
                  <c:v>249.99999999999994</c:v>
                </c:pt>
                <c:pt idx="36">
                  <c:v>249.99999999999994</c:v>
                </c:pt>
                <c:pt idx="37">
                  <c:v>249.99999999999994</c:v>
                </c:pt>
                <c:pt idx="38">
                  <c:v>249.99999999999994</c:v>
                </c:pt>
                <c:pt idx="39">
                  <c:v>249.99999999999994</c:v>
                </c:pt>
                <c:pt idx="40">
                  <c:v>249.99999999999994</c:v>
                </c:pt>
                <c:pt idx="41">
                  <c:v>249.99999999999994</c:v>
                </c:pt>
                <c:pt idx="42">
                  <c:v>249.99999999999994</c:v>
                </c:pt>
                <c:pt idx="43">
                  <c:v>249.99999999999994</c:v>
                </c:pt>
                <c:pt idx="44">
                  <c:v>249.99999999999994</c:v>
                </c:pt>
                <c:pt idx="45">
                  <c:v>249.99999999999994</c:v>
                </c:pt>
                <c:pt idx="46">
                  <c:v>249.99999999999994</c:v>
                </c:pt>
                <c:pt idx="47">
                  <c:v>249.99999999999994</c:v>
                </c:pt>
                <c:pt idx="48">
                  <c:v>249.99999999999994</c:v>
                </c:pt>
                <c:pt idx="49">
                  <c:v>249.99999999999994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44-4134-BC3A-A8273CDD0180}"/>
            </c:ext>
          </c:extLst>
        </c:ser>
        <c:ser>
          <c:idx val="5"/>
          <c:order val="5"/>
          <c:tx>
            <c:v>Thep h1-2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Vach!$AM$3:$AM$52</c:f>
              <c:numCache>
                <c:formatCode>General</c:formatCode>
                <c:ptCount val="50"/>
                <c:pt idx="0">
                  <c:v>1450</c:v>
                </c:pt>
                <c:pt idx="1">
                  <c:v>1450</c:v>
                </c:pt>
                <c:pt idx="2">
                  <c:v>1450</c:v>
                </c:pt>
                <c:pt idx="3">
                  <c:v>1450</c:v>
                </c:pt>
                <c:pt idx="4">
                  <c:v>1450</c:v>
                </c:pt>
                <c:pt idx="5">
                  <c:v>1450</c:v>
                </c:pt>
                <c:pt idx="6">
                  <c:v>1450</c:v>
                </c:pt>
                <c:pt idx="7">
                  <c:v>1450</c:v>
                </c:pt>
                <c:pt idx="8">
                  <c:v>1450</c:v>
                </c:pt>
                <c:pt idx="9">
                  <c:v>1450</c:v>
                </c:pt>
                <c:pt idx="10">
                  <c:v>1450</c:v>
                </c:pt>
                <c:pt idx="11">
                  <c:v>1450</c:v>
                </c:pt>
                <c:pt idx="12">
                  <c:v>1450</c:v>
                </c:pt>
                <c:pt idx="13">
                  <c:v>1450</c:v>
                </c:pt>
                <c:pt idx="14">
                  <c:v>1450</c:v>
                </c:pt>
                <c:pt idx="15">
                  <c:v>1450</c:v>
                </c:pt>
                <c:pt idx="16">
                  <c:v>1450</c:v>
                </c:pt>
                <c:pt idx="17">
                  <c:v>1450</c:v>
                </c:pt>
                <c:pt idx="18">
                  <c:v>1450</c:v>
                </c:pt>
                <c:pt idx="19">
                  <c:v>1450</c:v>
                </c:pt>
                <c:pt idx="20">
                  <c:v>1450</c:v>
                </c:pt>
                <c:pt idx="21">
                  <c:v>1450</c:v>
                </c:pt>
                <c:pt idx="22">
                  <c:v>1450</c:v>
                </c:pt>
                <c:pt idx="23">
                  <c:v>1450</c:v>
                </c:pt>
                <c:pt idx="24">
                  <c:v>1450</c:v>
                </c:pt>
                <c:pt idx="25">
                  <c:v>1450</c:v>
                </c:pt>
                <c:pt idx="26">
                  <c:v>1450</c:v>
                </c:pt>
                <c:pt idx="27">
                  <c:v>1450</c:v>
                </c:pt>
                <c:pt idx="28">
                  <c:v>1450</c:v>
                </c:pt>
                <c:pt idx="29">
                  <c:v>1450</c:v>
                </c:pt>
                <c:pt idx="30">
                  <c:v>1450</c:v>
                </c:pt>
                <c:pt idx="31">
                  <c:v>1450</c:v>
                </c:pt>
                <c:pt idx="32">
                  <c:v>1450</c:v>
                </c:pt>
                <c:pt idx="33">
                  <c:v>1450</c:v>
                </c:pt>
                <c:pt idx="34">
                  <c:v>1450</c:v>
                </c:pt>
                <c:pt idx="35">
                  <c:v>1450</c:v>
                </c:pt>
                <c:pt idx="36">
                  <c:v>1450</c:v>
                </c:pt>
                <c:pt idx="37">
                  <c:v>1450</c:v>
                </c:pt>
                <c:pt idx="38">
                  <c:v>1450</c:v>
                </c:pt>
                <c:pt idx="39">
                  <c:v>1450</c:v>
                </c:pt>
                <c:pt idx="40">
                  <c:v>1450</c:v>
                </c:pt>
                <c:pt idx="41">
                  <c:v>1450</c:v>
                </c:pt>
                <c:pt idx="42">
                  <c:v>1450</c:v>
                </c:pt>
                <c:pt idx="43">
                  <c:v>1450</c:v>
                </c:pt>
                <c:pt idx="44">
                  <c:v>1450</c:v>
                </c:pt>
                <c:pt idx="45">
                  <c:v>1450</c:v>
                </c:pt>
                <c:pt idx="46">
                  <c:v>1450</c:v>
                </c:pt>
                <c:pt idx="47">
                  <c:v>1450</c:v>
                </c:pt>
                <c:pt idx="48">
                  <c:v>1450</c:v>
                </c:pt>
                <c:pt idx="49">
                  <c:v>1450</c:v>
                </c:pt>
              </c:numCache>
            </c:numRef>
          </c:xVal>
          <c:yVal>
            <c:numRef>
              <c:f>Vach!$AL$3:$AL$52</c:f>
              <c:numCache>
                <c:formatCode>General</c:formatCode>
                <c:ptCount val="50"/>
                <c:pt idx="0">
                  <c:v>-250</c:v>
                </c:pt>
                <c:pt idx="1">
                  <c:v>-166.66666666666669</c:v>
                </c:pt>
                <c:pt idx="2">
                  <c:v>-83.333333333333357</c:v>
                </c:pt>
                <c:pt idx="3">
                  <c:v>-2.8421709430404007E-14</c:v>
                </c:pt>
                <c:pt idx="4">
                  <c:v>83.3333333333333</c:v>
                </c:pt>
                <c:pt idx="5">
                  <c:v>166.66666666666663</c:v>
                </c:pt>
                <c:pt idx="6">
                  <c:v>249.99999999999994</c:v>
                </c:pt>
                <c:pt idx="7">
                  <c:v>249.99999999999994</c:v>
                </c:pt>
                <c:pt idx="8">
                  <c:v>249.99999999999994</c:v>
                </c:pt>
                <c:pt idx="9">
                  <c:v>249.99999999999994</c:v>
                </c:pt>
                <c:pt idx="10">
                  <c:v>249.99999999999994</c:v>
                </c:pt>
                <c:pt idx="11">
                  <c:v>249.99999999999994</c:v>
                </c:pt>
                <c:pt idx="12">
                  <c:v>249.99999999999994</c:v>
                </c:pt>
                <c:pt idx="13">
                  <c:v>249.99999999999994</c:v>
                </c:pt>
                <c:pt idx="14">
                  <c:v>249.99999999999994</c:v>
                </c:pt>
                <c:pt idx="15">
                  <c:v>249.99999999999994</c:v>
                </c:pt>
                <c:pt idx="16">
                  <c:v>249.99999999999994</c:v>
                </c:pt>
                <c:pt idx="17">
                  <c:v>249.99999999999994</c:v>
                </c:pt>
                <c:pt idx="18">
                  <c:v>249.99999999999994</c:v>
                </c:pt>
                <c:pt idx="19">
                  <c:v>249.99999999999994</c:v>
                </c:pt>
                <c:pt idx="20">
                  <c:v>249.99999999999994</c:v>
                </c:pt>
                <c:pt idx="21">
                  <c:v>249.99999999999994</c:v>
                </c:pt>
                <c:pt idx="22">
                  <c:v>249.99999999999994</c:v>
                </c:pt>
                <c:pt idx="23">
                  <c:v>249.99999999999994</c:v>
                </c:pt>
                <c:pt idx="24">
                  <c:v>249.99999999999994</c:v>
                </c:pt>
                <c:pt idx="25">
                  <c:v>249.99999999999994</c:v>
                </c:pt>
                <c:pt idx="26">
                  <c:v>249.99999999999994</c:v>
                </c:pt>
                <c:pt idx="27">
                  <c:v>249.99999999999994</c:v>
                </c:pt>
                <c:pt idx="28">
                  <c:v>249.99999999999994</c:v>
                </c:pt>
                <c:pt idx="29">
                  <c:v>249.99999999999994</c:v>
                </c:pt>
                <c:pt idx="30">
                  <c:v>249.99999999999994</c:v>
                </c:pt>
                <c:pt idx="31">
                  <c:v>249.99999999999994</c:v>
                </c:pt>
                <c:pt idx="32">
                  <c:v>249.99999999999994</c:v>
                </c:pt>
                <c:pt idx="33">
                  <c:v>249.99999999999994</c:v>
                </c:pt>
                <c:pt idx="34">
                  <c:v>249.99999999999994</c:v>
                </c:pt>
                <c:pt idx="35">
                  <c:v>249.99999999999994</c:v>
                </c:pt>
                <c:pt idx="36">
                  <c:v>249.99999999999994</c:v>
                </c:pt>
                <c:pt idx="37">
                  <c:v>249.99999999999994</c:v>
                </c:pt>
                <c:pt idx="38">
                  <c:v>249.99999999999994</c:v>
                </c:pt>
                <c:pt idx="39">
                  <c:v>249.99999999999994</c:v>
                </c:pt>
                <c:pt idx="40">
                  <c:v>249.99999999999994</c:v>
                </c:pt>
                <c:pt idx="41">
                  <c:v>249.99999999999994</c:v>
                </c:pt>
                <c:pt idx="42">
                  <c:v>249.99999999999994</c:v>
                </c:pt>
                <c:pt idx="43">
                  <c:v>249.99999999999994</c:v>
                </c:pt>
                <c:pt idx="44">
                  <c:v>249.99999999999994</c:v>
                </c:pt>
                <c:pt idx="45">
                  <c:v>249.99999999999994</c:v>
                </c:pt>
                <c:pt idx="46">
                  <c:v>249.99999999999994</c:v>
                </c:pt>
                <c:pt idx="47">
                  <c:v>249.99999999999994</c:v>
                </c:pt>
                <c:pt idx="48">
                  <c:v>249.99999999999994</c:v>
                </c:pt>
                <c:pt idx="49">
                  <c:v>249.99999999999994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C44-4134-BC3A-A8273CDD0180}"/>
            </c:ext>
          </c:extLst>
        </c:ser>
        <c:ser>
          <c:idx val="6"/>
          <c:order val="6"/>
          <c:tx>
            <c:v>Thep b2-1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Vach!$AN$3:$AN$52</c:f>
              <c:numCache>
                <c:formatCode>General</c:formatCode>
                <c:ptCount val="50"/>
                <c:pt idx="0">
                  <c:v>-687.5</c:v>
                </c:pt>
                <c:pt idx="1">
                  <c:v>-550</c:v>
                </c:pt>
                <c:pt idx="2">
                  <c:v>-412.5</c:v>
                </c:pt>
                <c:pt idx="3">
                  <c:v>-275</c:v>
                </c:pt>
                <c:pt idx="4">
                  <c:v>-137.5</c:v>
                </c:pt>
                <c:pt idx="5">
                  <c:v>0</c:v>
                </c:pt>
                <c:pt idx="6">
                  <c:v>137.5</c:v>
                </c:pt>
                <c:pt idx="7">
                  <c:v>275</c:v>
                </c:pt>
                <c:pt idx="8">
                  <c:v>412.5</c:v>
                </c:pt>
                <c:pt idx="9">
                  <c:v>550</c:v>
                </c:pt>
                <c:pt idx="10">
                  <c:v>687.5</c:v>
                </c:pt>
                <c:pt idx="11">
                  <c:v>687.5</c:v>
                </c:pt>
                <c:pt idx="12">
                  <c:v>687.5</c:v>
                </c:pt>
                <c:pt idx="13">
                  <c:v>687.5</c:v>
                </c:pt>
                <c:pt idx="14">
                  <c:v>687.5</c:v>
                </c:pt>
                <c:pt idx="15">
                  <c:v>687.5</c:v>
                </c:pt>
                <c:pt idx="16">
                  <c:v>687.5</c:v>
                </c:pt>
                <c:pt idx="17">
                  <c:v>687.5</c:v>
                </c:pt>
                <c:pt idx="18">
                  <c:v>687.5</c:v>
                </c:pt>
                <c:pt idx="19">
                  <c:v>687.5</c:v>
                </c:pt>
                <c:pt idx="20">
                  <c:v>687.5</c:v>
                </c:pt>
                <c:pt idx="21">
                  <c:v>687.5</c:v>
                </c:pt>
                <c:pt idx="22">
                  <c:v>687.5</c:v>
                </c:pt>
                <c:pt idx="23">
                  <c:v>687.5</c:v>
                </c:pt>
                <c:pt idx="24">
                  <c:v>687.5</c:v>
                </c:pt>
                <c:pt idx="25">
                  <c:v>687.5</c:v>
                </c:pt>
                <c:pt idx="26">
                  <c:v>687.5</c:v>
                </c:pt>
                <c:pt idx="27">
                  <c:v>687.5</c:v>
                </c:pt>
                <c:pt idx="28">
                  <c:v>687.5</c:v>
                </c:pt>
                <c:pt idx="29">
                  <c:v>687.5</c:v>
                </c:pt>
                <c:pt idx="30">
                  <c:v>687.5</c:v>
                </c:pt>
                <c:pt idx="31">
                  <c:v>687.5</c:v>
                </c:pt>
                <c:pt idx="32">
                  <c:v>687.5</c:v>
                </c:pt>
                <c:pt idx="33">
                  <c:v>687.5</c:v>
                </c:pt>
                <c:pt idx="34">
                  <c:v>687.5</c:v>
                </c:pt>
                <c:pt idx="35">
                  <c:v>687.5</c:v>
                </c:pt>
                <c:pt idx="36">
                  <c:v>687.5</c:v>
                </c:pt>
                <c:pt idx="37">
                  <c:v>687.5</c:v>
                </c:pt>
                <c:pt idx="38">
                  <c:v>687.5</c:v>
                </c:pt>
                <c:pt idx="39">
                  <c:v>687.5</c:v>
                </c:pt>
                <c:pt idx="40">
                  <c:v>687.5</c:v>
                </c:pt>
                <c:pt idx="41">
                  <c:v>687.5</c:v>
                </c:pt>
                <c:pt idx="42">
                  <c:v>687.5</c:v>
                </c:pt>
                <c:pt idx="43">
                  <c:v>687.5</c:v>
                </c:pt>
                <c:pt idx="44">
                  <c:v>687.5</c:v>
                </c:pt>
                <c:pt idx="45">
                  <c:v>687.5</c:v>
                </c:pt>
                <c:pt idx="46">
                  <c:v>687.5</c:v>
                </c:pt>
                <c:pt idx="47">
                  <c:v>687.5</c:v>
                </c:pt>
                <c:pt idx="48">
                  <c:v>687.5</c:v>
                </c:pt>
                <c:pt idx="49">
                  <c:v>687.5</c:v>
                </c:pt>
              </c:numCache>
            </c:numRef>
          </c:xVal>
          <c:yVal>
            <c:numRef>
              <c:f>Vach!$AO$3:$AO$52</c:f>
              <c:numCache>
                <c:formatCode>General</c:formatCode>
                <c:ptCount val="50"/>
                <c:pt idx="0">
                  <c:v>-250</c:v>
                </c:pt>
                <c:pt idx="1">
                  <c:v>-250</c:v>
                </c:pt>
                <c:pt idx="2">
                  <c:v>-250</c:v>
                </c:pt>
                <c:pt idx="3">
                  <c:v>-250</c:v>
                </c:pt>
                <c:pt idx="4">
                  <c:v>-250</c:v>
                </c:pt>
                <c:pt idx="5">
                  <c:v>-250</c:v>
                </c:pt>
                <c:pt idx="6">
                  <c:v>-250</c:v>
                </c:pt>
                <c:pt idx="7">
                  <c:v>-250</c:v>
                </c:pt>
                <c:pt idx="8">
                  <c:v>-250</c:v>
                </c:pt>
                <c:pt idx="9">
                  <c:v>-250</c:v>
                </c:pt>
                <c:pt idx="10">
                  <c:v>-250</c:v>
                </c:pt>
                <c:pt idx="11">
                  <c:v>-250</c:v>
                </c:pt>
                <c:pt idx="12">
                  <c:v>-250</c:v>
                </c:pt>
                <c:pt idx="13">
                  <c:v>-250</c:v>
                </c:pt>
                <c:pt idx="14">
                  <c:v>-250</c:v>
                </c:pt>
                <c:pt idx="15">
                  <c:v>-250</c:v>
                </c:pt>
                <c:pt idx="16">
                  <c:v>-250</c:v>
                </c:pt>
                <c:pt idx="17">
                  <c:v>-250</c:v>
                </c:pt>
                <c:pt idx="18">
                  <c:v>-250</c:v>
                </c:pt>
                <c:pt idx="19">
                  <c:v>-250</c:v>
                </c:pt>
                <c:pt idx="20">
                  <c:v>-250</c:v>
                </c:pt>
                <c:pt idx="21">
                  <c:v>-250</c:v>
                </c:pt>
                <c:pt idx="22">
                  <c:v>-250</c:v>
                </c:pt>
                <c:pt idx="23">
                  <c:v>-250</c:v>
                </c:pt>
                <c:pt idx="24">
                  <c:v>-250</c:v>
                </c:pt>
                <c:pt idx="25">
                  <c:v>-250</c:v>
                </c:pt>
                <c:pt idx="26">
                  <c:v>-250</c:v>
                </c:pt>
                <c:pt idx="27">
                  <c:v>-250</c:v>
                </c:pt>
                <c:pt idx="28">
                  <c:v>-250</c:v>
                </c:pt>
                <c:pt idx="29">
                  <c:v>-250</c:v>
                </c:pt>
                <c:pt idx="30">
                  <c:v>-250</c:v>
                </c:pt>
                <c:pt idx="31">
                  <c:v>-250</c:v>
                </c:pt>
                <c:pt idx="32">
                  <c:v>-250</c:v>
                </c:pt>
                <c:pt idx="33">
                  <c:v>-250</c:v>
                </c:pt>
                <c:pt idx="34">
                  <c:v>-250</c:v>
                </c:pt>
                <c:pt idx="35">
                  <c:v>-250</c:v>
                </c:pt>
                <c:pt idx="36">
                  <c:v>-250</c:v>
                </c:pt>
                <c:pt idx="37">
                  <c:v>-250</c:v>
                </c:pt>
                <c:pt idx="38">
                  <c:v>-250</c:v>
                </c:pt>
                <c:pt idx="39">
                  <c:v>-250</c:v>
                </c:pt>
                <c:pt idx="40">
                  <c:v>-250</c:v>
                </c:pt>
                <c:pt idx="41">
                  <c:v>-250</c:v>
                </c:pt>
                <c:pt idx="42">
                  <c:v>-250</c:v>
                </c:pt>
                <c:pt idx="43">
                  <c:v>-250</c:v>
                </c:pt>
                <c:pt idx="44">
                  <c:v>-250</c:v>
                </c:pt>
                <c:pt idx="45">
                  <c:v>-250</c:v>
                </c:pt>
                <c:pt idx="46">
                  <c:v>-250</c:v>
                </c:pt>
                <c:pt idx="47">
                  <c:v>-250</c:v>
                </c:pt>
                <c:pt idx="48">
                  <c:v>-250</c:v>
                </c:pt>
                <c:pt idx="49">
                  <c:v>-250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C44-4134-BC3A-A8273CDD0180}"/>
            </c:ext>
          </c:extLst>
        </c:ser>
        <c:ser>
          <c:idx val="7"/>
          <c:order val="7"/>
          <c:tx>
            <c:v>Thep b2-2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Vach!$AN$3:$AN$52</c:f>
              <c:numCache>
                <c:formatCode>General</c:formatCode>
                <c:ptCount val="50"/>
                <c:pt idx="0">
                  <c:v>-687.5</c:v>
                </c:pt>
                <c:pt idx="1">
                  <c:v>-550</c:v>
                </c:pt>
                <c:pt idx="2">
                  <c:v>-412.5</c:v>
                </c:pt>
                <c:pt idx="3">
                  <c:v>-275</c:v>
                </c:pt>
                <c:pt idx="4">
                  <c:v>-137.5</c:v>
                </c:pt>
                <c:pt idx="5">
                  <c:v>0</c:v>
                </c:pt>
                <c:pt idx="6">
                  <c:v>137.5</c:v>
                </c:pt>
                <c:pt idx="7">
                  <c:v>275</c:v>
                </c:pt>
                <c:pt idx="8">
                  <c:v>412.5</c:v>
                </c:pt>
                <c:pt idx="9">
                  <c:v>550</c:v>
                </c:pt>
                <c:pt idx="10">
                  <c:v>687.5</c:v>
                </c:pt>
                <c:pt idx="11">
                  <c:v>687.5</c:v>
                </c:pt>
                <c:pt idx="12">
                  <c:v>687.5</c:v>
                </c:pt>
                <c:pt idx="13">
                  <c:v>687.5</c:v>
                </c:pt>
                <c:pt idx="14">
                  <c:v>687.5</c:v>
                </c:pt>
                <c:pt idx="15">
                  <c:v>687.5</c:v>
                </c:pt>
                <c:pt idx="16">
                  <c:v>687.5</c:v>
                </c:pt>
                <c:pt idx="17">
                  <c:v>687.5</c:v>
                </c:pt>
                <c:pt idx="18">
                  <c:v>687.5</c:v>
                </c:pt>
                <c:pt idx="19">
                  <c:v>687.5</c:v>
                </c:pt>
                <c:pt idx="20">
                  <c:v>687.5</c:v>
                </c:pt>
                <c:pt idx="21">
                  <c:v>687.5</c:v>
                </c:pt>
                <c:pt idx="22">
                  <c:v>687.5</c:v>
                </c:pt>
                <c:pt idx="23">
                  <c:v>687.5</c:v>
                </c:pt>
                <c:pt idx="24">
                  <c:v>687.5</c:v>
                </c:pt>
                <c:pt idx="25">
                  <c:v>687.5</c:v>
                </c:pt>
                <c:pt idx="26">
                  <c:v>687.5</c:v>
                </c:pt>
                <c:pt idx="27">
                  <c:v>687.5</c:v>
                </c:pt>
                <c:pt idx="28">
                  <c:v>687.5</c:v>
                </c:pt>
                <c:pt idx="29">
                  <c:v>687.5</c:v>
                </c:pt>
                <c:pt idx="30">
                  <c:v>687.5</c:v>
                </c:pt>
                <c:pt idx="31">
                  <c:v>687.5</c:v>
                </c:pt>
                <c:pt idx="32">
                  <c:v>687.5</c:v>
                </c:pt>
                <c:pt idx="33">
                  <c:v>687.5</c:v>
                </c:pt>
                <c:pt idx="34">
                  <c:v>687.5</c:v>
                </c:pt>
                <c:pt idx="35">
                  <c:v>687.5</c:v>
                </c:pt>
                <c:pt idx="36">
                  <c:v>687.5</c:v>
                </c:pt>
                <c:pt idx="37">
                  <c:v>687.5</c:v>
                </c:pt>
                <c:pt idx="38">
                  <c:v>687.5</c:v>
                </c:pt>
                <c:pt idx="39">
                  <c:v>687.5</c:v>
                </c:pt>
                <c:pt idx="40">
                  <c:v>687.5</c:v>
                </c:pt>
                <c:pt idx="41">
                  <c:v>687.5</c:v>
                </c:pt>
                <c:pt idx="42">
                  <c:v>687.5</c:v>
                </c:pt>
                <c:pt idx="43">
                  <c:v>687.5</c:v>
                </c:pt>
                <c:pt idx="44">
                  <c:v>687.5</c:v>
                </c:pt>
                <c:pt idx="45">
                  <c:v>687.5</c:v>
                </c:pt>
                <c:pt idx="46">
                  <c:v>687.5</c:v>
                </c:pt>
                <c:pt idx="47">
                  <c:v>687.5</c:v>
                </c:pt>
                <c:pt idx="48">
                  <c:v>687.5</c:v>
                </c:pt>
                <c:pt idx="49">
                  <c:v>687.5</c:v>
                </c:pt>
              </c:numCache>
            </c:numRef>
          </c:xVal>
          <c:yVal>
            <c:numRef>
              <c:f>Vach!$AP$3:$AP$52</c:f>
              <c:numCache>
                <c:formatCode>General</c:formatCode>
                <c:ptCount val="50"/>
                <c:pt idx="0">
                  <c:v>250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250</c:v>
                </c:pt>
                <c:pt idx="7">
                  <c:v>250</c:v>
                </c:pt>
                <c:pt idx="8">
                  <c:v>250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250</c:v>
                </c:pt>
                <c:pt idx="22">
                  <c:v>250</c:v>
                </c:pt>
                <c:pt idx="23">
                  <c:v>250</c:v>
                </c:pt>
                <c:pt idx="24">
                  <c:v>250</c:v>
                </c:pt>
                <c:pt idx="25">
                  <c:v>250</c:v>
                </c:pt>
                <c:pt idx="26">
                  <c:v>250</c:v>
                </c:pt>
                <c:pt idx="27">
                  <c:v>250</c:v>
                </c:pt>
                <c:pt idx="28">
                  <c:v>250</c:v>
                </c:pt>
                <c:pt idx="29">
                  <c:v>250</c:v>
                </c:pt>
                <c:pt idx="30">
                  <c:v>250</c:v>
                </c:pt>
                <c:pt idx="31">
                  <c:v>250</c:v>
                </c:pt>
                <c:pt idx="32">
                  <c:v>250</c:v>
                </c:pt>
                <c:pt idx="33">
                  <c:v>250</c:v>
                </c:pt>
                <c:pt idx="34">
                  <c:v>250</c:v>
                </c:pt>
                <c:pt idx="35">
                  <c:v>250</c:v>
                </c:pt>
                <c:pt idx="36">
                  <c:v>250</c:v>
                </c:pt>
                <c:pt idx="37">
                  <c:v>250</c:v>
                </c:pt>
                <c:pt idx="38">
                  <c:v>250</c:v>
                </c:pt>
                <c:pt idx="39">
                  <c:v>250</c:v>
                </c:pt>
                <c:pt idx="40">
                  <c:v>250</c:v>
                </c:pt>
                <c:pt idx="41">
                  <c:v>250</c:v>
                </c:pt>
                <c:pt idx="42">
                  <c:v>250</c:v>
                </c:pt>
                <c:pt idx="43">
                  <c:v>250</c:v>
                </c:pt>
                <c:pt idx="44">
                  <c:v>250</c:v>
                </c:pt>
                <c:pt idx="45">
                  <c:v>250</c:v>
                </c:pt>
                <c:pt idx="46">
                  <c:v>250</c:v>
                </c:pt>
                <c:pt idx="47">
                  <c:v>250</c:v>
                </c:pt>
                <c:pt idx="48">
                  <c:v>250</c:v>
                </c:pt>
                <c:pt idx="49">
                  <c:v>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44-4134-BC3A-A8273CDD0180}"/>
            </c:ext>
          </c:extLst>
        </c:ser>
        <c:ser>
          <c:idx val="8"/>
          <c:order val="8"/>
          <c:tx>
            <c:v>Thep h2-1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Vach!$AQ$3:$AQ$52</c:f>
              <c:numCache>
                <c:formatCode>General</c:formatCode>
                <c:ptCount val="50"/>
                <c:pt idx="0">
                  <c:v>-825</c:v>
                </c:pt>
                <c:pt idx="1">
                  <c:v>-825</c:v>
                </c:pt>
                <c:pt idx="2">
                  <c:v>-825</c:v>
                </c:pt>
                <c:pt idx="3">
                  <c:v>-825</c:v>
                </c:pt>
                <c:pt idx="4">
                  <c:v>-825</c:v>
                </c:pt>
                <c:pt idx="5">
                  <c:v>-825</c:v>
                </c:pt>
                <c:pt idx="6">
                  <c:v>-825</c:v>
                </c:pt>
                <c:pt idx="7">
                  <c:v>-825</c:v>
                </c:pt>
                <c:pt idx="8">
                  <c:v>-825</c:v>
                </c:pt>
                <c:pt idx="9">
                  <c:v>-825</c:v>
                </c:pt>
                <c:pt idx="10">
                  <c:v>-825</c:v>
                </c:pt>
                <c:pt idx="11">
                  <c:v>-825</c:v>
                </c:pt>
                <c:pt idx="12">
                  <c:v>-825</c:v>
                </c:pt>
                <c:pt idx="13">
                  <c:v>-825</c:v>
                </c:pt>
                <c:pt idx="14">
                  <c:v>-825</c:v>
                </c:pt>
                <c:pt idx="15">
                  <c:v>-825</c:v>
                </c:pt>
                <c:pt idx="16">
                  <c:v>-825</c:v>
                </c:pt>
                <c:pt idx="17">
                  <c:v>-825</c:v>
                </c:pt>
                <c:pt idx="18">
                  <c:v>-825</c:v>
                </c:pt>
                <c:pt idx="19">
                  <c:v>-825</c:v>
                </c:pt>
                <c:pt idx="20">
                  <c:v>-825</c:v>
                </c:pt>
                <c:pt idx="21">
                  <c:v>-825</c:v>
                </c:pt>
                <c:pt idx="22">
                  <c:v>-825</c:v>
                </c:pt>
                <c:pt idx="23">
                  <c:v>-825</c:v>
                </c:pt>
                <c:pt idx="24">
                  <c:v>-825</c:v>
                </c:pt>
                <c:pt idx="25">
                  <c:v>-825</c:v>
                </c:pt>
                <c:pt idx="26">
                  <c:v>-825</c:v>
                </c:pt>
                <c:pt idx="27">
                  <c:v>-825</c:v>
                </c:pt>
                <c:pt idx="28">
                  <c:v>-825</c:v>
                </c:pt>
                <c:pt idx="29">
                  <c:v>-825</c:v>
                </c:pt>
                <c:pt idx="30">
                  <c:v>-825</c:v>
                </c:pt>
                <c:pt idx="31">
                  <c:v>-825</c:v>
                </c:pt>
                <c:pt idx="32">
                  <c:v>-825</c:v>
                </c:pt>
                <c:pt idx="33">
                  <c:v>-825</c:v>
                </c:pt>
                <c:pt idx="34">
                  <c:v>-825</c:v>
                </c:pt>
                <c:pt idx="35">
                  <c:v>-825</c:v>
                </c:pt>
                <c:pt idx="36">
                  <c:v>-825</c:v>
                </c:pt>
                <c:pt idx="37">
                  <c:v>-825</c:v>
                </c:pt>
                <c:pt idx="38">
                  <c:v>-825</c:v>
                </c:pt>
                <c:pt idx="39">
                  <c:v>-825</c:v>
                </c:pt>
                <c:pt idx="40">
                  <c:v>-825</c:v>
                </c:pt>
                <c:pt idx="41">
                  <c:v>-825</c:v>
                </c:pt>
                <c:pt idx="42">
                  <c:v>-825</c:v>
                </c:pt>
                <c:pt idx="43">
                  <c:v>-825</c:v>
                </c:pt>
                <c:pt idx="44">
                  <c:v>-825</c:v>
                </c:pt>
                <c:pt idx="45">
                  <c:v>-825</c:v>
                </c:pt>
                <c:pt idx="46">
                  <c:v>-825</c:v>
                </c:pt>
                <c:pt idx="47">
                  <c:v>-825</c:v>
                </c:pt>
                <c:pt idx="48">
                  <c:v>-825</c:v>
                </c:pt>
                <c:pt idx="49">
                  <c:v>-825</c:v>
                </c:pt>
              </c:numCache>
            </c:numRef>
          </c:xVal>
          <c:yVal>
            <c:numRef>
              <c:f>Vach!$AR$3:$AR$52</c:f>
              <c:numCache>
                <c:formatCode>General</c:formatCode>
                <c:ptCount val="50"/>
                <c:pt idx="0">
                  <c:v>-250</c:v>
                </c:pt>
                <c:pt idx="1">
                  <c:v>-166.66666666666669</c:v>
                </c:pt>
                <c:pt idx="2">
                  <c:v>-83.333333333333357</c:v>
                </c:pt>
                <c:pt idx="3">
                  <c:v>-2.8421709430404007E-14</c:v>
                </c:pt>
                <c:pt idx="4">
                  <c:v>83.3333333333333</c:v>
                </c:pt>
                <c:pt idx="5">
                  <c:v>166.66666666666663</c:v>
                </c:pt>
                <c:pt idx="6">
                  <c:v>249.99999999999994</c:v>
                </c:pt>
                <c:pt idx="7">
                  <c:v>249.99999999999994</c:v>
                </c:pt>
                <c:pt idx="8">
                  <c:v>249.99999999999994</c:v>
                </c:pt>
                <c:pt idx="9">
                  <c:v>249.99999999999994</c:v>
                </c:pt>
                <c:pt idx="10">
                  <c:v>249.99999999999994</c:v>
                </c:pt>
                <c:pt idx="11">
                  <c:v>249.99999999999994</c:v>
                </c:pt>
                <c:pt idx="12">
                  <c:v>249.99999999999994</c:v>
                </c:pt>
                <c:pt idx="13">
                  <c:v>249.99999999999994</c:v>
                </c:pt>
                <c:pt idx="14">
                  <c:v>249.99999999999994</c:v>
                </c:pt>
                <c:pt idx="15">
                  <c:v>249.99999999999994</c:v>
                </c:pt>
                <c:pt idx="16">
                  <c:v>249.99999999999994</c:v>
                </c:pt>
                <c:pt idx="17">
                  <c:v>249.99999999999994</c:v>
                </c:pt>
                <c:pt idx="18">
                  <c:v>249.99999999999994</c:v>
                </c:pt>
                <c:pt idx="19">
                  <c:v>249.99999999999994</c:v>
                </c:pt>
                <c:pt idx="20">
                  <c:v>249.99999999999994</c:v>
                </c:pt>
                <c:pt idx="21">
                  <c:v>249.99999999999994</c:v>
                </c:pt>
                <c:pt idx="22">
                  <c:v>249.99999999999994</c:v>
                </c:pt>
                <c:pt idx="23">
                  <c:v>249.99999999999994</c:v>
                </c:pt>
                <c:pt idx="24">
                  <c:v>249.99999999999994</c:v>
                </c:pt>
                <c:pt idx="25">
                  <c:v>249.99999999999994</c:v>
                </c:pt>
                <c:pt idx="26">
                  <c:v>249.99999999999994</c:v>
                </c:pt>
                <c:pt idx="27">
                  <c:v>249.99999999999994</c:v>
                </c:pt>
                <c:pt idx="28">
                  <c:v>249.99999999999994</c:v>
                </c:pt>
                <c:pt idx="29">
                  <c:v>249.99999999999994</c:v>
                </c:pt>
                <c:pt idx="30">
                  <c:v>249.99999999999994</c:v>
                </c:pt>
                <c:pt idx="31">
                  <c:v>249.99999999999994</c:v>
                </c:pt>
                <c:pt idx="32">
                  <c:v>249.99999999999994</c:v>
                </c:pt>
                <c:pt idx="33">
                  <c:v>249.99999999999994</c:v>
                </c:pt>
                <c:pt idx="34">
                  <c:v>249.99999999999994</c:v>
                </c:pt>
                <c:pt idx="35">
                  <c:v>249.99999999999994</c:v>
                </c:pt>
                <c:pt idx="36">
                  <c:v>249.99999999999994</c:v>
                </c:pt>
                <c:pt idx="37">
                  <c:v>249.99999999999994</c:v>
                </c:pt>
                <c:pt idx="38">
                  <c:v>249.99999999999994</c:v>
                </c:pt>
                <c:pt idx="39">
                  <c:v>249.99999999999994</c:v>
                </c:pt>
                <c:pt idx="40">
                  <c:v>249.99999999999994</c:v>
                </c:pt>
                <c:pt idx="41">
                  <c:v>249.99999999999994</c:v>
                </c:pt>
                <c:pt idx="42">
                  <c:v>249.99999999999994</c:v>
                </c:pt>
                <c:pt idx="43">
                  <c:v>249.99999999999994</c:v>
                </c:pt>
                <c:pt idx="44">
                  <c:v>249.99999999999994</c:v>
                </c:pt>
                <c:pt idx="45">
                  <c:v>249.99999999999994</c:v>
                </c:pt>
                <c:pt idx="46">
                  <c:v>249.99999999999994</c:v>
                </c:pt>
                <c:pt idx="47">
                  <c:v>249.99999999999994</c:v>
                </c:pt>
                <c:pt idx="48">
                  <c:v>249.99999999999994</c:v>
                </c:pt>
                <c:pt idx="49">
                  <c:v>249.99999999999994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C44-4134-BC3A-A8273CDD0180}"/>
            </c:ext>
          </c:extLst>
        </c:ser>
        <c:ser>
          <c:idx val="9"/>
          <c:order val="9"/>
          <c:tx>
            <c:v>Thep h2-2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Vach!$AS$3:$AS$52</c:f>
              <c:numCache>
                <c:formatCode>General</c:formatCode>
                <c:ptCount val="50"/>
                <c:pt idx="0">
                  <c:v>825</c:v>
                </c:pt>
                <c:pt idx="1">
                  <c:v>825</c:v>
                </c:pt>
                <c:pt idx="2">
                  <c:v>825</c:v>
                </c:pt>
                <c:pt idx="3">
                  <c:v>825</c:v>
                </c:pt>
                <c:pt idx="4">
                  <c:v>825</c:v>
                </c:pt>
                <c:pt idx="5">
                  <c:v>825</c:v>
                </c:pt>
                <c:pt idx="6">
                  <c:v>825</c:v>
                </c:pt>
                <c:pt idx="7">
                  <c:v>825</c:v>
                </c:pt>
                <c:pt idx="8">
                  <c:v>825</c:v>
                </c:pt>
                <c:pt idx="9">
                  <c:v>825</c:v>
                </c:pt>
                <c:pt idx="10">
                  <c:v>825</c:v>
                </c:pt>
                <c:pt idx="11">
                  <c:v>825</c:v>
                </c:pt>
                <c:pt idx="12">
                  <c:v>825</c:v>
                </c:pt>
                <c:pt idx="13">
                  <c:v>825</c:v>
                </c:pt>
                <c:pt idx="14">
                  <c:v>825</c:v>
                </c:pt>
                <c:pt idx="15">
                  <c:v>825</c:v>
                </c:pt>
                <c:pt idx="16">
                  <c:v>825</c:v>
                </c:pt>
                <c:pt idx="17">
                  <c:v>825</c:v>
                </c:pt>
                <c:pt idx="18">
                  <c:v>825</c:v>
                </c:pt>
                <c:pt idx="19">
                  <c:v>825</c:v>
                </c:pt>
                <c:pt idx="20">
                  <c:v>825</c:v>
                </c:pt>
                <c:pt idx="21">
                  <c:v>825</c:v>
                </c:pt>
                <c:pt idx="22">
                  <c:v>825</c:v>
                </c:pt>
                <c:pt idx="23">
                  <c:v>825</c:v>
                </c:pt>
                <c:pt idx="24">
                  <c:v>825</c:v>
                </c:pt>
                <c:pt idx="25">
                  <c:v>825</c:v>
                </c:pt>
                <c:pt idx="26">
                  <c:v>825</c:v>
                </c:pt>
                <c:pt idx="27">
                  <c:v>825</c:v>
                </c:pt>
                <c:pt idx="28">
                  <c:v>825</c:v>
                </c:pt>
                <c:pt idx="29">
                  <c:v>825</c:v>
                </c:pt>
                <c:pt idx="30">
                  <c:v>825</c:v>
                </c:pt>
                <c:pt idx="31">
                  <c:v>825</c:v>
                </c:pt>
                <c:pt idx="32">
                  <c:v>825</c:v>
                </c:pt>
                <c:pt idx="33">
                  <c:v>825</c:v>
                </c:pt>
                <c:pt idx="34">
                  <c:v>825</c:v>
                </c:pt>
                <c:pt idx="35">
                  <c:v>825</c:v>
                </c:pt>
                <c:pt idx="36">
                  <c:v>825</c:v>
                </c:pt>
                <c:pt idx="37">
                  <c:v>825</c:v>
                </c:pt>
                <c:pt idx="38">
                  <c:v>825</c:v>
                </c:pt>
                <c:pt idx="39">
                  <c:v>825</c:v>
                </c:pt>
                <c:pt idx="40">
                  <c:v>825</c:v>
                </c:pt>
                <c:pt idx="41">
                  <c:v>825</c:v>
                </c:pt>
                <c:pt idx="42">
                  <c:v>825</c:v>
                </c:pt>
                <c:pt idx="43">
                  <c:v>825</c:v>
                </c:pt>
                <c:pt idx="44">
                  <c:v>825</c:v>
                </c:pt>
                <c:pt idx="45">
                  <c:v>825</c:v>
                </c:pt>
                <c:pt idx="46">
                  <c:v>825</c:v>
                </c:pt>
                <c:pt idx="47">
                  <c:v>825</c:v>
                </c:pt>
                <c:pt idx="48">
                  <c:v>825</c:v>
                </c:pt>
                <c:pt idx="49">
                  <c:v>825</c:v>
                </c:pt>
              </c:numCache>
            </c:numRef>
          </c:xVal>
          <c:yVal>
            <c:numRef>
              <c:f>Vach!$AR$3:$AR$52</c:f>
              <c:numCache>
                <c:formatCode>General</c:formatCode>
                <c:ptCount val="50"/>
                <c:pt idx="0">
                  <c:v>-250</c:v>
                </c:pt>
                <c:pt idx="1">
                  <c:v>-166.66666666666669</c:v>
                </c:pt>
                <c:pt idx="2">
                  <c:v>-83.333333333333357</c:v>
                </c:pt>
                <c:pt idx="3">
                  <c:v>-2.8421709430404007E-14</c:v>
                </c:pt>
                <c:pt idx="4">
                  <c:v>83.3333333333333</c:v>
                </c:pt>
                <c:pt idx="5">
                  <c:v>166.66666666666663</c:v>
                </c:pt>
                <c:pt idx="6">
                  <c:v>249.99999999999994</c:v>
                </c:pt>
                <c:pt idx="7">
                  <c:v>249.99999999999994</c:v>
                </c:pt>
                <c:pt idx="8">
                  <c:v>249.99999999999994</c:v>
                </c:pt>
                <c:pt idx="9">
                  <c:v>249.99999999999994</c:v>
                </c:pt>
                <c:pt idx="10">
                  <c:v>249.99999999999994</c:v>
                </c:pt>
                <c:pt idx="11">
                  <c:v>249.99999999999994</c:v>
                </c:pt>
                <c:pt idx="12">
                  <c:v>249.99999999999994</c:v>
                </c:pt>
                <c:pt idx="13">
                  <c:v>249.99999999999994</c:v>
                </c:pt>
                <c:pt idx="14">
                  <c:v>249.99999999999994</c:v>
                </c:pt>
                <c:pt idx="15">
                  <c:v>249.99999999999994</c:v>
                </c:pt>
                <c:pt idx="16">
                  <c:v>249.99999999999994</c:v>
                </c:pt>
                <c:pt idx="17">
                  <c:v>249.99999999999994</c:v>
                </c:pt>
                <c:pt idx="18">
                  <c:v>249.99999999999994</c:v>
                </c:pt>
                <c:pt idx="19">
                  <c:v>249.99999999999994</c:v>
                </c:pt>
                <c:pt idx="20">
                  <c:v>249.99999999999994</c:v>
                </c:pt>
                <c:pt idx="21">
                  <c:v>249.99999999999994</c:v>
                </c:pt>
                <c:pt idx="22">
                  <c:v>249.99999999999994</c:v>
                </c:pt>
                <c:pt idx="23">
                  <c:v>249.99999999999994</c:v>
                </c:pt>
                <c:pt idx="24">
                  <c:v>249.99999999999994</c:v>
                </c:pt>
                <c:pt idx="25">
                  <c:v>249.99999999999994</c:v>
                </c:pt>
                <c:pt idx="26">
                  <c:v>249.99999999999994</c:v>
                </c:pt>
                <c:pt idx="27">
                  <c:v>249.99999999999994</c:v>
                </c:pt>
                <c:pt idx="28">
                  <c:v>249.99999999999994</c:v>
                </c:pt>
                <c:pt idx="29">
                  <c:v>249.99999999999994</c:v>
                </c:pt>
                <c:pt idx="30">
                  <c:v>249.99999999999994</c:v>
                </c:pt>
                <c:pt idx="31">
                  <c:v>249.99999999999994</c:v>
                </c:pt>
                <c:pt idx="32">
                  <c:v>249.99999999999994</c:v>
                </c:pt>
                <c:pt idx="33">
                  <c:v>249.99999999999994</c:v>
                </c:pt>
                <c:pt idx="34">
                  <c:v>249.99999999999994</c:v>
                </c:pt>
                <c:pt idx="35">
                  <c:v>249.99999999999994</c:v>
                </c:pt>
                <c:pt idx="36">
                  <c:v>249.99999999999994</c:v>
                </c:pt>
                <c:pt idx="37">
                  <c:v>249.99999999999994</c:v>
                </c:pt>
                <c:pt idx="38">
                  <c:v>249.99999999999994</c:v>
                </c:pt>
                <c:pt idx="39">
                  <c:v>249.99999999999994</c:v>
                </c:pt>
                <c:pt idx="40">
                  <c:v>249.99999999999994</c:v>
                </c:pt>
                <c:pt idx="41">
                  <c:v>249.99999999999994</c:v>
                </c:pt>
                <c:pt idx="42">
                  <c:v>249.99999999999994</c:v>
                </c:pt>
                <c:pt idx="43">
                  <c:v>249.99999999999994</c:v>
                </c:pt>
                <c:pt idx="44">
                  <c:v>249.99999999999994</c:v>
                </c:pt>
                <c:pt idx="45">
                  <c:v>249.99999999999994</c:v>
                </c:pt>
                <c:pt idx="46">
                  <c:v>249.99999999999994</c:v>
                </c:pt>
                <c:pt idx="47">
                  <c:v>249.99999999999994</c:v>
                </c:pt>
                <c:pt idx="48">
                  <c:v>249.99999999999994</c:v>
                </c:pt>
                <c:pt idx="49">
                  <c:v>249.99999999999994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C44-4134-BC3A-A8273CDD0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160832"/>
        <c:axId val="121162752"/>
      </c:scatterChart>
      <c:valAx>
        <c:axId val="121160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1162752"/>
        <c:crosses val="autoZero"/>
        <c:crossBetween val="midCat"/>
      </c:valAx>
      <c:valAx>
        <c:axId val="12116275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1211608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tx1"/>
    </a:solidFill>
  </c:sp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0.99794805278060061"/>
          <c:h val="1"/>
        </c:manualLayout>
      </c:layout>
      <c:scatterChart>
        <c:scatterStyle val="lineMarker"/>
        <c:varyColors val="0"/>
        <c:ser>
          <c:idx val="0"/>
          <c:order val="0"/>
          <c:tx>
            <c:v>MC</c:v>
          </c:tx>
          <c:spPr>
            <a:ln w="19050">
              <a:solidFill>
                <a:srgbClr val="1BDBF5"/>
              </a:solidFill>
            </a:ln>
          </c:spPr>
          <c:marker>
            <c:symbol val="none"/>
          </c:marker>
          <c:xVal>
            <c:numRef>
              <c:f>Cot!$AJ$16:$AJ$20</c:f>
              <c:numCache>
                <c:formatCode>General</c:formatCode>
                <c:ptCount val="5"/>
                <c:pt idx="0">
                  <c:v>-500</c:v>
                </c:pt>
                <c:pt idx="1">
                  <c:v>500</c:v>
                </c:pt>
                <c:pt idx="2">
                  <c:v>500</c:v>
                </c:pt>
                <c:pt idx="3">
                  <c:v>-500</c:v>
                </c:pt>
                <c:pt idx="4">
                  <c:v>-500</c:v>
                </c:pt>
              </c:numCache>
            </c:numRef>
          </c:xVal>
          <c:yVal>
            <c:numRef>
              <c:f>Cot!$AK$16:$AK$20</c:f>
              <c:numCache>
                <c:formatCode>General</c:formatCode>
                <c:ptCount val="5"/>
                <c:pt idx="0">
                  <c:v>-400</c:v>
                </c:pt>
                <c:pt idx="1">
                  <c:v>-400</c:v>
                </c:pt>
                <c:pt idx="2">
                  <c:v>400</c:v>
                </c:pt>
                <c:pt idx="3">
                  <c:v>400</c:v>
                </c:pt>
                <c:pt idx="4">
                  <c:v>-400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8-4890-BD49-4EA50409E005}"/>
            </c:ext>
          </c:extLst>
        </c:ser>
        <c:ser>
          <c:idx val="1"/>
          <c:order val="1"/>
          <c:tx>
            <c:v>fix</c:v>
          </c:tx>
          <c:spPr>
            <a:ln>
              <a:noFill/>
            </a:ln>
          </c:spPr>
          <c:marker>
            <c:symbol val="none"/>
          </c:marker>
          <c:xVal>
            <c:numRef>
              <c:f>Cot!$AJ$13:$AJ$14</c:f>
              <c:numCache>
                <c:formatCode>General</c:formatCode>
                <c:ptCount val="2"/>
                <c:pt idx="0">
                  <c:v>500</c:v>
                </c:pt>
                <c:pt idx="1">
                  <c:v>-500</c:v>
                </c:pt>
              </c:numCache>
            </c:numRef>
          </c:xVal>
          <c:yVal>
            <c:numRef>
              <c:f>Cot!$AK$13:$AK$14</c:f>
              <c:numCache>
                <c:formatCode>General</c:formatCode>
                <c:ptCount val="2"/>
                <c:pt idx="0">
                  <c:v>500</c:v>
                </c:pt>
                <c:pt idx="1">
                  <c:v>-500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78-4890-BD49-4EA50409E005}"/>
            </c:ext>
          </c:extLst>
        </c:ser>
        <c:ser>
          <c:idx val="2"/>
          <c:order val="2"/>
          <c:tx>
            <c:v>Thep b1-1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Cot!$AM$3:$AM$52</c:f>
              <c:numCache>
                <c:formatCode>General</c:formatCode>
                <c:ptCount val="50"/>
                <c:pt idx="0">
                  <c:v>-450</c:v>
                </c:pt>
                <c:pt idx="1">
                  <c:v>-300</c:v>
                </c:pt>
                <c:pt idx="2">
                  <c:v>-150</c:v>
                </c:pt>
                <c:pt idx="3">
                  <c:v>0</c:v>
                </c:pt>
                <c:pt idx="4">
                  <c:v>150</c:v>
                </c:pt>
                <c:pt idx="5">
                  <c:v>300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450</c:v>
                </c:pt>
                <c:pt idx="11">
                  <c:v>450</c:v>
                </c:pt>
                <c:pt idx="12">
                  <c:v>450</c:v>
                </c:pt>
                <c:pt idx="13">
                  <c:v>450</c:v>
                </c:pt>
                <c:pt idx="14">
                  <c:v>450</c:v>
                </c:pt>
                <c:pt idx="15">
                  <c:v>450</c:v>
                </c:pt>
                <c:pt idx="16">
                  <c:v>450</c:v>
                </c:pt>
                <c:pt idx="17">
                  <c:v>450</c:v>
                </c:pt>
                <c:pt idx="18">
                  <c:v>450</c:v>
                </c:pt>
                <c:pt idx="19">
                  <c:v>450</c:v>
                </c:pt>
                <c:pt idx="20">
                  <c:v>450</c:v>
                </c:pt>
                <c:pt idx="21">
                  <c:v>450</c:v>
                </c:pt>
                <c:pt idx="22">
                  <c:v>450</c:v>
                </c:pt>
                <c:pt idx="23">
                  <c:v>450</c:v>
                </c:pt>
                <c:pt idx="24">
                  <c:v>450</c:v>
                </c:pt>
                <c:pt idx="25">
                  <c:v>450</c:v>
                </c:pt>
                <c:pt idx="26">
                  <c:v>450</c:v>
                </c:pt>
                <c:pt idx="27">
                  <c:v>450</c:v>
                </c:pt>
                <c:pt idx="28">
                  <c:v>450</c:v>
                </c:pt>
                <c:pt idx="29">
                  <c:v>450</c:v>
                </c:pt>
                <c:pt idx="30">
                  <c:v>450</c:v>
                </c:pt>
                <c:pt idx="31">
                  <c:v>450</c:v>
                </c:pt>
                <c:pt idx="32">
                  <c:v>450</c:v>
                </c:pt>
                <c:pt idx="33">
                  <c:v>450</c:v>
                </c:pt>
                <c:pt idx="34">
                  <c:v>450</c:v>
                </c:pt>
                <c:pt idx="35">
                  <c:v>450</c:v>
                </c:pt>
                <c:pt idx="36">
                  <c:v>450</c:v>
                </c:pt>
                <c:pt idx="37">
                  <c:v>450</c:v>
                </c:pt>
                <c:pt idx="38">
                  <c:v>450</c:v>
                </c:pt>
                <c:pt idx="39">
                  <c:v>450</c:v>
                </c:pt>
                <c:pt idx="40">
                  <c:v>450</c:v>
                </c:pt>
                <c:pt idx="41">
                  <c:v>450</c:v>
                </c:pt>
                <c:pt idx="42">
                  <c:v>450</c:v>
                </c:pt>
                <c:pt idx="43">
                  <c:v>450</c:v>
                </c:pt>
                <c:pt idx="44">
                  <c:v>450</c:v>
                </c:pt>
                <c:pt idx="45">
                  <c:v>450</c:v>
                </c:pt>
                <c:pt idx="46">
                  <c:v>450</c:v>
                </c:pt>
                <c:pt idx="47">
                  <c:v>450</c:v>
                </c:pt>
                <c:pt idx="48">
                  <c:v>450</c:v>
                </c:pt>
                <c:pt idx="49">
                  <c:v>450</c:v>
                </c:pt>
              </c:numCache>
            </c:numRef>
          </c:xVal>
          <c:yVal>
            <c:numRef>
              <c:f>Cot!$AN$3:$AN$52</c:f>
              <c:numCache>
                <c:formatCode>General</c:formatCode>
                <c:ptCount val="50"/>
                <c:pt idx="0">
                  <c:v>-350</c:v>
                </c:pt>
                <c:pt idx="1">
                  <c:v>-350</c:v>
                </c:pt>
                <c:pt idx="2">
                  <c:v>-350</c:v>
                </c:pt>
                <c:pt idx="3">
                  <c:v>-350</c:v>
                </c:pt>
                <c:pt idx="4">
                  <c:v>-350</c:v>
                </c:pt>
                <c:pt idx="5">
                  <c:v>-350</c:v>
                </c:pt>
                <c:pt idx="6">
                  <c:v>-350</c:v>
                </c:pt>
                <c:pt idx="7">
                  <c:v>-350</c:v>
                </c:pt>
                <c:pt idx="8">
                  <c:v>-350</c:v>
                </c:pt>
                <c:pt idx="9">
                  <c:v>-350</c:v>
                </c:pt>
                <c:pt idx="10">
                  <c:v>-350</c:v>
                </c:pt>
                <c:pt idx="11">
                  <c:v>-350</c:v>
                </c:pt>
                <c:pt idx="12">
                  <c:v>-350</c:v>
                </c:pt>
                <c:pt idx="13">
                  <c:v>-350</c:v>
                </c:pt>
                <c:pt idx="14">
                  <c:v>-350</c:v>
                </c:pt>
                <c:pt idx="15">
                  <c:v>-350</c:v>
                </c:pt>
                <c:pt idx="16">
                  <c:v>-350</c:v>
                </c:pt>
                <c:pt idx="17">
                  <c:v>-350</c:v>
                </c:pt>
                <c:pt idx="18">
                  <c:v>-350</c:v>
                </c:pt>
                <c:pt idx="19">
                  <c:v>-350</c:v>
                </c:pt>
                <c:pt idx="20">
                  <c:v>-350</c:v>
                </c:pt>
                <c:pt idx="21">
                  <c:v>-350</c:v>
                </c:pt>
                <c:pt idx="22">
                  <c:v>-350</c:v>
                </c:pt>
                <c:pt idx="23">
                  <c:v>-350</c:v>
                </c:pt>
                <c:pt idx="24">
                  <c:v>-350</c:v>
                </c:pt>
                <c:pt idx="25">
                  <c:v>-350</c:v>
                </c:pt>
                <c:pt idx="26">
                  <c:v>-350</c:v>
                </c:pt>
                <c:pt idx="27">
                  <c:v>-350</c:v>
                </c:pt>
                <c:pt idx="28">
                  <c:v>-350</c:v>
                </c:pt>
                <c:pt idx="29">
                  <c:v>-350</c:v>
                </c:pt>
                <c:pt idx="30">
                  <c:v>-350</c:v>
                </c:pt>
                <c:pt idx="31">
                  <c:v>-350</c:v>
                </c:pt>
                <c:pt idx="32">
                  <c:v>-350</c:v>
                </c:pt>
                <c:pt idx="33">
                  <c:v>-350</c:v>
                </c:pt>
                <c:pt idx="34">
                  <c:v>-350</c:v>
                </c:pt>
                <c:pt idx="35">
                  <c:v>-350</c:v>
                </c:pt>
                <c:pt idx="36">
                  <c:v>-350</c:v>
                </c:pt>
                <c:pt idx="37">
                  <c:v>-350</c:v>
                </c:pt>
                <c:pt idx="38">
                  <c:v>-350</c:v>
                </c:pt>
                <c:pt idx="39">
                  <c:v>-350</c:v>
                </c:pt>
                <c:pt idx="40">
                  <c:v>-350</c:v>
                </c:pt>
                <c:pt idx="41">
                  <c:v>-350</c:v>
                </c:pt>
                <c:pt idx="42">
                  <c:v>-350</c:v>
                </c:pt>
                <c:pt idx="43">
                  <c:v>-350</c:v>
                </c:pt>
                <c:pt idx="44">
                  <c:v>-350</c:v>
                </c:pt>
                <c:pt idx="45">
                  <c:v>-350</c:v>
                </c:pt>
                <c:pt idx="46">
                  <c:v>-350</c:v>
                </c:pt>
                <c:pt idx="47">
                  <c:v>-350</c:v>
                </c:pt>
                <c:pt idx="48">
                  <c:v>-350</c:v>
                </c:pt>
                <c:pt idx="49">
                  <c:v>-350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78-4890-BD49-4EA50409E005}"/>
            </c:ext>
          </c:extLst>
        </c:ser>
        <c:ser>
          <c:idx val="3"/>
          <c:order val="3"/>
          <c:tx>
            <c:v>Thep b1-2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Cot!$AM$3:$AM$52</c:f>
              <c:numCache>
                <c:formatCode>General</c:formatCode>
                <c:ptCount val="50"/>
                <c:pt idx="0">
                  <c:v>-450</c:v>
                </c:pt>
                <c:pt idx="1">
                  <c:v>-300</c:v>
                </c:pt>
                <c:pt idx="2">
                  <c:v>-150</c:v>
                </c:pt>
                <c:pt idx="3">
                  <c:v>0</c:v>
                </c:pt>
                <c:pt idx="4">
                  <c:v>150</c:v>
                </c:pt>
                <c:pt idx="5">
                  <c:v>300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450</c:v>
                </c:pt>
                <c:pt idx="11">
                  <c:v>450</c:v>
                </c:pt>
                <c:pt idx="12">
                  <c:v>450</c:v>
                </c:pt>
                <c:pt idx="13">
                  <c:v>450</c:v>
                </c:pt>
                <c:pt idx="14">
                  <c:v>450</c:v>
                </c:pt>
                <c:pt idx="15">
                  <c:v>450</c:v>
                </c:pt>
                <c:pt idx="16">
                  <c:v>450</c:v>
                </c:pt>
                <c:pt idx="17">
                  <c:v>450</c:v>
                </c:pt>
                <c:pt idx="18">
                  <c:v>450</c:v>
                </c:pt>
                <c:pt idx="19">
                  <c:v>450</c:v>
                </c:pt>
                <c:pt idx="20">
                  <c:v>450</c:v>
                </c:pt>
                <c:pt idx="21">
                  <c:v>450</c:v>
                </c:pt>
                <c:pt idx="22">
                  <c:v>450</c:v>
                </c:pt>
                <c:pt idx="23">
                  <c:v>450</c:v>
                </c:pt>
                <c:pt idx="24">
                  <c:v>450</c:v>
                </c:pt>
                <c:pt idx="25">
                  <c:v>450</c:v>
                </c:pt>
                <c:pt idx="26">
                  <c:v>450</c:v>
                </c:pt>
                <c:pt idx="27">
                  <c:v>450</c:v>
                </c:pt>
                <c:pt idx="28">
                  <c:v>450</c:v>
                </c:pt>
                <c:pt idx="29">
                  <c:v>450</c:v>
                </c:pt>
                <c:pt idx="30">
                  <c:v>450</c:v>
                </c:pt>
                <c:pt idx="31">
                  <c:v>450</c:v>
                </c:pt>
                <c:pt idx="32">
                  <c:v>450</c:v>
                </c:pt>
                <c:pt idx="33">
                  <c:v>450</c:v>
                </c:pt>
                <c:pt idx="34">
                  <c:v>450</c:v>
                </c:pt>
                <c:pt idx="35">
                  <c:v>450</c:v>
                </c:pt>
                <c:pt idx="36">
                  <c:v>450</c:v>
                </c:pt>
                <c:pt idx="37">
                  <c:v>450</c:v>
                </c:pt>
                <c:pt idx="38">
                  <c:v>450</c:v>
                </c:pt>
                <c:pt idx="39">
                  <c:v>450</c:v>
                </c:pt>
                <c:pt idx="40">
                  <c:v>450</c:v>
                </c:pt>
                <c:pt idx="41">
                  <c:v>450</c:v>
                </c:pt>
                <c:pt idx="42">
                  <c:v>450</c:v>
                </c:pt>
                <c:pt idx="43">
                  <c:v>450</c:v>
                </c:pt>
                <c:pt idx="44">
                  <c:v>450</c:v>
                </c:pt>
                <c:pt idx="45">
                  <c:v>450</c:v>
                </c:pt>
                <c:pt idx="46">
                  <c:v>450</c:v>
                </c:pt>
                <c:pt idx="47">
                  <c:v>450</c:v>
                </c:pt>
                <c:pt idx="48">
                  <c:v>450</c:v>
                </c:pt>
                <c:pt idx="49">
                  <c:v>450</c:v>
                </c:pt>
              </c:numCache>
            </c:numRef>
          </c:xVal>
          <c:yVal>
            <c:numRef>
              <c:f>Cot!$AO$3:$AO$52</c:f>
              <c:numCache>
                <c:formatCode>General</c:formatCode>
                <c:ptCount val="50"/>
                <c:pt idx="0">
                  <c:v>350</c:v>
                </c:pt>
                <c:pt idx="1">
                  <c:v>350</c:v>
                </c:pt>
                <c:pt idx="2">
                  <c:v>350</c:v>
                </c:pt>
                <c:pt idx="3">
                  <c:v>350</c:v>
                </c:pt>
                <c:pt idx="4">
                  <c:v>350</c:v>
                </c:pt>
                <c:pt idx="5">
                  <c:v>350</c:v>
                </c:pt>
                <c:pt idx="6">
                  <c:v>350</c:v>
                </c:pt>
                <c:pt idx="7">
                  <c:v>350</c:v>
                </c:pt>
                <c:pt idx="8">
                  <c:v>350</c:v>
                </c:pt>
                <c:pt idx="9">
                  <c:v>350</c:v>
                </c:pt>
                <c:pt idx="10">
                  <c:v>350</c:v>
                </c:pt>
                <c:pt idx="11">
                  <c:v>350</c:v>
                </c:pt>
                <c:pt idx="12">
                  <c:v>350</c:v>
                </c:pt>
                <c:pt idx="13">
                  <c:v>350</c:v>
                </c:pt>
                <c:pt idx="14">
                  <c:v>350</c:v>
                </c:pt>
                <c:pt idx="15">
                  <c:v>350</c:v>
                </c:pt>
                <c:pt idx="16">
                  <c:v>350</c:v>
                </c:pt>
                <c:pt idx="17">
                  <c:v>350</c:v>
                </c:pt>
                <c:pt idx="18">
                  <c:v>350</c:v>
                </c:pt>
                <c:pt idx="19">
                  <c:v>350</c:v>
                </c:pt>
                <c:pt idx="20">
                  <c:v>350</c:v>
                </c:pt>
                <c:pt idx="21">
                  <c:v>350</c:v>
                </c:pt>
                <c:pt idx="22">
                  <c:v>350</c:v>
                </c:pt>
                <c:pt idx="23">
                  <c:v>350</c:v>
                </c:pt>
                <c:pt idx="24">
                  <c:v>350</c:v>
                </c:pt>
                <c:pt idx="25">
                  <c:v>350</c:v>
                </c:pt>
                <c:pt idx="26">
                  <c:v>350</c:v>
                </c:pt>
                <c:pt idx="27">
                  <c:v>350</c:v>
                </c:pt>
                <c:pt idx="28">
                  <c:v>350</c:v>
                </c:pt>
                <c:pt idx="29">
                  <c:v>350</c:v>
                </c:pt>
                <c:pt idx="30">
                  <c:v>350</c:v>
                </c:pt>
                <c:pt idx="31">
                  <c:v>350</c:v>
                </c:pt>
                <c:pt idx="32">
                  <c:v>350</c:v>
                </c:pt>
                <c:pt idx="33">
                  <c:v>350</c:v>
                </c:pt>
                <c:pt idx="34">
                  <c:v>350</c:v>
                </c:pt>
                <c:pt idx="35">
                  <c:v>350</c:v>
                </c:pt>
                <c:pt idx="36">
                  <c:v>350</c:v>
                </c:pt>
                <c:pt idx="37">
                  <c:v>350</c:v>
                </c:pt>
                <c:pt idx="38">
                  <c:v>350</c:v>
                </c:pt>
                <c:pt idx="39">
                  <c:v>350</c:v>
                </c:pt>
                <c:pt idx="40">
                  <c:v>350</c:v>
                </c:pt>
                <c:pt idx="41">
                  <c:v>350</c:v>
                </c:pt>
                <c:pt idx="42">
                  <c:v>350</c:v>
                </c:pt>
                <c:pt idx="43">
                  <c:v>350</c:v>
                </c:pt>
                <c:pt idx="44">
                  <c:v>350</c:v>
                </c:pt>
                <c:pt idx="45">
                  <c:v>350</c:v>
                </c:pt>
                <c:pt idx="46">
                  <c:v>350</c:v>
                </c:pt>
                <c:pt idx="47">
                  <c:v>350</c:v>
                </c:pt>
                <c:pt idx="48">
                  <c:v>350</c:v>
                </c:pt>
                <c:pt idx="49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78-4890-BD49-4EA50409E005}"/>
            </c:ext>
          </c:extLst>
        </c:ser>
        <c:ser>
          <c:idx val="4"/>
          <c:order val="4"/>
          <c:tx>
            <c:v>Thep h1-1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Cot!$AP$3:$AP$52</c:f>
              <c:numCache>
                <c:formatCode>General</c:formatCode>
                <c:ptCount val="50"/>
                <c:pt idx="0">
                  <c:v>-450</c:v>
                </c:pt>
                <c:pt idx="1">
                  <c:v>-450</c:v>
                </c:pt>
                <c:pt idx="2">
                  <c:v>-450</c:v>
                </c:pt>
                <c:pt idx="3">
                  <c:v>-450</c:v>
                </c:pt>
                <c:pt idx="4">
                  <c:v>-450</c:v>
                </c:pt>
                <c:pt idx="5">
                  <c:v>-450</c:v>
                </c:pt>
                <c:pt idx="6">
                  <c:v>-450</c:v>
                </c:pt>
                <c:pt idx="7">
                  <c:v>-450</c:v>
                </c:pt>
                <c:pt idx="8">
                  <c:v>-450</c:v>
                </c:pt>
                <c:pt idx="9">
                  <c:v>-450</c:v>
                </c:pt>
                <c:pt idx="10">
                  <c:v>-450</c:v>
                </c:pt>
                <c:pt idx="11">
                  <c:v>-450</c:v>
                </c:pt>
                <c:pt idx="12">
                  <c:v>-450</c:v>
                </c:pt>
                <c:pt idx="13">
                  <c:v>-450</c:v>
                </c:pt>
                <c:pt idx="14">
                  <c:v>-450</c:v>
                </c:pt>
                <c:pt idx="15">
                  <c:v>-450</c:v>
                </c:pt>
                <c:pt idx="16">
                  <c:v>-450</c:v>
                </c:pt>
                <c:pt idx="17">
                  <c:v>-450</c:v>
                </c:pt>
                <c:pt idx="18">
                  <c:v>-450</c:v>
                </c:pt>
                <c:pt idx="19">
                  <c:v>-450</c:v>
                </c:pt>
                <c:pt idx="20">
                  <c:v>-450</c:v>
                </c:pt>
                <c:pt idx="21">
                  <c:v>-450</c:v>
                </c:pt>
                <c:pt idx="22">
                  <c:v>-450</c:v>
                </c:pt>
                <c:pt idx="23">
                  <c:v>-450</c:v>
                </c:pt>
                <c:pt idx="24">
                  <c:v>-450</c:v>
                </c:pt>
                <c:pt idx="25">
                  <c:v>-450</c:v>
                </c:pt>
                <c:pt idx="26">
                  <c:v>-450</c:v>
                </c:pt>
                <c:pt idx="27">
                  <c:v>-450</c:v>
                </c:pt>
                <c:pt idx="28">
                  <c:v>-450</c:v>
                </c:pt>
                <c:pt idx="29">
                  <c:v>-450</c:v>
                </c:pt>
                <c:pt idx="30">
                  <c:v>-450</c:v>
                </c:pt>
                <c:pt idx="31">
                  <c:v>-450</c:v>
                </c:pt>
                <c:pt idx="32">
                  <c:v>-450</c:v>
                </c:pt>
                <c:pt idx="33">
                  <c:v>-450</c:v>
                </c:pt>
                <c:pt idx="34">
                  <c:v>-450</c:v>
                </c:pt>
                <c:pt idx="35">
                  <c:v>-450</c:v>
                </c:pt>
                <c:pt idx="36">
                  <c:v>-450</c:v>
                </c:pt>
                <c:pt idx="37">
                  <c:v>-450</c:v>
                </c:pt>
                <c:pt idx="38">
                  <c:v>-450</c:v>
                </c:pt>
                <c:pt idx="39">
                  <c:v>-450</c:v>
                </c:pt>
                <c:pt idx="40">
                  <c:v>-450</c:v>
                </c:pt>
                <c:pt idx="41">
                  <c:v>-450</c:v>
                </c:pt>
                <c:pt idx="42">
                  <c:v>-450</c:v>
                </c:pt>
                <c:pt idx="43">
                  <c:v>-450</c:v>
                </c:pt>
                <c:pt idx="44">
                  <c:v>-450</c:v>
                </c:pt>
                <c:pt idx="45">
                  <c:v>-450</c:v>
                </c:pt>
                <c:pt idx="46">
                  <c:v>-450</c:v>
                </c:pt>
                <c:pt idx="47">
                  <c:v>-450</c:v>
                </c:pt>
                <c:pt idx="48">
                  <c:v>-450</c:v>
                </c:pt>
                <c:pt idx="49">
                  <c:v>-450</c:v>
                </c:pt>
              </c:numCache>
            </c:numRef>
          </c:xVal>
          <c:yVal>
            <c:numRef>
              <c:f>Cot!$AQ$3:$AQ$52</c:f>
              <c:numCache>
                <c:formatCode>General</c:formatCode>
                <c:ptCount val="50"/>
                <c:pt idx="0">
                  <c:v>-350</c:v>
                </c:pt>
                <c:pt idx="1">
                  <c:v>-233.33333333333331</c:v>
                </c:pt>
                <c:pt idx="2">
                  <c:v>-116.66666666666664</c:v>
                </c:pt>
                <c:pt idx="3">
                  <c:v>2.8421709430404007E-14</c:v>
                </c:pt>
                <c:pt idx="4">
                  <c:v>116.6666666666667</c:v>
                </c:pt>
                <c:pt idx="5">
                  <c:v>233.33333333333337</c:v>
                </c:pt>
                <c:pt idx="6">
                  <c:v>350.00000000000006</c:v>
                </c:pt>
                <c:pt idx="7">
                  <c:v>350.00000000000006</c:v>
                </c:pt>
                <c:pt idx="8">
                  <c:v>350.00000000000006</c:v>
                </c:pt>
                <c:pt idx="9">
                  <c:v>350.00000000000006</c:v>
                </c:pt>
                <c:pt idx="10">
                  <c:v>350.00000000000006</c:v>
                </c:pt>
                <c:pt idx="11">
                  <c:v>350.00000000000006</c:v>
                </c:pt>
                <c:pt idx="12">
                  <c:v>350.00000000000006</c:v>
                </c:pt>
                <c:pt idx="13">
                  <c:v>350.00000000000006</c:v>
                </c:pt>
                <c:pt idx="14">
                  <c:v>350.00000000000006</c:v>
                </c:pt>
                <c:pt idx="15">
                  <c:v>350.00000000000006</c:v>
                </c:pt>
                <c:pt idx="16">
                  <c:v>350.00000000000006</c:v>
                </c:pt>
                <c:pt idx="17">
                  <c:v>350.00000000000006</c:v>
                </c:pt>
                <c:pt idx="18">
                  <c:v>350.00000000000006</c:v>
                </c:pt>
                <c:pt idx="19">
                  <c:v>350.00000000000006</c:v>
                </c:pt>
                <c:pt idx="20">
                  <c:v>350.00000000000006</c:v>
                </c:pt>
                <c:pt idx="21">
                  <c:v>350.00000000000006</c:v>
                </c:pt>
                <c:pt idx="22">
                  <c:v>350.00000000000006</c:v>
                </c:pt>
                <c:pt idx="23">
                  <c:v>350.00000000000006</c:v>
                </c:pt>
                <c:pt idx="24">
                  <c:v>350.00000000000006</c:v>
                </c:pt>
                <c:pt idx="25">
                  <c:v>350.00000000000006</c:v>
                </c:pt>
                <c:pt idx="26">
                  <c:v>350.00000000000006</c:v>
                </c:pt>
                <c:pt idx="27">
                  <c:v>350.00000000000006</c:v>
                </c:pt>
                <c:pt idx="28">
                  <c:v>350.00000000000006</c:v>
                </c:pt>
                <c:pt idx="29">
                  <c:v>350.00000000000006</c:v>
                </c:pt>
                <c:pt idx="30">
                  <c:v>350.00000000000006</c:v>
                </c:pt>
                <c:pt idx="31">
                  <c:v>350.00000000000006</c:v>
                </c:pt>
                <c:pt idx="32">
                  <c:v>350.00000000000006</c:v>
                </c:pt>
                <c:pt idx="33">
                  <c:v>350.00000000000006</c:v>
                </c:pt>
                <c:pt idx="34">
                  <c:v>350.00000000000006</c:v>
                </c:pt>
                <c:pt idx="35">
                  <c:v>350.00000000000006</c:v>
                </c:pt>
                <c:pt idx="36">
                  <c:v>350.00000000000006</c:v>
                </c:pt>
                <c:pt idx="37">
                  <c:v>350.00000000000006</c:v>
                </c:pt>
                <c:pt idx="38">
                  <c:v>350.00000000000006</c:v>
                </c:pt>
                <c:pt idx="39">
                  <c:v>350.00000000000006</c:v>
                </c:pt>
                <c:pt idx="40">
                  <c:v>350.00000000000006</c:v>
                </c:pt>
                <c:pt idx="41">
                  <c:v>350.00000000000006</c:v>
                </c:pt>
                <c:pt idx="42">
                  <c:v>350.00000000000006</c:v>
                </c:pt>
                <c:pt idx="43">
                  <c:v>350.00000000000006</c:v>
                </c:pt>
                <c:pt idx="44">
                  <c:v>350.00000000000006</c:v>
                </c:pt>
                <c:pt idx="45">
                  <c:v>350.00000000000006</c:v>
                </c:pt>
                <c:pt idx="46">
                  <c:v>350.00000000000006</c:v>
                </c:pt>
                <c:pt idx="47">
                  <c:v>350.00000000000006</c:v>
                </c:pt>
                <c:pt idx="48">
                  <c:v>350.00000000000006</c:v>
                </c:pt>
                <c:pt idx="49">
                  <c:v>350.00000000000006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78-4890-BD49-4EA50409E005}"/>
            </c:ext>
          </c:extLst>
        </c:ser>
        <c:ser>
          <c:idx val="5"/>
          <c:order val="5"/>
          <c:tx>
            <c:v>Thep h1-2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Cot!$AR$3:$AR$52</c:f>
              <c:numCache>
                <c:formatCode>General</c:formatCode>
                <c:ptCount val="50"/>
                <c:pt idx="0">
                  <c:v>450</c:v>
                </c:pt>
                <c:pt idx="1">
                  <c:v>450</c:v>
                </c:pt>
                <c:pt idx="2">
                  <c:v>450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450</c:v>
                </c:pt>
                <c:pt idx="11">
                  <c:v>450</c:v>
                </c:pt>
                <c:pt idx="12">
                  <c:v>450</c:v>
                </c:pt>
                <c:pt idx="13">
                  <c:v>450</c:v>
                </c:pt>
                <c:pt idx="14">
                  <c:v>450</c:v>
                </c:pt>
                <c:pt idx="15">
                  <c:v>450</c:v>
                </c:pt>
                <c:pt idx="16">
                  <c:v>450</c:v>
                </c:pt>
                <c:pt idx="17">
                  <c:v>450</c:v>
                </c:pt>
                <c:pt idx="18">
                  <c:v>450</c:v>
                </c:pt>
                <c:pt idx="19">
                  <c:v>450</c:v>
                </c:pt>
                <c:pt idx="20">
                  <c:v>450</c:v>
                </c:pt>
                <c:pt idx="21">
                  <c:v>450</c:v>
                </c:pt>
                <c:pt idx="22">
                  <c:v>450</c:v>
                </c:pt>
                <c:pt idx="23">
                  <c:v>450</c:v>
                </c:pt>
                <c:pt idx="24">
                  <c:v>450</c:v>
                </c:pt>
                <c:pt idx="25">
                  <c:v>450</c:v>
                </c:pt>
                <c:pt idx="26">
                  <c:v>450</c:v>
                </c:pt>
                <c:pt idx="27">
                  <c:v>450</c:v>
                </c:pt>
                <c:pt idx="28">
                  <c:v>450</c:v>
                </c:pt>
                <c:pt idx="29">
                  <c:v>450</c:v>
                </c:pt>
                <c:pt idx="30">
                  <c:v>450</c:v>
                </c:pt>
                <c:pt idx="31">
                  <c:v>450</c:v>
                </c:pt>
                <c:pt idx="32">
                  <c:v>450</c:v>
                </c:pt>
                <c:pt idx="33">
                  <c:v>450</c:v>
                </c:pt>
                <c:pt idx="34">
                  <c:v>450</c:v>
                </c:pt>
                <c:pt idx="35">
                  <c:v>450</c:v>
                </c:pt>
                <c:pt idx="36">
                  <c:v>450</c:v>
                </c:pt>
                <c:pt idx="37">
                  <c:v>450</c:v>
                </c:pt>
                <c:pt idx="38">
                  <c:v>450</c:v>
                </c:pt>
                <c:pt idx="39">
                  <c:v>450</c:v>
                </c:pt>
                <c:pt idx="40">
                  <c:v>450</c:v>
                </c:pt>
                <c:pt idx="41">
                  <c:v>450</c:v>
                </c:pt>
                <c:pt idx="42">
                  <c:v>450</c:v>
                </c:pt>
                <c:pt idx="43">
                  <c:v>450</c:v>
                </c:pt>
                <c:pt idx="44">
                  <c:v>450</c:v>
                </c:pt>
                <c:pt idx="45">
                  <c:v>450</c:v>
                </c:pt>
                <c:pt idx="46">
                  <c:v>450</c:v>
                </c:pt>
                <c:pt idx="47">
                  <c:v>450</c:v>
                </c:pt>
                <c:pt idx="48">
                  <c:v>450</c:v>
                </c:pt>
                <c:pt idx="49">
                  <c:v>450</c:v>
                </c:pt>
              </c:numCache>
            </c:numRef>
          </c:xVal>
          <c:yVal>
            <c:numRef>
              <c:f>Cot!$AQ$3:$AQ$52</c:f>
              <c:numCache>
                <c:formatCode>General</c:formatCode>
                <c:ptCount val="50"/>
                <c:pt idx="0">
                  <c:v>-350</c:v>
                </c:pt>
                <c:pt idx="1">
                  <c:v>-233.33333333333331</c:v>
                </c:pt>
                <c:pt idx="2">
                  <c:v>-116.66666666666664</c:v>
                </c:pt>
                <c:pt idx="3">
                  <c:v>2.8421709430404007E-14</c:v>
                </c:pt>
                <c:pt idx="4">
                  <c:v>116.6666666666667</c:v>
                </c:pt>
                <c:pt idx="5">
                  <c:v>233.33333333333337</c:v>
                </c:pt>
                <c:pt idx="6">
                  <c:v>350.00000000000006</c:v>
                </c:pt>
                <c:pt idx="7">
                  <c:v>350.00000000000006</c:v>
                </c:pt>
                <c:pt idx="8">
                  <c:v>350.00000000000006</c:v>
                </c:pt>
                <c:pt idx="9">
                  <c:v>350.00000000000006</c:v>
                </c:pt>
                <c:pt idx="10">
                  <c:v>350.00000000000006</c:v>
                </c:pt>
                <c:pt idx="11">
                  <c:v>350.00000000000006</c:v>
                </c:pt>
                <c:pt idx="12">
                  <c:v>350.00000000000006</c:v>
                </c:pt>
                <c:pt idx="13">
                  <c:v>350.00000000000006</c:v>
                </c:pt>
                <c:pt idx="14">
                  <c:v>350.00000000000006</c:v>
                </c:pt>
                <c:pt idx="15">
                  <c:v>350.00000000000006</c:v>
                </c:pt>
                <c:pt idx="16">
                  <c:v>350.00000000000006</c:v>
                </c:pt>
                <c:pt idx="17">
                  <c:v>350.00000000000006</c:v>
                </c:pt>
                <c:pt idx="18">
                  <c:v>350.00000000000006</c:v>
                </c:pt>
                <c:pt idx="19">
                  <c:v>350.00000000000006</c:v>
                </c:pt>
                <c:pt idx="20">
                  <c:v>350.00000000000006</c:v>
                </c:pt>
                <c:pt idx="21">
                  <c:v>350.00000000000006</c:v>
                </c:pt>
                <c:pt idx="22">
                  <c:v>350.00000000000006</c:v>
                </c:pt>
                <c:pt idx="23">
                  <c:v>350.00000000000006</c:v>
                </c:pt>
                <c:pt idx="24">
                  <c:v>350.00000000000006</c:v>
                </c:pt>
                <c:pt idx="25">
                  <c:v>350.00000000000006</c:v>
                </c:pt>
                <c:pt idx="26">
                  <c:v>350.00000000000006</c:v>
                </c:pt>
                <c:pt idx="27">
                  <c:v>350.00000000000006</c:v>
                </c:pt>
                <c:pt idx="28">
                  <c:v>350.00000000000006</c:v>
                </c:pt>
                <c:pt idx="29">
                  <c:v>350.00000000000006</c:v>
                </c:pt>
                <c:pt idx="30">
                  <c:v>350.00000000000006</c:v>
                </c:pt>
                <c:pt idx="31">
                  <c:v>350.00000000000006</c:v>
                </c:pt>
                <c:pt idx="32">
                  <c:v>350.00000000000006</c:v>
                </c:pt>
                <c:pt idx="33">
                  <c:v>350.00000000000006</c:v>
                </c:pt>
                <c:pt idx="34">
                  <c:v>350.00000000000006</c:v>
                </c:pt>
                <c:pt idx="35">
                  <c:v>350.00000000000006</c:v>
                </c:pt>
                <c:pt idx="36">
                  <c:v>350.00000000000006</c:v>
                </c:pt>
                <c:pt idx="37">
                  <c:v>350.00000000000006</c:v>
                </c:pt>
                <c:pt idx="38">
                  <c:v>350.00000000000006</c:v>
                </c:pt>
                <c:pt idx="39">
                  <c:v>350.00000000000006</c:v>
                </c:pt>
                <c:pt idx="40">
                  <c:v>350.00000000000006</c:v>
                </c:pt>
                <c:pt idx="41">
                  <c:v>350.00000000000006</c:v>
                </c:pt>
                <c:pt idx="42">
                  <c:v>350.00000000000006</c:v>
                </c:pt>
                <c:pt idx="43">
                  <c:v>350.00000000000006</c:v>
                </c:pt>
                <c:pt idx="44">
                  <c:v>350.00000000000006</c:v>
                </c:pt>
                <c:pt idx="45">
                  <c:v>350.00000000000006</c:v>
                </c:pt>
                <c:pt idx="46">
                  <c:v>350.00000000000006</c:v>
                </c:pt>
                <c:pt idx="47">
                  <c:v>350.00000000000006</c:v>
                </c:pt>
                <c:pt idx="48">
                  <c:v>350.00000000000006</c:v>
                </c:pt>
                <c:pt idx="49">
                  <c:v>350.00000000000006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78-4890-BD49-4EA50409E005}"/>
            </c:ext>
          </c:extLst>
        </c:ser>
        <c:ser>
          <c:idx val="6"/>
          <c:order val="6"/>
          <c:tx>
            <c:v>Thep b2-1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Cot!$AS$3:$AS$52</c:f>
              <c:numCache>
                <c:formatCode>General</c:formatCode>
                <c:ptCount val="50"/>
                <c:pt idx="0">
                  <c:v>0</c:v>
                </c:pt>
                <c:pt idx="1">
                  <c:v>-300</c:v>
                </c:pt>
                <c:pt idx="2">
                  <c:v>-150</c:v>
                </c:pt>
                <c:pt idx="3">
                  <c:v>-150</c:v>
                </c:pt>
                <c:pt idx="4">
                  <c:v>-150</c:v>
                </c:pt>
                <c:pt idx="5">
                  <c:v>-150</c:v>
                </c:pt>
                <c:pt idx="6">
                  <c:v>-150</c:v>
                </c:pt>
                <c:pt idx="7">
                  <c:v>-150</c:v>
                </c:pt>
                <c:pt idx="8">
                  <c:v>-150</c:v>
                </c:pt>
                <c:pt idx="9">
                  <c:v>-150</c:v>
                </c:pt>
                <c:pt idx="10">
                  <c:v>-150</c:v>
                </c:pt>
                <c:pt idx="11">
                  <c:v>-150</c:v>
                </c:pt>
                <c:pt idx="12">
                  <c:v>-150</c:v>
                </c:pt>
                <c:pt idx="13">
                  <c:v>-150</c:v>
                </c:pt>
                <c:pt idx="14">
                  <c:v>-150</c:v>
                </c:pt>
                <c:pt idx="15">
                  <c:v>-150</c:v>
                </c:pt>
                <c:pt idx="16">
                  <c:v>-150</c:v>
                </c:pt>
                <c:pt idx="17">
                  <c:v>-150</c:v>
                </c:pt>
                <c:pt idx="18">
                  <c:v>-150</c:v>
                </c:pt>
                <c:pt idx="19">
                  <c:v>-150</c:v>
                </c:pt>
                <c:pt idx="20">
                  <c:v>-150</c:v>
                </c:pt>
                <c:pt idx="21">
                  <c:v>-150</c:v>
                </c:pt>
                <c:pt idx="22">
                  <c:v>-150</c:v>
                </c:pt>
                <c:pt idx="23">
                  <c:v>-150</c:v>
                </c:pt>
                <c:pt idx="24">
                  <c:v>300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-300</c:v>
                </c:pt>
                <c:pt idx="48">
                  <c:v>-150</c:v>
                </c:pt>
                <c:pt idx="49">
                  <c:v>-150</c:v>
                </c:pt>
              </c:numCache>
            </c:numRef>
          </c:xVal>
          <c:yVal>
            <c:numRef>
              <c:f>Cot!$AT$3:$AT$52</c:f>
              <c:numCache>
                <c:formatCode>General</c:formatCode>
                <c:ptCount val="50"/>
                <c:pt idx="0">
                  <c:v>-233.33333333333331</c:v>
                </c:pt>
                <c:pt idx="1">
                  <c:v>-233.33333333333331</c:v>
                </c:pt>
                <c:pt idx="2">
                  <c:v>-233.33333333333331</c:v>
                </c:pt>
                <c:pt idx="3">
                  <c:v>-233.33333333333331</c:v>
                </c:pt>
                <c:pt idx="4">
                  <c:v>-233.33333333333331</c:v>
                </c:pt>
                <c:pt idx="5">
                  <c:v>-233.33333333333331</c:v>
                </c:pt>
                <c:pt idx="6">
                  <c:v>-233.33333333333331</c:v>
                </c:pt>
                <c:pt idx="7">
                  <c:v>-233.33333333333331</c:v>
                </c:pt>
                <c:pt idx="8">
                  <c:v>-233.33333333333331</c:v>
                </c:pt>
                <c:pt idx="9">
                  <c:v>-233.33333333333331</c:v>
                </c:pt>
                <c:pt idx="10">
                  <c:v>-233.33333333333331</c:v>
                </c:pt>
                <c:pt idx="11">
                  <c:v>-233.33333333333331</c:v>
                </c:pt>
                <c:pt idx="12">
                  <c:v>-233.33333333333331</c:v>
                </c:pt>
                <c:pt idx="13">
                  <c:v>-233.33333333333331</c:v>
                </c:pt>
                <c:pt idx="14">
                  <c:v>-233.33333333333331</c:v>
                </c:pt>
                <c:pt idx="15">
                  <c:v>-233.33333333333331</c:v>
                </c:pt>
                <c:pt idx="16">
                  <c:v>-233.33333333333331</c:v>
                </c:pt>
                <c:pt idx="17">
                  <c:v>-233.33333333333331</c:v>
                </c:pt>
                <c:pt idx="18">
                  <c:v>-233.33333333333331</c:v>
                </c:pt>
                <c:pt idx="19">
                  <c:v>-233.33333333333331</c:v>
                </c:pt>
                <c:pt idx="20">
                  <c:v>-233.33333333333331</c:v>
                </c:pt>
                <c:pt idx="21">
                  <c:v>-233.33333333333331</c:v>
                </c:pt>
                <c:pt idx="22">
                  <c:v>-233.33333333333331</c:v>
                </c:pt>
                <c:pt idx="23">
                  <c:v>-233.33333333333331</c:v>
                </c:pt>
                <c:pt idx="24">
                  <c:v>-233.33333333333331</c:v>
                </c:pt>
                <c:pt idx="25">
                  <c:v>-233.33333333333331</c:v>
                </c:pt>
                <c:pt idx="26">
                  <c:v>-233.33333333333331</c:v>
                </c:pt>
                <c:pt idx="27">
                  <c:v>-233.33333333333331</c:v>
                </c:pt>
                <c:pt idx="28">
                  <c:v>-233.33333333333331</c:v>
                </c:pt>
                <c:pt idx="29">
                  <c:v>-233.33333333333331</c:v>
                </c:pt>
                <c:pt idx="30">
                  <c:v>-233.33333333333331</c:v>
                </c:pt>
                <c:pt idx="31">
                  <c:v>-233.33333333333331</c:v>
                </c:pt>
                <c:pt idx="32">
                  <c:v>-233.33333333333331</c:v>
                </c:pt>
                <c:pt idx="33">
                  <c:v>-233.33333333333331</c:v>
                </c:pt>
                <c:pt idx="34">
                  <c:v>-233.33333333333331</c:v>
                </c:pt>
                <c:pt idx="35">
                  <c:v>-233.33333333333331</c:v>
                </c:pt>
                <c:pt idx="36">
                  <c:v>-233.33333333333331</c:v>
                </c:pt>
                <c:pt idx="37">
                  <c:v>-233.33333333333331</c:v>
                </c:pt>
                <c:pt idx="38">
                  <c:v>-233.33333333333331</c:v>
                </c:pt>
                <c:pt idx="39">
                  <c:v>-233.33333333333331</c:v>
                </c:pt>
                <c:pt idx="40">
                  <c:v>-233.33333333333331</c:v>
                </c:pt>
                <c:pt idx="41">
                  <c:v>-233.33333333333331</c:v>
                </c:pt>
                <c:pt idx="42">
                  <c:v>-233.33333333333331</c:v>
                </c:pt>
                <c:pt idx="43">
                  <c:v>-233.33333333333331</c:v>
                </c:pt>
                <c:pt idx="44">
                  <c:v>-233.33333333333331</c:v>
                </c:pt>
                <c:pt idx="45">
                  <c:v>-233.33333333333331</c:v>
                </c:pt>
                <c:pt idx="46">
                  <c:v>-233.33333333333331</c:v>
                </c:pt>
                <c:pt idx="47">
                  <c:v>-233.33333333333331</c:v>
                </c:pt>
                <c:pt idx="48">
                  <c:v>-233.33333333333331</c:v>
                </c:pt>
                <c:pt idx="49">
                  <c:v>-233.33333333333331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78-4890-BD49-4EA50409E005}"/>
            </c:ext>
          </c:extLst>
        </c:ser>
        <c:ser>
          <c:idx val="7"/>
          <c:order val="7"/>
          <c:tx>
            <c:v>Thep b2-2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Cot!$AS$3:$AS$52</c:f>
              <c:numCache>
                <c:formatCode>General</c:formatCode>
                <c:ptCount val="50"/>
                <c:pt idx="0">
                  <c:v>0</c:v>
                </c:pt>
                <c:pt idx="1">
                  <c:v>-300</c:v>
                </c:pt>
                <c:pt idx="2">
                  <c:v>-150</c:v>
                </c:pt>
                <c:pt idx="3">
                  <c:v>-150</c:v>
                </c:pt>
                <c:pt idx="4">
                  <c:v>-150</c:v>
                </c:pt>
                <c:pt idx="5">
                  <c:v>-150</c:v>
                </c:pt>
                <c:pt idx="6">
                  <c:v>-150</c:v>
                </c:pt>
                <c:pt idx="7">
                  <c:v>-150</c:v>
                </c:pt>
                <c:pt idx="8">
                  <c:v>-150</c:v>
                </c:pt>
                <c:pt idx="9">
                  <c:v>-150</c:v>
                </c:pt>
                <c:pt idx="10">
                  <c:v>-150</c:v>
                </c:pt>
                <c:pt idx="11">
                  <c:v>-150</c:v>
                </c:pt>
                <c:pt idx="12">
                  <c:v>-150</c:v>
                </c:pt>
                <c:pt idx="13">
                  <c:v>-150</c:v>
                </c:pt>
                <c:pt idx="14">
                  <c:v>-150</c:v>
                </c:pt>
                <c:pt idx="15">
                  <c:v>-150</c:v>
                </c:pt>
                <c:pt idx="16">
                  <c:v>-150</c:v>
                </c:pt>
                <c:pt idx="17">
                  <c:v>-150</c:v>
                </c:pt>
                <c:pt idx="18">
                  <c:v>-150</c:v>
                </c:pt>
                <c:pt idx="19">
                  <c:v>-150</c:v>
                </c:pt>
                <c:pt idx="20">
                  <c:v>-150</c:v>
                </c:pt>
                <c:pt idx="21">
                  <c:v>-150</c:v>
                </c:pt>
                <c:pt idx="22">
                  <c:v>-150</c:v>
                </c:pt>
                <c:pt idx="23">
                  <c:v>-150</c:v>
                </c:pt>
                <c:pt idx="24">
                  <c:v>300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-300</c:v>
                </c:pt>
                <c:pt idx="48">
                  <c:v>-150</c:v>
                </c:pt>
                <c:pt idx="49">
                  <c:v>-150</c:v>
                </c:pt>
              </c:numCache>
            </c:numRef>
          </c:xVal>
          <c:yVal>
            <c:numRef>
              <c:f>Cot!$AU$3:$AU$52</c:f>
              <c:numCache>
                <c:formatCode>General</c:formatCode>
                <c:ptCount val="50"/>
                <c:pt idx="0">
                  <c:v>233.33333333333331</c:v>
                </c:pt>
                <c:pt idx="1">
                  <c:v>233.33333333333331</c:v>
                </c:pt>
                <c:pt idx="2">
                  <c:v>233.33333333333331</c:v>
                </c:pt>
                <c:pt idx="3">
                  <c:v>233.33333333333331</c:v>
                </c:pt>
                <c:pt idx="4">
                  <c:v>233.33333333333331</c:v>
                </c:pt>
                <c:pt idx="5">
                  <c:v>233.33333333333331</c:v>
                </c:pt>
                <c:pt idx="6">
                  <c:v>233.33333333333331</c:v>
                </c:pt>
                <c:pt idx="7">
                  <c:v>233.33333333333331</c:v>
                </c:pt>
                <c:pt idx="8">
                  <c:v>233.33333333333331</c:v>
                </c:pt>
                <c:pt idx="9">
                  <c:v>233.33333333333331</c:v>
                </c:pt>
                <c:pt idx="10">
                  <c:v>233.33333333333331</c:v>
                </c:pt>
                <c:pt idx="11">
                  <c:v>233.33333333333331</c:v>
                </c:pt>
                <c:pt idx="12">
                  <c:v>233.33333333333331</c:v>
                </c:pt>
                <c:pt idx="13">
                  <c:v>233.33333333333331</c:v>
                </c:pt>
                <c:pt idx="14">
                  <c:v>233.33333333333331</c:v>
                </c:pt>
                <c:pt idx="15">
                  <c:v>233.33333333333331</c:v>
                </c:pt>
                <c:pt idx="16">
                  <c:v>233.33333333333331</c:v>
                </c:pt>
                <c:pt idx="17">
                  <c:v>233.33333333333331</c:v>
                </c:pt>
                <c:pt idx="18">
                  <c:v>233.33333333333331</c:v>
                </c:pt>
                <c:pt idx="19">
                  <c:v>233.33333333333331</c:v>
                </c:pt>
                <c:pt idx="20">
                  <c:v>233.33333333333331</c:v>
                </c:pt>
                <c:pt idx="21">
                  <c:v>233.33333333333331</c:v>
                </c:pt>
                <c:pt idx="22">
                  <c:v>233.33333333333331</c:v>
                </c:pt>
                <c:pt idx="23">
                  <c:v>233.33333333333331</c:v>
                </c:pt>
                <c:pt idx="24">
                  <c:v>233.33333333333331</c:v>
                </c:pt>
                <c:pt idx="25">
                  <c:v>233.33333333333331</c:v>
                </c:pt>
                <c:pt idx="26">
                  <c:v>233.33333333333331</c:v>
                </c:pt>
                <c:pt idx="27">
                  <c:v>233.33333333333331</c:v>
                </c:pt>
                <c:pt idx="28">
                  <c:v>233.33333333333331</c:v>
                </c:pt>
                <c:pt idx="29">
                  <c:v>233.33333333333331</c:v>
                </c:pt>
                <c:pt idx="30">
                  <c:v>233.33333333333331</c:v>
                </c:pt>
                <c:pt idx="31">
                  <c:v>233.33333333333331</c:v>
                </c:pt>
                <c:pt idx="32">
                  <c:v>233.33333333333331</c:v>
                </c:pt>
                <c:pt idx="33">
                  <c:v>233.33333333333331</c:v>
                </c:pt>
                <c:pt idx="34">
                  <c:v>233.33333333333331</c:v>
                </c:pt>
                <c:pt idx="35">
                  <c:v>233.33333333333331</c:v>
                </c:pt>
                <c:pt idx="36">
                  <c:v>233.33333333333331</c:v>
                </c:pt>
                <c:pt idx="37">
                  <c:v>233.33333333333331</c:v>
                </c:pt>
                <c:pt idx="38">
                  <c:v>233.33333333333331</c:v>
                </c:pt>
                <c:pt idx="39">
                  <c:v>233.33333333333331</c:v>
                </c:pt>
                <c:pt idx="40">
                  <c:v>233.33333333333331</c:v>
                </c:pt>
                <c:pt idx="41">
                  <c:v>233.33333333333331</c:v>
                </c:pt>
                <c:pt idx="42">
                  <c:v>233.33333333333331</c:v>
                </c:pt>
                <c:pt idx="43">
                  <c:v>233.33333333333331</c:v>
                </c:pt>
                <c:pt idx="44">
                  <c:v>233.33333333333331</c:v>
                </c:pt>
                <c:pt idx="45">
                  <c:v>233.33333333333331</c:v>
                </c:pt>
                <c:pt idx="46">
                  <c:v>233.33333333333331</c:v>
                </c:pt>
                <c:pt idx="47">
                  <c:v>233.33333333333331</c:v>
                </c:pt>
                <c:pt idx="48">
                  <c:v>233.33333333333331</c:v>
                </c:pt>
                <c:pt idx="49">
                  <c:v>233.33333333333331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78-4890-BD49-4EA50409E005}"/>
            </c:ext>
          </c:extLst>
        </c:ser>
        <c:ser>
          <c:idx val="8"/>
          <c:order val="8"/>
          <c:tx>
            <c:v>Thep h2-1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Cot!$AV$3:$AV$52</c:f>
              <c:numCache>
                <c:formatCode>General</c:formatCode>
                <c:ptCount val="50"/>
                <c:pt idx="0">
                  <c:v>-300</c:v>
                </c:pt>
                <c:pt idx="1">
                  <c:v>-300</c:v>
                </c:pt>
                <c:pt idx="2">
                  <c:v>-300</c:v>
                </c:pt>
                <c:pt idx="3">
                  <c:v>-300</c:v>
                </c:pt>
                <c:pt idx="4">
                  <c:v>-300</c:v>
                </c:pt>
                <c:pt idx="5">
                  <c:v>-300</c:v>
                </c:pt>
                <c:pt idx="6">
                  <c:v>-300</c:v>
                </c:pt>
                <c:pt idx="7">
                  <c:v>-300</c:v>
                </c:pt>
                <c:pt idx="8">
                  <c:v>-300</c:v>
                </c:pt>
                <c:pt idx="9">
                  <c:v>-300</c:v>
                </c:pt>
                <c:pt idx="10">
                  <c:v>-300</c:v>
                </c:pt>
                <c:pt idx="11">
                  <c:v>-300</c:v>
                </c:pt>
                <c:pt idx="12">
                  <c:v>-300</c:v>
                </c:pt>
                <c:pt idx="13">
                  <c:v>-300</c:v>
                </c:pt>
                <c:pt idx="14">
                  <c:v>-300</c:v>
                </c:pt>
                <c:pt idx="15">
                  <c:v>-300</c:v>
                </c:pt>
                <c:pt idx="16">
                  <c:v>-300</c:v>
                </c:pt>
                <c:pt idx="17">
                  <c:v>-300</c:v>
                </c:pt>
                <c:pt idx="18">
                  <c:v>-300</c:v>
                </c:pt>
                <c:pt idx="19">
                  <c:v>-300</c:v>
                </c:pt>
                <c:pt idx="20">
                  <c:v>-300</c:v>
                </c:pt>
                <c:pt idx="21">
                  <c:v>-300</c:v>
                </c:pt>
                <c:pt idx="22">
                  <c:v>-300</c:v>
                </c:pt>
                <c:pt idx="23">
                  <c:v>-300</c:v>
                </c:pt>
                <c:pt idx="24">
                  <c:v>-300</c:v>
                </c:pt>
                <c:pt idx="25">
                  <c:v>-300</c:v>
                </c:pt>
                <c:pt idx="26">
                  <c:v>-300</c:v>
                </c:pt>
                <c:pt idx="27">
                  <c:v>-300</c:v>
                </c:pt>
                <c:pt idx="28">
                  <c:v>-300</c:v>
                </c:pt>
                <c:pt idx="29">
                  <c:v>-300</c:v>
                </c:pt>
                <c:pt idx="30">
                  <c:v>-300</c:v>
                </c:pt>
                <c:pt idx="31">
                  <c:v>-300</c:v>
                </c:pt>
                <c:pt idx="32">
                  <c:v>-300</c:v>
                </c:pt>
                <c:pt idx="33">
                  <c:v>-300</c:v>
                </c:pt>
                <c:pt idx="34">
                  <c:v>-300</c:v>
                </c:pt>
                <c:pt idx="35">
                  <c:v>-300</c:v>
                </c:pt>
                <c:pt idx="36">
                  <c:v>-300</c:v>
                </c:pt>
                <c:pt idx="37">
                  <c:v>-300</c:v>
                </c:pt>
                <c:pt idx="38">
                  <c:v>-300</c:v>
                </c:pt>
                <c:pt idx="39">
                  <c:v>-300</c:v>
                </c:pt>
                <c:pt idx="40">
                  <c:v>-300</c:v>
                </c:pt>
                <c:pt idx="41">
                  <c:v>-300</c:v>
                </c:pt>
                <c:pt idx="42">
                  <c:v>-300</c:v>
                </c:pt>
                <c:pt idx="43">
                  <c:v>-300</c:v>
                </c:pt>
                <c:pt idx="44">
                  <c:v>-300</c:v>
                </c:pt>
                <c:pt idx="45">
                  <c:v>-300</c:v>
                </c:pt>
                <c:pt idx="46">
                  <c:v>-300</c:v>
                </c:pt>
                <c:pt idx="47">
                  <c:v>-300</c:v>
                </c:pt>
                <c:pt idx="48">
                  <c:v>-300</c:v>
                </c:pt>
                <c:pt idx="49">
                  <c:v>-300</c:v>
                </c:pt>
              </c:numCache>
            </c:numRef>
          </c:xVal>
          <c:yVal>
            <c:numRef>
              <c:f>Cot!$AW$3:$AW$52</c:f>
              <c:numCache>
                <c:formatCode>General</c:formatCode>
                <c:ptCount val="50"/>
                <c:pt idx="0">
                  <c:v>0</c:v>
                </c:pt>
                <c:pt idx="1">
                  <c:v>-116.66666666666664</c:v>
                </c:pt>
                <c:pt idx="2">
                  <c:v>-116.66666666666664</c:v>
                </c:pt>
                <c:pt idx="3">
                  <c:v>-116.66666666666664</c:v>
                </c:pt>
                <c:pt idx="4">
                  <c:v>-116.66666666666664</c:v>
                </c:pt>
                <c:pt idx="5">
                  <c:v>-116.66666666666664</c:v>
                </c:pt>
                <c:pt idx="6">
                  <c:v>-116.66666666666664</c:v>
                </c:pt>
                <c:pt idx="7">
                  <c:v>-116.66666666666664</c:v>
                </c:pt>
                <c:pt idx="8">
                  <c:v>-116.66666666666664</c:v>
                </c:pt>
                <c:pt idx="9">
                  <c:v>-116.66666666666664</c:v>
                </c:pt>
                <c:pt idx="10">
                  <c:v>-116.66666666666664</c:v>
                </c:pt>
                <c:pt idx="11">
                  <c:v>-116.66666666666664</c:v>
                </c:pt>
                <c:pt idx="12">
                  <c:v>-116.66666666666664</c:v>
                </c:pt>
                <c:pt idx="13">
                  <c:v>-116.66666666666664</c:v>
                </c:pt>
                <c:pt idx="14">
                  <c:v>-116.66666666666664</c:v>
                </c:pt>
                <c:pt idx="15">
                  <c:v>-116.66666666666664</c:v>
                </c:pt>
                <c:pt idx="16">
                  <c:v>-116.66666666666664</c:v>
                </c:pt>
                <c:pt idx="17">
                  <c:v>-116.66666666666664</c:v>
                </c:pt>
                <c:pt idx="18">
                  <c:v>-116.66666666666664</c:v>
                </c:pt>
                <c:pt idx="19">
                  <c:v>-116.66666666666664</c:v>
                </c:pt>
                <c:pt idx="20">
                  <c:v>-116.66666666666664</c:v>
                </c:pt>
                <c:pt idx="21">
                  <c:v>-116.66666666666664</c:v>
                </c:pt>
                <c:pt idx="22">
                  <c:v>-116.66666666666664</c:v>
                </c:pt>
                <c:pt idx="23">
                  <c:v>-116.66666666666664</c:v>
                </c:pt>
                <c:pt idx="24">
                  <c:v>116.66666666666664</c:v>
                </c:pt>
                <c:pt idx="25">
                  <c:v>116.66666666666664</c:v>
                </c:pt>
                <c:pt idx="26">
                  <c:v>116.66666666666664</c:v>
                </c:pt>
                <c:pt idx="27">
                  <c:v>116.66666666666664</c:v>
                </c:pt>
                <c:pt idx="28">
                  <c:v>116.66666666666664</c:v>
                </c:pt>
                <c:pt idx="29">
                  <c:v>116.66666666666664</c:v>
                </c:pt>
                <c:pt idx="30">
                  <c:v>116.66666666666664</c:v>
                </c:pt>
                <c:pt idx="31">
                  <c:v>116.66666666666664</c:v>
                </c:pt>
                <c:pt idx="32">
                  <c:v>116.66666666666664</c:v>
                </c:pt>
                <c:pt idx="33">
                  <c:v>116.66666666666664</c:v>
                </c:pt>
                <c:pt idx="34">
                  <c:v>116.66666666666664</c:v>
                </c:pt>
                <c:pt idx="35">
                  <c:v>116.66666666666664</c:v>
                </c:pt>
                <c:pt idx="36">
                  <c:v>116.66666666666664</c:v>
                </c:pt>
                <c:pt idx="37">
                  <c:v>116.66666666666664</c:v>
                </c:pt>
                <c:pt idx="38">
                  <c:v>116.66666666666664</c:v>
                </c:pt>
                <c:pt idx="39">
                  <c:v>116.66666666666664</c:v>
                </c:pt>
                <c:pt idx="40">
                  <c:v>116.66666666666664</c:v>
                </c:pt>
                <c:pt idx="41">
                  <c:v>116.66666666666664</c:v>
                </c:pt>
                <c:pt idx="42">
                  <c:v>116.66666666666664</c:v>
                </c:pt>
                <c:pt idx="43">
                  <c:v>116.66666666666664</c:v>
                </c:pt>
                <c:pt idx="44">
                  <c:v>116.66666666666664</c:v>
                </c:pt>
                <c:pt idx="45">
                  <c:v>116.66666666666664</c:v>
                </c:pt>
                <c:pt idx="46">
                  <c:v>116.66666666666664</c:v>
                </c:pt>
                <c:pt idx="47">
                  <c:v>-116.66666666666664</c:v>
                </c:pt>
                <c:pt idx="48">
                  <c:v>-116.66666666666664</c:v>
                </c:pt>
                <c:pt idx="49">
                  <c:v>-116.66666666666664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78-4890-BD49-4EA50409E005}"/>
            </c:ext>
          </c:extLst>
        </c:ser>
        <c:ser>
          <c:idx val="9"/>
          <c:order val="9"/>
          <c:tx>
            <c:v>Thep h2-2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Cot!$AX$3:$AX$52</c:f>
              <c:numCache>
                <c:formatCode>General</c:formatCode>
                <c:ptCount val="50"/>
                <c:pt idx="0">
                  <c:v>300</c:v>
                </c:pt>
                <c:pt idx="1">
                  <c:v>300</c:v>
                </c:pt>
                <c:pt idx="2">
                  <c:v>300</c:v>
                </c:pt>
                <c:pt idx="3">
                  <c:v>300</c:v>
                </c:pt>
                <c:pt idx="4">
                  <c:v>300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  <c:pt idx="26">
                  <c:v>300</c:v>
                </c:pt>
                <c:pt idx="27">
                  <c:v>300</c:v>
                </c:pt>
                <c:pt idx="28">
                  <c:v>300</c:v>
                </c:pt>
                <c:pt idx="29">
                  <c:v>300</c:v>
                </c:pt>
                <c:pt idx="30">
                  <c:v>300</c:v>
                </c:pt>
                <c:pt idx="31">
                  <c:v>300</c:v>
                </c:pt>
                <c:pt idx="32">
                  <c:v>300</c:v>
                </c:pt>
                <c:pt idx="33">
                  <c:v>300</c:v>
                </c:pt>
                <c:pt idx="34">
                  <c:v>300</c:v>
                </c:pt>
                <c:pt idx="35">
                  <c:v>300</c:v>
                </c:pt>
                <c:pt idx="36">
                  <c:v>300</c:v>
                </c:pt>
                <c:pt idx="37">
                  <c:v>300</c:v>
                </c:pt>
                <c:pt idx="38">
                  <c:v>300</c:v>
                </c:pt>
                <c:pt idx="39">
                  <c:v>300</c:v>
                </c:pt>
                <c:pt idx="40">
                  <c:v>300</c:v>
                </c:pt>
                <c:pt idx="41">
                  <c:v>300</c:v>
                </c:pt>
                <c:pt idx="42">
                  <c:v>300</c:v>
                </c:pt>
                <c:pt idx="43">
                  <c:v>300</c:v>
                </c:pt>
                <c:pt idx="44">
                  <c:v>300</c:v>
                </c:pt>
                <c:pt idx="45">
                  <c:v>300</c:v>
                </c:pt>
                <c:pt idx="46">
                  <c:v>300</c:v>
                </c:pt>
                <c:pt idx="47">
                  <c:v>300</c:v>
                </c:pt>
                <c:pt idx="48">
                  <c:v>300</c:v>
                </c:pt>
                <c:pt idx="49">
                  <c:v>300</c:v>
                </c:pt>
              </c:numCache>
            </c:numRef>
          </c:xVal>
          <c:yVal>
            <c:numRef>
              <c:f>Cot!$AW$3:$AW$52</c:f>
              <c:numCache>
                <c:formatCode>General</c:formatCode>
                <c:ptCount val="50"/>
                <c:pt idx="0">
                  <c:v>0</c:v>
                </c:pt>
                <c:pt idx="1">
                  <c:v>-116.66666666666664</c:v>
                </c:pt>
                <c:pt idx="2">
                  <c:v>-116.66666666666664</c:v>
                </c:pt>
                <c:pt idx="3">
                  <c:v>-116.66666666666664</c:v>
                </c:pt>
                <c:pt idx="4">
                  <c:v>-116.66666666666664</c:v>
                </c:pt>
                <c:pt idx="5">
                  <c:v>-116.66666666666664</c:v>
                </c:pt>
                <c:pt idx="6">
                  <c:v>-116.66666666666664</c:v>
                </c:pt>
                <c:pt idx="7">
                  <c:v>-116.66666666666664</c:v>
                </c:pt>
                <c:pt idx="8">
                  <c:v>-116.66666666666664</c:v>
                </c:pt>
                <c:pt idx="9">
                  <c:v>-116.66666666666664</c:v>
                </c:pt>
                <c:pt idx="10">
                  <c:v>-116.66666666666664</c:v>
                </c:pt>
                <c:pt idx="11">
                  <c:v>-116.66666666666664</c:v>
                </c:pt>
                <c:pt idx="12">
                  <c:v>-116.66666666666664</c:v>
                </c:pt>
                <c:pt idx="13">
                  <c:v>-116.66666666666664</c:v>
                </c:pt>
                <c:pt idx="14">
                  <c:v>-116.66666666666664</c:v>
                </c:pt>
                <c:pt idx="15">
                  <c:v>-116.66666666666664</c:v>
                </c:pt>
                <c:pt idx="16">
                  <c:v>-116.66666666666664</c:v>
                </c:pt>
                <c:pt idx="17">
                  <c:v>-116.66666666666664</c:v>
                </c:pt>
                <c:pt idx="18">
                  <c:v>-116.66666666666664</c:v>
                </c:pt>
                <c:pt idx="19">
                  <c:v>-116.66666666666664</c:v>
                </c:pt>
                <c:pt idx="20">
                  <c:v>-116.66666666666664</c:v>
                </c:pt>
                <c:pt idx="21">
                  <c:v>-116.66666666666664</c:v>
                </c:pt>
                <c:pt idx="22">
                  <c:v>-116.66666666666664</c:v>
                </c:pt>
                <c:pt idx="23">
                  <c:v>-116.66666666666664</c:v>
                </c:pt>
                <c:pt idx="24">
                  <c:v>116.66666666666664</c:v>
                </c:pt>
                <c:pt idx="25">
                  <c:v>116.66666666666664</c:v>
                </c:pt>
                <c:pt idx="26">
                  <c:v>116.66666666666664</c:v>
                </c:pt>
                <c:pt idx="27">
                  <c:v>116.66666666666664</c:v>
                </c:pt>
                <c:pt idx="28">
                  <c:v>116.66666666666664</c:v>
                </c:pt>
                <c:pt idx="29">
                  <c:v>116.66666666666664</c:v>
                </c:pt>
                <c:pt idx="30">
                  <c:v>116.66666666666664</c:v>
                </c:pt>
                <c:pt idx="31">
                  <c:v>116.66666666666664</c:v>
                </c:pt>
                <c:pt idx="32">
                  <c:v>116.66666666666664</c:v>
                </c:pt>
                <c:pt idx="33">
                  <c:v>116.66666666666664</c:v>
                </c:pt>
                <c:pt idx="34">
                  <c:v>116.66666666666664</c:v>
                </c:pt>
                <c:pt idx="35">
                  <c:v>116.66666666666664</c:v>
                </c:pt>
                <c:pt idx="36">
                  <c:v>116.66666666666664</c:v>
                </c:pt>
                <c:pt idx="37">
                  <c:v>116.66666666666664</c:v>
                </c:pt>
                <c:pt idx="38">
                  <c:v>116.66666666666664</c:v>
                </c:pt>
                <c:pt idx="39">
                  <c:v>116.66666666666664</c:v>
                </c:pt>
                <c:pt idx="40">
                  <c:v>116.66666666666664</c:v>
                </c:pt>
                <c:pt idx="41">
                  <c:v>116.66666666666664</c:v>
                </c:pt>
                <c:pt idx="42">
                  <c:v>116.66666666666664</c:v>
                </c:pt>
                <c:pt idx="43">
                  <c:v>116.66666666666664</c:v>
                </c:pt>
                <c:pt idx="44">
                  <c:v>116.66666666666664</c:v>
                </c:pt>
                <c:pt idx="45">
                  <c:v>116.66666666666664</c:v>
                </c:pt>
                <c:pt idx="46">
                  <c:v>116.66666666666664</c:v>
                </c:pt>
                <c:pt idx="47">
                  <c:v>-116.66666666666664</c:v>
                </c:pt>
                <c:pt idx="48">
                  <c:v>-116.66666666666664</c:v>
                </c:pt>
                <c:pt idx="49">
                  <c:v>-116.66666666666664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78-4890-BD49-4EA50409E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289536"/>
        <c:axId val="162426880"/>
      </c:scatterChart>
      <c:valAx>
        <c:axId val="1622895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62426880"/>
        <c:crosses val="autoZero"/>
        <c:crossBetween val="midCat"/>
      </c:valAx>
      <c:valAx>
        <c:axId val="1624268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16228953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tx1"/>
    </a:solidFill>
  </c:sp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>Bao</c:v>
          </c:tx>
          <c:spPr>
            <a:ln w="15875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Dam!$B$56:$J$56</c:f>
              <c:numCache>
                <c:formatCode>General</c:formatCode>
                <c:ptCount val="9"/>
                <c:pt idx="0">
                  <c:v>-250</c:v>
                </c:pt>
                <c:pt idx="1">
                  <c:v>250</c:v>
                </c:pt>
                <c:pt idx="2">
                  <c:v>250</c:v>
                </c:pt>
                <c:pt idx="3">
                  <c:v>550</c:v>
                </c:pt>
                <c:pt idx="4">
                  <c:v>550</c:v>
                </c:pt>
                <c:pt idx="5">
                  <c:v>-550</c:v>
                </c:pt>
                <c:pt idx="6">
                  <c:v>-550</c:v>
                </c:pt>
                <c:pt idx="7">
                  <c:v>-250</c:v>
                </c:pt>
                <c:pt idx="8">
                  <c:v>-250</c:v>
                </c:pt>
              </c:numCache>
            </c:numRef>
          </c:xVal>
          <c:yVal>
            <c:numRef>
              <c:f>Dam!$B$57:$J$57</c:f>
              <c:numCache>
                <c:formatCode>General</c:formatCode>
                <c:ptCount val="9"/>
                <c:pt idx="0">
                  <c:v>-550</c:v>
                </c:pt>
                <c:pt idx="1">
                  <c:v>-550</c:v>
                </c:pt>
                <c:pt idx="2">
                  <c:v>400</c:v>
                </c:pt>
                <c:pt idx="3">
                  <c:v>400</c:v>
                </c:pt>
                <c:pt idx="4">
                  <c:v>550</c:v>
                </c:pt>
                <c:pt idx="5">
                  <c:v>550</c:v>
                </c:pt>
                <c:pt idx="6">
                  <c:v>400</c:v>
                </c:pt>
                <c:pt idx="7">
                  <c:v>400</c:v>
                </c:pt>
                <c:pt idx="8">
                  <c:v>-550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DB-498F-8DAE-2AAD26D79771}"/>
            </c:ext>
          </c:extLst>
        </c:ser>
        <c:ser>
          <c:idx val="1"/>
          <c:order val="1"/>
          <c:tx>
            <c:v>Dai_vong</c:v>
          </c:tx>
          <c:spPr>
            <a:ln w="25400">
              <a:solidFill>
                <a:srgbClr val="C60AA2"/>
              </a:solidFill>
            </a:ln>
          </c:spPr>
          <c:marker>
            <c:symbol val="none"/>
          </c:marker>
          <c:xVal>
            <c:numRef>
              <c:f>Dam!$B$58:$F$58</c:f>
              <c:numCache>
                <c:formatCode>General</c:formatCode>
                <c:ptCount val="5"/>
                <c:pt idx="0">
                  <c:v>-220</c:v>
                </c:pt>
                <c:pt idx="1">
                  <c:v>220</c:v>
                </c:pt>
                <c:pt idx="2">
                  <c:v>220</c:v>
                </c:pt>
                <c:pt idx="3">
                  <c:v>-220</c:v>
                </c:pt>
                <c:pt idx="4">
                  <c:v>-220</c:v>
                </c:pt>
              </c:numCache>
            </c:numRef>
          </c:xVal>
          <c:yVal>
            <c:numRef>
              <c:f>Dam!$B$59:$F$59</c:f>
              <c:numCache>
                <c:formatCode>General</c:formatCode>
                <c:ptCount val="5"/>
                <c:pt idx="0">
                  <c:v>-520</c:v>
                </c:pt>
                <c:pt idx="1">
                  <c:v>-520</c:v>
                </c:pt>
                <c:pt idx="2">
                  <c:v>520</c:v>
                </c:pt>
                <c:pt idx="3">
                  <c:v>520</c:v>
                </c:pt>
                <c:pt idx="4">
                  <c:v>-520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4DB-498F-8DAE-2AAD26D79771}"/>
            </c:ext>
          </c:extLst>
        </c:ser>
        <c:ser>
          <c:idx val="2"/>
          <c:order val="2"/>
          <c:tx>
            <c:v>2goc</c:v>
          </c:tx>
          <c:spPr>
            <a:ln>
              <a:noFill/>
            </a:ln>
          </c:spPr>
          <c:marker>
            <c:symbol val="none"/>
          </c:marker>
          <c:xVal>
            <c:numRef>
              <c:f>Dam!$H$58:$I$58</c:f>
              <c:numCache>
                <c:formatCode>General</c:formatCode>
                <c:ptCount val="2"/>
                <c:pt idx="0">
                  <c:v>-550</c:v>
                </c:pt>
                <c:pt idx="1">
                  <c:v>550</c:v>
                </c:pt>
              </c:numCache>
            </c:numRef>
          </c:xVal>
          <c:yVal>
            <c:numRef>
              <c:f>Dam!$H$59:$I$59</c:f>
              <c:numCache>
                <c:formatCode>General</c:formatCode>
                <c:ptCount val="2"/>
                <c:pt idx="0">
                  <c:v>-550</c:v>
                </c:pt>
                <c:pt idx="1">
                  <c:v>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4DB-498F-8DAE-2AAD26D79771}"/>
            </c:ext>
          </c:extLst>
        </c:ser>
        <c:ser>
          <c:idx val="3"/>
          <c:order val="3"/>
          <c:tx>
            <c:v>Thep_tren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Dam!$L$56:$AE$56</c:f>
              <c:numCache>
                <c:formatCode>General</c:formatCode>
                <c:ptCount val="20"/>
                <c:pt idx="0">
                  <c:v>-190</c:v>
                </c:pt>
                <c:pt idx="1">
                  <c:v>-114</c:v>
                </c:pt>
                <c:pt idx="2">
                  <c:v>-38</c:v>
                </c:pt>
                <c:pt idx="3">
                  <c:v>38</c:v>
                </c:pt>
                <c:pt idx="4">
                  <c:v>114</c:v>
                </c:pt>
                <c:pt idx="5">
                  <c:v>190</c:v>
                </c:pt>
                <c:pt idx="6">
                  <c:v>-190</c:v>
                </c:pt>
                <c:pt idx="7">
                  <c:v>-190</c:v>
                </c:pt>
                <c:pt idx="8">
                  <c:v>-190</c:v>
                </c:pt>
                <c:pt idx="9">
                  <c:v>-190</c:v>
                </c:pt>
                <c:pt idx="10">
                  <c:v>-190</c:v>
                </c:pt>
                <c:pt idx="11">
                  <c:v>-190</c:v>
                </c:pt>
                <c:pt idx="12">
                  <c:v>-190</c:v>
                </c:pt>
                <c:pt idx="13">
                  <c:v>-190</c:v>
                </c:pt>
                <c:pt idx="14">
                  <c:v>-190</c:v>
                </c:pt>
                <c:pt idx="15">
                  <c:v>-190</c:v>
                </c:pt>
                <c:pt idx="16">
                  <c:v>-190</c:v>
                </c:pt>
                <c:pt idx="17">
                  <c:v>-190</c:v>
                </c:pt>
                <c:pt idx="18">
                  <c:v>-190</c:v>
                </c:pt>
                <c:pt idx="19">
                  <c:v>-190</c:v>
                </c:pt>
              </c:numCache>
            </c:numRef>
          </c:xVal>
          <c:yVal>
            <c:numRef>
              <c:f>Dam!$L$57:$AE$57</c:f>
              <c:numCache>
                <c:formatCode>General</c:formatCode>
                <c:ptCount val="20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4DB-498F-8DAE-2AAD26D79771}"/>
            </c:ext>
          </c:extLst>
        </c:ser>
        <c:ser>
          <c:idx val="4"/>
          <c:order val="4"/>
          <c:tx>
            <c:v>Thep_duoi</c:v>
          </c:tx>
          <c:spPr>
            <a:ln>
              <a:noFill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Dam!$L$58:$AE$58</c:f>
              <c:numCache>
                <c:formatCode>General</c:formatCode>
                <c:ptCount val="20"/>
                <c:pt idx="0">
                  <c:v>-190</c:v>
                </c:pt>
                <c:pt idx="1">
                  <c:v>-114</c:v>
                </c:pt>
                <c:pt idx="2">
                  <c:v>-38</c:v>
                </c:pt>
                <c:pt idx="3">
                  <c:v>38</c:v>
                </c:pt>
                <c:pt idx="4">
                  <c:v>114</c:v>
                </c:pt>
                <c:pt idx="5">
                  <c:v>190</c:v>
                </c:pt>
                <c:pt idx="6">
                  <c:v>-190</c:v>
                </c:pt>
                <c:pt idx="7">
                  <c:v>-190</c:v>
                </c:pt>
                <c:pt idx="8">
                  <c:v>-190</c:v>
                </c:pt>
                <c:pt idx="9">
                  <c:v>-190</c:v>
                </c:pt>
                <c:pt idx="10">
                  <c:v>-190</c:v>
                </c:pt>
                <c:pt idx="11">
                  <c:v>-190</c:v>
                </c:pt>
                <c:pt idx="12">
                  <c:v>-190</c:v>
                </c:pt>
                <c:pt idx="13">
                  <c:v>-190</c:v>
                </c:pt>
                <c:pt idx="14">
                  <c:v>-190</c:v>
                </c:pt>
                <c:pt idx="15">
                  <c:v>-190</c:v>
                </c:pt>
                <c:pt idx="16">
                  <c:v>-190</c:v>
                </c:pt>
                <c:pt idx="17">
                  <c:v>-190</c:v>
                </c:pt>
                <c:pt idx="18">
                  <c:v>-190</c:v>
                </c:pt>
                <c:pt idx="19">
                  <c:v>-190</c:v>
                </c:pt>
              </c:numCache>
            </c:numRef>
          </c:xVal>
          <c:yVal>
            <c:numRef>
              <c:f>Dam!$L$59:$AE$59</c:f>
              <c:numCache>
                <c:formatCode>General</c:formatCode>
                <c:ptCount val="20"/>
                <c:pt idx="0">
                  <c:v>-490</c:v>
                </c:pt>
                <c:pt idx="1">
                  <c:v>-490</c:v>
                </c:pt>
                <c:pt idx="2">
                  <c:v>-490</c:v>
                </c:pt>
                <c:pt idx="3">
                  <c:v>-490</c:v>
                </c:pt>
                <c:pt idx="4">
                  <c:v>-490</c:v>
                </c:pt>
                <c:pt idx="5">
                  <c:v>-490</c:v>
                </c:pt>
                <c:pt idx="6">
                  <c:v>-490</c:v>
                </c:pt>
                <c:pt idx="7">
                  <c:v>-490</c:v>
                </c:pt>
                <c:pt idx="8">
                  <c:v>-490</c:v>
                </c:pt>
                <c:pt idx="9">
                  <c:v>-490</c:v>
                </c:pt>
                <c:pt idx="10">
                  <c:v>-490</c:v>
                </c:pt>
                <c:pt idx="11">
                  <c:v>-490</c:v>
                </c:pt>
                <c:pt idx="12">
                  <c:v>-490</c:v>
                </c:pt>
                <c:pt idx="13">
                  <c:v>-490</c:v>
                </c:pt>
                <c:pt idx="14">
                  <c:v>-490</c:v>
                </c:pt>
                <c:pt idx="15">
                  <c:v>-490</c:v>
                </c:pt>
                <c:pt idx="16">
                  <c:v>-490</c:v>
                </c:pt>
                <c:pt idx="17">
                  <c:v>-490</c:v>
                </c:pt>
                <c:pt idx="18">
                  <c:v>-490</c:v>
                </c:pt>
                <c:pt idx="19">
                  <c:v>-490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4DB-498F-8DAE-2AAD26D79771}"/>
            </c:ext>
          </c:extLst>
        </c:ser>
        <c:ser>
          <c:idx val="5"/>
          <c:order val="5"/>
          <c:tx>
            <c:v>Dai1</c:v>
          </c:tx>
          <c:marker>
            <c:symbol val="none"/>
          </c:marker>
          <c:xVal>
            <c:numRef>
              <c:f>Dam!$I$61:$L$61</c:f>
              <c:numCache>
                <c:formatCode>General</c:formatCode>
                <c:ptCount val="4"/>
                <c:pt idx="0">
                  <c:v>-58</c:v>
                </c:pt>
                <c:pt idx="1">
                  <c:v>-58</c:v>
                </c:pt>
                <c:pt idx="2">
                  <c:v>58</c:v>
                </c:pt>
                <c:pt idx="3">
                  <c:v>58</c:v>
                </c:pt>
              </c:numCache>
            </c:numRef>
          </c:xVal>
          <c:yVal>
            <c:numRef>
              <c:f>Dam!$N$61:$Q$61</c:f>
              <c:numCache>
                <c:formatCode>General</c:formatCode>
                <c:ptCount val="4"/>
                <c:pt idx="0">
                  <c:v>510</c:v>
                </c:pt>
                <c:pt idx="1">
                  <c:v>-510</c:v>
                </c:pt>
                <c:pt idx="2">
                  <c:v>-510</c:v>
                </c:pt>
                <c:pt idx="3">
                  <c:v>510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65-4D23-B1AF-D4D1A35C2270}"/>
            </c:ext>
          </c:extLst>
        </c:ser>
        <c:ser>
          <c:idx val="6"/>
          <c:order val="6"/>
          <c:tx>
            <c:v>Dai2</c:v>
          </c:tx>
          <c:marker>
            <c:symbol val="none"/>
          </c:marker>
          <c:xVal>
            <c:numRef>
              <c:f>Dam!$I$62:$M$62</c:f>
              <c:numCache>
                <c:formatCode>General</c:formatCode>
                <c:ptCount val="5"/>
                <c:pt idx="0">
                  <c:v>-134</c:v>
                </c:pt>
                <c:pt idx="1">
                  <c:v>-134</c:v>
                </c:pt>
                <c:pt idx="2">
                  <c:v>-134</c:v>
                </c:pt>
                <c:pt idx="3">
                  <c:v>-134</c:v>
                </c:pt>
                <c:pt idx="4">
                  <c:v>-134</c:v>
                </c:pt>
              </c:numCache>
            </c:numRef>
          </c:xVal>
          <c:yVal>
            <c:numRef>
              <c:f>Dam!$N$62:$R$62</c:f>
              <c:numCache>
                <c:formatCode>General</c:formatCode>
                <c:ptCount val="5"/>
                <c:pt idx="0">
                  <c:v>510</c:v>
                </c:pt>
                <c:pt idx="1">
                  <c:v>-510</c:v>
                </c:pt>
                <c:pt idx="2">
                  <c:v>-510</c:v>
                </c:pt>
                <c:pt idx="3">
                  <c:v>510</c:v>
                </c:pt>
                <c:pt idx="4">
                  <c:v>510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65-4D23-B1AF-D4D1A35C2270}"/>
            </c:ext>
          </c:extLst>
        </c:ser>
        <c:ser>
          <c:idx val="7"/>
          <c:order val="7"/>
          <c:tx>
            <c:v>Dai3</c:v>
          </c:tx>
          <c:marker>
            <c:symbol val="none"/>
          </c:marker>
          <c:xVal>
            <c:numRef>
              <c:f>Dam!$I$63:$M$63</c:f>
              <c:numCache>
                <c:formatCode>General</c:formatCode>
                <c:ptCount val="5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</c:numCache>
            </c:numRef>
          </c:xVal>
          <c:yVal>
            <c:numRef>
              <c:f>Dam!$N$63:$R$63</c:f>
              <c:numCache>
                <c:formatCode>General</c:formatCode>
                <c:ptCount val="5"/>
                <c:pt idx="0">
                  <c:v>510</c:v>
                </c:pt>
                <c:pt idx="1">
                  <c:v>-510</c:v>
                </c:pt>
                <c:pt idx="2">
                  <c:v>-510</c:v>
                </c:pt>
                <c:pt idx="3">
                  <c:v>510</c:v>
                </c:pt>
                <c:pt idx="4">
                  <c:v>510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65-4D23-B1AF-D4D1A35C2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932224"/>
        <c:axId val="162933760"/>
      </c:scatterChart>
      <c:valAx>
        <c:axId val="162932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62933760"/>
        <c:crosses val="autoZero"/>
        <c:crossBetween val="midCat"/>
      </c:valAx>
      <c:valAx>
        <c:axId val="16293376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162932224"/>
        <c:crosses val="autoZero"/>
        <c:crossBetween val="midCat"/>
      </c:valAx>
      <c:spPr>
        <a:solidFill>
          <a:sysClr val="windowText" lastClr="000000"/>
        </a:solidFill>
        <a:ln w="25400">
          <a:noFill/>
        </a:ln>
      </c:spPr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J$3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CheckBox" fmlaLink="$I$3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CheckBox" fmlaLink="$H$3" lockText="1" noThreeD="1"/>
</file>

<file path=xl/ctrlProps/ctrlProp7.xml><?xml version="1.0" encoding="utf-8"?>
<formControlPr xmlns="http://schemas.microsoft.com/office/spreadsheetml/2009/9/main" objectType="CheckBox" checked="Checked" fmlaLink="$K$3" lockText="1" noThreeD="1"/>
</file>

<file path=xl/ctrlProps/ctrlProp8.xml><?xml version="1.0" encoding="utf-8"?>
<formControlPr xmlns="http://schemas.microsoft.com/office/spreadsheetml/2009/9/main" objectType="CheckBox" fmlaLink="$G$3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fmlaLink="$J$3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CheckBox" checked="Checked" fmlaLink="$I$3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CheckBox" fmlaLink="$H$3" lockText="1" noThreeD="1"/>
</file>

<file path=xl/ctrlProps/ctrlProp15.xml><?xml version="1.0" encoding="utf-8"?>
<formControlPr xmlns="http://schemas.microsoft.com/office/spreadsheetml/2009/9/main" objectType="CheckBox" checked="Checked" fmlaLink="$K$3" lockText="1" noThreeD="1"/>
</file>

<file path=xl/ctrlProps/ctrlProp16.xml><?xml version="1.0" encoding="utf-8"?>
<formControlPr xmlns="http://schemas.microsoft.com/office/spreadsheetml/2009/9/main" objectType="CheckBox" checked="Checked" fmlaLink="$I$1" lockText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Radio" firstButton="1" fmlaLink="$I$8" lockText="1"/>
</file>

<file path=xl/ctrlProps/ctrlProp21.xml><?xml version="1.0" encoding="utf-8"?>
<formControlPr xmlns="http://schemas.microsoft.com/office/spreadsheetml/2009/9/main" objectType="Radio" checked="Checked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Radio" checked="Checked" firstButton="1" fmlaLink="$A$28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323850</xdr:colOff>
      <xdr:row>0</xdr:row>
      <xdr:rowOff>133349</xdr:rowOff>
    </xdr:from>
    <xdr:to>
      <xdr:col>23</xdr:col>
      <xdr:colOff>276225</xdr:colOff>
      <xdr:row>20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609600</xdr:colOff>
          <xdr:row>0</xdr:row>
          <xdr:rowOff>66675</xdr:rowOff>
        </xdr:from>
        <xdr:to>
          <xdr:col>10</xdr:col>
          <xdr:colOff>600075</xdr:colOff>
          <xdr:row>5</xdr:row>
          <xdr:rowOff>0</xdr:rowOff>
        </xdr:to>
        <xdr:sp macro="" textlink="">
          <xdr:nvSpPr>
            <xdr:cNvPr id="5122" name="Group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Cắt thép ở 1 tầng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114300</xdr:rowOff>
        </xdr:from>
        <xdr:to>
          <xdr:col>11</xdr:col>
          <xdr:colOff>0</xdr:colOff>
          <xdr:row>2</xdr:row>
          <xdr:rowOff>66675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50% tại 1 vị trí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2</xdr:row>
          <xdr:rowOff>38100</xdr:rowOff>
        </xdr:from>
        <xdr:to>
          <xdr:col>11</xdr:col>
          <xdr:colOff>0</xdr:colOff>
          <xdr:row>3</xdr:row>
          <xdr:rowOff>66675</xdr:rowOff>
        </xdr:to>
        <xdr:sp macro="" textlink="">
          <xdr:nvSpPr>
            <xdr:cNvPr id="5124" name="Option 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50% tại 2 vị trí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142875</xdr:rowOff>
        </xdr:from>
        <xdr:to>
          <xdr:col>8</xdr:col>
          <xdr:colOff>276225</xdr:colOff>
          <xdr:row>3</xdr:row>
          <xdr:rowOff>9525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Bố trí đai tự động với thông số: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3</xdr:row>
          <xdr:rowOff>85725</xdr:rowOff>
        </xdr:from>
        <xdr:to>
          <xdr:col>11</xdr:col>
          <xdr:colOff>0</xdr:colOff>
          <xdr:row>4</xdr:row>
          <xdr:rowOff>114300</xdr:rowOff>
        </xdr:to>
        <xdr:sp macro="" textlink="">
          <xdr:nvSpPr>
            <xdr:cNvPr id="5126" name="Option 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100% tại 1 vị trí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152400</xdr:rowOff>
        </xdr:from>
        <xdr:to>
          <xdr:col>8</xdr:col>
          <xdr:colOff>304800</xdr:colOff>
          <xdr:row>2</xdr:row>
          <xdr:rowOff>19050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Bố trí đai dày tại vị trí nối thép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8</xdr:col>
          <xdr:colOff>276225</xdr:colOff>
          <xdr:row>1</xdr:row>
          <xdr:rowOff>28575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Bố trí đai xuyên dầm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0.12159</cdr:x>
      <cdr:y>0.48219</cdr:y>
    </cdr:from>
    <cdr:to>
      <cdr:x>0.87345</cdr:x>
      <cdr:y>0.5684</cdr:y>
    </cdr:to>
    <cdr:sp macro="" textlink="Vach!$AE$27">
      <cdr:nvSpPr>
        <cdr:cNvPr id="4" name="TextBox 4"/>
        <cdr:cNvSpPr txBox="1"/>
      </cdr:nvSpPr>
      <cdr:spPr>
        <a:xfrm xmlns:a="http://schemas.openxmlformats.org/drawingml/2006/main">
          <a:off x="524633" y="1731508"/>
          <a:ext cx="3244148" cy="3095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fld id="{3C66B2CB-97D3-43D7-ABEE-1C1DE467CAB9}" type="TxLink">
            <a:rPr lang="en-US" sz="1200" b="0" i="0" u="none" strike="noStrike">
              <a:solidFill>
                <a:srgbClr val="00B050"/>
              </a:solidFill>
              <a:latin typeface="Arialri"/>
            </a:rPr>
            <a:pPr algn="ctr"/>
            <a:t>µ=1.91%</a:t>
          </a:fld>
          <a:endParaRPr lang="en-US" sz="12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0.12137</cdr:x>
      <cdr:y>0.41534</cdr:y>
    </cdr:from>
    <cdr:to>
      <cdr:x>0.87323</cdr:x>
      <cdr:y>0.50155</cdr:y>
    </cdr:to>
    <cdr:sp macro="" textlink="Vach!$AE$26">
      <cdr:nvSpPr>
        <cdr:cNvPr id="5" name="TextBox 4"/>
        <cdr:cNvSpPr txBox="1"/>
      </cdr:nvSpPr>
      <cdr:spPr>
        <a:xfrm xmlns:a="http://schemas.openxmlformats.org/drawingml/2006/main">
          <a:off x="438150" y="1495425"/>
          <a:ext cx="2714199" cy="3103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fld id="{DB6A5BBF-1924-475F-97F2-727F717960F3}" type="TxLink">
            <a:rPr lang="en-US" sz="1200" b="0" i="0" u="none" strike="noStrike">
              <a:solidFill>
                <a:srgbClr val="00B050"/>
              </a:solidFill>
              <a:latin typeface="Arialri"/>
            </a:rPr>
            <a:pPr algn="ctr"/>
            <a:t>70Ø25</a:t>
          </a:fld>
          <a:endParaRPr lang="en-US" sz="1200">
            <a:solidFill>
              <a:srgbClr val="00B050"/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323850</xdr:colOff>
      <xdr:row>0</xdr:row>
      <xdr:rowOff>133349</xdr:rowOff>
    </xdr:from>
    <xdr:to>
      <xdr:col>28</xdr:col>
      <xdr:colOff>276225</xdr:colOff>
      <xdr:row>20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0</xdr:row>
          <xdr:rowOff>0</xdr:rowOff>
        </xdr:from>
        <xdr:to>
          <xdr:col>5</xdr:col>
          <xdr:colOff>285750</xdr:colOff>
          <xdr:row>1</xdr:row>
          <xdr:rowOff>19050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Thép lớp 2 ghép sát thép lớp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66675</xdr:rowOff>
        </xdr:from>
        <xdr:to>
          <xdr:col>11</xdr:col>
          <xdr:colOff>0</xdr:colOff>
          <xdr:row>4</xdr:row>
          <xdr:rowOff>161925</xdr:rowOff>
        </xdr:to>
        <xdr:sp macro="" textlink="">
          <xdr:nvSpPr>
            <xdr:cNvPr id="1028" name="Group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Cắt thép ở 1 tầng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104775</xdr:rowOff>
        </xdr:from>
        <xdr:to>
          <xdr:col>11</xdr:col>
          <xdr:colOff>0</xdr:colOff>
          <xdr:row>2</xdr:row>
          <xdr:rowOff>57150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50% tại 1 vị trí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2</xdr:row>
          <xdr:rowOff>19050</xdr:rowOff>
        </xdr:from>
        <xdr:to>
          <xdr:col>11</xdr:col>
          <xdr:colOff>0</xdr:colOff>
          <xdr:row>3</xdr:row>
          <xdr:rowOff>47625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50% tại 2 vị trí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142875</xdr:rowOff>
        </xdr:from>
        <xdr:to>
          <xdr:col>8</xdr:col>
          <xdr:colOff>276225</xdr:colOff>
          <xdr:row>3</xdr:row>
          <xdr:rowOff>9525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Bố trí đai tự động với thông số: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3</xdr:row>
          <xdr:rowOff>66675</xdr:rowOff>
        </xdr:from>
        <xdr:to>
          <xdr:col>11</xdr:col>
          <xdr:colOff>0</xdr:colOff>
          <xdr:row>4</xdr:row>
          <xdr:rowOff>95250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100% tại 1 vị trí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171450</xdr:rowOff>
        </xdr:from>
        <xdr:to>
          <xdr:col>8</xdr:col>
          <xdr:colOff>304800</xdr:colOff>
          <xdr:row>2</xdr:row>
          <xdr:rowOff>9525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Bố trí đai dày tại vị trí nối thép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9525</xdr:rowOff>
        </xdr:from>
        <xdr:to>
          <xdr:col>8</xdr:col>
          <xdr:colOff>276225</xdr:colOff>
          <xdr:row>1</xdr:row>
          <xdr:rowOff>9525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Bố trí đai xuyên dầm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0.12159</cdr:x>
      <cdr:y>0.48219</cdr:y>
    </cdr:from>
    <cdr:to>
      <cdr:x>0.87345</cdr:x>
      <cdr:y>0.5684</cdr:y>
    </cdr:to>
    <cdr:sp macro="" textlink="Cot!$AJ$26">
      <cdr:nvSpPr>
        <cdr:cNvPr id="4" name="TextBox 4"/>
        <cdr:cNvSpPr txBox="1"/>
      </cdr:nvSpPr>
      <cdr:spPr>
        <a:xfrm xmlns:a="http://schemas.openxmlformats.org/drawingml/2006/main">
          <a:off x="524633" y="1731508"/>
          <a:ext cx="3244148" cy="3095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fld id="{3C66B2CB-97D3-43D7-ABEE-1C1DE467CAB9}" type="TxLink">
            <a:rPr lang="en-US" sz="1200" b="0" i="0" u="none" strike="noStrike">
              <a:solidFill>
                <a:srgbClr val="00B050"/>
              </a:solidFill>
              <a:latin typeface="Arialri"/>
            </a:rPr>
            <a:pPr algn="ctr"/>
            <a:t>µ=2.45%</a:t>
          </a:fld>
          <a:endParaRPr lang="en-US" sz="12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0.12137</cdr:x>
      <cdr:y>0.41534</cdr:y>
    </cdr:from>
    <cdr:to>
      <cdr:x>0.87323</cdr:x>
      <cdr:y>0.50155</cdr:y>
    </cdr:to>
    <cdr:sp macro="" textlink="Cot!$AJ$25">
      <cdr:nvSpPr>
        <cdr:cNvPr id="5" name="TextBox 4"/>
        <cdr:cNvSpPr txBox="1"/>
      </cdr:nvSpPr>
      <cdr:spPr>
        <a:xfrm xmlns:a="http://schemas.openxmlformats.org/drawingml/2006/main">
          <a:off x="438150" y="1495425"/>
          <a:ext cx="2714199" cy="3103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fld id="{DB6A5BBF-1924-475F-97F2-727F717960F3}" type="TxLink">
            <a:rPr lang="en-US" sz="1200" b="0" i="0" u="none" strike="noStrike">
              <a:solidFill>
                <a:srgbClr val="00B050"/>
              </a:solidFill>
              <a:latin typeface="Arialri"/>
            </a:rPr>
            <a:pPr algn="ctr"/>
            <a:t>40Ø25</a:t>
          </a:fld>
          <a:endParaRPr lang="en-US" sz="1200">
            <a:solidFill>
              <a:srgbClr val="00B05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601482</xdr:colOff>
      <xdr:row>11</xdr:row>
      <xdr:rowOff>638</xdr:rowOff>
    </xdr:from>
    <xdr:to>
      <xdr:col>35</xdr:col>
      <xdr:colOff>23222</xdr:colOff>
      <xdr:row>11</xdr:row>
      <xdr:rowOff>2669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885286" y="1913921"/>
          <a:ext cx="21155306" cy="2031"/>
          <a:chOff x="1814883" y="1814945"/>
          <a:chExt cx="21176426" cy="2031"/>
        </a:xfrm>
      </xdr:grpSpPr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 flipV="1">
            <a:off x="22652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" name="Straight Arrow Connector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31102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" name="Straight Arrow Connector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CxnSpPr/>
        </xdr:nvCxnSpPr>
        <xdr:spPr>
          <a:xfrm flipV="1">
            <a:off x="35606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" name="Straight Arrow Connector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8148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CxnSpPr/>
        </xdr:nvCxnSpPr>
        <xdr:spPr>
          <a:xfrm>
            <a:off x="44056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" name="Straight Arrow Connector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 flipV="1">
            <a:off x="48560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/>
        </xdr:nvCxnSpPr>
        <xdr:spPr>
          <a:xfrm>
            <a:off x="57010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 flipV="1">
            <a:off x="61514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Straight Arrow Connector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CxnSpPr/>
        </xdr:nvCxnSpPr>
        <xdr:spPr>
          <a:xfrm>
            <a:off x="69964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" name="Straight Arrow Connector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CxnSpPr/>
        </xdr:nvCxnSpPr>
        <xdr:spPr>
          <a:xfrm flipV="1">
            <a:off x="74468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CxnSpPr/>
        </xdr:nvCxnSpPr>
        <xdr:spPr>
          <a:xfrm>
            <a:off x="82918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Straight Arrow Connector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/>
        </xdr:nvCxnSpPr>
        <xdr:spPr>
          <a:xfrm flipV="1">
            <a:off x="87422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CxnSpPr/>
        </xdr:nvCxnSpPr>
        <xdr:spPr>
          <a:xfrm>
            <a:off x="95872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CxnSpPr/>
        </xdr:nvCxnSpPr>
        <xdr:spPr>
          <a:xfrm flipV="1">
            <a:off x="100376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" name="Straight Arrow Connector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CxnSpPr/>
        </xdr:nvCxnSpPr>
        <xdr:spPr>
          <a:xfrm>
            <a:off x="108826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" name="Straight Arrow Connector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 flipV="1">
            <a:off x="113330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CxnSpPr/>
        </xdr:nvCxnSpPr>
        <xdr:spPr>
          <a:xfrm>
            <a:off x="121780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" name="Straight Arrow Connector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 flipV="1">
            <a:off x="126284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" name="Straight Arrow Connector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CxnSpPr/>
        </xdr:nvCxnSpPr>
        <xdr:spPr>
          <a:xfrm>
            <a:off x="134734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 flipV="1">
            <a:off x="139238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Straight Arrow Connector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CxnSpPr/>
        </xdr:nvCxnSpPr>
        <xdr:spPr>
          <a:xfrm>
            <a:off x="147688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 flipV="1">
            <a:off x="152192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CxnSpPr/>
        </xdr:nvCxnSpPr>
        <xdr:spPr>
          <a:xfrm>
            <a:off x="160642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" name="Straight Arrow Connector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CxnSpPr/>
        </xdr:nvCxnSpPr>
        <xdr:spPr>
          <a:xfrm flipV="1">
            <a:off x="165146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" name="Straight Arrow Connector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CxnSpPr/>
        </xdr:nvCxnSpPr>
        <xdr:spPr>
          <a:xfrm>
            <a:off x="173596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CxnSpPr/>
        </xdr:nvCxnSpPr>
        <xdr:spPr>
          <a:xfrm flipV="1">
            <a:off x="178100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Arrow Connector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CxnSpPr/>
        </xdr:nvCxnSpPr>
        <xdr:spPr>
          <a:xfrm flipV="1">
            <a:off x="191054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" name="Straight Arrow Connector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CxnSpPr/>
        </xdr:nvCxnSpPr>
        <xdr:spPr>
          <a:xfrm>
            <a:off x="199504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CxnSpPr/>
        </xdr:nvCxnSpPr>
        <xdr:spPr>
          <a:xfrm flipV="1">
            <a:off x="204008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" name="Straight Arrow Connector 32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CxnSpPr/>
        </xdr:nvCxnSpPr>
        <xdr:spPr>
          <a:xfrm>
            <a:off x="212458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" name="Straight Arrow Connector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CxnSpPr/>
        </xdr:nvCxnSpPr>
        <xdr:spPr>
          <a:xfrm flipV="1">
            <a:off x="21696218" y="1815811"/>
            <a:ext cx="841664" cy="1165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CxnSpPr/>
        </xdr:nvCxnSpPr>
        <xdr:spPr>
          <a:xfrm>
            <a:off x="225412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" name="Straight Arrow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18655083" y="1814945"/>
            <a:ext cx="450026" cy="248"/>
          </a:xfrm>
          <a:prstGeom prst="straightConnector1">
            <a:avLst/>
          </a:prstGeom>
          <a:ln w="3175"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171450</xdr:colOff>
      <xdr:row>3</xdr:row>
      <xdr:rowOff>132514</xdr:rowOff>
    </xdr:from>
    <xdr:to>
      <xdr:col>3</xdr:col>
      <xdr:colOff>714374</xdr:colOff>
      <xdr:row>6</xdr:row>
      <xdr:rowOff>8275</xdr:rowOff>
    </xdr:to>
    <xdr:sp macro="[0]!_xludf.save" textlink="">
      <xdr:nvSpPr>
        <xdr:cNvPr id="37" name="Rounded Rectangl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2068167" y="670884"/>
          <a:ext cx="990185" cy="38928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Save data</a:t>
          </a:r>
        </a:p>
      </xdr:txBody>
    </xdr:sp>
    <xdr:clientData/>
  </xdr:twoCellAnchor>
  <xdr:twoCellAnchor>
    <xdr:from>
      <xdr:col>2</xdr:col>
      <xdr:colOff>171449</xdr:colOff>
      <xdr:row>0</xdr:row>
      <xdr:rowOff>107656</xdr:rowOff>
    </xdr:from>
    <xdr:to>
      <xdr:col>3</xdr:col>
      <xdr:colOff>704849</xdr:colOff>
      <xdr:row>2</xdr:row>
      <xdr:rowOff>182217</xdr:rowOff>
    </xdr:to>
    <xdr:sp macro="[0]!load_data" textlink="">
      <xdr:nvSpPr>
        <xdr:cNvPr id="38" name="Rounded Rectangl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2068166" y="107656"/>
          <a:ext cx="980661" cy="43071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Load data</a:t>
          </a:r>
        </a:p>
      </xdr:txBody>
    </xdr:sp>
    <xdr:clientData/>
  </xdr:twoCellAnchor>
  <xdr:twoCellAnchor>
    <xdr:from>
      <xdr:col>0</xdr:col>
      <xdr:colOff>0</xdr:colOff>
      <xdr:row>23</xdr:row>
      <xdr:rowOff>16566</xdr:rowOff>
    </xdr:from>
    <xdr:to>
      <xdr:col>1</xdr:col>
      <xdr:colOff>596348</xdr:colOff>
      <xdr:row>33</xdr:row>
      <xdr:rowOff>124239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173936</xdr:colOff>
      <xdr:row>6</xdr:row>
      <xdr:rowOff>140805</xdr:rowOff>
    </xdr:from>
    <xdr:to>
      <xdr:col>3</xdr:col>
      <xdr:colOff>716860</xdr:colOff>
      <xdr:row>9</xdr:row>
      <xdr:rowOff>8284</xdr:rowOff>
    </xdr:to>
    <xdr:sp macro="[0]!Ve_dam.lay_chdai" textlink="">
      <xdr:nvSpPr>
        <xdr:cNvPr id="40" name="Rounded Rectangl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2070653" y="1192696"/>
          <a:ext cx="990185" cy="397566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Get length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0</xdr:row>
          <xdr:rowOff>133350</xdr:rowOff>
        </xdr:from>
        <xdr:to>
          <xdr:col>9</xdr:col>
          <xdr:colOff>333375</xdr:colOff>
          <xdr:row>2</xdr:row>
          <xdr:rowOff>66675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Cách điểm cắt thép gối =h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0</xdr:row>
          <xdr:rowOff>66675</xdr:rowOff>
        </xdr:from>
        <xdr:to>
          <xdr:col>9</xdr:col>
          <xdr:colOff>752475</xdr:colOff>
          <xdr:row>3</xdr:row>
          <xdr:rowOff>9525</xdr:rowOff>
        </xdr:to>
        <xdr:sp macro="" textlink="">
          <xdr:nvSpPr>
            <xdr:cNvPr id="3074" name="Group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Cắt thép gia cường nhịp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95250</xdr:rowOff>
        </xdr:from>
        <xdr:to>
          <xdr:col>9</xdr:col>
          <xdr:colOff>752475</xdr:colOff>
          <xdr:row>5</xdr:row>
          <xdr:rowOff>9525</xdr:rowOff>
        </xdr:to>
        <xdr:sp macro="" textlink="">
          <xdr:nvSpPr>
            <xdr:cNvPr id="3075" name="Group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Cắt thép gia cường gối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5</xdr:row>
          <xdr:rowOff>66675</xdr:rowOff>
        </xdr:from>
        <xdr:to>
          <xdr:col>9</xdr:col>
          <xdr:colOff>752475</xdr:colOff>
          <xdr:row>8</xdr:row>
          <xdr:rowOff>0</xdr:rowOff>
        </xdr:to>
        <xdr:sp macro="" textlink="">
          <xdr:nvSpPr>
            <xdr:cNvPr id="3076" name="Group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Khoảng cách đai gia cường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6</xdr:row>
          <xdr:rowOff>142875</xdr:rowOff>
        </xdr:from>
        <xdr:to>
          <xdr:col>9</xdr:col>
          <xdr:colOff>57150</xdr:colOff>
          <xdr:row>7</xdr:row>
          <xdr:rowOff>161925</xdr:rowOff>
        </xdr:to>
        <xdr:sp macro="" textlink="">
          <xdr:nvSpPr>
            <xdr:cNvPr id="3077" name="Option 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Giống đai ngoài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5</xdr:row>
          <xdr:rowOff>123825</xdr:rowOff>
        </xdr:from>
        <xdr:to>
          <xdr:col>9</xdr:col>
          <xdr:colOff>57150</xdr:colOff>
          <xdr:row>7</xdr:row>
          <xdr:rowOff>19050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Bố trí đều với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23</xdr:row>
          <xdr:rowOff>0</xdr:rowOff>
        </xdr:from>
        <xdr:to>
          <xdr:col>34</xdr:col>
          <xdr:colOff>9525</xdr:colOff>
          <xdr:row>23</xdr:row>
          <xdr:rowOff>142875</xdr:rowOff>
        </xdr:to>
        <xdr:sp macro="" textlink="">
          <xdr:nvSpPr>
            <xdr:cNvPr id="3079" name="Group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323850</xdr:colOff>
          <xdr:row>23</xdr:row>
          <xdr:rowOff>19050</xdr:rowOff>
        </xdr:from>
        <xdr:to>
          <xdr:col>3</xdr:col>
          <xdr:colOff>476250</xdr:colOff>
          <xdr:row>23</xdr:row>
          <xdr:rowOff>123825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23</xdr:row>
          <xdr:rowOff>19050</xdr:rowOff>
        </xdr:from>
        <xdr:to>
          <xdr:col>5</xdr:col>
          <xdr:colOff>466725</xdr:colOff>
          <xdr:row>23</xdr:row>
          <xdr:rowOff>123825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323850</xdr:colOff>
          <xdr:row>23</xdr:row>
          <xdr:rowOff>19050</xdr:rowOff>
        </xdr:from>
        <xdr:to>
          <xdr:col>7</xdr:col>
          <xdr:colOff>476250</xdr:colOff>
          <xdr:row>23</xdr:row>
          <xdr:rowOff>123825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23</xdr:row>
          <xdr:rowOff>19050</xdr:rowOff>
        </xdr:from>
        <xdr:to>
          <xdr:col>9</xdr:col>
          <xdr:colOff>476250</xdr:colOff>
          <xdr:row>23</xdr:row>
          <xdr:rowOff>123825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23</xdr:row>
          <xdr:rowOff>19050</xdr:rowOff>
        </xdr:from>
        <xdr:to>
          <xdr:col>11</xdr:col>
          <xdr:colOff>476250</xdr:colOff>
          <xdr:row>23</xdr:row>
          <xdr:rowOff>123825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23</xdr:row>
          <xdr:rowOff>19050</xdr:rowOff>
        </xdr:from>
        <xdr:to>
          <xdr:col>13</xdr:col>
          <xdr:colOff>476250</xdr:colOff>
          <xdr:row>23</xdr:row>
          <xdr:rowOff>123825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323850</xdr:colOff>
          <xdr:row>23</xdr:row>
          <xdr:rowOff>19050</xdr:rowOff>
        </xdr:from>
        <xdr:to>
          <xdr:col>15</xdr:col>
          <xdr:colOff>476250</xdr:colOff>
          <xdr:row>23</xdr:row>
          <xdr:rowOff>123825</xdr:rowOff>
        </xdr:to>
        <xdr:sp macro="" textlink="">
          <xdr:nvSpPr>
            <xdr:cNvPr id="3087" name="Option 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323850</xdr:colOff>
          <xdr:row>23</xdr:row>
          <xdr:rowOff>19050</xdr:rowOff>
        </xdr:from>
        <xdr:to>
          <xdr:col>17</xdr:col>
          <xdr:colOff>476250</xdr:colOff>
          <xdr:row>23</xdr:row>
          <xdr:rowOff>123825</xdr:rowOff>
        </xdr:to>
        <xdr:sp macro="" textlink="">
          <xdr:nvSpPr>
            <xdr:cNvPr id="3088" name="Option 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323850</xdr:colOff>
          <xdr:row>23</xdr:row>
          <xdr:rowOff>19050</xdr:rowOff>
        </xdr:from>
        <xdr:to>
          <xdr:col>19</xdr:col>
          <xdr:colOff>476250</xdr:colOff>
          <xdr:row>23</xdr:row>
          <xdr:rowOff>123825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23</xdr:row>
          <xdr:rowOff>19050</xdr:rowOff>
        </xdr:from>
        <xdr:to>
          <xdr:col>21</xdr:col>
          <xdr:colOff>476250</xdr:colOff>
          <xdr:row>23</xdr:row>
          <xdr:rowOff>123825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323850</xdr:colOff>
          <xdr:row>23</xdr:row>
          <xdr:rowOff>19050</xdr:rowOff>
        </xdr:from>
        <xdr:to>
          <xdr:col>23</xdr:col>
          <xdr:colOff>476250</xdr:colOff>
          <xdr:row>23</xdr:row>
          <xdr:rowOff>123825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23</xdr:row>
          <xdr:rowOff>19050</xdr:rowOff>
        </xdr:from>
        <xdr:to>
          <xdr:col>25</xdr:col>
          <xdr:colOff>476250</xdr:colOff>
          <xdr:row>23</xdr:row>
          <xdr:rowOff>123825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2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23</xdr:row>
          <xdr:rowOff>19050</xdr:rowOff>
        </xdr:from>
        <xdr:to>
          <xdr:col>27</xdr:col>
          <xdr:colOff>476250</xdr:colOff>
          <xdr:row>23</xdr:row>
          <xdr:rowOff>123825</xdr:rowOff>
        </xdr:to>
        <xdr:sp macro="" textlink="">
          <xdr:nvSpPr>
            <xdr:cNvPr id="3093" name="Option 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2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323850</xdr:colOff>
          <xdr:row>23</xdr:row>
          <xdr:rowOff>19050</xdr:rowOff>
        </xdr:from>
        <xdr:to>
          <xdr:col>29</xdr:col>
          <xdr:colOff>476250</xdr:colOff>
          <xdr:row>23</xdr:row>
          <xdr:rowOff>123825</xdr:rowOff>
        </xdr:to>
        <xdr:sp macro="" textlink="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323850</xdr:colOff>
          <xdr:row>23</xdr:row>
          <xdr:rowOff>19050</xdr:rowOff>
        </xdr:from>
        <xdr:to>
          <xdr:col>31</xdr:col>
          <xdr:colOff>476250</xdr:colOff>
          <xdr:row>23</xdr:row>
          <xdr:rowOff>123825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323850</xdr:colOff>
          <xdr:row>23</xdr:row>
          <xdr:rowOff>19050</xdr:rowOff>
        </xdr:from>
        <xdr:to>
          <xdr:col>33</xdr:col>
          <xdr:colOff>476250</xdr:colOff>
          <xdr:row>23</xdr:row>
          <xdr:rowOff>123825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2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180976</xdr:colOff>
      <xdr:row>1</xdr:row>
      <xdr:rowOff>47625</xdr:rowOff>
    </xdr:from>
    <xdr:to>
      <xdr:col>15</xdr:col>
      <xdr:colOff>428625</xdr:colOff>
      <xdr:row>4</xdr:row>
      <xdr:rowOff>66675</xdr:rowOff>
    </xdr:to>
    <xdr:sp macro="[0]!update_bang_cat_thep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87151" y="428625"/>
          <a:ext cx="952499" cy="6096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Cập</a:t>
          </a:r>
          <a:r>
            <a:rPr lang="en-US" sz="1100" baseline="0"/>
            <a:t> nhật Bảng cắt thép</a:t>
          </a:r>
          <a:endParaRPr lang="en-US" sz="1100"/>
        </a:p>
      </xdr:txBody>
    </xdr:sp>
    <xdr:clientData/>
  </xdr:twoCellAnchor>
  <xdr:twoCellAnchor>
    <xdr:from>
      <xdr:col>13</xdr:col>
      <xdr:colOff>180975</xdr:colOff>
      <xdr:row>0</xdr:row>
      <xdr:rowOff>85725</xdr:rowOff>
    </xdr:from>
    <xdr:to>
      <xdr:col>13</xdr:col>
      <xdr:colOff>981075</xdr:colOff>
      <xdr:row>1</xdr:row>
      <xdr:rowOff>200025</xdr:rowOff>
    </xdr:to>
    <xdr:sp macro="[0]!delete_data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0782300" y="85725"/>
          <a:ext cx="800100" cy="4953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Delete</a:t>
          </a:r>
        </a:p>
        <a:p>
          <a:pPr algn="ctr"/>
          <a:r>
            <a:rPr lang="en-US" sz="1100"/>
            <a:t>Data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184902</xdr:colOff>
      <xdr:row>2</xdr:row>
      <xdr:rowOff>318247</xdr:rowOff>
    </xdr:from>
    <xdr:to>
      <xdr:col>27</xdr:col>
      <xdr:colOff>171450</xdr:colOff>
      <xdr:row>2</xdr:row>
      <xdr:rowOff>318247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F22131CF-AA4D-4FA1-A39E-1FB69ED5548D}"/>
            </a:ext>
          </a:extLst>
        </xdr:cNvPr>
        <xdr:cNvSpPr>
          <a:spLocks noChangeShapeType="1"/>
        </xdr:cNvSpPr>
      </xdr:nvSpPr>
      <xdr:spPr bwMode="auto">
        <a:xfrm>
          <a:off x="3070977" y="880222"/>
          <a:ext cx="4196598" cy="0"/>
        </a:xfrm>
        <a:prstGeom prst="line">
          <a:avLst/>
        </a:prstGeom>
        <a:noFill/>
        <a:ln w="57150" cmpd="thinThick">
          <a:solidFill>
            <a:schemeClr val="accent1">
              <a:lumMod val="75000"/>
            </a:schemeClr>
          </a:solidFill>
          <a:round/>
          <a:headEnd/>
          <a:tailEnd/>
        </a:ln>
      </xdr:spPr>
    </xdr:sp>
    <xdr:clientData/>
  </xdr:twoCellAnchor>
  <xdr:twoCellAnchor editAs="oneCell">
    <xdr:from>
      <xdr:col>2</xdr:col>
      <xdr:colOff>266700</xdr:colOff>
      <xdr:row>0</xdr:row>
      <xdr:rowOff>123826</xdr:rowOff>
    </xdr:from>
    <xdr:to>
      <xdr:col>6</xdr:col>
      <xdr:colOff>402938</xdr:colOff>
      <xdr:row>2</xdr:row>
      <xdr:rowOff>219515</xdr:rowOff>
    </xdr:to>
    <xdr:pic>
      <xdr:nvPicPr>
        <xdr:cNvPr id="7" name="Picture 6" descr="kata.png">
          <a:extLst>
            <a:ext uri="{FF2B5EF4-FFF2-40B4-BE49-F238E27FC236}">
              <a16:creationId xmlns:a16="http://schemas.microsoft.com/office/drawing/2014/main" id="{2ED07236-ACF8-495B-9AA7-F9505DD61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7300" y="123826"/>
          <a:ext cx="1545938" cy="657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298078</xdr:colOff>
      <xdr:row>1</xdr:row>
      <xdr:rowOff>1120</xdr:rowOff>
    </xdr:from>
    <xdr:to>
      <xdr:col>10</xdr:col>
      <xdr:colOff>240928</xdr:colOff>
      <xdr:row>1</xdr:row>
      <xdr:rowOff>1120</xdr:rowOff>
    </xdr:to>
    <xdr:sp macro="" textlink="">
      <xdr:nvSpPr>
        <xdr:cNvPr id="3" name="Line 5">
          <a:extLst>
            <a:ext uri="{FF2B5EF4-FFF2-40B4-BE49-F238E27FC236}">
              <a16:creationId xmlns:a16="http://schemas.microsoft.com/office/drawing/2014/main" id="{FF936A89-008E-46FE-B668-623D2FB7FB34}"/>
            </a:ext>
          </a:extLst>
        </xdr:cNvPr>
        <xdr:cNvSpPr>
          <a:spLocks noChangeShapeType="1"/>
        </xdr:cNvSpPr>
      </xdr:nvSpPr>
      <xdr:spPr bwMode="auto">
        <a:xfrm>
          <a:off x="1279153" y="734545"/>
          <a:ext cx="4581525" cy="0"/>
        </a:xfrm>
        <a:prstGeom prst="line">
          <a:avLst/>
        </a:prstGeom>
        <a:noFill/>
        <a:ln w="57150" cmpd="thinThick">
          <a:solidFill>
            <a:schemeClr val="tx1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14</xdr:row>
          <xdr:rowOff>28575</xdr:rowOff>
        </xdr:from>
        <xdr:to>
          <xdr:col>4</xdr:col>
          <xdr:colOff>561975</xdr:colOff>
          <xdr:row>16</xdr:row>
          <xdr:rowOff>123825</xdr:rowOff>
        </xdr:to>
        <xdr:sp macro="" textlink="">
          <xdr:nvSpPr>
            <xdr:cNvPr id="18435" name="Object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B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14</xdr:row>
          <xdr:rowOff>19050</xdr:rowOff>
        </xdr:from>
        <xdr:to>
          <xdr:col>7</xdr:col>
          <xdr:colOff>466725</xdr:colOff>
          <xdr:row>16</xdr:row>
          <xdr:rowOff>38100</xdr:rowOff>
        </xdr:to>
        <xdr:sp macro="" textlink="">
          <xdr:nvSpPr>
            <xdr:cNvPr id="18436" name="Object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B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16</xdr:row>
          <xdr:rowOff>104775</xdr:rowOff>
        </xdr:from>
        <xdr:to>
          <xdr:col>4</xdr:col>
          <xdr:colOff>723900</xdr:colOff>
          <xdr:row>18</xdr:row>
          <xdr:rowOff>200025</xdr:rowOff>
        </xdr:to>
        <xdr:sp macro="" textlink="">
          <xdr:nvSpPr>
            <xdr:cNvPr id="18437" name="Object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B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89808</xdr:colOff>
      <xdr:row>0</xdr:row>
      <xdr:rowOff>0</xdr:rowOff>
    </xdr:from>
    <xdr:to>
      <xdr:col>46</xdr:col>
      <xdr:colOff>261191</xdr:colOff>
      <xdr:row>34</xdr:row>
      <xdr:rowOff>135950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EBE2F0A-C04D-4352-B83F-729675F222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1558" y="0"/>
          <a:ext cx="13582583" cy="7413050"/>
        </a:xfrm>
        <a:prstGeom prst="rect">
          <a:avLst/>
        </a:prstGeom>
      </xdr:spPr>
    </xdr:pic>
    <xdr:clientData/>
  </xdr:twoCellAnchor>
  <xdr:twoCellAnchor editAs="oneCell">
    <xdr:from>
      <xdr:col>24</xdr:col>
      <xdr:colOff>203427</xdr:colOff>
      <xdr:row>35</xdr:row>
      <xdr:rowOff>135341</xdr:rowOff>
    </xdr:from>
    <xdr:to>
      <xdr:col>46</xdr:col>
      <xdr:colOff>488918</xdr:colOff>
      <xdr:row>62</xdr:row>
      <xdr:rowOff>91797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DF7FDB1-E7E2-42F0-A455-1BB5B939B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15177" y="7602941"/>
          <a:ext cx="13696691" cy="509995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kret\c\Documents%20and%20Settings\&#37428;&#26408;&#12288;&#36948;&#21705;\Local%20Settings\Temporary%20Internet%20Files\Content.IE5\XV65FD25\BOURJOIS\BOURJBQ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u2ng\Nu2nG\Nu2nG\NISSAN%20BSD%20Tender\NISSAN%20BSD%20PI\BQ_TIMAHR1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Kata%20Duy%20Viet/Dai%20quang%20Minh/VU_T6-MAI/KienTruc.xlsx" TargetMode="External"/><Relationship Id="rId1" Type="http://schemas.openxmlformats.org/officeDocument/2006/relationships/externalLinkPath" Target="/Kata%20Duy%20Viet/Dai%20quang%20Minh/VU_T6-MAI/KienTruc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For%20boss/VBA/KATA_PRO-2011-04-02-%20chua%20co%20dam%20giao/Kata-moi-27-02.xlsm" TargetMode="External"/><Relationship Id="rId1" Type="http://schemas.openxmlformats.org/officeDocument/2006/relationships/externalLinkPath" Target="/For%20boss/VBA/KATA_PRO-2011-04-02-%20chua%20co%20dam%20giao/Kata-moi-27-02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HT/AppData/Roaming/Microsoft/Excel/Kata-05-20.xlsm" TargetMode="External"/><Relationship Id="rId1" Type="http://schemas.openxmlformats.org/officeDocument/2006/relationships/externalLinkPath" Target="/Users/HT/AppData/Roaming/Microsoft/Excel/Kata-05-20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01.WORK/29.DAI_QUANG_MINH(FULL)/File_Tinh/06A%20-%20Format%20Ket%20cau.xlsx" TargetMode="External"/><Relationship Id="rId1" Type="http://schemas.openxmlformats.org/officeDocument/2006/relationships/externalLinkPath" Target="/01.WORK/29.DAI_QUANG_MINH(FULL)/File_Tinh/06A%20-%20Format%20Ket%20cau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vunt.COTECCONS/Desktop/BOQ%20-%20PHAN%20HOAN%20THIEN.XLSX" TargetMode="External"/><Relationship Id="rId1" Type="http://schemas.openxmlformats.org/officeDocument/2006/relationships/externalLinkPath" Target="/Users/vunt.COTECCONS/Desktop/BOQ%20-%20PHAN%20HOAN%20THIE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arthwork"/>
      <sheetName val="TenderAnaly"/>
      <sheetName val="AppendixA"/>
      <sheetName val="BQ"/>
      <sheetName val="GrossBQ"/>
      <sheetName val="GrossBQ (2)"/>
      <sheetName val="BQ(2)"/>
      <sheetName val="BQ(3)"/>
      <sheetName val="Summary"/>
      <sheetName val="G1"/>
      <sheetName val="FlrArea"/>
      <sheetName val="Analysis"/>
      <sheetName val="Notes"/>
      <sheetName val="Prelims"/>
      <sheetName val="Site Expense"/>
      <sheetName val="Steelwork"/>
      <sheetName val="ExtWalls"/>
      <sheetName val="Founds"/>
      <sheetName val="Slab"/>
      <sheetName val="Retaining Wall"/>
      <sheetName val="Summary Final"/>
      <sheetName val="G1 Final"/>
      <sheetName val="Thiet bi"/>
      <sheetName val="Nhan cong"/>
      <sheetName val="GrossBQ_(2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kap rap"/>
      <sheetName val="Sheet1"/>
      <sheetName val="harsat"/>
      <sheetName val="AN BONGKARAN"/>
      <sheetName val="ANALISA"/>
      <sheetName val="AN kusen"/>
      <sheetName val="AN beton"/>
      <sheetName val="REKAP"/>
      <sheetName val="upah bahan"/>
      <sheetName val="RAB BONGKARAN"/>
      <sheetName val="bq tam-penghub"/>
      <sheetName val="RAB AR&amp;STR"/>
      <sheetName val="RAB M&amp;E"/>
      <sheetName val="RAB AR_STR"/>
      <sheetName val="rekap_rap"/>
      <sheetName val="AN_BONGKARAN"/>
      <sheetName val="AN_kusen"/>
      <sheetName val="AN_beton"/>
      <sheetName val="upah_bahan"/>
      <sheetName val="RAB_BONGKARAN"/>
      <sheetName val="bq_tam-penghub"/>
      <sheetName val="RAB_AR&amp;STR"/>
      <sheetName val="RAB_M&amp;E"/>
      <sheetName val="Lat gach san nha"/>
      <sheetName val="Lat_gach_san_nha"/>
      <sheetName val="Earthwork"/>
      <sheetName val="01.THGTTT"/>
      <sheetName val="HD 15122"/>
      <sheetName val="GT Bieu hanh lang"/>
      <sheetName val="BAG-2"/>
      <sheetName val="rekap_rap1"/>
      <sheetName val="AN_BONGKARAN1"/>
      <sheetName val="AN_kusen1"/>
      <sheetName val="AN_beton1"/>
      <sheetName val="upah_bahan1"/>
      <sheetName val="RAB_BONGKARAN1"/>
      <sheetName val="bq_tam-penghub1"/>
      <sheetName val="RAB_AR&amp;STR1"/>
      <sheetName val="RAB_M&amp;E1"/>
      <sheetName val="Lat_gach_san_nha1"/>
      <sheetName val="RAB_AR_STR"/>
      <sheetName val="CV CHAO GIA 2"/>
      <sheetName val="COMMON AREA"/>
      <sheetName val="Sheet2"/>
      <sheetName val="Sheet3"/>
      <sheetName val="Goc C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DATA"/>
      <sheetName val="Tinhtoan"/>
      <sheetName val="Sheet2"/>
      <sheetName val="Thepsan"/>
      <sheetName val="Kien truc"/>
      <sheetName val="Sheet1"/>
      <sheetName val="HT PODIUM"/>
      <sheetName val="HT VAN PHONG"/>
      <sheetName val="3. KC - PODIUM"/>
      <sheetName val="4. KC - THAP VP"/>
    </sheetNames>
    <sheetDataSet>
      <sheetData sheetId="0">
        <row r="8">
          <cell r="C8">
            <v>20</v>
          </cell>
        </row>
        <row r="14">
          <cell r="E14">
            <v>30</v>
          </cell>
        </row>
        <row r="16">
          <cell r="B16">
            <v>6</v>
          </cell>
          <cell r="C16">
            <v>0.222</v>
          </cell>
        </row>
        <row r="17">
          <cell r="B17">
            <v>8</v>
          </cell>
          <cell r="C17">
            <v>0.39500000000000002</v>
          </cell>
        </row>
        <row r="18">
          <cell r="B18">
            <v>10</v>
          </cell>
          <cell r="C18">
            <v>0.61699999999999999</v>
          </cell>
        </row>
        <row r="19">
          <cell r="B19">
            <v>12</v>
          </cell>
          <cell r="C19">
            <v>0.88800000000000001</v>
          </cell>
        </row>
        <row r="20">
          <cell r="B20">
            <v>14</v>
          </cell>
          <cell r="C20">
            <v>1.208</v>
          </cell>
        </row>
        <row r="21">
          <cell r="B21">
            <v>16</v>
          </cell>
          <cell r="C21">
            <v>1.5780000000000001</v>
          </cell>
        </row>
        <row r="22">
          <cell r="B22">
            <v>18</v>
          </cell>
          <cell r="C22">
            <v>1.998</v>
          </cell>
        </row>
        <row r="23">
          <cell r="B23">
            <v>20</v>
          </cell>
          <cell r="C23">
            <v>2.4660000000000002</v>
          </cell>
        </row>
        <row r="24">
          <cell r="B24">
            <v>22</v>
          </cell>
          <cell r="C24">
            <v>2.984</v>
          </cell>
        </row>
        <row r="25">
          <cell r="B25">
            <v>25</v>
          </cell>
          <cell r="C25">
            <v>3.8530000000000002</v>
          </cell>
        </row>
        <row r="26">
          <cell r="B26">
            <v>28</v>
          </cell>
          <cell r="C26">
            <v>4.8339999999999996</v>
          </cell>
        </row>
        <row r="27">
          <cell r="B27">
            <v>32</v>
          </cell>
          <cell r="C27">
            <v>6.3129999999999997</v>
          </cell>
        </row>
        <row r="28">
          <cell r="B28">
            <v>36</v>
          </cell>
          <cell r="C28">
            <v>7.99</v>
          </cell>
        </row>
        <row r="29">
          <cell r="B29">
            <v>40</v>
          </cell>
          <cell r="C29">
            <v>9.8650000000000002</v>
          </cell>
        </row>
        <row r="36">
          <cell r="J36">
            <v>1</v>
          </cell>
        </row>
        <row r="37">
          <cell r="B37" t="str">
            <v>Ne-Ne</v>
          </cell>
          <cell r="C37">
            <v>10</v>
          </cell>
          <cell r="D37">
            <v>250</v>
          </cell>
          <cell r="J37">
            <v>50</v>
          </cell>
          <cell r="M37" t="str">
            <v>Ne</v>
          </cell>
          <cell r="N37">
            <v>30</v>
          </cell>
        </row>
        <row r="38">
          <cell r="B38" t="str">
            <v>Ne-Tu</v>
          </cell>
          <cell r="C38">
            <v>14</v>
          </cell>
          <cell r="D38">
            <v>150</v>
          </cell>
          <cell r="M38" t="str">
            <v>Tu</v>
          </cell>
          <cell r="N38">
            <v>0</v>
          </cell>
        </row>
        <row r="39">
          <cell r="B39" t="str">
            <v>Tu-Tu</v>
          </cell>
          <cell r="C39">
            <v>16</v>
          </cell>
          <cell r="D39">
            <v>200</v>
          </cell>
          <cell r="M39" t="str">
            <v>Mo</v>
          </cell>
          <cell r="N39">
            <v>10</v>
          </cell>
        </row>
        <row r="40">
          <cell r="B40" t="str">
            <v>Ne-Mo</v>
          </cell>
          <cell r="M40" t="str">
            <v>Ho</v>
          </cell>
          <cell r="N40">
            <v>210</v>
          </cell>
        </row>
        <row r="41">
          <cell r="B41" t="str">
            <v>Tu-Mo</v>
          </cell>
          <cell r="J41">
            <v>1</v>
          </cell>
        </row>
        <row r="42">
          <cell r="B42" t="str">
            <v>Mo-Mo</v>
          </cell>
        </row>
        <row r="43">
          <cell r="B43" t="str">
            <v>Ho-Ho</v>
          </cell>
        </row>
        <row r="44">
          <cell r="B44" t="str">
            <v>Ne-Ho</v>
          </cell>
        </row>
        <row r="85">
          <cell r="N85">
            <v>4</v>
          </cell>
        </row>
        <row r="86">
          <cell r="N86">
            <v>4.5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ot"/>
      <sheetName val="Dam"/>
      <sheetName val="save_info"/>
      <sheetName val="Kata-moi-27-02"/>
    </sheetNames>
    <sheetDataSet>
      <sheetData sheetId="0">
        <row r="2">
          <cell r="AJ2">
            <v>400</v>
          </cell>
        </row>
        <row r="6">
          <cell r="AJ6">
            <v>400</v>
          </cell>
        </row>
        <row r="21">
          <cell r="AJ21">
            <v>10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ot"/>
      <sheetName val="Dam"/>
      <sheetName val="save_info"/>
      <sheetName val="Kata-05-20"/>
    </sheetNames>
    <sheetDataSet>
      <sheetData sheetId="0">
        <row r="2">
          <cell r="AK2">
            <v>1200</v>
          </cell>
        </row>
        <row r="6">
          <cell r="AK6">
            <v>800</v>
          </cell>
        </row>
        <row r="21">
          <cell r="AK21">
            <v>25</v>
          </cell>
        </row>
      </sheetData>
      <sheetData sheetId="1"/>
      <sheetData sheetId="2"/>
      <sheetData sheetId="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DATA"/>
      <sheetName val="00000000"/>
      <sheetName val="10000000"/>
      <sheetName val="20000000"/>
      <sheetName val="30000000"/>
      <sheetName val="40000000"/>
      <sheetName val="STA"/>
      <sheetName val="COC"/>
      <sheetName val="MONG"/>
      <sheetName val="DAM"/>
      <sheetName val="COT-VACH"/>
      <sheetName val="TUONG VAY"/>
      <sheetName val="CKDB"/>
      <sheetName val="KCT"/>
      <sheetName val="KT"/>
      <sheetName val="BoQ KC"/>
    </sheetNames>
    <sheetDataSet>
      <sheetData sheetId="0">
        <row r="7">
          <cell r="D7">
            <v>7850</v>
          </cell>
        </row>
        <row r="8">
          <cell r="D8">
            <v>1</v>
          </cell>
        </row>
        <row r="9">
          <cell r="D9" t="str">
            <v>-</v>
          </cell>
        </row>
        <row r="15">
          <cell r="B15">
            <v>45</v>
          </cell>
        </row>
        <row r="16">
          <cell r="B16">
            <v>50</v>
          </cell>
        </row>
        <row r="25">
          <cell r="C25">
            <v>6</v>
          </cell>
          <cell r="D25">
            <v>210</v>
          </cell>
          <cell r="I25">
            <v>6</v>
          </cell>
          <cell r="J25">
            <v>210</v>
          </cell>
        </row>
        <row r="26">
          <cell r="C26">
            <v>8</v>
          </cell>
          <cell r="D26">
            <v>280</v>
          </cell>
          <cell r="I26">
            <v>8</v>
          </cell>
          <cell r="J26">
            <v>280</v>
          </cell>
        </row>
        <row r="27">
          <cell r="C27">
            <v>10</v>
          </cell>
          <cell r="D27">
            <v>350</v>
          </cell>
          <cell r="I27">
            <v>10</v>
          </cell>
          <cell r="J27">
            <v>350</v>
          </cell>
        </row>
        <row r="28">
          <cell r="C28">
            <v>12</v>
          </cell>
          <cell r="D28">
            <v>420</v>
          </cell>
          <cell r="I28">
            <v>12</v>
          </cell>
          <cell r="J28">
            <v>420</v>
          </cell>
        </row>
        <row r="29">
          <cell r="C29">
            <v>14</v>
          </cell>
          <cell r="D29">
            <v>490</v>
          </cell>
          <cell r="I29">
            <v>14</v>
          </cell>
          <cell r="J29">
            <v>490</v>
          </cell>
        </row>
        <row r="30">
          <cell r="C30">
            <v>16</v>
          </cell>
          <cell r="D30">
            <v>560</v>
          </cell>
          <cell r="I30">
            <v>16</v>
          </cell>
          <cell r="J30">
            <v>560</v>
          </cell>
        </row>
        <row r="31">
          <cell r="C31">
            <v>18</v>
          </cell>
          <cell r="D31">
            <v>630</v>
          </cell>
          <cell r="I31">
            <v>18</v>
          </cell>
          <cell r="J31">
            <v>630</v>
          </cell>
        </row>
        <row r="32">
          <cell r="C32">
            <v>20</v>
          </cell>
          <cell r="D32">
            <v>700</v>
          </cell>
          <cell r="I32">
            <v>20</v>
          </cell>
          <cell r="J32">
            <v>700</v>
          </cell>
        </row>
        <row r="33">
          <cell r="C33">
            <v>22</v>
          </cell>
          <cell r="D33">
            <v>770</v>
          </cell>
          <cell r="I33">
            <v>22</v>
          </cell>
          <cell r="J33">
            <v>770</v>
          </cell>
        </row>
        <row r="34">
          <cell r="C34">
            <v>25</v>
          </cell>
          <cell r="D34">
            <v>880</v>
          </cell>
          <cell r="I34">
            <v>25</v>
          </cell>
          <cell r="J34">
            <v>880</v>
          </cell>
        </row>
        <row r="35">
          <cell r="C35">
            <v>28</v>
          </cell>
          <cell r="D35">
            <v>980</v>
          </cell>
          <cell r="I35">
            <v>28</v>
          </cell>
          <cell r="J35">
            <v>980</v>
          </cell>
        </row>
        <row r="36">
          <cell r="C36">
            <v>32</v>
          </cell>
          <cell r="D36">
            <v>1120</v>
          </cell>
          <cell r="I36">
            <v>32</v>
          </cell>
          <cell r="J36">
            <v>1120</v>
          </cell>
        </row>
        <row r="37">
          <cell r="C37">
            <v>36</v>
          </cell>
          <cell r="D37">
            <v>1260</v>
          </cell>
          <cell r="I37">
            <v>36</v>
          </cell>
          <cell r="J37">
            <v>1260</v>
          </cell>
        </row>
        <row r="38">
          <cell r="C38">
            <v>40</v>
          </cell>
          <cell r="D38">
            <v>1400</v>
          </cell>
          <cell r="I38">
            <v>40</v>
          </cell>
          <cell r="J38">
            <v>1400</v>
          </cell>
        </row>
        <row r="40">
          <cell r="F40">
            <v>1</v>
          </cell>
        </row>
        <row r="45">
          <cell r="A45" t="str">
            <v>Ne</v>
          </cell>
          <cell r="C45" t="str">
            <v>BT</v>
          </cell>
          <cell r="E45" t="str">
            <v>CPV</v>
          </cell>
          <cell r="G45" t="str">
            <v>TS</v>
          </cell>
        </row>
        <row r="46">
          <cell r="A46" t="str">
            <v>Tu</v>
          </cell>
          <cell r="C46" t="str">
            <v>BTD</v>
          </cell>
          <cell r="E46" t="str">
            <v>CPS</v>
          </cell>
          <cell r="G46" t="str">
            <v>TC</v>
          </cell>
        </row>
        <row r="47">
          <cell r="A47" t="str">
            <v>Mo</v>
          </cell>
          <cell r="C47" t="str">
            <v>BTC</v>
          </cell>
          <cell r="E47" t="str">
            <v>CPD</v>
          </cell>
          <cell r="G47" t="str">
            <v>TD</v>
          </cell>
        </row>
        <row r="48">
          <cell r="A48" t="str">
            <v>Ho</v>
          </cell>
          <cell r="C48" t="str">
            <v>BTM(Vác góc)</v>
          </cell>
          <cell r="E48" t="str">
            <v>CPM</v>
          </cell>
          <cell r="G48" t="str">
            <v>CC</v>
          </cell>
        </row>
        <row r="49">
          <cell r="A49" t="str">
            <v>Hos</v>
          </cell>
          <cell r="C49" t="str">
            <v>BTV</v>
          </cell>
          <cell r="E49" t="str">
            <v>CPC</v>
          </cell>
          <cell r="G49" t="str">
            <v>TCT</v>
          </cell>
        </row>
        <row r="50">
          <cell r="A50" t="str">
            <v>R</v>
          </cell>
          <cell r="E50" t="str">
            <v>CPCS</v>
          </cell>
        </row>
        <row r="51">
          <cell r="A51" t="str">
            <v>U</v>
          </cell>
        </row>
        <row r="52">
          <cell r="A52" t="str">
            <v>O</v>
          </cell>
        </row>
        <row r="53">
          <cell r="A53" t="str">
            <v>xR</v>
          </cell>
        </row>
        <row r="54">
          <cell r="A54" t="str">
            <v>xU</v>
          </cell>
        </row>
        <row r="55">
          <cell r="A55" t="str">
            <v>Cv</v>
          </cell>
        </row>
        <row r="56">
          <cell r="A56" t="str">
            <v>Ch</v>
          </cell>
        </row>
        <row r="57">
          <cell r="A57" t="str">
            <v>La</v>
          </cell>
        </row>
        <row r="61">
          <cell r="E61">
            <v>0</v>
          </cell>
        </row>
        <row r="63">
          <cell r="E63">
            <v>100</v>
          </cell>
        </row>
        <row r="65">
          <cell r="E65">
            <v>100</v>
          </cell>
        </row>
        <row r="66">
          <cell r="E66">
            <v>500</v>
          </cell>
        </row>
        <row r="67">
          <cell r="E67">
            <v>300</v>
          </cell>
        </row>
        <row r="68">
          <cell r="E68">
            <v>1.3</v>
          </cell>
        </row>
        <row r="79">
          <cell r="E79">
            <v>0</v>
          </cell>
        </row>
        <row r="80">
          <cell r="E80">
            <v>1</v>
          </cell>
        </row>
        <row r="81">
          <cell r="E81">
            <v>0.25</v>
          </cell>
        </row>
        <row r="82">
          <cell r="E82">
            <v>10</v>
          </cell>
        </row>
        <row r="83">
          <cell r="E83">
            <v>0.25</v>
          </cell>
        </row>
        <row r="84">
          <cell r="E84">
            <v>0.16666666666666666</v>
          </cell>
        </row>
        <row r="89">
          <cell r="E89">
            <v>0.25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ONG HOP"/>
      <sheetName val="DIEN TICH"/>
      <sheetName val="HT HAM"/>
      <sheetName val="HT PODIUM"/>
      <sheetName val="HT VAN PHONG"/>
      <sheetName val="3. KC - PODIUM"/>
      <sheetName val="4. KC - THAP VP"/>
    </sheetNames>
    <sheetDataSet>
      <sheetData sheetId="0"/>
      <sheetData sheetId="1">
        <row r="41">
          <cell r="I41">
            <v>0</v>
          </cell>
        </row>
      </sheetData>
      <sheetData sheetId="2"/>
      <sheetData sheetId="3"/>
      <sheetData sheetId="4"/>
      <sheetData sheetId="5">
        <row r="530">
          <cell r="I530">
            <v>0</v>
          </cell>
        </row>
      </sheetData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9431FF-0A68-4C14-9178-E77C1A9657EB}" name="NhapLieu_AI_Table" displayName="NhapLieu_AI_Table" ref="B3:AR103">
  <tableColumns count="43">
    <tableColumn id="1" xr3:uid="{D2A13DF4-5AE7-4CA9-A9D8-04A2D2BB55DF}" name="Name"/>
    <tableColumn id="40" xr3:uid="{E18FC7DC-1D6F-4087-BD03-5913C8336473}" name="Span" dataDxfId="5"/>
    <tableColumn id="43" xr3:uid="{F7B038E8-CAB8-47E5-94E1-54BD371C74EA}" name="Width" dataDxfId="4" dataCellStyle="Normal 9"/>
    <tableColumn id="38" xr3:uid="{744C9D3E-4F90-4225-AAE3-CD7BD40C7DE7}" name="Height" dataDxfId="3" dataCellStyle="Normal 9"/>
    <tableColumn id="2" xr3:uid="{0F2CE220-EA6F-405A-9F8D-257AF2F02196}" name="T1.0"/>
    <tableColumn id="3" xr3:uid="{EC160AB5-C0A7-4A39-A3EA-166DFE1284A2}" name="T1.1"/>
    <tableColumn id="4" xr3:uid="{C9351F6A-54A0-40D3-8733-3CD06A64208F}" name="T1.2"/>
    <tableColumn id="5" xr3:uid="{7FD34BDF-85BA-4532-BF39-C218825D8520}" name="T1.3"/>
    <tableColumn id="6" xr3:uid="{16CC6C36-B31A-47CD-BC52-44D74A4BED55}" name="T2.0"/>
    <tableColumn id="7" xr3:uid="{4DC5FBF4-E9AB-4C58-9DC9-8258324DAF56}" name="T2.1"/>
    <tableColumn id="8" xr3:uid="{C543591E-306B-4245-A3B8-35DD7A155C60}" name="T2.2"/>
    <tableColumn id="9" xr3:uid="{7EA5F7BB-AE34-4B1B-BD99-549A3FBA2B42}" name="T2.3"/>
    <tableColumn id="10" xr3:uid="{CEE081C2-18B9-4B77-82E7-1C144A946D5E}" name="T3.0"/>
    <tableColumn id="11" xr3:uid="{CD490C67-8F5E-4E71-8CD0-C1DDB5EDE9B9}" name="T3.1"/>
    <tableColumn id="12" xr3:uid="{A84C1F5A-E51B-406E-8DC9-C2873E0C5EF1}" name="T3.2"/>
    <tableColumn id="13" xr3:uid="{BDF3B50C-C5A1-41B9-AC40-43AB4867A3E7}" name="T3.3"/>
    <tableColumn id="14" xr3:uid="{84FC6E64-C772-40B4-B941-9AEDEF5C800B}" name="B1.0"/>
    <tableColumn id="15" xr3:uid="{C89D2F98-4A6B-498A-8D8A-B484A7A27452}" name="B1.1"/>
    <tableColumn id="16" xr3:uid="{8C3AE367-77AB-4ADE-8BD8-F809144675A5}" name="B1.2"/>
    <tableColumn id="17" xr3:uid="{6C6A4EF4-0868-4820-BBB2-35333548F5E3}" name="B1.3"/>
    <tableColumn id="18" xr3:uid="{F7B29B1D-6E39-480E-9743-2965361C3868}" name="B2.0"/>
    <tableColumn id="19" xr3:uid="{4B743098-4110-44F7-B6E5-0C679A3BBA99}" name="B2.1"/>
    <tableColumn id="20" xr3:uid="{99AA1911-4348-4A53-96DC-AFE22007CA5E}" name="B2.2"/>
    <tableColumn id="21" xr3:uid="{E979DF18-980D-424A-8C3F-533242106DE6}" name="B2.3"/>
    <tableColumn id="22" xr3:uid="{3A536DE5-0592-4AA8-8480-C3D7A28321E1}" name="B3.0"/>
    <tableColumn id="23" xr3:uid="{C46E0D3E-7BD2-4F2D-B570-ADB278A3924C}" name="B3.1"/>
    <tableColumn id="24" xr3:uid="{9BD257BD-FB7B-4CCA-AD59-9BEED05B890E}" name="B3.2"/>
    <tableColumn id="25" xr3:uid="{B1AFA690-321B-46F6-A633-AB6904AA7FBA}" name="B3.3"/>
    <tableColumn id="26" xr3:uid="{6147C54D-4F04-4C24-91C9-9FE9BE5FE8E7}" name="DD"/>
    <tableColumn id="27" xr3:uid="{539346AF-E019-4B4C-9FAC-69A2CC079028}" name="S1"/>
    <tableColumn id="28" xr3:uid="{EF399888-F216-4793-98C5-1DD533C730E4}" name="S2"/>
    <tableColumn id="29" xr3:uid="{A4B39DF8-50D3-4FBA-8D43-72D66585BA3A}" name="S3"/>
    <tableColumn id="30" xr3:uid="{55D650A0-3639-4C8B-89BF-AF77C296A01F}" name="DDE"/>
    <tableColumn id="31" xr3:uid="{15BCAD6A-0947-471E-BE7C-32366F50970F}" name="S1E"/>
    <tableColumn id="32" xr3:uid="{1FF0D957-15D9-42EC-9940-4FE47DBAF4E1}" name="S2E"/>
    <tableColumn id="33" xr3:uid="{F5418405-1446-4647-B767-A32256A5E20B}" name="S3E"/>
    <tableColumn id="34" xr3:uid="{B1E949B6-C451-44D0-BEB0-801C0A76076D}" name="SE"/>
    <tableColumn id="35" xr3:uid="{561EDF78-D0BA-4B35-B46D-618842ED1D63}" name="SEC"/>
    <tableColumn id="39" xr3:uid="{8C2232A0-04C3-44CD-90AA-897A8F41EA52}" name="SEU" dataDxfId="2"/>
    <tableColumn id="36" xr3:uid="{17A918D2-450F-496D-BE36-7A69581DDBE0}" name="GIA"/>
    <tableColumn id="37" xr3:uid="{4D6AE1BC-A78E-4FF1-973E-9C32D02D6E9D}" name="DGIA"/>
    <tableColumn id="42" xr3:uid="{7C9C6C25-A388-4948-AF2A-47CA54912E03}" name="KE" dataDxfId="1" dataCellStyle="Normal 9"/>
    <tableColumn id="41" xr3:uid="{9A25CC45-9D1D-4400-AACD-8585B7488B53}" name="lap_xoan" dataDxfId="0" dataCellStyle="Normal 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13" Type="http://schemas.openxmlformats.org/officeDocument/2006/relationships/ctrlProp" Target="../ctrlProps/ctrlProp25.xml"/><Relationship Id="rId18" Type="http://schemas.openxmlformats.org/officeDocument/2006/relationships/ctrlProp" Target="../ctrlProps/ctrlProp30.xml"/><Relationship Id="rId26" Type="http://schemas.openxmlformats.org/officeDocument/2006/relationships/ctrlProp" Target="../ctrlProps/ctrlProp3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3.xml"/><Relationship Id="rId7" Type="http://schemas.openxmlformats.org/officeDocument/2006/relationships/ctrlProp" Target="../ctrlProps/ctrlProp19.xml"/><Relationship Id="rId12" Type="http://schemas.openxmlformats.org/officeDocument/2006/relationships/ctrlProp" Target="../ctrlProps/ctrlProp24.xml"/><Relationship Id="rId17" Type="http://schemas.openxmlformats.org/officeDocument/2006/relationships/ctrlProp" Target="../ctrlProps/ctrlProp29.xml"/><Relationship Id="rId25" Type="http://schemas.openxmlformats.org/officeDocument/2006/relationships/ctrlProp" Target="../ctrlProps/ctrlProp37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28.xml"/><Relationship Id="rId20" Type="http://schemas.openxmlformats.org/officeDocument/2006/relationships/ctrlProp" Target="../ctrlProps/ctrlProp3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24" Type="http://schemas.openxmlformats.org/officeDocument/2006/relationships/ctrlProp" Target="../ctrlProps/ctrlProp36.xml"/><Relationship Id="rId5" Type="http://schemas.openxmlformats.org/officeDocument/2006/relationships/ctrlProp" Target="../ctrlProps/ctrlProp17.xml"/><Relationship Id="rId15" Type="http://schemas.openxmlformats.org/officeDocument/2006/relationships/ctrlProp" Target="../ctrlProps/ctrlProp27.xml"/><Relationship Id="rId23" Type="http://schemas.openxmlformats.org/officeDocument/2006/relationships/ctrlProp" Target="../ctrlProps/ctrlProp35.xml"/><Relationship Id="rId10" Type="http://schemas.openxmlformats.org/officeDocument/2006/relationships/ctrlProp" Target="../ctrlProps/ctrlProp22.xml"/><Relationship Id="rId19" Type="http://schemas.openxmlformats.org/officeDocument/2006/relationships/ctrlProp" Target="../ctrlProps/ctrlProp31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Relationship Id="rId22" Type="http://schemas.openxmlformats.org/officeDocument/2006/relationships/ctrlProp" Target="../ctrlProps/ctrlProp34.xml"/><Relationship Id="rId27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8.xml"/><Relationship Id="rId7" Type="http://schemas.openxmlformats.org/officeDocument/2006/relationships/oleObject" Target="../embeddings/oleObject2.bin"/><Relationship Id="rId2" Type="http://schemas.openxmlformats.org/officeDocument/2006/relationships/printerSettings" Target="../printerSettings/printerSettings9.bin"/><Relationship Id="rId1" Type="http://schemas.openxmlformats.org/officeDocument/2006/relationships/externalLinkPath" Target="file:///D:\Data\Ban%20Tinh%20Tung%20goi\SDR%20_DD_CALCULATION\tinh%20dai%20coc\Tinh%20dai%20coc.xlsx" TargetMode="External"/><Relationship Id="rId6" Type="http://schemas.openxmlformats.org/officeDocument/2006/relationships/image" Target="../media/image2.emf"/><Relationship Id="rId5" Type="http://schemas.openxmlformats.org/officeDocument/2006/relationships/oleObject" Target="../embeddings/oleObject1.bin"/><Relationship Id="rId10" Type="http://schemas.openxmlformats.org/officeDocument/2006/relationships/image" Target="../media/image4.emf"/><Relationship Id="rId4" Type="http://schemas.openxmlformats.org/officeDocument/2006/relationships/vmlDrawing" Target="../drawings/vmlDrawing6.vml"/><Relationship Id="rId9" Type="http://schemas.openxmlformats.org/officeDocument/2006/relationships/oleObject" Target="../embeddings/oleObject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AV216"/>
  <sheetViews>
    <sheetView workbookViewId="0">
      <selection activeCell="F5" sqref="F5"/>
    </sheetView>
  </sheetViews>
  <sheetFormatPr defaultColWidth="9.140625" defaultRowHeight="12.75" outlineLevelCol="1"/>
  <cols>
    <col min="1" max="1" width="12.7109375" style="4" customWidth="1"/>
    <col min="2" max="2" width="10.7109375" style="28" customWidth="1"/>
    <col min="3" max="4" width="9.140625" style="12"/>
    <col min="5" max="8" width="9.140625" style="4"/>
    <col min="9" max="9" width="9.140625" style="4" customWidth="1"/>
    <col min="10" max="11" width="9.140625" style="4"/>
    <col min="12" max="13" width="11.5703125" style="4" customWidth="1" outlineLevel="1"/>
    <col min="14" max="14" width="9.140625" style="4" customWidth="1" outlineLevel="1"/>
    <col min="15" max="15" width="9.140625" style="153" customWidth="1" outlineLevel="1"/>
    <col min="16" max="16" width="9.140625" style="4" customWidth="1" outlineLevel="1"/>
    <col min="17" max="17" width="9.140625" style="153" customWidth="1" outlineLevel="1"/>
    <col min="18" max="27" width="9.140625" style="4"/>
    <col min="28" max="29" width="9.140625" style="27"/>
    <col min="30" max="30" width="9.140625" style="158"/>
    <col min="31" max="45" width="9.140625" style="8"/>
    <col min="46" max="47" width="9.140625" style="158"/>
    <col min="48" max="48" width="9.140625" style="27"/>
    <col min="49" max="16384" width="9.140625" style="4"/>
  </cols>
  <sheetData>
    <row r="1" spans="1:48">
      <c r="A1" s="1" t="s">
        <v>0</v>
      </c>
      <c r="B1" s="1"/>
      <c r="C1" s="2">
        <v>800</v>
      </c>
      <c r="D1" s="521" t="s">
        <v>161</v>
      </c>
      <c r="E1" s="522"/>
      <c r="F1" s="14">
        <v>675</v>
      </c>
      <c r="G1" s="3" t="s">
        <v>8</v>
      </c>
      <c r="H1" s="3" t="s">
        <v>9</v>
      </c>
      <c r="I1" s="3" t="s">
        <v>2</v>
      </c>
      <c r="J1" s="3" t="s">
        <v>4</v>
      </c>
      <c r="AN1" s="69" t="s">
        <v>92</v>
      </c>
      <c r="AO1" s="69" t="s">
        <v>94</v>
      </c>
      <c r="AP1" s="69" t="s">
        <v>97</v>
      </c>
      <c r="AQ1" s="69" t="s">
        <v>95</v>
      </c>
      <c r="AR1" s="69" t="s">
        <v>93</v>
      </c>
      <c r="AS1" s="69" t="s">
        <v>96</v>
      </c>
    </row>
    <row r="2" spans="1:48">
      <c r="A2" s="1" t="s">
        <v>5</v>
      </c>
      <c r="B2" s="1"/>
      <c r="C2" s="2">
        <v>200</v>
      </c>
      <c r="D2" s="514" t="s">
        <v>6</v>
      </c>
      <c r="E2" s="514"/>
      <c r="F2" s="6" t="s">
        <v>9</v>
      </c>
      <c r="G2" s="3" t="s">
        <v>7</v>
      </c>
      <c r="H2" s="3" t="s">
        <v>8</v>
      </c>
      <c r="I2" s="3" t="s">
        <v>9</v>
      </c>
      <c r="J2" s="3" t="s">
        <v>1</v>
      </c>
      <c r="AE2" s="68" t="s">
        <v>10</v>
      </c>
      <c r="AF2" s="68">
        <f>VLOOKUP($V$22,$A$10:$J$216,3,0)</f>
        <v>3000</v>
      </c>
      <c r="AG2" s="68" t="s">
        <v>11</v>
      </c>
      <c r="AH2" s="520" t="s">
        <v>12</v>
      </c>
      <c r="AI2" s="520"/>
      <c r="AJ2" s="520"/>
      <c r="AK2" s="520" t="s">
        <v>13</v>
      </c>
      <c r="AL2" s="520"/>
      <c r="AM2" s="520"/>
      <c r="AN2" s="520" t="s">
        <v>14</v>
      </c>
      <c r="AO2" s="520"/>
      <c r="AP2" s="520"/>
      <c r="AQ2" s="520" t="s">
        <v>15</v>
      </c>
      <c r="AR2" s="520"/>
      <c r="AS2" s="520"/>
    </row>
    <row r="3" spans="1:48">
      <c r="A3" s="9" t="s">
        <v>172</v>
      </c>
      <c r="B3" s="10"/>
      <c r="C3" s="11" t="s">
        <v>163</v>
      </c>
      <c r="D3" s="514" t="s">
        <v>16</v>
      </c>
      <c r="E3" s="514"/>
      <c r="F3" s="6" t="s">
        <v>7</v>
      </c>
      <c r="G3" s="7"/>
      <c r="H3" s="5" t="b">
        <v>0</v>
      </c>
      <c r="I3" s="5" t="b">
        <v>0</v>
      </c>
      <c r="J3" s="7">
        <v>2</v>
      </c>
      <c r="K3" s="5" t="b">
        <v>1</v>
      </c>
      <c r="AE3" s="8">
        <f>IF(F1&gt;100,F1,F1*AF2)</f>
        <v>675</v>
      </c>
      <c r="AF3" s="8">
        <f>AF2-2*AE3</f>
        <v>1650</v>
      </c>
      <c r="AG3" s="68">
        <v>1</v>
      </c>
      <c r="AH3" s="8">
        <f>$AE$17+50</f>
        <v>-1450</v>
      </c>
      <c r="AI3" s="8">
        <f>$AF$17+50</f>
        <v>-250</v>
      </c>
      <c r="AJ3" s="8">
        <f>-$AI$3</f>
        <v>250</v>
      </c>
      <c r="AK3" s="8">
        <f>$AE$17+50</f>
        <v>-1450</v>
      </c>
      <c r="AL3" s="8">
        <f>$AF$17+50</f>
        <v>-250</v>
      </c>
      <c r="AM3" s="8">
        <f>-$AK$3</f>
        <v>1450</v>
      </c>
      <c r="AN3" s="8">
        <f>-AF3/2+AF10</f>
        <v>-687.5</v>
      </c>
      <c r="AO3" s="8">
        <f>$AI$3</f>
        <v>-250</v>
      </c>
      <c r="AP3" s="8">
        <f>-$AO$3</f>
        <v>250</v>
      </c>
      <c r="AQ3" s="8">
        <f>-AF3/2</f>
        <v>-825</v>
      </c>
      <c r="AR3" s="8">
        <f>AL3</f>
        <v>-250</v>
      </c>
      <c r="AS3" s="8">
        <f>-$AQ$3</f>
        <v>825</v>
      </c>
    </row>
    <row r="4" spans="1:48">
      <c r="A4" s="515" t="s">
        <v>19</v>
      </c>
      <c r="B4" s="516"/>
      <c r="C4" s="14">
        <v>1</v>
      </c>
      <c r="D4" s="517" t="s">
        <v>101</v>
      </c>
      <c r="E4" s="518"/>
      <c r="F4" s="14" t="s">
        <v>231</v>
      </c>
      <c r="G4" s="105" t="s">
        <v>105</v>
      </c>
      <c r="H4" s="519" t="s">
        <v>113</v>
      </c>
      <c r="I4" s="519"/>
      <c r="AE4" s="68" t="s">
        <v>173</v>
      </c>
      <c r="AF4" s="68" t="s">
        <v>174</v>
      </c>
      <c r="AG4" s="68">
        <v>2</v>
      </c>
      <c r="AH4" s="8">
        <f t="shared" ref="AH4:AH27" si="0">IF(AG4&gt;$AE$5,AH3,AH3+$AF$9)</f>
        <v>-1345.8333333333333</v>
      </c>
      <c r="AI4" s="8">
        <f>$AI$3</f>
        <v>-250</v>
      </c>
      <c r="AJ4" s="8">
        <f>-$AI$3</f>
        <v>250</v>
      </c>
      <c r="AK4" s="8">
        <f>$AK$3</f>
        <v>-1450</v>
      </c>
      <c r="AL4" s="8">
        <f t="shared" ref="AL4:AL35" si="1">IF(AG4&gt;$AE$8,AL3,AL3+$AF$11)</f>
        <v>-166.66666666666669</v>
      </c>
      <c r="AM4" s="8">
        <f>-$AK$3</f>
        <v>1450</v>
      </c>
      <c r="AN4" s="8">
        <f>IF(AG4&gt;$AF$5,AN3,AN3+$AF$10)</f>
        <v>-550</v>
      </c>
      <c r="AO4" s="8">
        <f>$AI$3</f>
        <v>-250</v>
      </c>
      <c r="AP4" s="8">
        <f>-$AO$3</f>
        <v>250</v>
      </c>
      <c r="AQ4" s="8">
        <f>$AQ$3</f>
        <v>-825</v>
      </c>
      <c r="AR4" s="8">
        <f>IF(AG4&gt;$AF$8,AR3,AR3+$AF$12)</f>
        <v>-166.66666666666669</v>
      </c>
      <c r="AS4" s="8">
        <f>-$AQ$3</f>
        <v>825</v>
      </c>
    </row>
    <row r="5" spans="1:48">
      <c r="A5" s="515" t="s">
        <v>24</v>
      </c>
      <c r="B5" s="516"/>
      <c r="C5" s="15">
        <v>-5.5</v>
      </c>
      <c r="D5" s="517" t="s">
        <v>151</v>
      </c>
      <c r="E5" s="518"/>
      <c r="F5" s="14">
        <v>15</v>
      </c>
      <c r="G5" s="50" t="s">
        <v>115</v>
      </c>
      <c r="H5" s="519" t="s">
        <v>117</v>
      </c>
      <c r="I5" s="519"/>
      <c r="AE5" s="68">
        <f>VLOOKUP($V$22,$A$10:$J$216,5,0)</f>
        <v>7</v>
      </c>
      <c r="AF5" s="68">
        <f>VLOOKUP($V$22,$A$10:$J$216,6,0)</f>
        <v>11</v>
      </c>
      <c r="AG5" s="68">
        <v>3</v>
      </c>
      <c r="AH5" s="8">
        <f t="shared" si="0"/>
        <v>-1241.6666666666665</v>
      </c>
      <c r="AI5" s="8">
        <f t="shared" ref="AI5:AI52" si="2">$AI$3</f>
        <v>-250</v>
      </c>
      <c r="AJ5" s="8">
        <f t="shared" ref="AJ5:AJ52" si="3">-$AI$3</f>
        <v>250</v>
      </c>
      <c r="AK5" s="8">
        <f t="shared" ref="AK5:AK52" si="4">$AK$3</f>
        <v>-1450</v>
      </c>
      <c r="AL5" s="8">
        <f t="shared" si="1"/>
        <v>-83.333333333333357</v>
      </c>
      <c r="AM5" s="8">
        <f t="shared" ref="AM5:AM52" si="5">-$AK$3</f>
        <v>1450</v>
      </c>
      <c r="AN5" s="8">
        <f t="shared" ref="AN5:AN52" si="6">IF(AG5&gt;$AF$5,AN4,AN4+$AF$10)</f>
        <v>-412.5</v>
      </c>
      <c r="AO5" s="8">
        <f t="shared" ref="AO5:AO52" si="7">$AI$3</f>
        <v>-250</v>
      </c>
      <c r="AP5" s="8">
        <f t="shared" ref="AP5:AP52" si="8">-$AO$3</f>
        <v>250</v>
      </c>
      <c r="AQ5" s="8">
        <f t="shared" ref="AQ5:AQ52" si="9">$AQ$3</f>
        <v>-825</v>
      </c>
      <c r="AR5" s="8">
        <f t="shared" ref="AR5:AR52" si="10">IF(AG5&gt;$AF$8,AR4,AR4+$AF$12)</f>
        <v>-83.333333333333357</v>
      </c>
      <c r="AS5" s="8">
        <f t="shared" ref="AS5:AS52" si="11">-$AQ$3</f>
        <v>825</v>
      </c>
    </row>
    <row r="6" spans="1:48">
      <c r="A6" s="506"/>
      <c r="B6" s="507"/>
      <c r="C6" s="507"/>
      <c r="D6" s="507"/>
      <c r="E6" s="507"/>
      <c r="F6" s="507"/>
      <c r="G6" s="507"/>
      <c r="H6" s="507"/>
      <c r="I6" s="507"/>
      <c r="J6" s="507"/>
      <c r="K6" s="507"/>
      <c r="AE6" s="68" t="s">
        <v>20</v>
      </c>
      <c r="AF6" s="68">
        <f>VLOOKUP($V$22,$A$10:$J$216,4,0)</f>
        <v>600</v>
      </c>
      <c r="AG6" s="68">
        <v>4</v>
      </c>
      <c r="AH6" s="8">
        <f t="shared" si="0"/>
        <v>-1137.4999999999998</v>
      </c>
      <c r="AI6" s="8">
        <f t="shared" si="2"/>
        <v>-250</v>
      </c>
      <c r="AJ6" s="8">
        <f t="shared" si="3"/>
        <v>250</v>
      </c>
      <c r="AK6" s="8">
        <f t="shared" si="4"/>
        <v>-1450</v>
      </c>
      <c r="AL6" s="8">
        <f t="shared" si="1"/>
        <v>-2.8421709430404007E-14</v>
      </c>
      <c r="AM6" s="8">
        <f t="shared" si="5"/>
        <v>1450</v>
      </c>
      <c r="AN6" s="8">
        <f t="shared" si="6"/>
        <v>-275</v>
      </c>
      <c r="AO6" s="8">
        <f t="shared" si="7"/>
        <v>-250</v>
      </c>
      <c r="AP6" s="8">
        <f t="shared" si="8"/>
        <v>250</v>
      </c>
      <c r="AQ6" s="8">
        <f t="shared" si="9"/>
        <v>-825</v>
      </c>
      <c r="AR6" s="8">
        <f t="shared" si="10"/>
        <v>-2.8421709430404007E-14</v>
      </c>
      <c r="AS6" s="8">
        <f t="shared" si="11"/>
        <v>825</v>
      </c>
    </row>
    <row r="7" spans="1:48" ht="12.75" customHeight="1">
      <c r="A7" s="508" t="s">
        <v>26</v>
      </c>
      <c r="B7" s="16" t="s">
        <v>27</v>
      </c>
      <c r="C7" s="510" t="s">
        <v>167</v>
      </c>
      <c r="D7" s="511"/>
      <c r="E7" s="512" t="s">
        <v>28</v>
      </c>
      <c r="F7" s="512"/>
      <c r="G7" s="512"/>
      <c r="H7" s="512"/>
      <c r="I7" s="513" t="s">
        <v>29</v>
      </c>
      <c r="J7" s="513" t="s">
        <v>30</v>
      </c>
      <c r="K7" s="513" t="s">
        <v>31</v>
      </c>
      <c r="L7" s="500" t="s">
        <v>166</v>
      </c>
      <c r="M7" s="501"/>
      <c r="N7" s="501"/>
      <c r="O7" s="501"/>
      <c r="P7" s="501"/>
      <c r="Q7" s="502"/>
      <c r="AE7" s="68" t="s">
        <v>17</v>
      </c>
      <c r="AF7" s="68" t="s">
        <v>18</v>
      </c>
      <c r="AG7" s="68">
        <v>5</v>
      </c>
      <c r="AH7" s="8">
        <f t="shared" si="0"/>
        <v>-1033.333333333333</v>
      </c>
      <c r="AI7" s="8">
        <f t="shared" si="2"/>
        <v>-250</v>
      </c>
      <c r="AJ7" s="8">
        <f t="shared" si="3"/>
        <v>250</v>
      </c>
      <c r="AK7" s="8">
        <f t="shared" si="4"/>
        <v>-1450</v>
      </c>
      <c r="AL7" s="8">
        <f t="shared" si="1"/>
        <v>83.3333333333333</v>
      </c>
      <c r="AM7" s="8">
        <f t="shared" si="5"/>
        <v>1450</v>
      </c>
      <c r="AN7" s="8">
        <f t="shared" si="6"/>
        <v>-137.5</v>
      </c>
      <c r="AO7" s="8">
        <f t="shared" si="7"/>
        <v>-250</v>
      </c>
      <c r="AP7" s="8">
        <f t="shared" si="8"/>
        <v>250</v>
      </c>
      <c r="AQ7" s="8">
        <f t="shared" si="9"/>
        <v>-825</v>
      </c>
      <c r="AR7" s="8">
        <f t="shared" si="10"/>
        <v>83.3333333333333</v>
      </c>
      <c r="AS7" s="8">
        <f t="shared" si="11"/>
        <v>825</v>
      </c>
    </row>
    <row r="8" spans="1:48">
      <c r="A8" s="509"/>
      <c r="B8" s="18" t="s">
        <v>33</v>
      </c>
      <c r="C8" s="19" t="s">
        <v>168</v>
      </c>
      <c r="D8" s="19" t="s">
        <v>169</v>
      </c>
      <c r="E8" s="503" t="s">
        <v>168</v>
      </c>
      <c r="F8" s="503"/>
      <c r="G8" s="503" t="s">
        <v>169</v>
      </c>
      <c r="H8" s="503"/>
      <c r="I8" s="513"/>
      <c r="J8" s="513"/>
      <c r="K8" s="513"/>
      <c r="L8" s="156" t="s">
        <v>105</v>
      </c>
      <c r="M8" s="157" t="s">
        <v>165</v>
      </c>
      <c r="N8" s="504" t="s">
        <v>108</v>
      </c>
      <c r="O8" s="505"/>
      <c r="P8" s="504" t="s">
        <v>109</v>
      </c>
      <c r="Q8" s="505"/>
      <c r="AE8" s="68">
        <f>VLOOKUP($V$22,$A$10:$J$216,7,0)</f>
        <v>7</v>
      </c>
      <c r="AF8" s="68">
        <f>VLOOKUP($V$22,$A$10:$J$216,8,0)</f>
        <v>7</v>
      </c>
      <c r="AG8" s="68">
        <v>6</v>
      </c>
      <c r="AH8" s="8">
        <f t="shared" si="0"/>
        <v>-929.1666666666664</v>
      </c>
      <c r="AI8" s="8">
        <f t="shared" si="2"/>
        <v>-250</v>
      </c>
      <c r="AJ8" s="8">
        <f t="shared" si="3"/>
        <v>250</v>
      </c>
      <c r="AK8" s="8">
        <f t="shared" si="4"/>
        <v>-1450</v>
      </c>
      <c r="AL8" s="8">
        <f t="shared" si="1"/>
        <v>166.66666666666663</v>
      </c>
      <c r="AM8" s="8">
        <f t="shared" si="5"/>
        <v>1450</v>
      </c>
      <c r="AN8" s="8">
        <f t="shared" si="6"/>
        <v>0</v>
      </c>
      <c r="AO8" s="8">
        <f t="shared" si="7"/>
        <v>-250</v>
      </c>
      <c r="AP8" s="8">
        <f t="shared" si="8"/>
        <v>250</v>
      </c>
      <c r="AQ8" s="8">
        <f t="shared" si="9"/>
        <v>-825</v>
      </c>
      <c r="AR8" s="8">
        <f t="shared" si="10"/>
        <v>166.66666666666663</v>
      </c>
      <c r="AS8" s="8">
        <f t="shared" si="11"/>
        <v>825</v>
      </c>
    </row>
    <row r="9" spans="1:48" ht="15" customHeight="1">
      <c r="A9" s="20" t="s">
        <v>23</v>
      </c>
      <c r="B9" s="15">
        <v>1.5</v>
      </c>
      <c r="C9" s="19" t="s">
        <v>35</v>
      </c>
      <c r="D9" s="19" t="s">
        <v>35</v>
      </c>
      <c r="E9" s="21" t="s">
        <v>170</v>
      </c>
      <c r="F9" s="21" t="s">
        <v>171</v>
      </c>
      <c r="G9" s="21" t="s">
        <v>17</v>
      </c>
      <c r="H9" s="21" t="s">
        <v>18</v>
      </c>
      <c r="I9" s="19" t="s">
        <v>35</v>
      </c>
      <c r="J9" s="19" t="s">
        <v>35</v>
      </c>
      <c r="K9" s="19" t="s">
        <v>35</v>
      </c>
      <c r="L9" s="19" t="s">
        <v>110</v>
      </c>
      <c r="M9" s="19" t="s">
        <v>110</v>
      </c>
      <c r="N9" s="19" t="s">
        <v>110</v>
      </c>
      <c r="O9" s="154" t="s">
        <v>112</v>
      </c>
      <c r="P9" s="19" t="s">
        <v>110</v>
      </c>
      <c r="Q9" s="154" t="s">
        <v>112</v>
      </c>
      <c r="AE9" s="68" t="s">
        <v>175</v>
      </c>
      <c r="AF9" s="68">
        <f>(AE3-50)/(AE5-1)</f>
        <v>104.16666666666667</v>
      </c>
      <c r="AG9" s="68">
        <v>7</v>
      </c>
      <c r="AH9" s="8">
        <f t="shared" si="0"/>
        <v>-824.99999999999977</v>
      </c>
      <c r="AI9" s="8">
        <f t="shared" si="2"/>
        <v>-250</v>
      </c>
      <c r="AJ9" s="8">
        <f t="shared" si="3"/>
        <v>250</v>
      </c>
      <c r="AK9" s="8">
        <f t="shared" si="4"/>
        <v>-1450</v>
      </c>
      <c r="AL9" s="8">
        <f t="shared" si="1"/>
        <v>249.99999999999994</v>
      </c>
      <c r="AM9" s="8">
        <f t="shared" si="5"/>
        <v>1450</v>
      </c>
      <c r="AN9" s="8">
        <f t="shared" si="6"/>
        <v>137.5</v>
      </c>
      <c r="AO9" s="8">
        <f t="shared" si="7"/>
        <v>-250</v>
      </c>
      <c r="AP9" s="8">
        <f t="shared" si="8"/>
        <v>250</v>
      </c>
      <c r="AQ9" s="8">
        <f t="shared" si="9"/>
        <v>-825</v>
      </c>
      <c r="AR9" s="8">
        <f t="shared" si="10"/>
        <v>249.99999999999994</v>
      </c>
      <c r="AS9" s="8">
        <f t="shared" si="11"/>
        <v>825</v>
      </c>
    </row>
    <row r="10" spans="1:48" ht="15.75">
      <c r="A10" s="23" t="s">
        <v>36</v>
      </c>
      <c r="B10" s="24">
        <v>3</v>
      </c>
      <c r="C10" s="14">
        <v>3000</v>
      </c>
      <c r="D10" s="14">
        <v>600</v>
      </c>
      <c r="E10" s="25">
        <v>7</v>
      </c>
      <c r="F10" s="25">
        <v>11</v>
      </c>
      <c r="G10" s="25">
        <v>7</v>
      </c>
      <c r="H10" s="14">
        <v>7</v>
      </c>
      <c r="I10" s="14">
        <v>25</v>
      </c>
      <c r="J10" s="14"/>
      <c r="K10" s="14">
        <v>600</v>
      </c>
      <c r="L10" s="14" t="s">
        <v>113</v>
      </c>
      <c r="M10" s="14" t="s">
        <v>113</v>
      </c>
      <c r="N10" s="14" t="s">
        <v>114</v>
      </c>
      <c r="O10" s="155" t="s">
        <v>162</v>
      </c>
      <c r="P10" s="14" t="s">
        <v>114</v>
      </c>
      <c r="Q10" s="155" t="s">
        <v>152</v>
      </c>
      <c r="AE10" s="68" t="s">
        <v>176</v>
      </c>
      <c r="AF10" s="161">
        <f>AF3/(AF5+1)</f>
        <v>137.5</v>
      </c>
      <c r="AG10" s="68">
        <v>8</v>
      </c>
      <c r="AH10" s="8">
        <f t="shared" si="0"/>
        <v>-824.99999999999977</v>
      </c>
      <c r="AI10" s="8">
        <f t="shared" si="2"/>
        <v>-250</v>
      </c>
      <c r="AJ10" s="8">
        <f t="shared" si="3"/>
        <v>250</v>
      </c>
      <c r="AK10" s="8">
        <f t="shared" si="4"/>
        <v>-1450</v>
      </c>
      <c r="AL10" s="8">
        <f t="shared" si="1"/>
        <v>249.99999999999994</v>
      </c>
      <c r="AM10" s="8">
        <f t="shared" si="5"/>
        <v>1450</v>
      </c>
      <c r="AN10" s="8">
        <f t="shared" si="6"/>
        <v>275</v>
      </c>
      <c r="AO10" s="8">
        <f t="shared" si="7"/>
        <v>-250</v>
      </c>
      <c r="AP10" s="8">
        <f t="shared" si="8"/>
        <v>250</v>
      </c>
      <c r="AQ10" s="8">
        <f t="shared" si="9"/>
        <v>-825</v>
      </c>
      <c r="AR10" s="8">
        <f t="shared" si="10"/>
        <v>249.99999999999994</v>
      </c>
      <c r="AS10" s="8">
        <f t="shared" si="11"/>
        <v>825</v>
      </c>
    </row>
    <row r="11" spans="1:48" s="17" customFormat="1" ht="15" customHeight="1">
      <c r="A11" s="23" t="s">
        <v>37</v>
      </c>
      <c r="B11" s="24">
        <v>3.5</v>
      </c>
      <c r="C11" s="14">
        <v>3000</v>
      </c>
      <c r="D11" s="14">
        <v>600</v>
      </c>
      <c r="E11" s="25">
        <v>7</v>
      </c>
      <c r="F11" s="25">
        <v>11</v>
      </c>
      <c r="G11" s="25">
        <v>7</v>
      </c>
      <c r="H11" s="25">
        <v>7</v>
      </c>
      <c r="I11" s="14">
        <v>25</v>
      </c>
      <c r="J11" s="14"/>
      <c r="K11" s="14">
        <v>600</v>
      </c>
      <c r="L11" s="14" t="s">
        <v>113</v>
      </c>
      <c r="M11" s="14" t="s">
        <v>113</v>
      </c>
      <c r="N11" s="14" t="s">
        <v>114</v>
      </c>
      <c r="O11" s="155" t="s">
        <v>162</v>
      </c>
      <c r="P11" s="14" t="s">
        <v>114</v>
      </c>
      <c r="Q11" s="155" t="s">
        <v>152</v>
      </c>
      <c r="AB11" s="66"/>
      <c r="AC11" s="66"/>
      <c r="AD11" s="159"/>
      <c r="AE11" s="68" t="s">
        <v>32</v>
      </c>
      <c r="AF11" s="68">
        <f>(AF6-100)/(AE8-1)</f>
        <v>83.333333333333329</v>
      </c>
      <c r="AG11" s="68">
        <v>9</v>
      </c>
      <c r="AH11" s="8">
        <f t="shared" si="0"/>
        <v>-824.99999999999977</v>
      </c>
      <c r="AI11" s="8">
        <f t="shared" si="2"/>
        <v>-250</v>
      </c>
      <c r="AJ11" s="8">
        <f t="shared" si="3"/>
        <v>250</v>
      </c>
      <c r="AK11" s="8">
        <f t="shared" si="4"/>
        <v>-1450</v>
      </c>
      <c r="AL11" s="8">
        <f t="shared" si="1"/>
        <v>249.99999999999994</v>
      </c>
      <c r="AM11" s="8">
        <f t="shared" si="5"/>
        <v>1450</v>
      </c>
      <c r="AN11" s="8">
        <f t="shared" si="6"/>
        <v>412.5</v>
      </c>
      <c r="AO11" s="8">
        <f t="shared" si="7"/>
        <v>-250</v>
      </c>
      <c r="AP11" s="8">
        <f t="shared" si="8"/>
        <v>250</v>
      </c>
      <c r="AQ11" s="8">
        <f t="shared" si="9"/>
        <v>-825</v>
      </c>
      <c r="AR11" s="8">
        <f t="shared" si="10"/>
        <v>249.99999999999994</v>
      </c>
      <c r="AS11" s="8">
        <f t="shared" si="11"/>
        <v>825</v>
      </c>
      <c r="AT11" s="159"/>
      <c r="AU11" s="159"/>
      <c r="AV11" s="66"/>
    </row>
    <row r="12" spans="1:48" s="12" customFormat="1" ht="14.25" customHeight="1">
      <c r="A12" s="23" t="s">
        <v>39</v>
      </c>
      <c r="B12" s="24">
        <v>3.9</v>
      </c>
      <c r="C12" s="14">
        <v>3000</v>
      </c>
      <c r="D12" s="14">
        <v>600</v>
      </c>
      <c r="E12" s="25">
        <v>7</v>
      </c>
      <c r="F12" s="25">
        <v>11</v>
      </c>
      <c r="G12" s="25">
        <v>7</v>
      </c>
      <c r="H12" s="25">
        <v>7</v>
      </c>
      <c r="I12" s="14" t="s">
        <v>149</v>
      </c>
      <c r="J12" s="14"/>
      <c r="K12" s="14">
        <v>400</v>
      </c>
      <c r="L12" s="14" t="s">
        <v>113</v>
      </c>
      <c r="M12" s="14" t="s">
        <v>113</v>
      </c>
      <c r="N12" s="14" t="s">
        <v>114</v>
      </c>
      <c r="O12" s="155" t="s">
        <v>162</v>
      </c>
      <c r="P12" s="14" t="s">
        <v>114</v>
      </c>
      <c r="Q12" s="155" t="s">
        <v>152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27"/>
      <c r="AC12" s="27"/>
      <c r="AD12" s="158"/>
      <c r="AE12" s="162" t="s">
        <v>32</v>
      </c>
      <c r="AF12" s="162">
        <f>(AF6-100)/(AF8-1)</f>
        <v>83.333333333333329</v>
      </c>
      <c r="AG12" s="68">
        <v>10</v>
      </c>
      <c r="AH12" s="8">
        <f t="shared" si="0"/>
        <v>-824.99999999999977</v>
      </c>
      <c r="AI12" s="8">
        <f t="shared" si="2"/>
        <v>-250</v>
      </c>
      <c r="AJ12" s="8">
        <f t="shared" si="3"/>
        <v>250</v>
      </c>
      <c r="AK12" s="8">
        <f t="shared" si="4"/>
        <v>-1450</v>
      </c>
      <c r="AL12" s="8">
        <f t="shared" si="1"/>
        <v>249.99999999999994</v>
      </c>
      <c r="AM12" s="8">
        <f t="shared" si="5"/>
        <v>1450</v>
      </c>
      <c r="AN12" s="8">
        <f t="shared" si="6"/>
        <v>550</v>
      </c>
      <c r="AO12" s="8">
        <f t="shared" si="7"/>
        <v>-250</v>
      </c>
      <c r="AP12" s="8">
        <f t="shared" si="8"/>
        <v>250</v>
      </c>
      <c r="AQ12" s="8">
        <f t="shared" si="9"/>
        <v>-825</v>
      </c>
      <c r="AR12" s="8">
        <f t="shared" si="10"/>
        <v>249.99999999999994</v>
      </c>
      <c r="AS12" s="8">
        <f t="shared" si="11"/>
        <v>825</v>
      </c>
      <c r="AT12" s="118"/>
      <c r="AU12" s="118"/>
      <c r="AV12" s="59"/>
    </row>
    <row r="13" spans="1:48" s="12" customFormat="1" ht="15.75">
      <c r="A13" s="23" t="s">
        <v>40</v>
      </c>
      <c r="B13" s="24">
        <v>4.5999999999999996</v>
      </c>
      <c r="C13" s="14">
        <v>3000</v>
      </c>
      <c r="D13" s="14">
        <v>600</v>
      </c>
      <c r="E13" s="25">
        <v>7</v>
      </c>
      <c r="F13" s="25">
        <v>11</v>
      </c>
      <c r="G13" s="25">
        <v>7</v>
      </c>
      <c r="H13" s="25">
        <v>7</v>
      </c>
      <c r="I13" s="14">
        <v>20</v>
      </c>
      <c r="J13" s="14"/>
      <c r="K13" s="14">
        <v>400</v>
      </c>
      <c r="L13" s="14" t="s">
        <v>113</v>
      </c>
      <c r="M13" s="14" t="s">
        <v>113</v>
      </c>
      <c r="N13" s="14" t="s">
        <v>114</v>
      </c>
      <c r="O13" s="155" t="s">
        <v>162</v>
      </c>
      <c r="P13" s="14" t="s">
        <v>114</v>
      </c>
      <c r="Q13" s="155" t="s">
        <v>152</v>
      </c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67"/>
      <c r="AC13" s="67"/>
      <c r="AD13" s="160"/>
      <c r="AE13" s="68" t="s">
        <v>34</v>
      </c>
      <c r="AF13" s="68"/>
      <c r="AG13" s="68">
        <v>11</v>
      </c>
      <c r="AH13" s="8">
        <f t="shared" si="0"/>
        <v>-824.99999999999977</v>
      </c>
      <c r="AI13" s="8">
        <f t="shared" si="2"/>
        <v>-250</v>
      </c>
      <c r="AJ13" s="8">
        <f t="shared" si="3"/>
        <v>250</v>
      </c>
      <c r="AK13" s="8">
        <f t="shared" si="4"/>
        <v>-1450</v>
      </c>
      <c r="AL13" s="8">
        <f t="shared" si="1"/>
        <v>249.99999999999994</v>
      </c>
      <c r="AM13" s="8">
        <f t="shared" si="5"/>
        <v>1450</v>
      </c>
      <c r="AN13" s="8">
        <f t="shared" si="6"/>
        <v>687.5</v>
      </c>
      <c r="AO13" s="8">
        <f t="shared" si="7"/>
        <v>-250</v>
      </c>
      <c r="AP13" s="8">
        <f t="shared" si="8"/>
        <v>250</v>
      </c>
      <c r="AQ13" s="8">
        <f t="shared" si="9"/>
        <v>-825</v>
      </c>
      <c r="AR13" s="8">
        <f t="shared" si="10"/>
        <v>249.99999999999994</v>
      </c>
      <c r="AS13" s="8">
        <f t="shared" si="11"/>
        <v>825</v>
      </c>
      <c r="AT13" s="118"/>
      <c r="AU13" s="118"/>
      <c r="AV13" s="59"/>
    </row>
    <row r="14" spans="1:48" ht="15.75">
      <c r="A14" s="23" t="s">
        <v>41</v>
      </c>
      <c r="B14" s="24">
        <v>3.3</v>
      </c>
      <c r="C14" s="14">
        <v>3000</v>
      </c>
      <c r="D14" s="14">
        <v>600</v>
      </c>
      <c r="E14" s="25">
        <v>7</v>
      </c>
      <c r="F14" s="25">
        <v>11</v>
      </c>
      <c r="G14" s="25">
        <v>7</v>
      </c>
      <c r="H14" s="25">
        <v>7</v>
      </c>
      <c r="I14" s="14">
        <v>20</v>
      </c>
      <c r="J14" s="14"/>
      <c r="K14" s="14">
        <v>600</v>
      </c>
      <c r="L14" s="14" t="s">
        <v>113</v>
      </c>
      <c r="M14" s="14" t="s">
        <v>113</v>
      </c>
      <c r="N14" s="14" t="s">
        <v>114</v>
      </c>
      <c r="O14" s="155" t="s">
        <v>162</v>
      </c>
      <c r="P14" s="14" t="s">
        <v>114</v>
      </c>
      <c r="Q14" s="155" t="s">
        <v>152</v>
      </c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67"/>
      <c r="AC14" s="67"/>
      <c r="AD14" s="160"/>
      <c r="AE14" s="68">
        <f>ROUND(MAX(AF2,AF6)/250+0.499,0)*125</f>
        <v>1500</v>
      </c>
      <c r="AF14" s="68">
        <f>AE14</f>
        <v>1500</v>
      </c>
      <c r="AG14" s="68">
        <v>12</v>
      </c>
      <c r="AH14" s="8">
        <f t="shared" si="0"/>
        <v>-824.99999999999977</v>
      </c>
      <c r="AI14" s="8">
        <f t="shared" si="2"/>
        <v>-250</v>
      </c>
      <c r="AJ14" s="8">
        <f t="shared" si="3"/>
        <v>250</v>
      </c>
      <c r="AK14" s="8">
        <f t="shared" si="4"/>
        <v>-1450</v>
      </c>
      <c r="AL14" s="8">
        <f t="shared" si="1"/>
        <v>249.99999999999994</v>
      </c>
      <c r="AM14" s="8">
        <f t="shared" si="5"/>
        <v>1450</v>
      </c>
      <c r="AN14" s="8">
        <f t="shared" si="6"/>
        <v>687.5</v>
      </c>
      <c r="AO14" s="8">
        <f t="shared" si="7"/>
        <v>-250</v>
      </c>
      <c r="AP14" s="8">
        <f t="shared" si="8"/>
        <v>250</v>
      </c>
      <c r="AQ14" s="8">
        <f t="shared" si="9"/>
        <v>-825</v>
      </c>
      <c r="AR14" s="8">
        <f t="shared" si="10"/>
        <v>249.99999999999994</v>
      </c>
      <c r="AS14" s="8">
        <f t="shared" si="11"/>
        <v>825</v>
      </c>
    </row>
    <row r="15" spans="1:48" ht="15.75">
      <c r="A15" s="23" t="s">
        <v>42</v>
      </c>
      <c r="B15" s="24">
        <v>3.3</v>
      </c>
      <c r="C15" s="14">
        <v>3000</v>
      </c>
      <c r="D15" s="14">
        <v>600</v>
      </c>
      <c r="E15" s="25">
        <v>7</v>
      </c>
      <c r="F15" s="25">
        <v>11</v>
      </c>
      <c r="G15" s="25">
        <v>7</v>
      </c>
      <c r="H15" s="25">
        <v>7</v>
      </c>
      <c r="I15" s="14">
        <v>20</v>
      </c>
      <c r="J15" s="14"/>
      <c r="K15" s="14">
        <v>400</v>
      </c>
      <c r="L15" s="14" t="s">
        <v>113</v>
      </c>
      <c r="M15" s="14" t="s">
        <v>113</v>
      </c>
      <c r="N15" s="14" t="s">
        <v>114</v>
      </c>
      <c r="O15" s="155" t="s">
        <v>162</v>
      </c>
      <c r="P15" s="14" t="s">
        <v>114</v>
      </c>
      <c r="Q15" s="155" t="s">
        <v>152</v>
      </c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67"/>
      <c r="AC15" s="67"/>
      <c r="AD15" s="160"/>
      <c r="AE15" s="68">
        <f>-AE14</f>
        <v>-1500</v>
      </c>
      <c r="AF15" s="68">
        <f>AE15</f>
        <v>-1500</v>
      </c>
      <c r="AG15" s="68">
        <v>13</v>
      </c>
      <c r="AH15" s="8">
        <f t="shared" si="0"/>
        <v>-824.99999999999977</v>
      </c>
      <c r="AI15" s="8">
        <f t="shared" si="2"/>
        <v>-250</v>
      </c>
      <c r="AJ15" s="8">
        <f t="shared" si="3"/>
        <v>250</v>
      </c>
      <c r="AK15" s="8">
        <f t="shared" si="4"/>
        <v>-1450</v>
      </c>
      <c r="AL15" s="8">
        <f t="shared" si="1"/>
        <v>249.99999999999994</v>
      </c>
      <c r="AM15" s="8">
        <f t="shared" si="5"/>
        <v>1450</v>
      </c>
      <c r="AN15" s="8">
        <f t="shared" si="6"/>
        <v>687.5</v>
      </c>
      <c r="AO15" s="8">
        <f t="shared" si="7"/>
        <v>-250</v>
      </c>
      <c r="AP15" s="8">
        <f t="shared" si="8"/>
        <v>250</v>
      </c>
      <c r="AQ15" s="8">
        <f t="shared" si="9"/>
        <v>-825</v>
      </c>
      <c r="AR15" s="8">
        <f t="shared" si="10"/>
        <v>249.99999999999994</v>
      </c>
      <c r="AS15" s="8">
        <f t="shared" si="11"/>
        <v>825</v>
      </c>
    </row>
    <row r="16" spans="1:48" ht="15.75">
      <c r="A16" s="23"/>
      <c r="B16" s="24"/>
      <c r="C16" s="14"/>
      <c r="D16" s="14"/>
      <c r="E16" s="25"/>
      <c r="F16" s="25"/>
      <c r="G16" s="25"/>
      <c r="H16" s="25"/>
      <c r="I16" s="14"/>
      <c r="J16" s="14"/>
      <c r="K16" s="14"/>
      <c r="L16" s="14"/>
      <c r="M16" s="14"/>
      <c r="N16" s="14"/>
      <c r="O16" s="155"/>
      <c r="P16" s="14"/>
      <c r="Q16" s="155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67"/>
      <c r="AC16" s="67"/>
      <c r="AD16" s="160"/>
      <c r="AE16" s="68" t="s">
        <v>38</v>
      </c>
      <c r="AF16" s="68"/>
      <c r="AG16" s="68">
        <v>14</v>
      </c>
      <c r="AH16" s="8">
        <f t="shared" si="0"/>
        <v>-824.99999999999977</v>
      </c>
      <c r="AI16" s="8">
        <f t="shared" si="2"/>
        <v>-250</v>
      </c>
      <c r="AJ16" s="8">
        <f t="shared" si="3"/>
        <v>250</v>
      </c>
      <c r="AK16" s="8">
        <f t="shared" si="4"/>
        <v>-1450</v>
      </c>
      <c r="AL16" s="8">
        <f t="shared" si="1"/>
        <v>249.99999999999994</v>
      </c>
      <c r="AM16" s="8">
        <f t="shared" si="5"/>
        <v>1450</v>
      </c>
      <c r="AN16" s="8">
        <f t="shared" si="6"/>
        <v>687.5</v>
      </c>
      <c r="AO16" s="8">
        <f t="shared" si="7"/>
        <v>-250</v>
      </c>
      <c r="AP16" s="8">
        <f t="shared" si="8"/>
        <v>250</v>
      </c>
      <c r="AQ16" s="8">
        <f t="shared" si="9"/>
        <v>-825</v>
      </c>
      <c r="AR16" s="8">
        <f t="shared" si="10"/>
        <v>249.99999999999994</v>
      </c>
      <c r="AS16" s="8">
        <f t="shared" si="11"/>
        <v>825</v>
      </c>
    </row>
    <row r="17" spans="1:45" ht="15.75">
      <c r="A17" s="23"/>
      <c r="B17" s="24"/>
      <c r="C17" s="14"/>
      <c r="D17" s="14"/>
      <c r="E17" s="25"/>
      <c r="F17" s="25"/>
      <c r="G17" s="25"/>
      <c r="H17" s="25"/>
      <c r="I17" s="14"/>
      <c r="J17" s="14"/>
      <c r="K17" s="14"/>
      <c r="L17" s="14"/>
      <c r="M17" s="14"/>
      <c r="N17" s="14"/>
      <c r="O17" s="155"/>
      <c r="P17" s="14"/>
      <c r="Q17" s="155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67"/>
      <c r="AC17" s="67"/>
      <c r="AD17" s="160"/>
      <c r="AE17" s="68">
        <f>-AF2/2</f>
        <v>-1500</v>
      </c>
      <c r="AF17" s="68">
        <f>-AF6/2</f>
        <v>-300</v>
      </c>
      <c r="AG17" s="68">
        <v>15</v>
      </c>
      <c r="AH17" s="8">
        <f t="shared" si="0"/>
        <v>-824.99999999999977</v>
      </c>
      <c r="AI17" s="8">
        <f t="shared" si="2"/>
        <v>-250</v>
      </c>
      <c r="AJ17" s="8">
        <f t="shared" si="3"/>
        <v>250</v>
      </c>
      <c r="AK17" s="8">
        <f t="shared" si="4"/>
        <v>-1450</v>
      </c>
      <c r="AL17" s="8">
        <f t="shared" si="1"/>
        <v>249.99999999999994</v>
      </c>
      <c r="AM17" s="8">
        <f t="shared" si="5"/>
        <v>1450</v>
      </c>
      <c r="AN17" s="8">
        <f t="shared" si="6"/>
        <v>687.5</v>
      </c>
      <c r="AO17" s="8">
        <f t="shared" si="7"/>
        <v>-250</v>
      </c>
      <c r="AP17" s="8">
        <f t="shared" si="8"/>
        <v>250</v>
      </c>
      <c r="AQ17" s="8">
        <f t="shared" si="9"/>
        <v>-825</v>
      </c>
      <c r="AR17" s="8">
        <f t="shared" si="10"/>
        <v>249.99999999999994</v>
      </c>
      <c r="AS17" s="8">
        <f t="shared" si="11"/>
        <v>825</v>
      </c>
    </row>
    <row r="18" spans="1:45" ht="15.75">
      <c r="A18" s="23"/>
      <c r="B18" s="24"/>
      <c r="C18" s="14"/>
      <c r="D18" s="14"/>
      <c r="E18" s="25"/>
      <c r="F18" s="25"/>
      <c r="G18" s="25"/>
      <c r="H18" s="25"/>
      <c r="I18" s="14"/>
      <c r="J18" s="14"/>
      <c r="K18" s="14"/>
      <c r="L18" s="14"/>
      <c r="M18" s="14"/>
      <c r="N18" s="14"/>
      <c r="O18" s="155"/>
      <c r="P18" s="14"/>
      <c r="Q18" s="155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67"/>
      <c r="AC18" s="67"/>
      <c r="AD18" s="160"/>
      <c r="AE18" s="68">
        <f>AE17+AF2</f>
        <v>1500</v>
      </c>
      <c r="AF18" s="68">
        <f>AF17</f>
        <v>-300</v>
      </c>
      <c r="AG18" s="68">
        <v>16</v>
      </c>
      <c r="AH18" s="8">
        <f t="shared" si="0"/>
        <v>-824.99999999999977</v>
      </c>
      <c r="AI18" s="8">
        <f t="shared" si="2"/>
        <v>-250</v>
      </c>
      <c r="AJ18" s="8">
        <f t="shared" si="3"/>
        <v>250</v>
      </c>
      <c r="AK18" s="8">
        <f t="shared" si="4"/>
        <v>-1450</v>
      </c>
      <c r="AL18" s="8">
        <f t="shared" si="1"/>
        <v>249.99999999999994</v>
      </c>
      <c r="AM18" s="8">
        <f t="shared" si="5"/>
        <v>1450</v>
      </c>
      <c r="AN18" s="8">
        <f t="shared" si="6"/>
        <v>687.5</v>
      </c>
      <c r="AO18" s="8">
        <f t="shared" si="7"/>
        <v>-250</v>
      </c>
      <c r="AP18" s="8">
        <f t="shared" si="8"/>
        <v>250</v>
      </c>
      <c r="AQ18" s="8">
        <f t="shared" si="9"/>
        <v>-825</v>
      </c>
      <c r="AR18" s="8">
        <f t="shared" si="10"/>
        <v>249.99999999999994</v>
      </c>
      <c r="AS18" s="8">
        <f t="shared" si="11"/>
        <v>825</v>
      </c>
    </row>
    <row r="19" spans="1:45" ht="15.75">
      <c r="A19" s="23"/>
      <c r="B19" s="24"/>
      <c r="C19" s="14"/>
      <c r="D19" s="14"/>
      <c r="E19" s="25"/>
      <c r="F19" s="25"/>
      <c r="G19" s="25"/>
      <c r="H19" s="25"/>
      <c r="I19" s="14"/>
      <c r="J19" s="14"/>
      <c r="K19" s="14"/>
      <c r="L19" s="14"/>
      <c r="M19" s="14"/>
      <c r="N19" s="14"/>
      <c r="O19" s="155"/>
      <c r="P19" s="14"/>
      <c r="Q19" s="155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67"/>
      <c r="AC19" s="67"/>
      <c r="AD19" s="160"/>
      <c r="AE19" s="68">
        <f>AE18</f>
        <v>1500</v>
      </c>
      <c r="AF19" s="68">
        <f>AF18+AF6</f>
        <v>300</v>
      </c>
      <c r="AG19" s="68">
        <v>17</v>
      </c>
      <c r="AH19" s="8">
        <f t="shared" si="0"/>
        <v>-824.99999999999977</v>
      </c>
      <c r="AI19" s="8">
        <f t="shared" si="2"/>
        <v>-250</v>
      </c>
      <c r="AJ19" s="8">
        <f t="shared" si="3"/>
        <v>250</v>
      </c>
      <c r="AK19" s="8">
        <f t="shared" si="4"/>
        <v>-1450</v>
      </c>
      <c r="AL19" s="8">
        <f t="shared" si="1"/>
        <v>249.99999999999994</v>
      </c>
      <c r="AM19" s="8">
        <f t="shared" si="5"/>
        <v>1450</v>
      </c>
      <c r="AN19" s="8">
        <f t="shared" si="6"/>
        <v>687.5</v>
      </c>
      <c r="AO19" s="8">
        <f t="shared" si="7"/>
        <v>-250</v>
      </c>
      <c r="AP19" s="8">
        <f t="shared" si="8"/>
        <v>250</v>
      </c>
      <c r="AQ19" s="8">
        <f t="shared" si="9"/>
        <v>-825</v>
      </c>
      <c r="AR19" s="8">
        <f t="shared" si="10"/>
        <v>249.99999999999994</v>
      </c>
      <c r="AS19" s="8">
        <f t="shared" si="11"/>
        <v>825</v>
      </c>
    </row>
    <row r="20" spans="1:45" ht="15.75">
      <c r="A20" s="23"/>
      <c r="B20" s="24"/>
      <c r="C20" s="14"/>
      <c r="D20" s="14"/>
      <c r="E20" s="25"/>
      <c r="F20" s="25"/>
      <c r="G20" s="25"/>
      <c r="H20" s="25"/>
      <c r="I20" s="14"/>
      <c r="J20" s="14"/>
      <c r="K20" s="14"/>
      <c r="L20" s="14"/>
      <c r="M20" s="14"/>
      <c r="N20" s="14"/>
      <c r="O20" s="155"/>
      <c r="P20" s="14"/>
      <c r="Q20" s="155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67"/>
      <c r="AC20" s="67"/>
      <c r="AD20" s="160"/>
      <c r="AE20" s="68">
        <f>AE19-AF2</f>
        <v>-1500</v>
      </c>
      <c r="AF20" s="68">
        <f>AF19</f>
        <v>300</v>
      </c>
      <c r="AG20" s="68">
        <v>18</v>
      </c>
      <c r="AH20" s="8">
        <f t="shared" si="0"/>
        <v>-824.99999999999977</v>
      </c>
      <c r="AI20" s="8">
        <f t="shared" si="2"/>
        <v>-250</v>
      </c>
      <c r="AJ20" s="8">
        <f t="shared" si="3"/>
        <v>250</v>
      </c>
      <c r="AK20" s="8">
        <f t="shared" si="4"/>
        <v>-1450</v>
      </c>
      <c r="AL20" s="8">
        <f t="shared" si="1"/>
        <v>249.99999999999994</v>
      </c>
      <c r="AM20" s="8">
        <f t="shared" si="5"/>
        <v>1450</v>
      </c>
      <c r="AN20" s="8">
        <f t="shared" si="6"/>
        <v>687.5</v>
      </c>
      <c r="AO20" s="8">
        <f t="shared" si="7"/>
        <v>-250</v>
      </c>
      <c r="AP20" s="8">
        <f t="shared" si="8"/>
        <v>250</v>
      </c>
      <c r="AQ20" s="8">
        <f t="shared" si="9"/>
        <v>-825</v>
      </c>
      <c r="AR20" s="8">
        <f t="shared" si="10"/>
        <v>249.99999999999994</v>
      </c>
      <c r="AS20" s="8">
        <f t="shared" si="11"/>
        <v>825</v>
      </c>
    </row>
    <row r="21" spans="1:45" ht="15.75">
      <c r="A21" s="23"/>
      <c r="B21" s="24"/>
      <c r="C21" s="14"/>
      <c r="D21" s="14"/>
      <c r="E21" s="25"/>
      <c r="F21" s="14"/>
      <c r="G21" s="25"/>
      <c r="H21" s="14"/>
      <c r="I21" s="14"/>
      <c r="J21" s="14"/>
      <c r="K21" s="14"/>
      <c r="L21" s="14"/>
      <c r="M21" s="14"/>
      <c r="N21" s="14"/>
      <c r="O21" s="155"/>
      <c r="P21" s="14"/>
      <c r="Q21" s="155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67"/>
      <c r="AC21" s="67"/>
      <c r="AD21" s="160"/>
      <c r="AE21" s="68">
        <f>AE20</f>
        <v>-1500</v>
      </c>
      <c r="AF21" s="68">
        <f>AF20-AF6</f>
        <v>-300</v>
      </c>
      <c r="AG21" s="68">
        <v>19</v>
      </c>
      <c r="AH21" s="8">
        <f t="shared" si="0"/>
        <v>-824.99999999999977</v>
      </c>
      <c r="AI21" s="8">
        <f t="shared" si="2"/>
        <v>-250</v>
      </c>
      <c r="AJ21" s="8">
        <f t="shared" si="3"/>
        <v>250</v>
      </c>
      <c r="AK21" s="8">
        <f t="shared" si="4"/>
        <v>-1450</v>
      </c>
      <c r="AL21" s="8">
        <f t="shared" si="1"/>
        <v>249.99999999999994</v>
      </c>
      <c r="AM21" s="8">
        <f t="shared" si="5"/>
        <v>1450</v>
      </c>
      <c r="AN21" s="8">
        <f t="shared" si="6"/>
        <v>687.5</v>
      </c>
      <c r="AO21" s="8">
        <f t="shared" si="7"/>
        <v>-250</v>
      </c>
      <c r="AP21" s="8">
        <f t="shared" si="8"/>
        <v>250</v>
      </c>
      <c r="AQ21" s="8">
        <f t="shared" si="9"/>
        <v>-825</v>
      </c>
      <c r="AR21" s="8">
        <f t="shared" si="10"/>
        <v>249.99999999999994</v>
      </c>
      <c r="AS21" s="8">
        <f t="shared" si="11"/>
        <v>825</v>
      </c>
    </row>
    <row r="22" spans="1:45" ht="17.25">
      <c r="A22" s="23"/>
      <c r="B22" s="24"/>
      <c r="C22" s="14"/>
      <c r="D22" s="14"/>
      <c r="E22" s="25"/>
      <c r="F22" s="14"/>
      <c r="G22" s="25"/>
      <c r="H22" s="14"/>
      <c r="I22" s="14"/>
      <c r="J22" s="14"/>
      <c r="K22" s="14"/>
      <c r="L22" s="14"/>
      <c r="M22" s="14"/>
      <c r="N22" s="14"/>
      <c r="O22" s="155"/>
      <c r="P22" s="14"/>
      <c r="Q22" s="155"/>
      <c r="R22" s="22"/>
      <c r="S22" s="4" t="s">
        <v>44</v>
      </c>
      <c r="V22" s="498" t="s">
        <v>37</v>
      </c>
      <c r="W22" s="499"/>
      <c r="X22" s="22"/>
      <c r="Y22" s="22"/>
      <c r="Z22" s="22"/>
      <c r="AA22" s="22"/>
      <c r="AB22" s="67"/>
      <c r="AC22" s="67"/>
      <c r="AD22" s="160"/>
      <c r="AE22" s="69" t="s">
        <v>43</v>
      </c>
      <c r="AF22" s="69">
        <f>AE14/25</f>
        <v>60</v>
      </c>
      <c r="AG22" s="68">
        <v>20</v>
      </c>
      <c r="AH22" s="8">
        <f t="shared" si="0"/>
        <v>-824.99999999999977</v>
      </c>
      <c r="AI22" s="8">
        <f t="shared" si="2"/>
        <v>-250</v>
      </c>
      <c r="AJ22" s="8">
        <f t="shared" si="3"/>
        <v>250</v>
      </c>
      <c r="AK22" s="8">
        <f t="shared" si="4"/>
        <v>-1450</v>
      </c>
      <c r="AL22" s="8">
        <f t="shared" si="1"/>
        <v>249.99999999999994</v>
      </c>
      <c r="AM22" s="8">
        <f t="shared" si="5"/>
        <v>1450</v>
      </c>
      <c r="AN22" s="8">
        <f t="shared" si="6"/>
        <v>687.5</v>
      </c>
      <c r="AO22" s="8">
        <f t="shared" si="7"/>
        <v>-250</v>
      </c>
      <c r="AP22" s="8">
        <f t="shared" si="8"/>
        <v>250</v>
      </c>
      <c r="AQ22" s="8">
        <f t="shared" si="9"/>
        <v>-825</v>
      </c>
      <c r="AR22" s="8">
        <f t="shared" si="10"/>
        <v>249.99999999999994</v>
      </c>
      <c r="AS22" s="8">
        <f t="shared" si="11"/>
        <v>825</v>
      </c>
    </row>
    <row r="23" spans="1:45" ht="15.75">
      <c r="A23" s="23"/>
      <c r="B23" s="24"/>
      <c r="C23" s="14"/>
      <c r="D23" s="14"/>
      <c r="E23" s="25"/>
      <c r="F23" s="14"/>
      <c r="G23" s="25"/>
      <c r="H23" s="14"/>
      <c r="I23" s="14"/>
      <c r="J23" s="14"/>
      <c r="K23" s="14"/>
      <c r="L23" s="14"/>
      <c r="M23" s="14"/>
      <c r="N23" s="14"/>
      <c r="O23" s="155"/>
      <c r="P23" s="14"/>
      <c r="Q23" s="155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67"/>
      <c r="AC23" s="67"/>
      <c r="AD23" s="160"/>
      <c r="AE23" s="8" t="s">
        <v>45</v>
      </c>
      <c r="AF23" s="8">
        <f>VLOOKUP($V$22,$A$10:$J$216,9,0)</f>
        <v>25</v>
      </c>
      <c r="AG23" s="68">
        <v>21</v>
      </c>
      <c r="AH23" s="8">
        <f t="shared" si="0"/>
        <v>-824.99999999999977</v>
      </c>
      <c r="AI23" s="8">
        <f t="shared" si="2"/>
        <v>-250</v>
      </c>
      <c r="AJ23" s="8">
        <f t="shared" si="3"/>
        <v>250</v>
      </c>
      <c r="AK23" s="8">
        <f t="shared" si="4"/>
        <v>-1450</v>
      </c>
      <c r="AL23" s="8">
        <f t="shared" si="1"/>
        <v>249.99999999999994</v>
      </c>
      <c r="AM23" s="8">
        <f t="shared" si="5"/>
        <v>1450</v>
      </c>
      <c r="AN23" s="8">
        <f t="shared" si="6"/>
        <v>687.5</v>
      </c>
      <c r="AO23" s="8">
        <f t="shared" si="7"/>
        <v>-250</v>
      </c>
      <c r="AP23" s="8">
        <f t="shared" si="8"/>
        <v>250</v>
      </c>
      <c r="AQ23" s="8">
        <f t="shared" si="9"/>
        <v>-825</v>
      </c>
      <c r="AR23" s="8">
        <f t="shared" si="10"/>
        <v>249.99999999999994</v>
      </c>
      <c r="AS23" s="8">
        <f t="shared" si="11"/>
        <v>825</v>
      </c>
    </row>
    <row r="24" spans="1:45" ht="15.75">
      <c r="A24" s="23"/>
      <c r="B24" s="24"/>
      <c r="C24" s="14"/>
      <c r="D24" s="14"/>
      <c r="E24" s="25"/>
      <c r="F24" s="14"/>
      <c r="G24" s="25"/>
      <c r="H24" s="14"/>
      <c r="I24" s="14"/>
      <c r="J24" s="14"/>
      <c r="K24" s="14"/>
      <c r="L24" s="14"/>
      <c r="M24" s="14"/>
      <c r="N24" s="14"/>
      <c r="O24" s="155"/>
      <c r="P24" s="14"/>
      <c r="Q24" s="155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67"/>
      <c r="AC24" s="67"/>
      <c r="AD24" s="160"/>
      <c r="AE24" s="8" t="s">
        <v>46</v>
      </c>
      <c r="AF24" s="8">
        <f>(2*AE5+AF5+2*AE8-4)*2</f>
        <v>70</v>
      </c>
      <c r="AG24" s="68">
        <v>22</v>
      </c>
      <c r="AH24" s="8">
        <f t="shared" si="0"/>
        <v>-824.99999999999977</v>
      </c>
      <c r="AI24" s="8">
        <f t="shared" si="2"/>
        <v>-250</v>
      </c>
      <c r="AJ24" s="8">
        <f t="shared" si="3"/>
        <v>250</v>
      </c>
      <c r="AK24" s="8">
        <f t="shared" si="4"/>
        <v>-1450</v>
      </c>
      <c r="AL24" s="8">
        <f t="shared" si="1"/>
        <v>249.99999999999994</v>
      </c>
      <c r="AM24" s="8">
        <f t="shared" si="5"/>
        <v>1450</v>
      </c>
      <c r="AN24" s="8">
        <f t="shared" si="6"/>
        <v>687.5</v>
      </c>
      <c r="AO24" s="8">
        <f t="shared" si="7"/>
        <v>-250</v>
      </c>
      <c r="AP24" s="8">
        <f t="shared" si="8"/>
        <v>250</v>
      </c>
      <c r="AQ24" s="8">
        <f t="shared" si="9"/>
        <v>-825</v>
      </c>
      <c r="AR24" s="8">
        <f t="shared" si="10"/>
        <v>249.99999999999994</v>
      </c>
      <c r="AS24" s="8">
        <f t="shared" si="11"/>
        <v>825</v>
      </c>
    </row>
    <row r="25" spans="1:45" ht="15.75">
      <c r="A25" s="23"/>
      <c r="B25" s="24"/>
      <c r="C25" s="14"/>
      <c r="D25" s="14"/>
      <c r="E25" s="25"/>
      <c r="F25" s="14"/>
      <c r="G25" s="25"/>
      <c r="H25" s="14"/>
      <c r="I25" s="14"/>
      <c r="J25" s="14"/>
      <c r="K25" s="14"/>
      <c r="L25" s="14"/>
      <c r="M25" s="14"/>
      <c r="N25" s="14"/>
      <c r="O25" s="155"/>
      <c r="P25" s="14"/>
      <c r="Q25" s="155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67"/>
      <c r="AC25" s="67"/>
      <c r="AD25" s="160"/>
      <c r="AE25" s="8" t="s">
        <v>47</v>
      </c>
      <c r="AF25" s="70">
        <f>ROUND(AF24*AF23^2/4*PI()/AF2/AF6*100,2)</f>
        <v>1.91</v>
      </c>
      <c r="AG25" s="68">
        <v>23</v>
      </c>
      <c r="AH25" s="8">
        <f t="shared" si="0"/>
        <v>-824.99999999999977</v>
      </c>
      <c r="AI25" s="8">
        <f t="shared" si="2"/>
        <v>-250</v>
      </c>
      <c r="AJ25" s="8">
        <f t="shared" si="3"/>
        <v>250</v>
      </c>
      <c r="AK25" s="8">
        <f t="shared" si="4"/>
        <v>-1450</v>
      </c>
      <c r="AL25" s="8">
        <f t="shared" si="1"/>
        <v>249.99999999999994</v>
      </c>
      <c r="AM25" s="8">
        <f t="shared" si="5"/>
        <v>1450</v>
      </c>
      <c r="AN25" s="8">
        <f t="shared" si="6"/>
        <v>687.5</v>
      </c>
      <c r="AO25" s="8">
        <f t="shared" si="7"/>
        <v>-250</v>
      </c>
      <c r="AP25" s="8">
        <f t="shared" si="8"/>
        <v>250</v>
      </c>
      <c r="AQ25" s="8">
        <f t="shared" si="9"/>
        <v>-825</v>
      </c>
      <c r="AR25" s="8">
        <f t="shared" si="10"/>
        <v>249.99999999999994</v>
      </c>
      <c r="AS25" s="8">
        <f t="shared" si="11"/>
        <v>825</v>
      </c>
    </row>
    <row r="26" spans="1:45" ht="15.75">
      <c r="A26" s="23"/>
      <c r="B26" s="24"/>
      <c r="C26" s="14"/>
      <c r="D26" s="14"/>
      <c r="E26" s="25"/>
      <c r="F26" s="14"/>
      <c r="G26" s="25"/>
      <c r="H26" s="14"/>
      <c r="I26" s="14"/>
      <c r="J26" s="14"/>
      <c r="K26" s="14"/>
      <c r="L26" s="14"/>
      <c r="M26" s="14"/>
      <c r="N26" s="14"/>
      <c r="O26" s="155"/>
      <c r="P26" s="14"/>
      <c r="Q26" s="155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67"/>
      <c r="AC26" s="67"/>
      <c r="AD26" s="160"/>
      <c r="AE26" s="8" t="str">
        <f>AF24&amp;AF26&amp;AF23</f>
        <v>70Ø25</v>
      </c>
      <c r="AF26" s="8" t="s">
        <v>48</v>
      </c>
      <c r="AG26" s="68">
        <v>24</v>
      </c>
      <c r="AH26" s="8">
        <f t="shared" si="0"/>
        <v>-824.99999999999977</v>
      </c>
      <c r="AI26" s="8">
        <f t="shared" si="2"/>
        <v>-250</v>
      </c>
      <c r="AJ26" s="8">
        <f t="shared" si="3"/>
        <v>250</v>
      </c>
      <c r="AK26" s="8">
        <f t="shared" si="4"/>
        <v>-1450</v>
      </c>
      <c r="AL26" s="8">
        <f t="shared" si="1"/>
        <v>249.99999999999994</v>
      </c>
      <c r="AM26" s="8">
        <f t="shared" si="5"/>
        <v>1450</v>
      </c>
      <c r="AN26" s="8">
        <f t="shared" si="6"/>
        <v>687.5</v>
      </c>
      <c r="AO26" s="8">
        <f t="shared" si="7"/>
        <v>-250</v>
      </c>
      <c r="AP26" s="8">
        <f t="shared" si="8"/>
        <v>250</v>
      </c>
      <c r="AQ26" s="8">
        <f t="shared" si="9"/>
        <v>-825</v>
      </c>
      <c r="AR26" s="8">
        <f t="shared" si="10"/>
        <v>249.99999999999994</v>
      </c>
      <c r="AS26" s="8">
        <f t="shared" si="11"/>
        <v>825</v>
      </c>
    </row>
    <row r="27" spans="1:45" ht="15.75">
      <c r="A27" s="23"/>
      <c r="B27" s="24"/>
      <c r="C27" s="14"/>
      <c r="D27" s="14"/>
      <c r="E27" s="25"/>
      <c r="F27" s="14"/>
      <c r="G27" s="25"/>
      <c r="H27" s="14"/>
      <c r="I27" s="14"/>
      <c r="J27" s="14"/>
      <c r="K27" s="14"/>
      <c r="L27" s="14"/>
      <c r="M27" s="14"/>
      <c r="N27" s="14"/>
      <c r="O27" s="155"/>
      <c r="P27" s="14"/>
      <c r="Q27" s="155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67"/>
      <c r="AC27" s="67"/>
      <c r="AD27" s="160"/>
      <c r="AE27" s="8" t="str">
        <f>AF27&amp;AF25&amp;"%"</f>
        <v>µ=1.91%</v>
      </c>
      <c r="AF27" s="71" t="s">
        <v>49</v>
      </c>
      <c r="AG27" s="68">
        <v>25</v>
      </c>
      <c r="AH27" s="8">
        <f t="shared" si="0"/>
        <v>-824.99999999999977</v>
      </c>
      <c r="AI27" s="8">
        <f t="shared" si="2"/>
        <v>-250</v>
      </c>
      <c r="AJ27" s="8">
        <f t="shared" si="3"/>
        <v>250</v>
      </c>
      <c r="AK27" s="8">
        <f t="shared" si="4"/>
        <v>-1450</v>
      </c>
      <c r="AL27" s="8">
        <f t="shared" si="1"/>
        <v>249.99999999999994</v>
      </c>
      <c r="AM27" s="8">
        <f t="shared" si="5"/>
        <v>1450</v>
      </c>
      <c r="AN27" s="8">
        <f t="shared" si="6"/>
        <v>687.5</v>
      </c>
      <c r="AO27" s="8">
        <f t="shared" si="7"/>
        <v>-250</v>
      </c>
      <c r="AP27" s="8">
        <f t="shared" si="8"/>
        <v>250</v>
      </c>
      <c r="AQ27" s="8">
        <f t="shared" si="9"/>
        <v>-825</v>
      </c>
      <c r="AR27" s="8">
        <f t="shared" si="10"/>
        <v>249.99999999999994</v>
      </c>
      <c r="AS27" s="8">
        <f t="shared" si="11"/>
        <v>825</v>
      </c>
    </row>
    <row r="28" spans="1:45" ht="15.75">
      <c r="A28" s="23"/>
      <c r="B28" s="24"/>
      <c r="C28" s="14"/>
      <c r="D28" s="14"/>
      <c r="E28" s="25"/>
      <c r="F28" s="14"/>
      <c r="G28" s="25"/>
      <c r="H28" s="14"/>
      <c r="I28" s="14"/>
      <c r="J28" s="14"/>
      <c r="K28" s="14"/>
      <c r="L28" s="14"/>
      <c r="M28" s="14"/>
      <c r="N28" s="14"/>
      <c r="O28" s="155"/>
      <c r="P28" s="14"/>
      <c r="Q28" s="155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67"/>
      <c r="AC28" s="67"/>
      <c r="AD28" s="160"/>
      <c r="AG28" s="68">
        <v>26</v>
      </c>
      <c r="AH28" s="8">
        <f>$AE$18-50</f>
        <v>1450</v>
      </c>
      <c r="AI28" s="8">
        <f t="shared" si="2"/>
        <v>-250</v>
      </c>
      <c r="AJ28" s="8">
        <f t="shared" si="3"/>
        <v>250</v>
      </c>
      <c r="AK28" s="8">
        <f t="shared" si="4"/>
        <v>-1450</v>
      </c>
      <c r="AL28" s="8">
        <f t="shared" si="1"/>
        <v>249.99999999999994</v>
      </c>
      <c r="AM28" s="8">
        <f t="shared" si="5"/>
        <v>1450</v>
      </c>
      <c r="AN28" s="8">
        <f t="shared" si="6"/>
        <v>687.5</v>
      </c>
      <c r="AO28" s="8">
        <f t="shared" si="7"/>
        <v>-250</v>
      </c>
      <c r="AP28" s="8">
        <f t="shared" si="8"/>
        <v>250</v>
      </c>
      <c r="AQ28" s="8">
        <f t="shared" si="9"/>
        <v>-825</v>
      </c>
      <c r="AR28" s="8">
        <f t="shared" si="10"/>
        <v>249.99999999999994</v>
      </c>
      <c r="AS28" s="8">
        <f t="shared" si="11"/>
        <v>825</v>
      </c>
    </row>
    <row r="29" spans="1:45" ht="15.75">
      <c r="A29" s="23"/>
      <c r="B29" s="24"/>
      <c r="C29" s="14"/>
      <c r="D29" s="14"/>
      <c r="E29" s="25"/>
      <c r="F29" s="14"/>
      <c r="G29" s="25"/>
      <c r="H29" s="14"/>
      <c r="I29" s="14"/>
      <c r="J29" s="14"/>
      <c r="K29" s="14"/>
      <c r="L29" s="14"/>
      <c r="M29" s="14"/>
      <c r="N29" s="14"/>
      <c r="O29" s="155"/>
      <c r="P29" s="14"/>
      <c r="Q29" s="155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67"/>
      <c r="AC29" s="67"/>
      <c r="AD29" s="160"/>
      <c r="AG29" s="68">
        <v>27</v>
      </c>
      <c r="AH29" s="8">
        <f>IF(AG29-25&gt;$AE$5,AH28,AH28-$AF$9)</f>
        <v>1345.8333333333333</v>
      </c>
      <c r="AI29" s="8">
        <f t="shared" si="2"/>
        <v>-250</v>
      </c>
      <c r="AJ29" s="8">
        <f t="shared" si="3"/>
        <v>250</v>
      </c>
      <c r="AK29" s="8">
        <f t="shared" si="4"/>
        <v>-1450</v>
      </c>
      <c r="AL29" s="8">
        <f t="shared" si="1"/>
        <v>249.99999999999994</v>
      </c>
      <c r="AM29" s="8">
        <f t="shared" si="5"/>
        <v>1450</v>
      </c>
      <c r="AN29" s="8">
        <f t="shared" si="6"/>
        <v>687.5</v>
      </c>
      <c r="AO29" s="8">
        <f t="shared" si="7"/>
        <v>-250</v>
      </c>
      <c r="AP29" s="8">
        <f t="shared" si="8"/>
        <v>250</v>
      </c>
      <c r="AQ29" s="8">
        <f t="shared" si="9"/>
        <v>-825</v>
      </c>
      <c r="AR29" s="8">
        <f t="shared" si="10"/>
        <v>249.99999999999994</v>
      </c>
      <c r="AS29" s="8">
        <f t="shared" si="11"/>
        <v>825</v>
      </c>
    </row>
    <row r="30" spans="1:45" ht="15.75">
      <c r="A30" s="23"/>
      <c r="B30" s="24"/>
      <c r="C30" s="14"/>
      <c r="D30" s="14"/>
      <c r="E30" s="25"/>
      <c r="F30" s="14"/>
      <c r="G30" s="25"/>
      <c r="H30" s="14"/>
      <c r="I30" s="14"/>
      <c r="J30" s="14"/>
      <c r="K30" s="14"/>
      <c r="L30" s="14"/>
      <c r="M30" s="14"/>
      <c r="N30" s="14"/>
      <c r="O30" s="155"/>
      <c r="P30" s="14"/>
      <c r="Q30" s="155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67"/>
      <c r="AC30" s="67"/>
      <c r="AD30" s="160"/>
      <c r="AG30" s="68">
        <v>28</v>
      </c>
      <c r="AH30" s="8">
        <f t="shared" ref="AH30:AH52" si="12">IF(AG30-25&gt;$AE$5,AH29,AH29-$AF$9)</f>
        <v>1241.6666666666665</v>
      </c>
      <c r="AI30" s="8">
        <f t="shared" si="2"/>
        <v>-250</v>
      </c>
      <c r="AJ30" s="8">
        <f t="shared" si="3"/>
        <v>250</v>
      </c>
      <c r="AK30" s="8">
        <f t="shared" si="4"/>
        <v>-1450</v>
      </c>
      <c r="AL30" s="8">
        <f t="shared" si="1"/>
        <v>249.99999999999994</v>
      </c>
      <c r="AM30" s="8">
        <f t="shared" si="5"/>
        <v>1450</v>
      </c>
      <c r="AN30" s="8">
        <f t="shared" si="6"/>
        <v>687.5</v>
      </c>
      <c r="AO30" s="8">
        <f t="shared" si="7"/>
        <v>-250</v>
      </c>
      <c r="AP30" s="8">
        <f t="shared" si="8"/>
        <v>250</v>
      </c>
      <c r="AQ30" s="8">
        <f t="shared" si="9"/>
        <v>-825</v>
      </c>
      <c r="AR30" s="8">
        <f t="shared" si="10"/>
        <v>249.99999999999994</v>
      </c>
      <c r="AS30" s="8">
        <f t="shared" si="11"/>
        <v>825</v>
      </c>
    </row>
    <row r="31" spans="1:45" ht="15.75">
      <c r="A31" s="23"/>
      <c r="B31" s="24"/>
      <c r="C31" s="14"/>
      <c r="D31" s="14"/>
      <c r="E31" s="25"/>
      <c r="F31" s="14"/>
      <c r="G31" s="25"/>
      <c r="H31" s="14"/>
      <c r="I31" s="14"/>
      <c r="J31" s="14"/>
      <c r="K31" s="14"/>
      <c r="L31" s="14"/>
      <c r="M31" s="14"/>
      <c r="N31" s="14"/>
      <c r="O31" s="155"/>
      <c r="P31" s="14"/>
      <c r="Q31" s="155"/>
      <c r="AG31" s="68">
        <v>29</v>
      </c>
      <c r="AH31" s="8">
        <f t="shared" si="12"/>
        <v>1137.4999999999998</v>
      </c>
      <c r="AI31" s="8">
        <f t="shared" si="2"/>
        <v>-250</v>
      </c>
      <c r="AJ31" s="8">
        <f t="shared" si="3"/>
        <v>250</v>
      </c>
      <c r="AK31" s="8">
        <f t="shared" si="4"/>
        <v>-1450</v>
      </c>
      <c r="AL31" s="8">
        <f t="shared" si="1"/>
        <v>249.99999999999994</v>
      </c>
      <c r="AM31" s="8">
        <f t="shared" si="5"/>
        <v>1450</v>
      </c>
      <c r="AN31" s="8">
        <f t="shared" si="6"/>
        <v>687.5</v>
      </c>
      <c r="AO31" s="8">
        <f t="shared" si="7"/>
        <v>-250</v>
      </c>
      <c r="AP31" s="8">
        <f t="shared" si="8"/>
        <v>250</v>
      </c>
      <c r="AQ31" s="8">
        <f t="shared" si="9"/>
        <v>-825</v>
      </c>
      <c r="AR31" s="8">
        <f t="shared" si="10"/>
        <v>249.99999999999994</v>
      </c>
      <c r="AS31" s="8">
        <f t="shared" si="11"/>
        <v>825</v>
      </c>
    </row>
    <row r="32" spans="1:45" ht="15.75">
      <c r="A32" s="23"/>
      <c r="B32" s="24"/>
      <c r="C32" s="14"/>
      <c r="D32" s="14"/>
      <c r="E32" s="25"/>
      <c r="F32" s="14"/>
      <c r="G32" s="25"/>
      <c r="H32" s="14"/>
      <c r="I32" s="14"/>
      <c r="J32" s="14"/>
      <c r="K32" s="14"/>
      <c r="L32" s="14"/>
      <c r="M32" s="14"/>
      <c r="N32" s="14"/>
      <c r="O32" s="155"/>
      <c r="P32" s="14"/>
      <c r="Q32" s="155"/>
      <c r="AG32" s="68">
        <v>30</v>
      </c>
      <c r="AH32" s="8">
        <f t="shared" si="12"/>
        <v>1033.333333333333</v>
      </c>
      <c r="AI32" s="8">
        <f t="shared" si="2"/>
        <v>-250</v>
      </c>
      <c r="AJ32" s="8">
        <f t="shared" si="3"/>
        <v>250</v>
      </c>
      <c r="AK32" s="8">
        <f t="shared" si="4"/>
        <v>-1450</v>
      </c>
      <c r="AL32" s="8">
        <f t="shared" si="1"/>
        <v>249.99999999999994</v>
      </c>
      <c r="AM32" s="8">
        <f t="shared" si="5"/>
        <v>1450</v>
      </c>
      <c r="AN32" s="8">
        <f t="shared" si="6"/>
        <v>687.5</v>
      </c>
      <c r="AO32" s="8">
        <f t="shared" si="7"/>
        <v>-250</v>
      </c>
      <c r="AP32" s="8">
        <f t="shared" si="8"/>
        <v>250</v>
      </c>
      <c r="AQ32" s="8">
        <f t="shared" si="9"/>
        <v>-825</v>
      </c>
      <c r="AR32" s="8">
        <f t="shared" si="10"/>
        <v>249.99999999999994</v>
      </c>
      <c r="AS32" s="8">
        <f t="shared" si="11"/>
        <v>825</v>
      </c>
    </row>
    <row r="33" spans="1:45" ht="15.75">
      <c r="A33" s="23"/>
      <c r="B33" s="24"/>
      <c r="C33" s="14"/>
      <c r="D33" s="14"/>
      <c r="E33" s="25"/>
      <c r="F33" s="14"/>
      <c r="G33" s="25"/>
      <c r="H33" s="14"/>
      <c r="I33" s="14"/>
      <c r="J33" s="14"/>
      <c r="K33" s="14"/>
      <c r="L33" s="14"/>
      <c r="M33" s="14"/>
      <c r="N33" s="14"/>
      <c r="O33" s="155"/>
      <c r="P33" s="14"/>
      <c r="Q33" s="155"/>
      <c r="AG33" s="68">
        <v>31</v>
      </c>
      <c r="AH33" s="8">
        <f t="shared" si="12"/>
        <v>929.1666666666664</v>
      </c>
      <c r="AI33" s="8">
        <f t="shared" si="2"/>
        <v>-250</v>
      </c>
      <c r="AJ33" s="8">
        <f t="shared" si="3"/>
        <v>250</v>
      </c>
      <c r="AK33" s="8">
        <f t="shared" si="4"/>
        <v>-1450</v>
      </c>
      <c r="AL33" s="8">
        <f t="shared" si="1"/>
        <v>249.99999999999994</v>
      </c>
      <c r="AM33" s="8">
        <f t="shared" si="5"/>
        <v>1450</v>
      </c>
      <c r="AN33" s="8">
        <f t="shared" si="6"/>
        <v>687.5</v>
      </c>
      <c r="AO33" s="8">
        <f t="shared" si="7"/>
        <v>-250</v>
      </c>
      <c r="AP33" s="8">
        <f t="shared" si="8"/>
        <v>250</v>
      </c>
      <c r="AQ33" s="8">
        <f t="shared" si="9"/>
        <v>-825</v>
      </c>
      <c r="AR33" s="8">
        <f t="shared" si="10"/>
        <v>249.99999999999994</v>
      </c>
      <c r="AS33" s="8">
        <f t="shared" si="11"/>
        <v>825</v>
      </c>
    </row>
    <row r="34" spans="1:45" ht="15.75">
      <c r="A34" s="23"/>
      <c r="B34" s="24"/>
      <c r="C34" s="26"/>
      <c r="D34" s="26"/>
      <c r="E34" s="14"/>
      <c r="F34" s="14"/>
      <c r="G34" s="14"/>
      <c r="H34" s="14"/>
      <c r="I34" s="26"/>
      <c r="J34" s="26"/>
      <c r="K34" s="26"/>
      <c r="L34" s="26"/>
      <c r="M34" s="26"/>
      <c r="N34" s="26"/>
      <c r="O34" s="58"/>
      <c r="P34" s="26"/>
      <c r="Q34" s="58"/>
      <c r="AG34" s="68">
        <v>32</v>
      </c>
      <c r="AH34" s="8">
        <f t="shared" si="12"/>
        <v>824.99999999999977</v>
      </c>
      <c r="AI34" s="8">
        <f t="shared" si="2"/>
        <v>-250</v>
      </c>
      <c r="AJ34" s="8">
        <f t="shared" si="3"/>
        <v>250</v>
      </c>
      <c r="AK34" s="8">
        <f t="shared" si="4"/>
        <v>-1450</v>
      </c>
      <c r="AL34" s="8">
        <f t="shared" si="1"/>
        <v>249.99999999999994</v>
      </c>
      <c r="AM34" s="8">
        <f t="shared" si="5"/>
        <v>1450</v>
      </c>
      <c r="AN34" s="8">
        <f t="shared" si="6"/>
        <v>687.5</v>
      </c>
      <c r="AO34" s="8">
        <f t="shared" si="7"/>
        <v>-250</v>
      </c>
      <c r="AP34" s="8">
        <f t="shared" si="8"/>
        <v>250</v>
      </c>
      <c r="AQ34" s="8">
        <f t="shared" si="9"/>
        <v>-825</v>
      </c>
      <c r="AR34" s="8">
        <f t="shared" si="10"/>
        <v>249.99999999999994</v>
      </c>
      <c r="AS34" s="8">
        <f t="shared" si="11"/>
        <v>825</v>
      </c>
    </row>
    <row r="35" spans="1:45" ht="15.75">
      <c r="A35" s="23"/>
      <c r="B35" s="24"/>
      <c r="C35" s="26"/>
      <c r="D35" s="26"/>
      <c r="E35" s="14"/>
      <c r="F35" s="14"/>
      <c r="G35" s="14"/>
      <c r="H35" s="14"/>
      <c r="I35" s="26"/>
      <c r="J35" s="26"/>
      <c r="K35" s="26"/>
      <c r="L35" s="26"/>
      <c r="M35" s="26"/>
      <c r="N35" s="26"/>
      <c r="O35" s="58"/>
      <c r="P35" s="26"/>
      <c r="Q35" s="58"/>
      <c r="AG35" s="68">
        <v>33</v>
      </c>
      <c r="AH35" s="8">
        <f t="shared" si="12"/>
        <v>824.99999999999977</v>
      </c>
      <c r="AI35" s="8">
        <f t="shared" si="2"/>
        <v>-250</v>
      </c>
      <c r="AJ35" s="8">
        <f t="shared" si="3"/>
        <v>250</v>
      </c>
      <c r="AK35" s="8">
        <f t="shared" si="4"/>
        <v>-1450</v>
      </c>
      <c r="AL35" s="8">
        <f t="shared" si="1"/>
        <v>249.99999999999994</v>
      </c>
      <c r="AM35" s="8">
        <f t="shared" si="5"/>
        <v>1450</v>
      </c>
      <c r="AN35" s="8">
        <f t="shared" si="6"/>
        <v>687.5</v>
      </c>
      <c r="AO35" s="8">
        <f t="shared" si="7"/>
        <v>-250</v>
      </c>
      <c r="AP35" s="8">
        <f t="shared" si="8"/>
        <v>250</v>
      </c>
      <c r="AQ35" s="8">
        <f t="shared" si="9"/>
        <v>-825</v>
      </c>
      <c r="AR35" s="8">
        <f t="shared" si="10"/>
        <v>249.99999999999994</v>
      </c>
      <c r="AS35" s="8">
        <f t="shared" si="11"/>
        <v>825</v>
      </c>
    </row>
    <row r="36" spans="1:45" ht="15.75">
      <c r="A36" s="23"/>
      <c r="B36" s="24"/>
      <c r="C36" s="26"/>
      <c r="D36" s="26"/>
      <c r="E36" s="14"/>
      <c r="F36" s="14"/>
      <c r="G36" s="14"/>
      <c r="H36" s="14"/>
      <c r="I36" s="26"/>
      <c r="J36" s="26"/>
      <c r="K36" s="26"/>
      <c r="L36" s="26"/>
      <c r="M36" s="26"/>
      <c r="N36" s="26"/>
      <c r="O36" s="58"/>
      <c r="P36" s="26"/>
      <c r="Q36" s="58"/>
      <c r="AG36" s="68">
        <v>34</v>
      </c>
      <c r="AH36" s="8">
        <f t="shared" si="12"/>
        <v>824.99999999999977</v>
      </c>
      <c r="AI36" s="8">
        <f t="shared" si="2"/>
        <v>-250</v>
      </c>
      <c r="AJ36" s="8">
        <f t="shared" si="3"/>
        <v>250</v>
      </c>
      <c r="AK36" s="8">
        <f t="shared" si="4"/>
        <v>-1450</v>
      </c>
      <c r="AL36" s="8">
        <f t="shared" ref="AL36:AL52" si="13">IF(AG36&gt;$AE$8,AL35,AL35+$AF$11)</f>
        <v>249.99999999999994</v>
      </c>
      <c r="AM36" s="8">
        <f t="shared" si="5"/>
        <v>1450</v>
      </c>
      <c r="AN36" s="8">
        <f t="shared" si="6"/>
        <v>687.5</v>
      </c>
      <c r="AO36" s="8">
        <f t="shared" si="7"/>
        <v>-250</v>
      </c>
      <c r="AP36" s="8">
        <f t="shared" si="8"/>
        <v>250</v>
      </c>
      <c r="AQ36" s="8">
        <f t="shared" si="9"/>
        <v>-825</v>
      </c>
      <c r="AR36" s="8">
        <f t="shared" si="10"/>
        <v>249.99999999999994</v>
      </c>
      <c r="AS36" s="8">
        <f t="shared" si="11"/>
        <v>825</v>
      </c>
    </row>
    <row r="37" spans="1:45" ht="15.75">
      <c r="A37" s="23"/>
      <c r="B37" s="24"/>
      <c r="C37" s="26"/>
      <c r="D37" s="26"/>
      <c r="E37" s="14"/>
      <c r="F37" s="14"/>
      <c r="G37" s="14"/>
      <c r="H37" s="14"/>
      <c r="I37" s="26"/>
      <c r="J37" s="26"/>
      <c r="K37" s="26"/>
      <c r="L37" s="26"/>
      <c r="M37" s="26"/>
      <c r="N37" s="26"/>
      <c r="O37" s="58"/>
      <c r="P37" s="26"/>
      <c r="Q37" s="58"/>
      <c r="AG37" s="68">
        <v>35</v>
      </c>
      <c r="AH37" s="8">
        <f t="shared" si="12"/>
        <v>824.99999999999977</v>
      </c>
      <c r="AI37" s="8">
        <f t="shared" si="2"/>
        <v>-250</v>
      </c>
      <c r="AJ37" s="8">
        <f t="shared" si="3"/>
        <v>250</v>
      </c>
      <c r="AK37" s="8">
        <f t="shared" si="4"/>
        <v>-1450</v>
      </c>
      <c r="AL37" s="8">
        <f t="shared" si="13"/>
        <v>249.99999999999994</v>
      </c>
      <c r="AM37" s="8">
        <f t="shared" si="5"/>
        <v>1450</v>
      </c>
      <c r="AN37" s="8">
        <f t="shared" si="6"/>
        <v>687.5</v>
      </c>
      <c r="AO37" s="8">
        <f t="shared" si="7"/>
        <v>-250</v>
      </c>
      <c r="AP37" s="8">
        <f t="shared" si="8"/>
        <v>250</v>
      </c>
      <c r="AQ37" s="8">
        <f t="shared" si="9"/>
        <v>-825</v>
      </c>
      <c r="AR37" s="8">
        <f t="shared" si="10"/>
        <v>249.99999999999994</v>
      </c>
      <c r="AS37" s="8">
        <f t="shared" si="11"/>
        <v>825</v>
      </c>
    </row>
    <row r="38" spans="1:45" ht="15.75">
      <c r="A38" s="23"/>
      <c r="B38" s="24"/>
      <c r="C38" s="26"/>
      <c r="D38" s="26"/>
      <c r="E38" s="14"/>
      <c r="F38" s="14"/>
      <c r="G38" s="14"/>
      <c r="H38" s="14"/>
      <c r="I38" s="26"/>
      <c r="J38" s="26"/>
      <c r="K38" s="26"/>
      <c r="L38" s="26"/>
      <c r="M38" s="26"/>
      <c r="N38" s="26"/>
      <c r="O38" s="58"/>
      <c r="P38" s="26"/>
      <c r="Q38" s="58"/>
      <c r="AG38" s="68">
        <v>36</v>
      </c>
      <c r="AH38" s="8">
        <f t="shared" si="12"/>
        <v>824.99999999999977</v>
      </c>
      <c r="AI38" s="8">
        <f t="shared" si="2"/>
        <v>-250</v>
      </c>
      <c r="AJ38" s="8">
        <f t="shared" si="3"/>
        <v>250</v>
      </c>
      <c r="AK38" s="8">
        <f t="shared" si="4"/>
        <v>-1450</v>
      </c>
      <c r="AL38" s="8">
        <f t="shared" si="13"/>
        <v>249.99999999999994</v>
      </c>
      <c r="AM38" s="8">
        <f t="shared" si="5"/>
        <v>1450</v>
      </c>
      <c r="AN38" s="8">
        <f t="shared" si="6"/>
        <v>687.5</v>
      </c>
      <c r="AO38" s="8">
        <f t="shared" si="7"/>
        <v>-250</v>
      </c>
      <c r="AP38" s="8">
        <f t="shared" si="8"/>
        <v>250</v>
      </c>
      <c r="AQ38" s="8">
        <f t="shared" si="9"/>
        <v>-825</v>
      </c>
      <c r="AR38" s="8">
        <f t="shared" si="10"/>
        <v>249.99999999999994</v>
      </c>
      <c r="AS38" s="8">
        <f t="shared" si="11"/>
        <v>825</v>
      </c>
    </row>
    <row r="39" spans="1:45" ht="15.75">
      <c r="A39" s="23"/>
      <c r="B39" s="24"/>
      <c r="C39" s="26"/>
      <c r="D39" s="26"/>
      <c r="E39" s="14"/>
      <c r="F39" s="14"/>
      <c r="G39" s="14"/>
      <c r="H39" s="14"/>
      <c r="I39" s="26"/>
      <c r="J39" s="26"/>
      <c r="K39" s="26"/>
      <c r="L39" s="26"/>
      <c r="M39" s="26"/>
      <c r="N39" s="26"/>
      <c r="O39" s="58"/>
      <c r="P39" s="26"/>
      <c r="Q39" s="58"/>
      <c r="AG39" s="68">
        <v>37</v>
      </c>
      <c r="AH39" s="8">
        <f t="shared" si="12"/>
        <v>824.99999999999977</v>
      </c>
      <c r="AI39" s="8">
        <f t="shared" si="2"/>
        <v>-250</v>
      </c>
      <c r="AJ39" s="8">
        <f t="shared" si="3"/>
        <v>250</v>
      </c>
      <c r="AK39" s="8">
        <f t="shared" si="4"/>
        <v>-1450</v>
      </c>
      <c r="AL39" s="8">
        <f t="shared" si="13"/>
        <v>249.99999999999994</v>
      </c>
      <c r="AM39" s="8">
        <f t="shared" si="5"/>
        <v>1450</v>
      </c>
      <c r="AN39" s="8">
        <f t="shared" si="6"/>
        <v>687.5</v>
      </c>
      <c r="AO39" s="8">
        <f t="shared" si="7"/>
        <v>-250</v>
      </c>
      <c r="AP39" s="8">
        <f t="shared" si="8"/>
        <v>250</v>
      </c>
      <c r="AQ39" s="8">
        <f t="shared" si="9"/>
        <v>-825</v>
      </c>
      <c r="AR39" s="8">
        <f t="shared" si="10"/>
        <v>249.99999999999994</v>
      </c>
      <c r="AS39" s="8">
        <f t="shared" si="11"/>
        <v>825</v>
      </c>
    </row>
    <row r="40" spans="1:45" ht="15.75">
      <c r="A40" s="23"/>
      <c r="B40" s="24"/>
      <c r="C40" s="26"/>
      <c r="D40" s="26"/>
      <c r="E40" s="14"/>
      <c r="F40" s="14"/>
      <c r="G40" s="14"/>
      <c r="H40" s="14"/>
      <c r="I40" s="26"/>
      <c r="J40" s="26"/>
      <c r="K40" s="26"/>
      <c r="L40" s="26"/>
      <c r="M40" s="26"/>
      <c r="N40" s="26"/>
      <c r="O40" s="58"/>
      <c r="P40" s="26"/>
      <c r="Q40" s="58"/>
      <c r="AG40" s="68">
        <v>38</v>
      </c>
      <c r="AH40" s="8">
        <f t="shared" si="12"/>
        <v>824.99999999999977</v>
      </c>
      <c r="AI40" s="8">
        <f t="shared" si="2"/>
        <v>-250</v>
      </c>
      <c r="AJ40" s="8">
        <f t="shared" si="3"/>
        <v>250</v>
      </c>
      <c r="AK40" s="8">
        <f t="shared" si="4"/>
        <v>-1450</v>
      </c>
      <c r="AL40" s="8">
        <f t="shared" si="13"/>
        <v>249.99999999999994</v>
      </c>
      <c r="AM40" s="8">
        <f t="shared" si="5"/>
        <v>1450</v>
      </c>
      <c r="AN40" s="8">
        <f t="shared" si="6"/>
        <v>687.5</v>
      </c>
      <c r="AO40" s="8">
        <f t="shared" si="7"/>
        <v>-250</v>
      </c>
      <c r="AP40" s="8">
        <f t="shared" si="8"/>
        <v>250</v>
      </c>
      <c r="AQ40" s="8">
        <f t="shared" si="9"/>
        <v>-825</v>
      </c>
      <c r="AR40" s="8">
        <f t="shared" si="10"/>
        <v>249.99999999999994</v>
      </c>
      <c r="AS40" s="8">
        <f t="shared" si="11"/>
        <v>825</v>
      </c>
    </row>
    <row r="41" spans="1:45" ht="15.75">
      <c r="A41" s="23"/>
      <c r="B41" s="24"/>
      <c r="C41" s="26"/>
      <c r="D41" s="26"/>
      <c r="E41" s="14"/>
      <c r="F41" s="14"/>
      <c r="G41" s="14"/>
      <c r="H41" s="14"/>
      <c r="I41" s="26"/>
      <c r="J41" s="26"/>
      <c r="K41" s="26"/>
      <c r="L41" s="26"/>
      <c r="M41" s="26"/>
      <c r="N41" s="26"/>
      <c r="O41" s="58"/>
      <c r="P41" s="26"/>
      <c r="Q41" s="58"/>
      <c r="AG41" s="68">
        <v>39</v>
      </c>
      <c r="AH41" s="8">
        <f t="shared" si="12"/>
        <v>824.99999999999977</v>
      </c>
      <c r="AI41" s="8">
        <f t="shared" si="2"/>
        <v>-250</v>
      </c>
      <c r="AJ41" s="8">
        <f t="shared" si="3"/>
        <v>250</v>
      </c>
      <c r="AK41" s="8">
        <f t="shared" si="4"/>
        <v>-1450</v>
      </c>
      <c r="AL41" s="8">
        <f t="shared" si="13"/>
        <v>249.99999999999994</v>
      </c>
      <c r="AM41" s="8">
        <f t="shared" si="5"/>
        <v>1450</v>
      </c>
      <c r="AN41" s="8">
        <f t="shared" si="6"/>
        <v>687.5</v>
      </c>
      <c r="AO41" s="8">
        <f t="shared" si="7"/>
        <v>-250</v>
      </c>
      <c r="AP41" s="8">
        <f t="shared" si="8"/>
        <v>250</v>
      </c>
      <c r="AQ41" s="8">
        <f t="shared" si="9"/>
        <v>-825</v>
      </c>
      <c r="AR41" s="8">
        <f t="shared" si="10"/>
        <v>249.99999999999994</v>
      </c>
      <c r="AS41" s="8">
        <f t="shared" si="11"/>
        <v>825</v>
      </c>
    </row>
    <row r="42" spans="1:45" ht="15.75">
      <c r="A42" s="23"/>
      <c r="B42" s="24"/>
      <c r="C42" s="26"/>
      <c r="D42" s="26"/>
      <c r="E42" s="14"/>
      <c r="F42" s="14"/>
      <c r="G42" s="14"/>
      <c r="H42" s="14"/>
      <c r="I42" s="26"/>
      <c r="J42" s="26"/>
      <c r="K42" s="26"/>
      <c r="L42" s="26"/>
      <c r="M42" s="26"/>
      <c r="N42" s="26"/>
      <c r="O42" s="58"/>
      <c r="P42" s="26"/>
      <c r="Q42" s="58"/>
      <c r="AG42" s="68">
        <v>40</v>
      </c>
      <c r="AH42" s="8">
        <f t="shared" si="12"/>
        <v>824.99999999999977</v>
      </c>
      <c r="AI42" s="8">
        <f t="shared" si="2"/>
        <v>-250</v>
      </c>
      <c r="AJ42" s="8">
        <f t="shared" si="3"/>
        <v>250</v>
      </c>
      <c r="AK42" s="8">
        <f t="shared" si="4"/>
        <v>-1450</v>
      </c>
      <c r="AL42" s="8">
        <f t="shared" si="13"/>
        <v>249.99999999999994</v>
      </c>
      <c r="AM42" s="8">
        <f t="shared" si="5"/>
        <v>1450</v>
      </c>
      <c r="AN42" s="8">
        <f t="shared" si="6"/>
        <v>687.5</v>
      </c>
      <c r="AO42" s="8">
        <f t="shared" si="7"/>
        <v>-250</v>
      </c>
      <c r="AP42" s="8">
        <f t="shared" si="8"/>
        <v>250</v>
      </c>
      <c r="AQ42" s="8">
        <f t="shared" si="9"/>
        <v>-825</v>
      </c>
      <c r="AR42" s="8">
        <f t="shared" si="10"/>
        <v>249.99999999999994</v>
      </c>
      <c r="AS42" s="8">
        <f t="shared" si="11"/>
        <v>825</v>
      </c>
    </row>
    <row r="43" spans="1:45" ht="15.75">
      <c r="A43" s="23"/>
      <c r="B43" s="24"/>
      <c r="C43" s="26"/>
      <c r="D43" s="26"/>
      <c r="E43" s="14"/>
      <c r="F43" s="14"/>
      <c r="G43" s="14"/>
      <c r="H43" s="14"/>
      <c r="I43" s="26"/>
      <c r="J43" s="26"/>
      <c r="K43" s="26"/>
      <c r="L43" s="26"/>
      <c r="M43" s="26"/>
      <c r="N43" s="26"/>
      <c r="O43" s="58"/>
      <c r="P43" s="26"/>
      <c r="Q43" s="58"/>
      <c r="AG43" s="68">
        <v>41</v>
      </c>
      <c r="AH43" s="8">
        <f t="shared" si="12"/>
        <v>824.99999999999977</v>
      </c>
      <c r="AI43" s="8">
        <f t="shared" si="2"/>
        <v>-250</v>
      </c>
      <c r="AJ43" s="8">
        <f t="shared" si="3"/>
        <v>250</v>
      </c>
      <c r="AK43" s="8">
        <f t="shared" si="4"/>
        <v>-1450</v>
      </c>
      <c r="AL43" s="8">
        <f t="shared" si="13"/>
        <v>249.99999999999994</v>
      </c>
      <c r="AM43" s="8">
        <f t="shared" si="5"/>
        <v>1450</v>
      </c>
      <c r="AN43" s="8">
        <f t="shared" si="6"/>
        <v>687.5</v>
      </c>
      <c r="AO43" s="8">
        <f t="shared" si="7"/>
        <v>-250</v>
      </c>
      <c r="AP43" s="8">
        <f t="shared" si="8"/>
        <v>250</v>
      </c>
      <c r="AQ43" s="8">
        <f t="shared" si="9"/>
        <v>-825</v>
      </c>
      <c r="AR43" s="8">
        <f t="shared" si="10"/>
        <v>249.99999999999994</v>
      </c>
      <c r="AS43" s="8">
        <f t="shared" si="11"/>
        <v>825</v>
      </c>
    </row>
    <row r="44" spans="1:45" ht="15.75">
      <c r="A44" s="23"/>
      <c r="B44" s="24"/>
      <c r="C44" s="26"/>
      <c r="D44" s="26"/>
      <c r="E44" s="14"/>
      <c r="F44" s="14"/>
      <c r="G44" s="14"/>
      <c r="H44" s="14"/>
      <c r="I44" s="26"/>
      <c r="J44" s="26"/>
      <c r="K44" s="26"/>
      <c r="L44" s="26"/>
      <c r="M44" s="26"/>
      <c r="N44" s="26"/>
      <c r="O44" s="58"/>
      <c r="P44" s="26"/>
      <c r="Q44" s="58"/>
      <c r="AG44" s="68">
        <v>42</v>
      </c>
      <c r="AH44" s="8">
        <f t="shared" si="12"/>
        <v>824.99999999999977</v>
      </c>
      <c r="AI44" s="8">
        <f t="shared" si="2"/>
        <v>-250</v>
      </c>
      <c r="AJ44" s="8">
        <f t="shared" si="3"/>
        <v>250</v>
      </c>
      <c r="AK44" s="8">
        <f t="shared" si="4"/>
        <v>-1450</v>
      </c>
      <c r="AL44" s="8">
        <f t="shared" si="13"/>
        <v>249.99999999999994</v>
      </c>
      <c r="AM44" s="8">
        <f t="shared" si="5"/>
        <v>1450</v>
      </c>
      <c r="AN44" s="8">
        <f t="shared" si="6"/>
        <v>687.5</v>
      </c>
      <c r="AO44" s="8">
        <f t="shared" si="7"/>
        <v>-250</v>
      </c>
      <c r="AP44" s="8">
        <f t="shared" si="8"/>
        <v>250</v>
      </c>
      <c r="AQ44" s="8">
        <f t="shared" si="9"/>
        <v>-825</v>
      </c>
      <c r="AR44" s="8">
        <f t="shared" si="10"/>
        <v>249.99999999999994</v>
      </c>
      <c r="AS44" s="8">
        <f t="shared" si="11"/>
        <v>825</v>
      </c>
    </row>
    <row r="45" spans="1:45" ht="15.75">
      <c r="A45" s="23"/>
      <c r="B45" s="24"/>
      <c r="C45" s="26"/>
      <c r="D45" s="26"/>
      <c r="E45" s="14"/>
      <c r="F45" s="14"/>
      <c r="G45" s="14"/>
      <c r="H45" s="14"/>
      <c r="I45" s="26"/>
      <c r="J45" s="26"/>
      <c r="K45" s="26"/>
      <c r="L45" s="26"/>
      <c r="M45" s="26"/>
      <c r="N45" s="26"/>
      <c r="O45" s="58"/>
      <c r="P45" s="26"/>
      <c r="Q45" s="58"/>
      <c r="AG45" s="68">
        <v>43</v>
      </c>
      <c r="AH45" s="8">
        <f t="shared" si="12"/>
        <v>824.99999999999977</v>
      </c>
      <c r="AI45" s="8">
        <f t="shared" si="2"/>
        <v>-250</v>
      </c>
      <c r="AJ45" s="8">
        <f t="shared" si="3"/>
        <v>250</v>
      </c>
      <c r="AK45" s="8">
        <f t="shared" si="4"/>
        <v>-1450</v>
      </c>
      <c r="AL45" s="8">
        <f t="shared" si="13"/>
        <v>249.99999999999994</v>
      </c>
      <c r="AM45" s="8">
        <f t="shared" si="5"/>
        <v>1450</v>
      </c>
      <c r="AN45" s="8">
        <f t="shared" si="6"/>
        <v>687.5</v>
      </c>
      <c r="AO45" s="8">
        <f t="shared" si="7"/>
        <v>-250</v>
      </c>
      <c r="AP45" s="8">
        <f t="shared" si="8"/>
        <v>250</v>
      </c>
      <c r="AQ45" s="8">
        <f t="shared" si="9"/>
        <v>-825</v>
      </c>
      <c r="AR45" s="8">
        <f t="shared" si="10"/>
        <v>249.99999999999994</v>
      </c>
      <c r="AS45" s="8">
        <f t="shared" si="11"/>
        <v>825</v>
      </c>
    </row>
    <row r="46" spans="1:45" ht="15.75">
      <c r="A46" s="23"/>
      <c r="B46" s="24"/>
      <c r="C46" s="26"/>
      <c r="D46" s="26"/>
      <c r="E46" s="14"/>
      <c r="F46" s="14"/>
      <c r="G46" s="14"/>
      <c r="H46" s="14"/>
      <c r="I46" s="26"/>
      <c r="J46" s="26"/>
      <c r="K46" s="26"/>
      <c r="L46" s="26"/>
      <c r="M46" s="26"/>
      <c r="N46" s="26"/>
      <c r="O46" s="58"/>
      <c r="P46" s="26"/>
      <c r="Q46" s="58"/>
      <c r="AG46" s="68">
        <v>44</v>
      </c>
      <c r="AH46" s="8">
        <f t="shared" si="12"/>
        <v>824.99999999999977</v>
      </c>
      <c r="AI46" s="8">
        <f t="shared" si="2"/>
        <v>-250</v>
      </c>
      <c r="AJ46" s="8">
        <f t="shared" si="3"/>
        <v>250</v>
      </c>
      <c r="AK46" s="8">
        <f t="shared" si="4"/>
        <v>-1450</v>
      </c>
      <c r="AL46" s="8">
        <f t="shared" si="13"/>
        <v>249.99999999999994</v>
      </c>
      <c r="AM46" s="8">
        <f t="shared" si="5"/>
        <v>1450</v>
      </c>
      <c r="AN46" s="8">
        <f t="shared" si="6"/>
        <v>687.5</v>
      </c>
      <c r="AO46" s="8">
        <f t="shared" si="7"/>
        <v>-250</v>
      </c>
      <c r="AP46" s="8">
        <f t="shared" si="8"/>
        <v>250</v>
      </c>
      <c r="AQ46" s="8">
        <f t="shared" si="9"/>
        <v>-825</v>
      </c>
      <c r="AR46" s="8">
        <f t="shared" si="10"/>
        <v>249.99999999999994</v>
      </c>
      <c r="AS46" s="8">
        <f t="shared" si="11"/>
        <v>825</v>
      </c>
    </row>
    <row r="47" spans="1:45" ht="15.75">
      <c r="A47" s="23"/>
      <c r="B47" s="24"/>
      <c r="C47" s="26"/>
      <c r="D47" s="26"/>
      <c r="E47" s="14"/>
      <c r="F47" s="14"/>
      <c r="G47" s="14"/>
      <c r="H47" s="14"/>
      <c r="I47" s="26"/>
      <c r="J47" s="26"/>
      <c r="K47" s="26"/>
      <c r="L47" s="26"/>
      <c r="M47" s="26"/>
      <c r="N47" s="26"/>
      <c r="O47" s="58"/>
      <c r="P47" s="26"/>
      <c r="Q47" s="58"/>
      <c r="AG47" s="68">
        <v>45</v>
      </c>
      <c r="AH47" s="8">
        <f t="shared" si="12"/>
        <v>824.99999999999977</v>
      </c>
      <c r="AI47" s="8">
        <f t="shared" si="2"/>
        <v>-250</v>
      </c>
      <c r="AJ47" s="8">
        <f t="shared" si="3"/>
        <v>250</v>
      </c>
      <c r="AK47" s="8">
        <f t="shared" si="4"/>
        <v>-1450</v>
      </c>
      <c r="AL47" s="8">
        <f t="shared" si="13"/>
        <v>249.99999999999994</v>
      </c>
      <c r="AM47" s="8">
        <f t="shared" si="5"/>
        <v>1450</v>
      </c>
      <c r="AN47" s="8">
        <f t="shared" si="6"/>
        <v>687.5</v>
      </c>
      <c r="AO47" s="8">
        <f t="shared" si="7"/>
        <v>-250</v>
      </c>
      <c r="AP47" s="8">
        <f t="shared" si="8"/>
        <v>250</v>
      </c>
      <c r="AQ47" s="8">
        <f t="shared" si="9"/>
        <v>-825</v>
      </c>
      <c r="AR47" s="8">
        <f t="shared" si="10"/>
        <v>249.99999999999994</v>
      </c>
      <c r="AS47" s="8">
        <f t="shared" si="11"/>
        <v>825</v>
      </c>
    </row>
    <row r="48" spans="1:45" ht="15.75">
      <c r="A48" s="23"/>
      <c r="B48" s="24"/>
      <c r="C48" s="26"/>
      <c r="D48" s="26"/>
      <c r="E48" s="14"/>
      <c r="F48" s="14"/>
      <c r="G48" s="14"/>
      <c r="H48" s="14"/>
      <c r="I48" s="26"/>
      <c r="J48" s="26"/>
      <c r="K48" s="26"/>
      <c r="L48" s="26"/>
      <c r="M48" s="26"/>
      <c r="N48" s="26"/>
      <c r="O48" s="58"/>
      <c r="P48" s="26"/>
      <c r="Q48" s="58"/>
      <c r="AG48" s="68">
        <v>46</v>
      </c>
      <c r="AH48" s="8">
        <f t="shared" si="12"/>
        <v>824.99999999999977</v>
      </c>
      <c r="AI48" s="8">
        <f t="shared" si="2"/>
        <v>-250</v>
      </c>
      <c r="AJ48" s="8">
        <f t="shared" si="3"/>
        <v>250</v>
      </c>
      <c r="AK48" s="8">
        <f t="shared" si="4"/>
        <v>-1450</v>
      </c>
      <c r="AL48" s="8">
        <f t="shared" si="13"/>
        <v>249.99999999999994</v>
      </c>
      <c r="AM48" s="8">
        <f t="shared" si="5"/>
        <v>1450</v>
      </c>
      <c r="AN48" s="8">
        <f t="shared" si="6"/>
        <v>687.5</v>
      </c>
      <c r="AO48" s="8">
        <f t="shared" si="7"/>
        <v>-250</v>
      </c>
      <c r="AP48" s="8">
        <f t="shared" si="8"/>
        <v>250</v>
      </c>
      <c r="AQ48" s="8">
        <f t="shared" si="9"/>
        <v>-825</v>
      </c>
      <c r="AR48" s="8">
        <f t="shared" si="10"/>
        <v>249.99999999999994</v>
      </c>
      <c r="AS48" s="8">
        <f t="shared" si="11"/>
        <v>825</v>
      </c>
    </row>
    <row r="49" spans="1:45" ht="15.75">
      <c r="A49" s="23"/>
      <c r="B49" s="24"/>
      <c r="C49" s="26"/>
      <c r="D49" s="26"/>
      <c r="E49" s="14"/>
      <c r="F49" s="14"/>
      <c r="G49" s="14"/>
      <c r="H49" s="14"/>
      <c r="I49" s="26"/>
      <c r="J49" s="26"/>
      <c r="K49" s="26"/>
      <c r="L49" s="26"/>
      <c r="M49" s="26"/>
      <c r="N49" s="26"/>
      <c r="O49" s="58"/>
      <c r="P49" s="26"/>
      <c r="Q49" s="58"/>
      <c r="AG49" s="68">
        <v>47</v>
      </c>
      <c r="AH49" s="8">
        <f t="shared" si="12"/>
        <v>824.99999999999977</v>
      </c>
      <c r="AI49" s="8">
        <f t="shared" si="2"/>
        <v>-250</v>
      </c>
      <c r="AJ49" s="8">
        <f t="shared" si="3"/>
        <v>250</v>
      </c>
      <c r="AK49" s="8">
        <f t="shared" si="4"/>
        <v>-1450</v>
      </c>
      <c r="AL49" s="8">
        <f t="shared" si="13"/>
        <v>249.99999999999994</v>
      </c>
      <c r="AM49" s="8">
        <f t="shared" si="5"/>
        <v>1450</v>
      </c>
      <c r="AN49" s="8">
        <f t="shared" si="6"/>
        <v>687.5</v>
      </c>
      <c r="AO49" s="8">
        <f t="shared" si="7"/>
        <v>-250</v>
      </c>
      <c r="AP49" s="8">
        <f t="shared" si="8"/>
        <v>250</v>
      </c>
      <c r="AQ49" s="8">
        <f t="shared" si="9"/>
        <v>-825</v>
      </c>
      <c r="AR49" s="8">
        <f t="shared" si="10"/>
        <v>249.99999999999994</v>
      </c>
      <c r="AS49" s="8">
        <f t="shared" si="11"/>
        <v>825</v>
      </c>
    </row>
    <row r="50" spans="1:45" ht="15.75">
      <c r="A50" s="23"/>
      <c r="B50" s="24"/>
      <c r="C50" s="26"/>
      <c r="D50" s="26"/>
      <c r="E50" s="14"/>
      <c r="F50" s="14"/>
      <c r="G50" s="14"/>
      <c r="H50" s="14"/>
      <c r="I50" s="26"/>
      <c r="J50" s="26"/>
      <c r="K50" s="26"/>
      <c r="L50" s="26"/>
      <c r="M50" s="26"/>
      <c r="N50" s="26"/>
      <c r="O50" s="58"/>
      <c r="P50" s="26"/>
      <c r="Q50" s="58"/>
      <c r="AG50" s="68">
        <v>48</v>
      </c>
      <c r="AH50" s="8">
        <f t="shared" si="12"/>
        <v>824.99999999999977</v>
      </c>
      <c r="AI50" s="8">
        <f t="shared" si="2"/>
        <v>-250</v>
      </c>
      <c r="AJ50" s="8">
        <f t="shared" si="3"/>
        <v>250</v>
      </c>
      <c r="AK50" s="8">
        <f t="shared" si="4"/>
        <v>-1450</v>
      </c>
      <c r="AL50" s="8">
        <f t="shared" si="13"/>
        <v>249.99999999999994</v>
      </c>
      <c r="AM50" s="8">
        <f t="shared" si="5"/>
        <v>1450</v>
      </c>
      <c r="AN50" s="8">
        <f t="shared" si="6"/>
        <v>687.5</v>
      </c>
      <c r="AO50" s="8">
        <f t="shared" si="7"/>
        <v>-250</v>
      </c>
      <c r="AP50" s="8">
        <f t="shared" si="8"/>
        <v>250</v>
      </c>
      <c r="AQ50" s="8">
        <f t="shared" si="9"/>
        <v>-825</v>
      </c>
      <c r="AR50" s="8">
        <f t="shared" si="10"/>
        <v>249.99999999999994</v>
      </c>
      <c r="AS50" s="8">
        <f t="shared" si="11"/>
        <v>825</v>
      </c>
    </row>
    <row r="51" spans="1:45" ht="15.75">
      <c r="A51" s="23"/>
      <c r="B51" s="24"/>
      <c r="C51" s="26"/>
      <c r="D51" s="26"/>
      <c r="E51" s="14"/>
      <c r="F51" s="14"/>
      <c r="G51" s="14"/>
      <c r="H51" s="14"/>
      <c r="I51" s="26"/>
      <c r="J51" s="26"/>
      <c r="K51" s="26"/>
      <c r="L51" s="26"/>
      <c r="M51" s="26"/>
      <c r="N51" s="26"/>
      <c r="O51" s="58"/>
      <c r="P51" s="26"/>
      <c r="Q51" s="58"/>
      <c r="AG51" s="68">
        <v>49</v>
      </c>
      <c r="AH51" s="8">
        <f t="shared" si="12"/>
        <v>824.99999999999977</v>
      </c>
      <c r="AI51" s="8">
        <f t="shared" si="2"/>
        <v>-250</v>
      </c>
      <c r="AJ51" s="8">
        <f t="shared" si="3"/>
        <v>250</v>
      </c>
      <c r="AK51" s="8">
        <f t="shared" si="4"/>
        <v>-1450</v>
      </c>
      <c r="AL51" s="8">
        <f t="shared" si="13"/>
        <v>249.99999999999994</v>
      </c>
      <c r="AM51" s="8">
        <f t="shared" si="5"/>
        <v>1450</v>
      </c>
      <c r="AN51" s="8">
        <f t="shared" si="6"/>
        <v>687.5</v>
      </c>
      <c r="AO51" s="8">
        <f t="shared" si="7"/>
        <v>-250</v>
      </c>
      <c r="AP51" s="8">
        <f t="shared" si="8"/>
        <v>250</v>
      </c>
      <c r="AQ51" s="8">
        <f t="shared" si="9"/>
        <v>-825</v>
      </c>
      <c r="AR51" s="8">
        <f t="shared" si="10"/>
        <v>249.99999999999994</v>
      </c>
      <c r="AS51" s="8">
        <f t="shared" si="11"/>
        <v>825</v>
      </c>
    </row>
    <row r="52" spans="1:45" ht="15.75">
      <c r="A52" s="23"/>
      <c r="B52" s="24"/>
      <c r="C52" s="26"/>
      <c r="D52" s="26"/>
      <c r="E52" s="14"/>
      <c r="F52" s="14"/>
      <c r="G52" s="14"/>
      <c r="H52" s="14"/>
      <c r="I52" s="26"/>
      <c r="J52" s="26"/>
      <c r="K52" s="26"/>
      <c r="L52" s="26"/>
      <c r="M52" s="26"/>
      <c r="N52" s="26"/>
      <c r="O52" s="58"/>
      <c r="P52" s="26"/>
      <c r="Q52" s="58"/>
      <c r="AG52" s="68">
        <v>50</v>
      </c>
      <c r="AH52" s="8">
        <f t="shared" si="12"/>
        <v>824.99999999999977</v>
      </c>
      <c r="AI52" s="8">
        <f t="shared" si="2"/>
        <v>-250</v>
      </c>
      <c r="AJ52" s="8">
        <f t="shared" si="3"/>
        <v>250</v>
      </c>
      <c r="AK52" s="8">
        <f t="shared" si="4"/>
        <v>-1450</v>
      </c>
      <c r="AL52" s="8">
        <f t="shared" si="13"/>
        <v>249.99999999999994</v>
      </c>
      <c r="AM52" s="8">
        <f t="shared" si="5"/>
        <v>1450</v>
      </c>
      <c r="AN52" s="8">
        <f t="shared" si="6"/>
        <v>687.5</v>
      </c>
      <c r="AO52" s="8">
        <f t="shared" si="7"/>
        <v>-250</v>
      </c>
      <c r="AP52" s="8">
        <f t="shared" si="8"/>
        <v>250</v>
      </c>
      <c r="AQ52" s="8">
        <f t="shared" si="9"/>
        <v>-825</v>
      </c>
      <c r="AR52" s="8">
        <f t="shared" si="10"/>
        <v>249.99999999999994</v>
      </c>
      <c r="AS52" s="8">
        <f t="shared" si="11"/>
        <v>825</v>
      </c>
    </row>
    <row r="53" spans="1:45" ht="15.75">
      <c r="A53" s="23"/>
      <c r="B53" s="24"/>
      <c r="C53" s="26"/>
      <c r="D53" s="26"/>
      <c r="E53" s="14"/>
      <c r="F53" s="14"/>
      <c r="G53" s="14"/>
      <c r="H53" s="14"/>
      <c r="I53" s="26"/>
      <c r="J53" s="26"/>
      <c r="K53" s="26"/>
      <c r="L53" s="26"/>
      <c r="M53" s="26"/>
      <c r="N53" s="26"/>
      <c r="O53" s="58"/>
      <c r="P53" s="26"/>
      <c r="Q53" s="58"/>
    </row>
    <row r="54" spans="1:45" ht="15.75">
      <c r="A54" s="23"/>
      <c r="B54" s="24"/>
      <c r="C54" s="26"/>
      <c r="D54" s="26"/>
      <c r="E54" s="14"/>
      <c r="F54" s="14"/>
      <c r="G54" s="14"/>
      <c r="H54" s="14"/>
      <c r="I54" s="26"/>
      <c r="J54" s="26"/>
      <c r="K54" s="26"/>
      <c r="L54" s="26"/>
      <c r="M54" s="26"/>
      <c r="N54" s="26"/>
      <c r="O54" s="58"/>
      <c r="P54" s="26"/>
      <c r="Q54" s="58"/>
    </row>
    <row r="55" spans="1:45" ht="15.75">
      <c r="A55" s="23"/>
      <c r="B55" s="24"/>
      <c r="C55" s="26"/>
      <c r="D55" s="26"/>
      <c r="E55" s="14"/>
      <c r="F55" s="14"/>
      <c r="G55" s="14"/>
      <c r="H55" s="14"/>
      <c r="I55" s="26"/>
      <c r="J55" s="26"/>
      <c r="K55" s="26"/>
      <c r="L55" s="26"/>
      <c r="M55" s="26"/>
      <c r="N55" s="26"/>
      <c r="O55" s="58"/>
      <c r="P55" s="26"/>
      <c r="Q55" s="58"/>
    </row>
    <row r="56" spans="1:45" ht="15.75">
      <c r="A56" s="23"/>
      <c r="B56" s="24"/>
      <c r="C56" s="26"/>
      <c r="D56" s="26"/>
      <c r="E56" s="14"/>
      <c r="F56" s="14"/>
      <c r="G56" s="14"/>
      <c r="H56" s="14"/>
      <c r="I56" s="26"/>
      <c r="J56" s="26"/>
      <c r="K56" s="26"/>
      <c r="L56" s="26"/>
      <c r="M56" s="26"/>
      <c r="N56" s="26"/>
      <c r="O56" s="58"/>
      <c r="P56" s="26"/>
      <c r="Q56" s="58"/>
    </row>
    <row r="57" spans="1:45" ht="15.75">
      <c r="A57" s="23"/>
      <c r="B57" s="24"/>
      <c r="C57" s="26"/>
      <c r="D57" s="26"/>
      <c r="E57" s="14"/>
      <c r="F57" s="14"/>
      <c r="G57" s="14"/>
      <c r="H57" s="14"/>
      <c r="I57" s="26"/>
      <c r="J57" s="26"/>
      <c r="K57" s="26"/>
      <c r="L57" s="26"/>
      <c r="M57" s="26"/>
      <c r="N57" s="26"/>
      <c r="O57" s="58"/>
      <c r="P57" s="26"/>
      <c r="Q57" s="58"/>
    </row>
    <row r="58" spans="1:45" ht="15.75">
      <c r="A58" s="23"/>
      <c r="B58" s="24"/>
      <c r="C58" s="26"/>
      <c r="D58" s="26"/>
      <c r="E58" s="14"/>
      <c r="F58" s="14"/>
      <c r="G58" s="14"/>
      <c r="H58" s="14"/>
      <c r="I58" s="26"/>
      <c r="J58" s="26"/>
      <c r="K58" s="26"/>
      <c r="L58" s="26"/>
      <c r="M58" s="26"/>
      <c r="N58" s="26"/>
      <c r="O58" s="58"/>
      <c r="P58" s="26"/>
      <c r="Q58" s="58"/>
    </row>
    <row r="59" spans="1:45" ht="15.75">
      <c r="A59" s="23"/>
      <c r="B59" s="24"/>
      <c r="C59" s="26"/>
      <c r="D59" s="26"/>
      <c r="E59" s="14"/>
      <c r="F59" s="14"/>
      <c r="G59" s="14"/>
      <c r="H59" s="14"/>
      <c r="I59" s="26"/>
      <c r="J59" s="26"/>
      <c r="K59" s="26"/>
      <c r="L59" s="26"/>
      <c r="M59" s="26"/>
      <c r="N59" s="26"/>
      <c r="O59" s="58"/>
      <c r="P59" s="26"/>
      <c r="Q59" s="58"/>
    </row>
    <row r="60" spans="1:45" ht="15.75">
      <c r="A60" s="23"/>
      <c r="B60" s="24"/>
      <c r="C60" s="26"/>
      <c r="D60" s="26"/>
      <c r="E60" s="14"/>
      <c r="F60" s="14"/>
      <c r="G60" s="14"/>
      <c r="H60" s="14"/>
      <c r="I60" s="26"/>
      <c r="J60" s="26"/>
      <c r="K60" s="26"/>
      <c r="L60" s="26"/>
      <c r="M60" s="26"/>
      <c r="N60" s="26"/>
      <c r="O60" s="58"/>
      <c r="P60" s="26"/>
      <c r="Q60" s="58"/>
    </row>
    <row r="61" spans="1:45" ht="15.75">
      <c r="A61" s="23"/>
      <c r="B61" s="24"/>
      <c r="C61" s="26"/>
      <c r="D61" s="26"/>
      <c r="E61" s="14"/>
      <c r="F61" s="14"/>
      <c r="G61" s="14"/>
      <c r="H61" s="14"/>
      <c r="I61" s="26"/>
      <c r="J61" s="26"/>
      <c r="K61" s="26"/>
      <c r="L61" s="26"/>
      <c r="M61" s="26"/>
      <c r="N61" s="26"/>
      <c r="O61" s="58"/>
      <c r="P61" s="26"/>
      <c r="Q61" s="58"/>
    </row>
    <row r="62" spans="1:45" ht="15.75">
      <c r="A62" s="23"/>
      <c r="B62" s="24"/>
      <c r="C62" s="26"/>
      <c r="D62" s="26"/>
      <c r="E62" s="14"/>
      <c r="F62" s="14"/>
      <c r="G62" s="14"/>
      <c r="H62" s="14"/>
      <c r="I62" s="26"/>
      <c r="J62" s="26"/>
      <c r="K62" s="26"/>
      <c r="L62" s="26"/>
      <c r="M62" s="26"/>
      <c r="N62" s="26"/>
      <c r="O62" s="58"/>
      <c r="P62" s="26"/>
      <c r="Q62" s="58"/>
    </row>
    <row r="63" spans="1:45" ht="15.75">
      <c r="A63" s="23"/>
      <c r="B63" s="24"/>
      <c r="C63" s="26"/>
      <c r="D63" s="26"/>
      <c r="E63" s="14"/>
      <c r="F63" s="14"/>
      <c r="G63" s="14"/>
      <c r="H63" s="14"/>
      <c r="I63" s="26"/>
      <c r="J63" s="26"/>
      <c r="K63" s="26"/>
      <c r="L63" s="26"/>
      <c r="M63" s="26"/>
      <c r="N63" s="26"/>
      <c r="O63" s="58"/>
      <c r="P63" s="26"/>
      <c r="Q63" s="58"/>
    </row>
    <row r="64" spans="1:45" ht="15.75">
      <c r="A64" s="23"/>
      <c r="B64" s="24"/>
      <c r="C64" s="26"/>
      <c r="D64" s="26"/>
      <c r="E64" s="14"/>
      <c r="F64" s="14"/>
      <c r="G64" s="14"/>
      <c r="H64" s="14"/>
      <c r="I64" s="26"/>
      <c r="J64" s="26"/>
      <c r="K64" s="26"/>
      <c r="L64" s="26"/>
      <c r="M64" s="26"/>
      <c r="N64" s="26"/>
      <c r="O64" s="58"/>
      <c r="P64" s="26"/>
      <c r="Q64" s="58"/>
    </row>
    <row r="65" spans="1:17" ht="15.75">
      <c r="A65" s="23"/>
      <c r="B65" s="24"/>
      <c r="C65" s="26"/>
      <c r="D65" s="26"/>
      <c r="E65" s="14"/>
      <c r="F65" s="14"/>
      <c r="G65" s="14"/>
      <c r="H65" s="14"/>
      <c r="I65" s="26"/>
      <c r="J65" s="26"/>
      <c r="K65" s="26"/>
      <c r="L65" s="26"/>
      <c r="M65" s="26"/>
      <c r="N65" s="26"/>
      <c r="O65" s="58"/>
      <c r="P65" s="26"/>
      <c r="Q65" s="58"/>
    </row>
    <row r="66" spans="1:17" ht="15.75">
      <c r="A66" s="23"/>
      <c r="B66" s="24"/>
      <c r="C66" s="26"/>
      <c r="D66" s="26"/>
      <c r="E66" s="14"/>
      <c r="F66" s="14"/>
      <c r="G66" s="14"/>
      <c r="H66" s="14"/>
      <c r="I66" s="26"/>
      <c r="J66" s="26"/>
      <c r="K66" s="26"/>
      <c r="L66" s="26"/>
      <c r="M66" s="26"/>
      <c r="N66" s="26"/>
      <c r="O66" s="58"/>
      <c r="P66" s="26"/>
      <c r="Q66" s="58"/>
    </row>
    <row r="67" spans="1:17" ht="15.75">
      <c r="A67" s="23"/>
      <c r="B67" s="24"/>
      <c r="C67" s="26"/>
      <c r="D67" s="26"/>
      <c r="E67" s="14"/>
      <c r="F67" s="14"/>
      <c r="G67" s="14"/>
      <c r="H67" s="14"/>
      <c r="I67" s="26"/>
      <c r="J67" s="26"/>
      <c r="K67" s="26"/>
      <c r="L67" s="26"/>
      <c r="M67" s="26"/>
      <c r="N67" s="26"/>
      <c r="O67" s="58"/>
      <c r="P67" s="26"/>
      <c r="Q67" s="58"/>
    </row>
    <row r="68" spans="1:17" ht="15.75">
      <c r="A68" s="23"/>
      <c r="B68" s="24"/>
      <c r="C68" s="26"/>
      <c r="D68" s="26"/>
      <c r="E68" s="14"/>
      <c r="F68" s="14"/>
      <c r="G68" s="14"/>
      <c r="H68" s="14"/>
      <c r="I68" s="26"/>
      <c r="J68" s="26"/>
      <c r="K68" s="26"/>
      <c r="L68" s="26"/>
      <c r="M68" s="26"/>
      <c r="N68" s="26"/>
      <c r="O68" s="58"/>
      <c r="P68" s="26"/>
      <c r="Q68" s="58"/>
    </row>
    <row r="69" spans="1:17" ht="15.75">
      <c r="A69" s="23"/>
      <c r="B69" s="24"/>
      <c r="C69" s="26"/>
      <c r="D69" s="26"/>
      <c r="E69" s="14"/>
      <c r="F69" s="14"/>
      <c r="G69" s="14"/>
      <c r="H69" s="14"/>
      <c r="I69" s="26"/>
      <c r="J69" s="26"/>
      <c r="K69" s="26"/>
      <c r="L69" s="26"/>
      <c r="M69" s="26"/>
      <c r="N69" s="26"/>
      <c r="O69" s="58"/>
      <c r="P69" s="26"/>
      <c r="Q69" s="58"/>
    </row>
    <row r="70" spans="1:17" ht="15.75">
      <c r="A70" s="23"/>
      <c r="B70" s="24"/>
      <c r="C70" s="26"/>
      <c r="D70" s="26"/>
      <c r="E70" s="14"/>
      <c r="F70" s="14"/>
      <c r="G70" s="14"/>
      <c r="H70" s="14"/>
      <c r="I70" s="26"/>
      <c r="J70" s="26"/>
      <c r="K70" s="26"/>
      <c r="L70" s="26"/>
      <c r="M70" s="26"/>
      <c r="N70" s="26"/>
      <c r="O70" s="58"/>
      <c r="P70" s="26"/>
      <c r="Q70" s="58"/>
    </row>
    <row r="71" spans="1:17" ht="15.75">
      <c r="A71" s="23"/>
      <c r="B71" s="24"/>
      <c r="C71" s="26"/>
      <c r="D71" s="26"/>
      <c r="E71" s="14"/>
      <c r="F71" s="14"/>
      <c r="G71" s="14"/>
      <c r="H71" s="14"/>
      <c r="I71" s="26"/>
      <c r="J71" s="26"/>
      <c r="K71" s="26"/>
      <c r="L71" s="26"/>
      <c r="M71" s="26"/>
      <c r="N71" s="26"/>
      <c r="O71" s="58"/>
      <c r="P71" s="26"/>
      <c r="Q71" s="58"/>
    </row>
    <row r="72" spans="1:17" ht="15.75">
      <c r="A72" s="23"/>
      <c r="B72" s="24"/>
      <c r="C72" s="26"/>
      <c r="D72" s="26"/>
      <c r="E72" s="14"/>
      <c r="F72" s="14"/>
      <c r="G72" s="14"/>
      <c r="H72" s="14"/>
      <c r="I72" s="26"/>
      <c r="J72" s="26"/>
      <c r="K72" s="26"/>
      <c r="L72" s="26"/>
      <c r="M72" s="26"/>
      <c r="N72" s="26"/>
      <c r="O72" s="58"/>
      <c r="P72" s="26"/>
      <c r="Q72" s="58"/>
    </row>
    <row r="73" spans="1:17" ht="15.75">
      <c r="A73" s="23"/>
      <c r="B73" s="24"/>
      <c r="C73" s="26"/>
      <c r="D73" s="26"/>
      <c r="E73" s="14"/>
      <c r="F73" s="14"/>
      <c r="G73" s="14"/>
      <c r="H73" s="14"/>
      <c r="I73" s="26"/>
      <c r="J73" s="26"/>
      <c r="K73" s="26"/>
      <c r="L73" s="26"/>
      <c r="M73" s="26"/>
      <c r="N73" s="26"/>
      <c r="O73" s="58"/>
      <c r="P73" s="26"/>
      <c r="Q73" s="58"/>
    </row>
    <row r="74" spans="1:17" ht="15.75">
      <c r="A74" s="23"/>
      <c r="B74" s="24"/>
      <c r="C74" s="26"/>
      <c r="D74" s="26"/>
      <c r="E74" s="14"/>
      <c r="F74" s="14"/>
      <c r="G74" s="14"/>
      <c r="H74" s="14"/>
      <c r="I74" s="26"/>
      <c r="J74" s="26"/>
      <c r="K74" s="26"/>
      <c r="L74" s="26"/>
      <c r="M74" s="26"/>
      <c r="N74" s="26"/>
      <c r="O74" s="58"/>
      <c r="P74" s="26"/>
      <c r="Q74" s="58"/>
    </row>
    <row r="75" spans="1:17" ht="15.75">
      <c r="A75" s="23"/>
      <c r="B75" s="24"/>
      <c r="C75" s="26"/>
      <c r="D75" s="26"/>
      <c r="E75" s="14"/>
      <c r="F75" s="14"/>
      <c r="G75" s="14"/>
      <c r="H75" s="14"/>
      <c r="I75" s="26"/>
      <c r="J75" s="26"/>
      <c r="K75" s="26"/>
      <c r="L75" s="26"/>
      <c r="M75" s="26"/>
      <c r="N75" s="26"/>
      <c r="O75" s="58"/>
      <c r="P75" s="26"/>
      <c r="Q75" s="58"/>
    </row>
    <row r="76" spans="1:17" ht="15.75">
      <c r="A76" s="23"/>
      <c r="B76" s="24"/>
      <c r="C76" s="26"/>
      <c r="D76" s="26"/>
      <c r="E76" s="14"/>
      <c r="F76" s="14"/>
      <c r="G76" s="14"/>
      <c r="H76" s="14"/>
      <c r="I76" s="26"/>
      <c r="J76" s="26"/>
      <c r="K76" s="26"/>
      <c r="L76" s="26"/>
      <c r="M76" s="26"/>
      <c r="N76" s="26"/>
      <c r="O76" s="58"/>
      <c r="P76" s="26"/>
      <c r="Q76" s="58"/>
    </row>
    <row r="77" spans="1:17" ht="15.75">
      <c r="A77" s="23"/>
      <c r="B77" s="24"/>
      <c r="C77" s="26"/>
      <c r="D77" s="26"/>
      <c r="E77" s="14"/>
      <c r="F77" s="14"/>
      <c r="G77" s="14"/>
      <c r="H77" s="14"/>
      <c r="I77" s="26"/>
      <c r="J77" s="26"/>
      <c r="K77" s="26"/>
      <c r="L77" s="26"/>
      <c r="M77" s="26"/>
      <c r="N77" s="26"/>
      <c r="O77" s="58"/>
      <c r="P77" s="26"/>
      <c r="Q77" s="58"/>
    </row>
    <row r="78" spans="1:17" ht="15.75">
      <c r="A78" s="23"/>
      <c r="B78" s="24"/>
      <c r="C78" s="26"/>
      <c r="D78" s="26"/>
      <c r="E78" s="14"/>
      <c r="F78" s="14"/>
      <c r="G78" s="14"/>
      <c r="H78" s="14"/>
      <c r="I78" s="26"/>
      <c r="J78" s="26"/>
      <c r="K78" s="26"/>
      <c r="L78" s="26"/>
      <c r="M78" s="26"/>
      <c r="N78" s="26"/>
      <c r="O78" s="58"/>
      <c r="P78" s="26"/>
      <c r="Q78" s="58"/>
    </row>
    <row r="79" spans="1:17" ht="15.75">
      <c r="A79" s="23"/>
      <c r="B79" s="24"/>
      <c r="C79" s="26"/>
      <c r="D79" s="26"/>
      <c r="E79" s="14"/>
      <c r="F79" s="14"/>
      <c r="G79" s="14"/>
      <c r="H79" s="14"/>
      <c r="I79" s="26"/>
      <c r="J79" s="26"/>
      <c r="K79" s="26"/>
      <c r="L79" s="26"/>
      <c r="M79" s="26"/>
      <c r="N79" s="26"/>
      <c r="O79" s="58"/>
      <c r="P79" s="26"/>
      <c r="Q79" s="58"/>
    </row>
    <row r="80" spans="1:17" ht="15.75">
      <c r="A80" s="23"/>
      <c r="B80" s="24"/>
      <c r="C80" s="26"/>
      <c r="D80" s="26"/>
      <c r="E80" s="14"/>
      <c r="F80" s="14"/>
      <c r="G80" s="14"/>
      <c r="H80" s="14"/>
      <c r="I80" s="26"/>
      <c r="J80" s="26"/>
      <c r="K80" s="26"/>
      <c r="L80" s="26"/>
      <c r="M80" s="26"/>
      <c r="N80" s="26"/>
      <c r="O80" s="58"/>
      <c r="P80" s="26"/>
      <c r="Q80" s="58"/>
    </row>
    <row r="81" spans="1:17" ht="15.75">
      <c r="A81" s="23"/>
      <c r="B81" s="24"/>
      <c r="C81" s="26"/>
      <c r="D81" s="26"/>
      <c r="E81" s="14"/>
      <c r="F81" s="14"/>
      <c r="G81" s="14"/>
      <c r="H81" s="14"/>
      <c r="I81" s="26"/>
      <c r="J81" s="26"/>
      <c r="K81" s="26"/>
      <c r="L81" s="26"/>
      <c r="M81" s="26"/>
      <c r="N81" s="26"/>
      <c r="O81" s="58"/>
      <c r="P81" s="26"/>
      <c r="Q81" s="58"/>
    </row>
    <row r="82" spans="1:17" ht="15.75">
      <c r="A82" s="23"/>
      <c r="B82" s="24"/>
      <c r="C82" s="26"/>
      <c r="D82" s="26"/>
      <c r="E82" s="14"/>
      <c r="F82" s="14"/>
      <c r="G82" s="14"/>
      <c r="H82" s="14"/>
      <c r="I82" s="26"/>
      <c r="J82" s="26"/>
      <c r="K82" s="26"/>
      <c r="L82" s="26"/>
      <c r="M82" s="26"/>
      <c r="N82" s="26"/>
      <c r="O82" s="58"/>
      <c r="P82" s="26"/>
      <c r="Q82" s="58"/>
    </row>
    <row r="83" spans="1:17" ht="15.75">
      <c r="A83" s="23"/>
      <c r="B83" s="24"/>
      <c r="C83" s="26"/>
      <c r="D83" s="26"/>
      <c r="E83" s="14"/>
      <c r="F83" s="14"/>
      <c r="G83" s="14"/>
      <c r="H83" s="14"/>
      <c r="I83" s="26"/>
      <c r="J83" s="26"/>
      <c r="K83" s="26"/>
      <c r="L83" s="26"/>
      <c r="M83" s="26"/>
      <c r="N83" s="26"/>
      <c r="O83" s="58"/>
      <c r="P83" s="26"/>
      <c r="Q83" s="58"/>
    </row>
    <row r="84" spans="1:17" ht="15.75">
      <c r="A84" s="23"/>
      <c r="B84" s="24"/>
      <c r="C84" s="26"/>
      <c r="D84" s="26"/>
      <c r="E84" s="14"/>
      <c r="F84" s="14"/>
      <c r="G84" s="14"/>
      <c r="H84" s="14"/>
      <c r="I84" s="26"/>
      <c r="J84" s="26"/>
      <c r="K84" s="26"/>
      <c r="L84" s="26"/>
      <c r="M84" s="26"/>
      <c r="N84" s="26"/>
      <c r="O84" s="58"/>
      <c r="P84" s="26"/>
      <c r="Q84" s="58"/>
    </row>
    <row r="85" spans="1:17" ht="15.75">
      <c r="A85" s="23"/>
      <c r="B85" s="24"/>
      <c r="C85" s="26"/>
      <c r="D85" s="26"/>
      <c r="E85" s="14"/>
      <c r="F85" s="14"/>
      <c r="G85" s="14"/>
      <c r="H85" s="14"/>
      <c r="I85" s="26"/>
      <c r="J85" s="26"/>
      <c r="K85" s="26"/>
      <c r="L85" s="26"/>
      <c r="M85" s="26"/>
      <c r="N85" s="26"/>
      <c r="O85" s="58"/>
      <c r="P85" s="26"/>
      <c r="Q85" s="58"/>
    </row>
    <row r="86" spans="1:17" ht="15.75">
      <c r="A86" s="23"/>
      <c r="B86" s="24"/>
      <c r="C86" s="26"/>
      <c r="D86" s="26"/>
      <c r="E86" s="14"/>
      <c r="F86" s="14"/>
      <c r="G86" s="14"/>
      <c r="H86" s="14"/>
      <c r="I86" s="26"/>
      <c r="J86" s="26"/>
      <c r="K86" s="26"/>
      <c r="L86" s="26"/>
      <c r="M86" s="26"/>
      <c r="N86" s="26"/>
      <c r="O86" s="58"/>
      <c r="P86" s="26"/>
      <c r="Q86" s="58"/>
    </row>
    <row r="87" spans="1:17" ht="15.75">
      <c r="A87" s="23"/>
      <c r="B87" s="24"/>
      <c r="C87" s="26"/>
      <c r="D87" s="26"/>
      <c r="E87" s="14"/>
      <c r="F87" s="14"/>
      <c r="G87" s="14"/>
      <c r="H87" s="14"/>
      <c r="I87" s="26"/>
      <c r="J87" s="26"/>
      <c r="K87" s="26"/>
      <c r="L87" s="26"/>
      <c r="M87" s="26"/>
      <c r="N87" s="26"/>
      <c r="O87" s="58"/>
      <c r="P87" s="26"/>
      <c r="Q87" s="58"/>
    </row>
    <row r="88" spans="1:17" ht="15.75">
      <c r="A88" s="23"/>
      <c r="B88" s="24"/>
      <c r="C88" s="26"/>
      <c r="D88" s="26"/>
      <c r="E88" s="14"/>
      <c r="F88" s="14"/>
      <c r="G88" s="14"/>
      <c r="H88" s="14"/>
      <c r="I88" s="26"/>
      <c r="J88" s="26"/>
      <c r="K88" s="26"/>
      <c r="L88" s="26"/>
      <c r="M88" s="26"/>
      <c r="N88" s="26"/>
      <c r="O88" s="58"/>
      <c r="P88" s="26"/>
      <c r="Q88" s="58"/>
    </row>
    <row r="89" spans="1:17" ht="15.75">
      <c r="A89" s="23"/>
      <c r="B89" s="24"/>
      <c r="C89" s="26"/>
      <c r="D89" s="26"/>
      <c r="E89" s="14"/>
      <c r="F89" s="14"/>
      <c r="G89" s="14"/>
      <c r="H89" s="14"/>
      <c r="I89" s="26"/>
      <c r="J89" s="26"/>
      <c r="K89" s="26"/>
      <c r="L89" s="26"/>
      <c r="M89" s="26"/>
      <c r="N89" s="26"/>
      <c r="O89" s="58"/>
      <c r="P89" s="26"/>
      <c r="Q89" s="58"/>
    </row>
    <row r="90" spans="1:17" ht="15.75">
      <c r="A90" s="23"/>
      <c r="B90" s="24"/>
      <c r="C90" s="26"/>
      <c r="D90" s="26"/>
      <c r="E90" s="14"/>
      <c r="F90" s="14"/>
      <c r="G90" s="14"/>
      <c r="H90" s="14"/>
      <c r="I90" s="26"/>
      <c r="J90" s="26"/>
      <c r="K90" s="26"/>
      <c r="L90" s="26"/>
      <c r="M90" s="26"/>
      <c r="N90" s="26"/>
      <c r="O90" s="58"/>
      <c r="P90" s="26"/>
      <c r="Q90" s="58"/>
    </row>
    <row r="91" spans="1:17" ht="15.75">
      <c r="A91" s="23"/>
      <c r="B91" s="24"/>
      <c r="C91" s="26"/>
      <c r="D91" s="26"/>
      <c r="E91" s="14"/>
      <c r="F91" s="14"/>
      <c r="G91" s="14"/>
      <c r="H91" s="14"/>
      <c r="I91" s="26"/>
      <c r="J91" s="26"/>
      <c r="K91" s="26"/>
      <c r="L91" s="26"/>
      <c r="M91" s="26"/>
      <c r="N91" s="26"/>
      <c r="O91" s="58"/>
      <c r="P91" s="26"/>
      <c r="Q91" s="58"/>
    </row>
    <row r="92" spans="1:17" ht="15.75">
      <c r="A92" s="23"/>
      <c r="B92" s="24"/>
      <c r="C92" s="26"/>
      <c r="D92" s="26"/>
      <c r="E92" s="14"/>
      <c r="F92" s="14"/>
      <c r="G92" s="14"/>
      <c r="H92" s="14"/>
      <c r="I92" s="26"/>
      <c r="J92" s="26"/>
      <c r="K92" s="26"/>
      <c r="L92" s="26"/>
      <c r="M92" s="26"/>
      <c r="N92" s="26"/>
      <c r="O92" s="58"/>
      <c r="P92" s="26"/>
      <c r="Q92" s="58"/>
    </row>
    <row r="93" spans="1:17" ht="15.75">
      <c r="A93" s="23"/>
      <c r="B93" s="24"/>
      <c r="C93" s="26"/>
      <c r="D93" s="26"/>
      <c r="E93" s="14"/>
      <c r="F93" s="14"/>
      <c r="G93" s="14"/>
      <c r="H93" s="14"/>
      <c r="I93" s="26"/>
      <c r="J93" s="26"/>
      <c r="K93" s="26"/>
      <c r="L93" s="26"/>
      <c r="M93" s="26"/>
      <c r="N93" s="26"/>
      <c r="O93" s="58"/>
      <c r="P93" s="26"/>
      <c r="Q93" s="58"/>
    </row>
    <row r="94" spans="1:17" ht="15.75">
      <c r="A94" s="23"/>
      <c r="B94" s="24"/>
      <c r="C94" s="26"/>
      <c r="D94" s="26"/>
      <c r="E94" s="14"/>
      <c r="F94" s="14"/>
      <c r="G94" s="14"/>
      <c r="H94" s="14"/>
      <c r="I94" s="26"/>
      <c r="J94" s="26"/>
      <c r="K94" s="26"/>
      <c r="L94" s="26"/>
      <c r="M94" s="26"/>
      <c r="N94" s="26"/>
      <c r="O94" s="58"/>
      <c r="P94" s="26"/>
      <c r="Q94" s="58"/>
    </row>
    <row r="95" spans="1:17" ht="15.75">
      <c r="A95" s="23"/>
      <c r="B95" s="24"/>
      <c r="C95" s="26"/>
      <c r="D95" s="26"/>
      <c r="E95" s="14"/>
      <c r="F95" s="14"/>
      <c r="G95" s="14"/>
      <c r="H95" s="14"/>
      <c r="I95" s="26"/>
      <c r="J95" s="26"/>
      <c r="K95" s="26"/>
      <c r="L95" s="26"/>
      <c r="M95" s="26"/>
      <c r="N95" s="26"/>
      <c r="O95" s="58"/>
      <c r="P95" s="26"/>
      <c r="Q95" s="58"/>
    </row>
    <row r="96" spans="1:17" ht="15.75">
      <c r="A96" s="23"/>
      <c r="B96" s="24"/>
      <c r="C96" s="26"/>
      <c r="D96" s="26"/>
      <c r="E96" s="14"/>
      <c r="F96" s="14"/>
      <c r="G96" s="14"/>
      <c r="H96" s="14"/>
      <c r="I96" s="26"/>
      <c r="J96" s="26"/>
      <c r="K96" s="26"/>
      <c r="L96" s="26"/>
      <c r="M96" s="26"/>
      <c r="N96" s="26"/>
      <c r="O96" s="58"/>
      <c r="P96" s="26"/>
      <c r="Q96" s="58"/>
    </row>
    <row r="97" spans="1:17" ht="15.75">
      <c r="A97" s="23"/>
      <c r="B97" s="24"/>
      <c r="C97" s="26"/>
      <c r="D97" s="26"/>
      <c r="E97" s="14"/>
      <c r="F97" s="14"/>
      <c r="G97" s="14"/>
      <c r="H97" s="14"/>
      <c r="I97" s="26"/>
      <c r="J97" s="26"/>
      <c r="K97" s="26"/>
      <c r="L97" s="26"/>
      <c r="M97" s="26"/>
      <c r="N97" s="26"/>
      <c r="O97" s="58"/>
      <c r="P97" s="26"/>
      <c r="Q97" s="58"/>
    </row>
    <row r="98" spans="1:17" ht="15.75">
      <c r="A98" s="23"/>
      <c r="B98" s="24"/>
      <c r="C98" s="26"/>
      <c r="D98" s="26"/>
      <c r="E98" s="14"/>
      <c r="F98" s="14"/>
      <c r="G98" s="14"/>
      <c r="H98" s="14"/>
      <c r="I98" s="26"/>
      <c r="J98" s="26"/>
      <c r="K98" s="26"/>
      <c r="L98" s="26"/>
      <c r="M98" s="26"/>
      <c r="N98" s="26"/>
      <c r="O98" s="58"/>
      <c r="P98" s="26"/>
      <c r="Q98" s="58"/>
    </row>
    <row r="99" spans="1:17" ht="15.75">
      <c r="A99" s="23"/>
      <c r="B99" s="24"/>
      <c r="C99" s="26"/>
      <c r="D99" s="26"/>
      <c r="E99" s="14"/>
      <c r="F99" s="14"/>
      <c r="G99" s="14"/>
      <c r="H99" s="14"/>
      <c r="I99" s="26"/>
      <c r="J99" s="26"/>
      <c r="K99" s="26"/>
      <c r="L99" s="26"/>
      <c r="M99" s="26"/>
      <c r="N99" s="26"/>
      <c r="O99" s="58"/>
      <c r="P99" s="26"/>
      <c r="Q99" s="58"/>
    </row>
    <row r="100" spans="1:17" ht="15.75">
      <c r="A100" s="23"/>
      <c r="B100" s="24"/>
      <c r="C100" s="26"/>
      <c r="D100" s="26"/>
      <c r="E100" s="14"/>
      <c r="F100" s="14"/>
      <c r="G100" s="14"/>
      <c r="H100" s="14"/>
      <c r="I100" s="26"/>
      <c r="J100" s="26"/>
      <c r="K100" s="26"/>
      <c r="L100" s="26"/>
      <c r="M100" s="26"/>
      <c r="N100" s="26"/>
      <c r="O100" s="58"/>
      <c r="P100" s="26"/>
      <c r="Q100" s="58"/>
    </row>
    <row r="101" spans="1:17" ht="15.75">
      <c r="A101" s="23"/>
      <c r="B101" s="24"/>
      <c r="C101" s="26"/>
      <c r="D101" s="26"/>
      <c r="E101" s="14"/>
      <c r="F101" s="14"/>
      <c r="G101" s="14"/>
      <c r="H101" s="14"/>
      <c r="I101" s="26"/>
      <c r="J101" s="26"/>
      <c r="K101" s="26"/>
      <c r="L101" s="26"/>
      <c r="M101" s="26"/>
      <c r="N101" s="26"/>
      <c r="O101" s="58"/>
      <c r="P101" s="26"/>
      <c r="Q101" s="58"/>
    </row>
    <row r="102" spans="1:17" ht="15.75">
      <c r="A102" s="23"/>
      <c r="B102" s="24"/>
      <c r="C102" s="26"/>
      <c r="D102" s="26"/>
      <c r="E102" s="14"/>
      <c r="F102" s="14"/>
      <c r="G102" s="14"/>
      <c r="H102" s="14"/>
      <c r="I102" s="26"/>
      <c r="J102" s="26"/>
      <c r="K102" s="26"/>
      <c r="L102" s="26"/>
      <c r="M102" s="26"/>
      <c r="N102" s="26"/>
      <c r="O102" s="58"/>
      <c r="P102" s="26"/>
      <c r="Q102" s="58"/>
    </row>
    <row r="103" spans="1:17" ht="15.75">
      <c r="A103" s="23"/>
      <c r="B103" s="24"/>
      <c r="C103" s="26"/>
      <c r="D103" s="26"/>
      <c r="E103" s="14"/>
      <c r="F103" s="14"/>
      <c r="G103" s="14"/>
      <c r="H103" s="14"/>
      <c r="I103" s="26"/>
      <c r="J103" s="26"/>
      <c r="K103" s="26"/>
      <c r="L103" s="26"/>
      <c r="M103" s="26"/>
      <c r="N103" s="26"/>
      <c r="O103" s="58"/>
      <c r="P103" s="26"/>
      <c r="Q103" s="58"/>
    </row>
    <row r="104" spans="1:17" ht="15.75">
      <c r="A104" s="23"/>
      <c r="B104" s="24"/>
      <c r="C104" s="26"/>
      <c r="D104" s="26"/>
      <c r="E104" s="14"/>
      <c r="F104" s="14"/>
      <c r="G104" s="14"/>
      <c r="H104" s="14"/>
      <c r="I104" s="26"/>
      <c r="J104" s="26"/>
      <c r="K104" s="26"/>
      <c r="L104" s="26"/>
      <c r="M104" s="26"/>
      <c r="N104" s="26"/>
      <c r="O104" s="58"/>
      <c r="P104" s="26"/>
      <c r="Q104" s="58"/>
    </row>
    <row r="105" spans="1:17" ht="15.75">
      <c r="A105" s="23"/>
      <c r="B105" s="24"/>
      <c r="C105" s="26"/>
      <c r="D105" s="26"/>
      <c r="E105" s="14"/>
      <c r="F105" s="14"/>
      <c r="G105" s="14"/>
      <c r="H105" s="14"/>
      <c r="I105" s="26"/>
      <c r="J105" s="26"/>
      <c r="K105" s="26"/>
      <c r="L105" s="26"/>
      <c r="M105" s="26"/>
      <c r="N105" s="26"/>
      <c r="O105" s="58"/>
      <c r="P105" s="26"/>
      <c r="Q105" s="58"/>
    </row>
    <row r="106" spans="1:17" ht="15.75">
      <c r="A106" s="23"/>
      <c r="B106" s="24"/>
      <c r="C106" s="26"/>
      <c r="D106" s="26"/>
      <c r="E106" s="14"/>
      <c r="F106" s="14"/>
      <c r="G106" s="14"/>
      <c r="H106" s="14"/>
      <c r="I106" s="26"/>
      <c r="J106" s="26"/>
      <c r="K106" s="26"/>
      <c r="L106" s="26"/>
      <c r="M106" s="26"/>
      <c r="N106" s="26"/>
      <c r="O106" s="58"/>
      <c r="P106" s="26"/>
      <c r="Q106" s="58"/>
    </row>
    <row r="107" spans="1:17" ht="15.75">
      <c r="A107" s="23"/>
      <c r="B107" s="24"/>
      <c r="C107" s="26"/>
      <c r="D107" s="26"/>
      <c r="E107" s="14"/>
      <c r="F107" s="14"/>
      <c r="G107" s="14"/>
      <c r="H107" s="14"/>
      <c r="I107" s="26"/>
      <c r="J107" s="26"/>
      <c r="K107" s="26"/>
      <c r="L107" s="26"/>
      <c r="M107" s="26"/>
      <c r="N107" s="26"/>
      <c r="O107" s="58"/>
      <c r="P107" s="26"/>
      <c r="Q107" s="58"/>
    </row>
    <row r="108" spans="1:17" ht="15.75">
      <c r="A108" s="23"/>
      <c r="B108" s="24"/>
      <c r="C108" s="26"/>
      <c r="D108" s="26"/>
      <c r="E108" s="14"/>
      <c r="F108" s="14"/>
      <c r="G108" s="14"/>
      <c r="H108" s="14"/>
      <c r="I108" s="26"/>
      <c r="J108" s="26"/>
      <c r="K108" s="26"/>
      <c r="L108" s="26"/>
      <c r="M108" s="26"/>
      <c r="N108" s="26"/>
      <c r="O108" s="58"/>
      <c r="P108" s="26"/>
      <c r="Q108" s="58"/>
    </row>
    <row r="109" spans="1:17" ht="15.75">
      <c r="A109" s="23"/>
      <c r="B109" s="24"/>
      <c r="C109" s="26"/>
      <c r="D109" s="26"/>
      <c r="E109" s="14"/>
      <c r="F109" s="14"/>
      <c r="G109" s="14"/>
      <c r="H109" s="14"/>
      <c r="I109" s="26"/>
      <c r="J109" s="26"/>
      <c r="K109" s="26"/>
      <c r="L109" s="26"/>
      <c r="M109" s="26"/>
      <c r="N109" s="26"/>
      <c r="O109" s="58"/>
      <c r="P109" s="26"/>
      <c r="Q109" s="58"/>
    </row>
    <row r="110" spans="1:17" ht="15.75">
      <c r="A110" s="23"/>
      <c r="B110" s="24"/>
      <c r="C110" s="26"/>
      <c r="D110" s="26"/>
      <c r="E110" s="14"/>
      <c r="F110" s="14"/>
      <c r="G110" s="14"/>
      <c r="H110" s="14"/>
      <c r="I110" s="26"/>
      <c r="J110" s="26"/>
      <c r="K110" s="26"/>
      <c r="L110" s="26"/>
      <c r="M110" s="26"/>
      <c r="N110" s="26"/>
      <c r="O110" s="58"/>
      <c r="P110" s="26"/>
      <c r="Q110" s="58"/>
    </row>
    <row r="111" spans="1:17" ht="15.75">
      <c r="A111" s="23"/>
      <c r="B111" s="24"/>
      <c r="C111" s="26"/>
      <c r="D111" s="26"/>
      <c r="E111" s="14"/>
      <c r="F111" s="14"/>
      <c r="G111" s="14"/>
      <c r="H111" s="14"/>
      <c r="I111" s="26"/>
      <c r="J111" s="26"/>
      <c r="K111" s="26"/>
      <c r="L111" s="26"/>
      <c r="M111" s="26"/>
      <c r="N111" s="26"/>
      <c r="O111" s="58"/>
      <c r="P111" s="26"/>
      <c r="Q111" s="58"/>
    </row>
    <row r="112" spans="1:17" ht="15.75">
      <c r="A112" s="23"/>
      <c r="B112" s="24"/>
      <c r="C112" s="26"/>
      <c r="D112" s="26"/>
      <c r="E112" s="14"/>
      <c r="F112" s="14"/>
      <c r="G112" s="14"/>
      <c r="H112" s="14"/>
      <c r="I112" s="26"/>
      <c r="J112" s="26"/>
      <c r="K112" s="26"/>
      <c r="L112" s="26"/>
      <c r="M112" s="26"/>
      <c r="N112" s="26"/>
      <c r="O112" s="58"/>
      <c r="P112" s="26"/>
      <c r="Q112" s="58"/>
    </row>
    <row r="113" spans="1:17" ht="15.75">
      <c r="A113" s="23"/>
      <c r="B113" s="24"/>
      <c r="C113" s="26"/>
      <c r="D113" s="26"/>
      <c r="E113" s="14"/>
      <c r="F113" s="14"/>
      <c r="G113" s="14"/>
      <c r="H113" s="14"/>
      <c r="I113" s="26"/>
      <c r="J113" s="26"/>
      <c r="K113" s="26"/>
      <c r="L113" s="26"/>
      <c r="M113" s="26"/>
      <c r="N113" s="26"/>
      <c r="O113" s="58"/>
      <c r="P113" s="26"/>
      <c r="Q113" s="58"/>
    </row>
    <row r="114" spans="1:17" ht="15.75">
      <c r="A114" s="23"/>
      <c r="B114" s="24"/>
      <c r="C114" s="26"/>
      <c r="D114" s="26"/>
      <c r="E114" s="14"/>
      <c r="F114" s="14"/>
      <c r="G114" s="14"/>
      <c r="H114" s="14"/>
      <c r="I114" s="26"/>
      <c r="J114" s="26"/>
      <c r="K114" s="26"/>
      <c r="L114" s="26"/>
      <c r="M114" s="26"/>
      <c r="N114" s="26"/>
      <c r="O114" s="58"/>
      <c r="P114" s="26"/>
      <c r="Q114" s="58"/>
    </row>
    <row r="115" spans="1:17" ht="15.75">
      <c r="A115" s="23"/>
      <c r="B115" s="24"/>
      <c r="C115" s="26"/>
      <c r="D115" s="26"/>
      <c r="E115" s="14"/>
      <c r="F115" s="14"/>
      <c r="G115" s="14"/>
      <c r="H115" s="14"/>
      <c r="I115" s="26"/>
      <c r="J115" s="26"/>
      <c r="K115" s="26"/>
      <c r="L115" s="26"/>
      <c r="M115" s="26"/>
      <c r="N115" s="26"/>
      <c r="O115" s="58"/>
      <c r="P115" s="26"/>
      <c r="Q115" s="58"/>
    </row>
    <row r="116" spans="1:17" ht="15.75">
      <c r="A116" s="23"/>
      <c r="B116" s="24"/>
      <c r="C116" s="26"/>
      <c r="D116" s="26"/>
      <c r="E116" s="14"/>
      <c r="F116" s="14"/>
      <c r="G116" s="14"/>
      <c r="H116" s="14"/>
      <c r="I116" s="26"/>
      <c r="J116" s="26"/>
      <c r="K116" s="26"/>
      <c r="L116" s="26"/>
      <c r="M116" s="26"/>
      <c r="N116" s="26"/>
      <c r="O116" s="58"/>
      <c r="P116" s="26"/>
      <c r="Q116" s="58"/>
    </row>
    <row r="117" spans="1:17" ht="15.75">
      <c r="A117" s="23"/>
      <c r="B117" s="24"/>
      <c r="C117" s="26"/>
      <c r="D117" s="26"/>
      <c r="E117" s="14"/>
      <c r="F117" s="14"/>
      <c r="G117" s="14"/>
      <c r="H117" s="14"/>
      <c r="I117" s="26"/>
      <c r="J117" s="26"/>
      <c r="K117" s="26"/>
      <c r="L117" s="26"/>
      <c r="M117" s="26"/>
      <c r="N117" s="26"/>
      <c r="O117" s="58"/>
      <c r="P117" s="26"/>
      <c r="Q117" s="58"/>
    </row>
    <row r="118" spans="1:17" ht="15.75">
      <c r="A118" s="23"/>
      <c r="B118" s="24"/>
      <c r="C118" s="26"/>
      <c r="D118" s="26"/>
      <c r="E118" s="14"/>
      <c r="F118" s="14"/>
      <c r="G118" s="14"/>
      <c r="H118" s="14"/>
      <c r="I118" s="26"/>
      <c r="J118" s="26"/>
      <c r="K118" s="26"/>
      <c r="L118" s="26"/>
      <c r="M118" s="26"/>
      <c r="N118" s="26"/>
      <c r="O118" s="58"/>
      <c r="P118" s="26"/>
      <c r="Q118" s="58"/>
    </row>
    <row r="119" spans="1:17" ht="15.75">
      <c r="A119" s="23"/>
      <c r="B119" s="24"/>
      <c r="C119" s="26"/>
      <c r="D119" s="26"/>
      <c r="E119" s="14"/>
      <c r="F119" s="14"/>
      <c r="G119" s="14"/>
      <c r="H119" s="14"/>
      <c r="I119" s="26"/>
      <c r="J119" s="26"/>
      <c r="K119" s="26"/>
      <c r="L119" s="26"/>
      <c r="M119" s="26"/>
      <c r="N119" s="26"/>
      <c r="O119" s="58"/>
      <c r="P119" s="26"/>
      <c r="Q119" s="58"/>
    </row>
    <row r="120" spans="1:17" ht="15.75">
      <c r="A120" s="23"/>
      <c r="B120" s="24"/>
      <c r="C120" s="26"/>
      <c r="D120" s="26"/>
      <c r="E120" s="14"/>
      <c r="F120" s="14"/>
      <c r="G120" s="14"/>
      <c r="H120" s="14"/>
      <c r="I120" s="26"/>
      <c r="J120" s="26"/>
      <c r="K120" s="26"/>
      <c r="L120" s="26"/>
      <c r="M120" s="26"/>
      <c r="N120" s="26"/>
      <c r="O120" s="58"/>
      <c r="P120" s="26"/>
      <c r="Q120" s="58"/>
    </row>
    <row r="121" spans="1:17" ht="15.75">
      <c r="A121" s="23"/>
      <c r="B121" s="24"/>
      <c r="C121" s="26"/>
      <c r="D121" s="26"/>
      <c r="E121" s="14"/>
      <c r="F121" s="14"/>
      <c r="G121" s="14"/>
      <c r="H121" s="14"/>
      <c r="I121" s="26"/>
      <c r="J121" s="26"/>
      <c r="K121" s="26"/>
      <c r="L121" s="26"/>
      <c r="M121" s="26"/>
      <c r="N121" s="26"/>
      <c r="O121" s="58"/>
      <c r="P121" s="26"/>
      <c r="Q121" s="58"/>
    </row>
    <row r="122" spans="1:17" ht="15.75">
      <c r="A122" s="23"/>
      <c r="B122" s="24"/>
      <c r="C122" s="26"/>
      <c r="D122" s="26"/>
      <c r="E122" s="14"/>
      <c r="F122" s="14"/>
      <c r="G122" s="14"/>
      <c r="H122" s="14"/>
      <c r="I122" s="26"/>
      <c r="J122" s="26"/>
      <c r="K122" s="26"/>
      <c r="L122" s="26"/>
      <c r="M122" s="26"/>
      <c r="N122" s="26"/>
      <c r="O122" s="58"/>
      <c r="P122" s="26"/>
      <c r="Q122" s="58"/>
    </row>
    <row r="123" spans="1:17" ht="15.75">
      <c r="A123" s="23"/>
      <c r="B123" s="24"/>
      <c r="C123" s="26"/>
      <c r="D123" s="26"/>
      <c r="E123" s="14"/>
      <c r="F123" s="14"/>
      <c r="G123" s="14"/>
      <c r="H123" s="14"/>
      <c r="I123" s="26"/>
      <c r="J123" s="26"/>
      <c r="K123" s="26"/>
      <c r="L123" s="26"/>
      <c r="M123" s="26"/>
      <c r="N123" s="26"/>
      <c r="O123" s="58"/>
      <c r="P123" s="26"/>
      <c r="Q123" s="58"/>
    </row>
    <row r="124" spans="1:17" ht="15.75">
      <c r="A124" s="23"/>
      <c r="B124" s="24"/>
      <c r="C124" s="26"/>
      <c r="D124" s="26"/>
      <c r="E124" s="14"/>
      <c r="F124" s="14"/>
      <c r="G124" s="14"/>
      <c r="H124" s="14"/>
      <c r="I124" s="26"/>
      <c r="J124" s="26"/>
      <c r="K124" s="26"/>
      <c r="L124" s="26"/>
      <c r="M124" s="26"/>
      <c r="N124" s="26"/>
      <c r="O124" s="58"/>
      <c r="P124" s="26"/>
      <c r="Q124" s="58"/>
    </row>
    <row r="125" spans="1:17" ht="15.75">
      <c r="A125" s="23"/>
      <c r="B125" s="24"/>
      <c r="C125" s="26"/>
      <c r="D125" s="26"/>
      <c r="E125" s="14"/>
      <c r="F125" s="14"/>
      <c r="G125" s="14"/>
      <c r="H125" s="14"/>
      <c r="I125" s="26"/>
      <c r="J125" s="26"/>
      <c r="K125" s="26"/>
      <c r="L125" s="26"/>
      <c r="M125" s="26"/>
      <c r="N125" s="26"/>
      <c r="O125" s="58"/>
      <c r="P125" s="26"/>
      <c r="Q125" s="58"/>
    </row>
    <row r="126" spans="1:17" ht="15.75">
      <c r="A126" s="23"/>
      <c r="B126" s="24"/>
      <c r="C126" s="26"/>
      <c r="D126" s="26"/>
      <c r="E126" s="14"/>
      <c r="F126" s="14"/>
      <c r="G126" s="14"/>
      <c r="H126" s="14"/>
      <c r="I126" s="26"/>
      <c r="J126" s="26"/>
      <c r="K126" s="26"/>
      <c r="L126" s="26"/>
      <c r="M126" s="26"/>
      <c r="N126" s="26"/>
      <c r="O126" s="58"/>
      <c r="P126" s="26"/>
      <c r="Q126" s="58"/>
    </row>
    <row r="127" spans="1:17" ht="15.75">
      <c r="A127" s="23"/>
      <c r="B127" s="24"/>
      <c r="C127" s="26"/>
      <c r="D127" s="26"/>
      <c r="E127" s="14"/>
      <c r="F127" s="14"/>
      <c r="G127" s="14"/>
      <c r="H127" s="14"/>
      <c r="I127" s="26"/>
      <c r="J127" s="26"/>
      <c r="K127" s="26"/>
      <c r="L127" s="26"/>
      <c r="M127" s="26"/>
      <c r="N127" s="26"/>
      <c r="O127" s="58"/>
      <c r="P127" s="26"/>
      <c r="Q127" s="58"/>
    </row>
    <row r="128" spans="1:17" ht="15.75">
      <c r="A128" s="23"/>
      <c r="B128" s="24"/>
      <c r="C128" s="26"/>
      <c r="D128" s="26"/>
      <c r="E128" s="14"/>
      <c r="F128" s="14"/>
      <c r="G128" s="14"/>
      <c r="H128" s="14"/>
      <c r="I128" s="26"/>
      <c r="J128" s="26"/>
      <c r="K128" s="26"/>
      <c r="L128" s="26"/>
      <c r="M128" s="26"/>
      <c r="N128" s="26"/>
      <c r="O128" s="58"/>
      <c r="P128" s="26"/>
      <c r="Q128" s="58"/>
    </row>
    <row r="129" spans="1:17" ht="15.75">
      <c r="A129" s="23"/>
      <c r="B129" s="24"/>
      <c r="C129" s="26"/>
      <c r="D129" s="26"/>
      <c r="E129" s="14"/>
      <c r="F129" s="14"/>
      <c r="G129" s="14"/>
      <c r="H129" s="14"/>
      <c r="I129" s="26"/>
      <c r="J129" s="26"/>
      <c r="K129" s="26"/>
      <c r="L129" s="26"/>
      <c r="M129" s="26"/>
      <c r="N129" s="26"/>
      <c r="O129" s="58"/>
      <c r="P129" s="26"/>
      <c r="Q129" s="58"/>
    </row>
    <row r="130" spans="1:17" ht="15.75">
      <c r="A130" s="23"/>
      <c r="B130" s="24"/>
      <c r="C130" s="26"/>
      <c r="D130" s="26"/>
      <c r="E130" s="14"/>
      <c r="F130" s="14"/>
      <c r="G130" s="14"/>
      <c r="H130" s="14"/>
      <c r="I130" s="26"/>
      <c r="J130" s="26"/>
      <c r="K130" s="26"/>
      <c r="L130" s="26"/>
      <c r="M130" s="26"/>
      <c r="N130" s="26"/>
      <c r="O130" s="58"/>
      <c r="P130" s="26"/>
      <c r="Q130" s="58"/>
    </row>
    <row r="131" spans="1:17" ht="15.75">
      <c r="A131" s="23"/>
      <c r="B131" s="24"/>
      <c r="C131" s="26"/>
      <c r="D131" s="26"/>
      <c r="E131" s="14"/>
      <c r="F131" s="14"/>
      <c r="G131" s="14"/>
      <c r="H131" s="14"/>
      <c r="I131" s="26"/>
      <c r="J131" s="26"/>
      <c r="K131" s="26"/>
      <c r="L131" s="26"/>
      <c r="M131" s="26"/>
      <c r="N131" s="26"/>
      <c r="O131" s="58"/>
      <c r="P131" s="26"/>
      <c r="Q131" s="58"/>
    </row>
    <row r="132" spans="1:17" ht="15.75">
      <c r="A132" s="23"/>
      <c r="B132" s="24"/>
      <c r="C132" s="26"/>
      <c r="D132" s="26"/>
      <c r="E132" s="14"/>
      <c r="F132" s="14"/>
      <c r="G132" s="14"/>
      <c r="H132" s="14"/>
      <c r="I132" s="26"/>
      <c r="J132" s="26"/>
      <c r="K132" s="26"/>
      <c r="L132" s="26"/>
      <c r="M132" s="26"/>
      <c r="N132" s="26"/>
      <c r="O132" s="58"/>
      <c r="P132" s="26"/>
      <c r="Q132" s="58"/>
    </row>
    <row r="133" spans="1:17" ht="15.75">
      <c r="A133" s="23"/>
      <c r="B133" s="24"/>
      <c r="C133" s="26"/>
      <c r="D133" s="26"/>
      <c r="E133" s="14"/>
      <c r="F133" s="14"/>
      <c r="G133" s="14"/>
      <c r="H133" s="14"/>
      <c r="I133" s="26"/>
      <c r="J133" s="26"/>
      <c r="K133" s="26"/>
      <c r="L133" s="26"/>
      <c r="M133" s="26"/>
      <c r="N133" s="26"/>
      <c r="O133" s="58"/>
      <c r="P133" s="26"/>
      <c r="Q133" s="58"/>
    </row>
    <row r="134" spans="1:17" ht="15.75">
      <c r="A134" s="23"/>
      <c r="B134" s="24"/>
      <c r="C134" s="26"/>
      <c r="D134" s="26"/>
      <c r="E134" s="14"/>
      <c r="F134" s="14"/>
      <c r="G134" s="14"/>
      <c r="H134" s="14"/>
      <c r="I134" s="26"/>
      <c r="J134" s="26"/>
      <c r="K134" s="26"/>
      <c r="L134" s="26"/>
      <c r="M134" s="26"/>
      <c r="N134" s="26"/>
      <c r="O134" s="58"/>
      <c r="P134" s="26"/>
      <c r="Q134" s="58"/>
    </row>
    <row r="135" spans="1:17" ht="15.75">
      <c r="A135" s="23"/>
      <c r="B135" s="24"/>
      <c r="C135" s="26"/>
      <c r="D135" s="26"/>
      <c r="E135" s="14"/>
      <c r="F135" s="14"/>
      <c r="G135" s="14"/>
      <c r="H135" s="14"/>
      <c r="I135" s="26"/>
      <c r="J135" s="26"/>
      <c r="K135" s="26"/>
      <c r="L135" s="26"/>
      <c r="M135" s="26"/>
      <c r="N135" s="26"/>
      <c r="O135" s="58"/>
      <c r="P135" s="26"/>
      <c r="Q135" s="58"/>
    </row>
    <row r="136" spans="1:17" ht="15.75">
      <c r="A136" s="23"/>
      <c r="B136" s="24"/>
      <c r="C136" s="26"/>
      <c r="D136" s="26"/>
      <c r="E136" s="14"/>
      <c r="F136" s="14"/>
      <c r="G136" s="14"/>
      <c r="H136" s="14"/>
      <c r="I136" s="26"/>
      <c r="J136" s="26"/>
      <c r="K136" s="26"/>
      <c r="L136" s="26"/>
      <c r="M136" s="26"/>
      <c r="N136" s="26"/>
      <c r="O136" s="58"/>
      <c r="P136" s="26"/>
      <c r="Q136" s="58"/>
    </row>
    <row r="137" spans="1:17" ht="15.75">
      <c r="A137" s="23"/>
      <c r="B137" s="24"/>
      <c r="C137" s="26"/>
      <c r="D137" s="26"/>
      <c r="E137" s="14"/>
      <c r="F137" s="14"/>
      <c r="G137" s="14"/>
      <c r="H137" s="14"/>
      <c r="I137" s="26"/>
      <c r="J137" s="26"/>
      <c r="K137" s="26"/>
      <c r="L137" s="26"/>
      <c r="M137" s="26"/>
      <c r="N137" s="26"/>
      <c r="O137" s="58"/>
      <c r="P137" s="26"/>
      <c r="Q137" s="58"/>
    </row>
    <row r="138" spans="1:17" ht="15.75">
      <c r="A138" s="23"/>
      <c r="B138" s="24"/>
      <c r="C138" s="26"/>
      <c r="D138" s="26"/>
      <c r="E138" s="14"/>
      <c r="F138" s="14"/>
      <c r="G138" s="14"/>
      <c r="H138" s="14"/>
      <c r="I138" s="26"/>
      <c r="J138" s="26"/>
      <c r="K138" s="26"/>
      <c r="L138" s="26"/>
      <c r="M138" s="26"/>
      <c r="N138" s="26"/>
      <c r="O138" s="58"/>
      <c r="P138" s="26"/>
      <c r="Q138" s="58"/>
    </row>
    <row r="139" spans="1:17" ht="15.75">
      <c r="A139" s="23"/>
      <c r="B139" s="24"/>
      <c r="C139" s="26"/>
      <c r="D139" s="26"/>
      <c r="E139" s="14"/>
      <c r="F139" s="14"/>
      <c r="G139" s="14"/>
      <c r="H139" s="14"/>
      <c r="I139" s="26"/>
      <c r="J139" s="26"/>
      <c r="K139" s="26"/>
      <c r="L139" s="26"/>
      <c r="M139" s="26"/>
      <c r="N139" s="26"/>
      <c r="O139" s="58"/>
      <c r="P139" s="26"/>
      <c r="Q139" s="58"/>
    </row>
    <row r="140" spans="1:17" ht="15.75">
      <c r="A140" s="23"/>
      <c r="B140" s="24"/>
      <c r="C140" s="26"/>
      <c r="D140" s="26"/>
      <c r="E140" s="14"/>
      <c r="F140" s="14"/>
      <c r="G140" s="14"/>
      <c r="H140" s="14"/>
      <c r="I140" s="26"/>
      <c r="J140" s="26"/>
      <c r="K140" s="26"/>
      <c r="L140" s="26"/>
      <c r="M140" s="26"/>
      <c r="N140" s="26"/>
      <c r="O140" s="58"/>
      <c r="P140" s="26"/>
      <c r="Q140" s="58"/>
    </row>
    <row r="141" spans="1:17" ht="15.75">
      <c r="A141" s="23"/>
      <c r="B141" s="24"/>
      <c r="C141" s="26"/>
      <c r="D141" s="26"/>
      <c r="E141" s="14"/>
      <c r="F141" s="14"/>
      <c r="G141" s="14"/>
      <c r="H141" s="14"/>
      <c r="I141" s="26"/>
      <c r="J141" s="26"/>
      <c r="K141" s="26"/>
      <c r="L141" s="26"/>
      <c r="M141" s="26"/>
      <c r="N141" s="26"/>
      <c r="O141" s="58"/>
      <c r="P141" s="26"/>
      <c r="Q141" s="58"/>
    </row>
    <row r="142" spans="1:17" ht="15.75">
      <c r="A142" s="23"/>
      <c r="B142" s="24"/>
      <c r="C142" s="26"/>
      <c r="D142" s="26"/>
      <c r="E142" s="14"/>
      <c r="F142" s="14"/>
      <c r="G142" s="14"/>
      <c r="H142" s="14"/>
      <c r="I142" s="26"/>
      <c r="J142" s="26"/>
      <c r="K142" s="26"/>
      <c r="L142" s="26"/>
      <c r="M142" s="26"/>
      <c r="N142" s="26"/>
      <c r="O142" s="58"/>
      <c r="P142" s="26"/>
      <c r="Q142" s="58"/>
    </row>
    <row r="143" spans="1:17" ht="15.75">
      <c r="A143" s="23"/>
      <c r="B143" s="24"/>
      <c r="C143" s="26"/>
      <c r="D143" s="26"/>
      <c r="E143" s="14"/>
      <c r="F143" s="14"/>
      <c r="G143" s="14"/>
      <c r="H143" s="14"/>
      <c r="I143" s="26"/>
      <c r="J143" s="26"/>
      <c r="K143" s="26"/>
      <c r="L143" s="26"/>
      <c r="M143" s="26"/>
      <c r="N143" s="26"/>
      <c r="O143" s="58"/>
      <c r="P143" s="26"/>
      <c r="Q143" s="58"/>
    </row>
    <row r="144" spans="1:17" ht="15.75">
      <c r="A144" s="23"/>
      <c r="B144" s="24"/>
      <c r="C144" s="26"/>
      <c r="D144" s="26"/>
      <c r="E144" s="14"/>
      <c r="F144" s="14"/>
      <c r="G144" s="14"/>
      <c r="H144" s="14"/>
      <c r="I144" s="26"/>
      <c r="J144" s="26"/>
      <c r="K144" s="26"/>
      <c r="L144" s="26"/>
      <c r="M144" s="26"/>
      <c r="N144" s="26"/>
      <c r="O144" s="58"/>
      <c r="P144" s="26"/>
      <c r="Q144" s="58"/>
    </row>
    <row r="145" spans="1:17" ht="15.75">
      <c r="A145" s="23"/>
      <c r="B145" s="24"/>
      <c r="C145" s="26"/>
      <c r="D145" s="26"/>
      <c r="E145" s="14"/>
      <c r="F145" s="14"/>
      <c r="G145" s="14"/>
      <c r="H145" s="14"/>
      <c r="I145" s="26"/>
      <c r="J145" s="26"/>
      <c r="K145" s="26"/>
      <c r="L145" s="26"/>
      <c r="M145" s="26"/>
      <c r="N145" s="26"/>
      <c r="O145" s="58"/>
      <c r="P145" s="26"/>
      <c r="Q145" s="58"/>
    </row>
    <row r="146" spans="1:17" ht="15.75">
      <c r="A146" s="23"/>
      <c r="B146" s="24"/>
      <c r="C146" s="26"/>
      <c r="D146" s="26"/>
      <c r="E146" s="14"/>
      <c r="F146" s="14"/>
      <c r="G146" s="14"/>
      <c r="H146" s="14"/>
      <c r="I146" s="26"/>
      <c r="J146" s="26"/>
      <c r="K146" s="26"/>
      <c r="L146" s="26"/>
      <c r="M146" s="26"/>
      <c r="N146" s="26"/>
      <c r="O146" s="58"/>
      <c r="P146" s="26"/>
      <c r="Q146" s="58"/>
    </row>
    <row r="147" spans="1:17" ht="15.75">
      <c r="A147" s="23"/>
      <c r="B147" s="24"/>
      <c r="C147" s="26"/>
      <c r="D147" s="26"/>
      <c r="E147" s="14"/>
      <c r="F147" s="14"/>
      <c r="G147" s="14"/>
      <c r="H147" s="14"/>
      <c r="I147" s="26"/>
      <c r="J147" s="26"/>
      <c r="K147" s="26"/>
      <c r="L147" s="26"/>
      <c r="M147" s="26"/>
      <c r="N147" s="26"/>
      <c r="O147" s="58"/>
      <c r="P147" s="26"/>
      <c r="Q147" s="58"/>
    </row>
    <row r="148" spans="1:17" ht="15.75">
      <c r="A148" s="23"/>
      <c r="B148" s="24"/>
      <c r="C148" s="26"/>
      <c r="D148" s="26"/>
      <c r="E148" s="14"/>
      <c r="F148" s="14"/>
      <c r="G148" s="14"/>
      <c r="H148" s="14"/>
      <c r="I148" s="26"/>
      <c r="J148" s="26"/>
      <c r="K148" s="26"/>
      <c r="L148" s="26"/>
      <c r="M148" s="26"/>
      <c r="N148" s="26"/>
      <c r="O148" s="58"/>
      <c r="P148" s="26"/>
      <c r="Q148" s="58"/>
    </row>
    <row r="149" spans="1:17" ht="15.75">
      <c r="A149" s="23"/>
      <c r="B149" s="24"/>
      <c r="C149" s="26"/>
      <c r="D149" s="26"/>
      <c r="E149" s="14"/>
      <c r="F149" s="14"/>
      <c r="G149" s="14"/>
      <c r="H149" s="14"/>
      <c r="I149" s="26"/>
      <c r="J149" s="26"/>
      <c r="K149" s="26"/>
      <c r="L149" s="26"/>
      <c r="M149" s="26"/>
      <c r="N149" s="26"/>
      <c r="O149" s="58"/>
      <c r="P149" s="26"/>
      <c r="Q149" s="58"/>
    </row>
    <row r="150" spans="1:17" ht="15.75">
      <c r="A150" s="23"/>
      <c r="B150" s="24"/>
      <c r="C150" s="26"/>
      <c r="D150" s="26"/>
      <c r="E150" s="14"/>
      <c r="F150" s="14"/>
      <c r="G150" s="14"/>
      <c r="H150" s="14"/>
      <c r="I150" s="26"/>
      <c r="J150" s="26"/>
      <c r="K150" s="26"/>
      <c r="L150" s="26"/>
      <c r="M150" s="26"/>
      <c r="N150" s="26"/>
      <c r="O150" s="58"/>
      <c r="P150" s="26"/>
      <c r="Q150" s="58"/>
    </row>
    <row r="151" spans="1:17" ht="15.75">
      <c r="A151" s="23"/>
      <c r="B151" s="24"/>
      <c r="C151" s="26"/>
      <c r="D151" s="26"/>
      <c r="E151" s="14"/>
      <c r="F151" s="14"/>
      <c r="G151" s="14"/>
      <c r="H151" s="14"/>
      <c r="I151" s="26"/>
      <c r="J151" s="26"/>
      <c r="K151" s="26"/>
      <c r="L151" s="26"/>
      <c r="M151" s="26"/>
      <c r="N151" s="26"/>
      <c r="O151" s="58"/>
      <c r="P151" s="26"/>
      <c r="Q151" s="58"/>
    </row>
    <row r="152" spans="1:17" ht="15.75">
      <c r="A152" s="23"/>
      <c r="B152" s="24"/>
      <c r="C152" s="26"/>
      <c r="D152" s="26"/>
      <c r="E152" s="14"/>
      <c r="F152" s="14"/>
      <c r="G152" s="14"/>
      <c r="H152" s="14"/>
      <c r="I152" s="26"/>
      <c r="J152" s="26"/>
      <c r="K152" s="26"/>
      <c r="L152" s="26"/>
      <c r="M152" s="26"/>
      <c r="N152" s="26"/>
      <c r="O152" s="58"/>
      <c r="P152" s="26"/>
      <c r="Q152" s="58"/>
    </row>
    <row r="153" spans="1:17" ht="15.75">
      <c r="A153" s="23"/>
      <c r="B153" s="24"/>
      <c r="C153" s="26"/>
      <c r="D153" s="26"/>
      <c r="E153" s="14"/>
      <c r="F153" s="14"/>
      <c r="G153" s="14"/>
      <c r="H153" s="14"/>
      <c r="I153" s="26"/>
      <c r="J153" s="26"/>
      <c r="K153" s="26"/>
      <c r="L153" s="26"/>
      <c r="M153" s="26"/>
      <c r="N153" s="26"/>
      <c r="O153" s="58"/>
      <c r="P153" s="26"/>
      <c r="Q153" s="58"/>
    </row>
    <row r="154" spans="1:17" ht="15.75">
      <c r="A154" s="23"/>
      <c r="B154" s="24"/>
      <c r="C154" s="26"/>
      <c r="D154" s="26"/>
      <c r="E154" s="14"/>
      <c r="F154" s="14"/>
      <c r="G154" s="14"/>
      <c r="H154" s="14"/>
      <c r="I154" s="26"/>
      <c r="J154" s="26"/>
      <c r="K154" s="26"/>
      <c r="L154" s="26"/>
      <c r="M154" s="26"/>
      <c r="N154" s="26"/>
      <c r="O154" s="58"/>
      <c r="P154" s="26"/>
      <c r="Q154" s="58"/>
    </row>
    <row r="155" spans="1:17" ht="15.75">
      <c r="A155" s="23"/>
      <c r="B155" s="24"/>
      <c r="C155" s="26"/>
      <c r="D155" s="26"/>
      <c r="E155" s="14"/>
      <c r="F155" s="14"/>
      <c r="G155" s="14"/>
      <c r="H155" s="14"/>
      <c r="I155" s="26"/>
      <c r="J155" s="26"/>
      <c r="K155" s="26"/>
      <c r="L155" s="26"/>
      <c r="M155" s="26"/>
      <c r="N155" s="26"/>
      <c r="O155" s="58"/>
      <c r="P155" s="26"/>
      <c r="Q155" s="58"/>
    </row>
    <row r="156" spans="1:17" ht="15.75">
      <c r="A156" s="23"/>
      <c r="B156" s="24"/>
      <c r="C156" s="26"/>
      <c r="D156" s="26"/>
      <c r="E156" s="14"/>
      <c r="F156" s="14"/>
      <c r="G156" s="14"/>
      <c r="H156" s="14"/>
      <c r="I156" s="26"/>
      <c r="J156" s="26"/>
      <c r="K156" s="26"/>
      <c r="L156" s="26"/>
      <c r="M156" s="26"/>
      <c r="N156" s="26"/>
      <c r="O156" s="58"/>
      <c r="P156" s="26"/>
      <c r="Q156" s="58"/>
    </row>
    <row r="157" spans="1:17" ht="15.75">
      <c r="A157" s="23"/>
      <c r="B157" s="24"/>
      <c r="C157" s="26"/>
      <c r="D157" s="26"/>
      <c r="E157" s="14"/>
      <c r="F157" s="14"/>
      <c r="G157" s="14"/>
      <c r="H157" s="14"/>
      <c r="I157" s="26"/>
      <c r="J157" s="26"/>
      <c r="K157" s="26"/>
      <c r="L157" s="26"/>
      <c r="M157" s="26"/>
      <c r="N157" s="26"/>
      <c r="O157" s="58"/>
      <c r="P157" s="26"/>
      <c r="Q157" s="58"/>
    </row>
    <row r="158" spans="1:17" ht="15.75">
      <c r="A158" s="23"/>
      <c r="B158" s="24"/>
      <c r="C158" s="26"/>
      <c r="D158" s="26"/>
      <c r="E158" s="14"/>
      <c r="F158" s="14"/>
      <c r="G158" s="14"/>
      <c r="H158" s="14"/>
      <c r="I158" s="26"/>
      <c r="J158" s="26"/>
      <c r="K158" s="26"/>
      <c r="L158" s="26"/>
      <c r="M158" s="26"/>
      <c r="N158" s="26"/>
      <c r="O158" s="58"/>
      <c r="P158" s="26"/>
      <c r="Q158" s="58"/>
    </row>
    <row r="159" spans="1:17" ht="15.75">
      <c r="A159" s="23"/>
      <c r="B159" s="24"/>
      <c r="C159" s="26"/>
      <c r="D159" s="26"/>
      <c r="E159" s="14"/>
      <c r="F159" s="14"/>
      <c r="G159" s="14"/>
      <c r="H159" s="14"/>
      <c r="I159" s="26"/>
      <c r="J159" s="26"/>
      <c r="K159" s="26"/>
      <c r="L159" s="26"/>
      <c r="M159" s="26"/>
      <c r="N159" s="26"/>
      <c r="O159" s="58"/>
      <c r="P159" s="26"/>
      <c r="Q159" s="58"/>
    </row>
    <row r="160" spans="1:17" ht="15.75">
      <c r="A160" s="23"/>
      <c r="B160" s="24"/>
      <c r="C160" s="26"/>
      <c r="D160" s="26"/>
      <c r="E160" s="14"/>
      <c r="F160" s="14"/>
      <c r="G160" s="14"/>
      <c r="H160" s="14"/>
      <c r="I160" s="26"/>
      <c r="J160" s="26"/>
      <c r="K160" s="26"/>
      <c r="L160" s="26"/>
      <c r="M160" s="26"/>
      <c r="N160" s="26"/>
      <c r="O160" s="58"/>
      <c r="P160" s="26"/>
      <c r="Q160" s="58"/>
    </row>
    <row r="161" spans="1:17" ht="15.75">
      <c r="A161" s="23"/>
      <c r="B161" s="24"/>
      <c r="C161" s="26"/>
      <c r="D161" s="26"/>
      <c r="E161" s="14"/>
      <c r="F161" s="14"/>
      <c r="G161" s="14"/>
      <c r="H161" s="14"/>
      <c r="I161" s="26"/>
      <c r="J161" s="26"/>
      <c r="K161" s="26"/>
      <c r="L161" s="26"/>
      <c r="M161" s="26"/>
      <c r="N161" s="26"/>
      <c r="O161" s="58"/>
      <c r="P161" s="26"/>
      <c r="Q161" s="58"/>
    </row>
    <row r="162" spans="1:17" ht="15.75">
      <c r="A162" s="23"/>
      <c r="B162" s="24"/>
      <c r="C162" s="26"/>
      <c r="D162" s="26"/>
      <c r="E162" s="14"/>
      <c r="F162" s="14"/>
      <c r="G162" s="14"/>
      <c r="H162" s="14"/>
      <c r="I162" s="26"/>
      <c r="J162" s="26"/>
      <c r="K162" s="26"/>
      <c r="L162" s="26"/>
      <c r="M162" s="26"/>
      <c r="N162" s="26"/>
      <c r="O162" s="58"/>
      <c r="P162" s="26"/>
      <c r="Q162" s="58"/>
    </row>
    <row r="163" spans="1:17" ht="15.75">
      <c r="A163" s="23"/>
      <c r="B163" s="24"/>
      <c r="C163" s="26"/>
      <c r="D163" s="26"/>
      <c r="E163" s="14"/>
      <c r="F163" s="14"/>
      <c r="G163" s="14"/>
      <c r="H163" s="14"/>
      <c r="I163" s="26"/>
      <c r="J163" s="26"/>
      <c r="K163" s="26"/>
      <c r="L163" s="26"/>
      <c r="M163" s="26"/>
      <c r="N163" s="26"/>
      <c r="O163" s="58"/>
      <c r="P163" s="26"/>
      <c r="Q163" s="58"/>
    </row>
    <row r="164" spans="1:17" ht="15.75">
      <c r="A164" s="23"/>
      <c r="B164" s="24"/>
      <c r="C164" s="26"/>
      <c r="D164" s="26"/>
      <c r="E164" s="14"/>
      <c r="F164" s="14"/>
      <c r="G164" s="14"/>
      <c r="H164" s="14"/>
      <c r="I164" s="26"/>
      <c r="J164" s="26"/>
      <c r="K164" s="26"/>
      <c r="L164" s="26"/>
      <c r="M164" s="26"/>
      <c r="N164" s="26"/>
      <c r="O164" s="58"/>
      <c r="P164" s="26"/>
      <c r="Q164" s="58"/>
    </row>
    <row r="165" spans="1:17" ht="15.75">
      <c r="A165" s="23"/>
      <c r="B165" s="24"/>
      <c r="C165" s="26"/>
      <c r="D165" s="26"/>
      <c r="E165" s="14"/>
      <c r="F165" s="14"/>
      <c r="G165" s="14"/>
      <c r="H165" s="14"/>
      <c r="I165" s="26"/>
      <c r="J165" s="26"/>
      <c r="K165" s="26"/>
      <c r="L165" s="26"/>
      <c r="M165" s="26"/>
      <c r="N165" s="26"/>
      <c r="O165" s="58"/>
      <c r="P165" s="26"/>
      <c r="Q165" s="58"/>
    </row>
    <row r="166" spans="1:17" ht="15.75">
      <c r="A166" s="23"/>
      <c r="B166" s="24"/>
      <c r="C166" s="26"/>
      <c r="D166" s="26"/>
      <c r="E166" s="14"/>
      <c r="F166" s="14"/>
      <c r="G166" s="14"/>
      <c r="H166" s="14"/>
      <c r="I166" s="26"/>
      <c r="J166" s="26"/>
      <c r="K166" s="26"/>
      <c r="L166" s="26"/>
      <c r="M166" s="26"/>
      <c r="N166" s="26"/>
      <c r="O166" s="58"/>
      <c r="P166" s="26"/>
      <c r="Q166" s="58"/>
    </row>
    <row r="167" spans="1:17" ht="15.75">
      <c r="A167" s="23"/>
      <c r="B167" s="24"/>
      <c r="C167" s="26"/>
      <c r="D167" s="26"/>
      <c r="E167" s="14"/>
      <c r="F167" s="14"/>
      <c r="G167" s="14"/>
      <c r="H167" s="14"/>
      <c r="I167" s="26"/>
      <c r="J167" s="26"/>
      <c r="K167" s="26"/>
      <c r="L167" s="26"/>
      <c r="M167" s="26"/>
      <c r="N167" s="26"/>
      <c r="O167" s="58"/>
      <c r="P167" s="26"/>
      <c r="Q167" s="58"/>
    </row>
    <row r="168" spans="1:17" ht="15.75">
      <c r="A168" s="23"/>
      <c r="B168" s="24"/>
      <c r="C168" s="26"/>
      <c r="D168" s="26"/>
      <c r="E168" s="14"/>
      <c r="F168" s="14"/>
      <c r="G168" s="14"/>
      <c r="H168" s="14"/>
      <c r="I168" s="26"/>
      <c r="J168" s="26"/>
      <c r="K168" s="26"/>
      <c r="L168" s="26"/>
      <c r="M168" s="26"/>
      <c r="N168" s="26"/>
      <c r="O168" s="58"/>
      <c r="P168" s="26"/>
      <c r="Q168" s="58"/>
    </row>
    <row r="169" spans="1:17" ht="15.75">
      <c r="A169" s="23"/>
      <c r="B169" s="24"/>
      <c r="C169" s="26"/>
      <c r="D169" s="26"/>
      <c r="E169" s="14"/>
      <c r="F169" s="14"/>
      <c r="G169" s="14"/>
      <c r="H169" s="14"/>
      <c r="I169" s="26"/>
      <c r="J169" s="26"/>
      <c r="K169" s="26"/>
      <c r="L169" s="26"/>
      <c r="M169" s="26"/>
      <c r="N169" s="26"/>
      <c r="O169" s="58"/>
      <c r="P169" s="26"/>
      <c r="Q169" s="58"/>
    </row>
    <row r="170" spans="1:17" ht="15.75">
      <c r="A170" s="23"/>
      <c r="B170" s="24"/>
      <c r="C170" s="26"/>
      <c r="D170" s="26"/>
      <c r="E170" s="14"/>
      <c r="F170" s="14"/>
      <c r="G170" s="14"/>
      <c r="H170" s="14"/>
      <c r="I170" s="26"/>
      <c r="J170" s="26"/>
      <c r="K170" s="26"/>
      <c r="L170" s="26"/>
      <c r="M170" s="26"/>
      <c r="N170" s="26"/>
      <c r="O170" s="58"/>
      <c r="P170" s="26"/>
      <c r="Q170" s="58"/>
    </row>
    <row r="171" spans="1:17" ht="15.75">
      <c r="A171" s="23"/>
      <c r="B171" s="24"/>
      <c r="C171" s="26"/>
      <c r="D171" s="26"/>
      <c r="E171" s="14"/>
      <c r="F171" s="14"/>
      <c r="G171" s="14"/>
      <c r="H171" s="14"/>
      <c r="I171" s="26"/>
      <c r="J171" s="26"/>
      <c r="K171" s="26"/>
      <c r="L171" s="26"/>
      <c r="M171" s="26"/>
      <c r="N171" s="26"/>
      <c r="O171" s="58"/>
      <c r="P171" s="26"/>
      <c r="Q171" s="58"/>
    </row>
    <row r="172" spans="1:17" ht="15.75">
      <c r="A172" s="23"/>
      <c r="B172" s="24"/>
      <c r="C172" s="26"/>
      <c r="D172" s="26"/>
      <c r="E172" s="14"/>
      <c r="F172" s="14"/>
      <c r="G172" s="14"/>
      <c r="H172" s="14"/>
      <c r="I172" s="26"/>
      <c r="J172" s="26"/>
      <c r="K172" s="26"/>
      <c r="L172" s="26"/>
      <c r="M172" s="26"/>
      <c r="N172" s="26"/>
      <c r="O172" s="58"/>
      <c r="P172" s="26"/>
      <c r="Q172" s="58"/>
    </row>
    <row r="173" spans="1:17" ht="15.75">
      <c r="A173" s="23"/>
      <c r="B173" s="24"/>
      <c r="C173" s="26"/>
      <c r="D173" s="26"/>
      <c r="E173" s="14"/>
      <c r="F173" s="14"/>
      <c r="G173" s="14"/>
      <c r="H173" s="14"/>
      <c r="I173" s="26"/>
      <c r="J173" s="26"/>
      <c r="K173" s="26"/>
      <c r="L173" s="26"/>
      <c r="M173" s="26"/>
      <c r="N173" s="26"/>
      <c r="O173" s="58"/>
      <c r="P173" s="26"/>
      <c r="Q173" s="58"/>
    </row>
    <row r="174" spans="1:17" ht="15.75">
      <c r="A174" s="23"/>
      <c r="B174" s="24"/>
      <c r="C174" s="26"/>
      <c r="D174" s="26"/>
      <c r="E174" s="14"/>
      <c r="F174" s="14"/>
      <c r="G174" s="14"/>
      <c r="H174" s="14"/>
      <c r="I174" s="26"/>
      <c r="J174" s="26"/>
      <c r="K174" s="26"/>
      <c r="L174" s="26"/>
      <c r="M174" s="26"/>
      <c r="N174" s="26"/>
      <c r="O174" s="58"/>
      <c r="P174" s="26"/>
      <c r="Q174" s="58"/>
    </row>
    <row r="175" spans="1:17" ht="15.75">
      <c r="A175" s="23"/>
      <c r="B175" s="24"/>
      <c r="C175" s="26"/>
      <c r="D175" s="26"/>
      <c r="E175" s="14"/>
      <c r="F175" s="14"/>
      <c r="G175" s="14"/>
      <c r="H175" s="14"/>
      <c r="I175" s="26"/>
      <c r="J175" s="26"/>
      <c r="K175" s="26"/>
      <c r="L175" s="26"/>
      <c r="M175" s="26"/>
      <c r="N175" s="26"/>
      <c r="O175" s="58"/>
      <c r="P175" s="26"/>
      <c r="Q175" s="58"/>
    </row>
    <row r="176" spans="1:17" ht="15.75">
      <c r="A176" s="23"/>
      <c r="B176" s="24"/>
      <c r="C176" s="26"/>
      <c r="D176" s="26"/>
      <c r="E176" s="14"/>
      <c r="F176" s="14"/>
      <c r="G176" s="14"/>
      <c r="H176" s="14"/>
      <c r="I176" s="26"/>
      <c r="J176" s="26"/>
      <c r="K176" s="26"/>
      <c r="L176" s="26"/>
      <c r="M176" s="26"/>
      <c r="N176" s="26"/>
      <c r="O176" s="58"/>
      <c r="P176" s="26"/>
      <c r="Q176" s="58"/>
    </row>
    <row r="177" spans="1:17" ht="15.75">
      <c r="A177" s="23"/>
      <c r="B177" s="24"/>
      <c r="C177" s="26"/>
      <c r="D177" s="26"/>
      <c r="E177" s="14"/>
      <c r="F177" s="14"/>
      <c r="G177" s="14"/>
      <c r="H177" s="14"/>
      <c r="I177" s="26"/>
      <c r="J177" s="26"/>
      <c r="K177" s="26"/>
      <c r="L177" s="26"/>
      <c r="M177" s="26"/>
      <c r="N177" s="26"/>
      <c r="O177" s="58"/>
      <c r="P177" s="26"/>
      <c r="Q177" s="58"/>
    </row>
    <row r="178" spans="1:17" ht="15.75">
      <c r="A178" s="23"/>
      <c r="B178" s="24"/>
      <c r="C178" s="26"/>
      <c r="D178" s="26"/>
      <c r="E178" s="14"/>
      <c r="F178" s="14"/>
      <c r="G178" s="14"/>
      <c r="H178" s="14"/>
      <c r="I178" s="26"/>
      <c r="J178" s="26"/>
      <c r="K178" s="26"/>
      <c r="L178" s="26"/>
      <c r="M178" s="26"/>
      <c r="N178" s="26"/>
      <c r="O178" s="58"/>
      <c r="P178" s="26"/>
      <c r="Q178" s="58"/>
    </row>
    <row r="179" spans="1:17" ht="15.75">
      <c r="A179" s="23"/>
      <c r="B179" s="24"/>
      <c r="C179" s="26"/>
      <c r="D179" s="26"/>
      <c r="E179" s="14"/>
      <c r="F179" s="14"/>
      <c r="G179" s="14"/>
      <c r="H179" s="14"/>
      <c r="I179" s="26"/>
      <c r="J179" s="26"/>
      <c r="K179" s="26"/>
      <c r="L179" s="26"/>
      <c r="M179" s="26"/>
      <c r="N179" s="26"/>
      <c r="O179" s="58"/>
      <c r="P179" s="26"/>
      <c r="Q179" s="58"/>
    </row>
    <row r="180" spans="1:17" ht="15.75">
      <c r="A180" s="23"/>
      <c r="B180" s="24"/>
      <c r="C180" s="26"/>
      <c r="D180" s="26"/>
      <c r="E180" s="14"/>
      <c r="F180" s="14"/>
      <c r="G180" s="14"/>
      <c r="H180" s="14"/>
      <c r="I180" s="26"/>
      <c r="J180" s="26"/>
      <c r="K180" s="26"/>
      <c r="L180" s="26"/>
      <c r="M180" s="26"/>
      <c r="N180" s="26"/>
      <c r="O180" s="58"/>
      <c r="P180" s="26"/>
      <c r="Q180" s="58"/>
    </row>
    <row r="181" spans="1:17" ht="15.75">
      <c r="A181" s="23"/>
      <c r="B181" s="24"/>
      <c r="C181" s="26"/>
      <c r="D181" s="26"/>
      <c r="E181" s="14"/>
      <c r="F181" s="14"/>
      <c r="G181" s="14"/>
      <c r="H181" s="14"/>
      <c r="I181" s="26"/>
      <c r="J181" s="26"/>
      <c r="K181" s="26"/>
      <c r="L181" s="26"/>
      <c r="M181" s="26"/>
      <c r="N181" s="26"/>
      <c r="O181" s="58"/>
      <c r="P181" s="26"/>
      <c r="Q181" s="58"/>
    </row>
    <row r="182" spans="1:17" ht="15.75">
      <c r="A182" s="23"/>
      <c r="B182" s="24"/>
      <c r="C182" s="26"/>
      <c r="D182" s="26"/>
      <c r="E182" s="14"/>
      <c r="F182" s="14"/>
      <c r="G182" s="14"/>
      <c r="H182" s="14"/>
      <c r="I182" s="26"/>
      <c r="J182" s="26"/>
      <c r="K182" s="26"/>
      <c r="L182" s="26"/>
      <c r="M182" s="26"/>
      <c r="N182" s="26"/>
      <c r="O182" s="58"/>
      <c r="P182" s="26"/>
      <c r="Q182" s="58"/>
    </row>
    <row r="183" spans="1:17" ht="15.75">
      <c r="A183" s="23"/>
      <c r="B183" s="24"/>
      <c r="C183" s="26"/>
      <c r="D183" s="26"/>
      <c r="E183" s="14"/>
      <c r="F183" s="14"/>
      <c r="G183" s="14"/>
      <c r="H183" s="14"/>
      <c r="I183" s="26"/>
      <c r="J183" s="26"/>
      <c r="K183" s="26"/>
      <c r="L183" s="26"/>
      <c r="M183" s="26"/>
      <c r="N183" s="26"/>
      <c r="O183" s="58"/>
      <c r="P183" s="26"/>
      <c r="Q183" s="58"/>
    </row>
    <row r="184" spans="1:17" ht="15.75">
      <c r="A184" s="23"/>
      <c r="B184" s="24"/>
      <c r="C184" s="26"/>
      <c r="D184" s="26"/>
      <c r="E184" s="14"/>
      <c r="F184" s="14"/>
      <c r="G184" s="14"/>
      <c r="H184" s="14"/>
      <c r="I184" s="26"/>
      <c r="J184" s="26"/>
      <c r="K184" s="26"/>
      <c r="L184" s="26"/>
      <c r="M184" s="26"/>
      <c r="N184" s="26"/>
      <c r="O184" s="58"/>
      <c r="P184" s="26"/>
      <c r="Q184" s="58"/>
    </row>
    <row r="185" spans="1:17" ht="15.75">
      <c r="A185" s="23"/>
      <c r="B185" s="24"/>
      <c r="C185" s="26"/>
      <c r="D185" s="26"/>
      <c r="E185" s="14"/>
      <c r="F185" s="14"/>
      <c r="G185" s="14"/>
      <c r="H185" s="14"/>
      <c r="I185" s="26"/>
      <c r="J185" s="26"/>
      <c r="K185" s="26"/>
      <c r="L185" s="26"/>
      <c r="M185" s="26"/>
      <c r="N185" s="26"/>
      <c r="O185" s="58"/>
      <c r="P185" s="26"/>
      <c r="Q185" s="58"/>
    </row>
    <row r="186" spans="1:17" ht="15.75">
      <c r="A186" s="23"/>
      <c r="B186" s="24"/>
      <c r="C186" s="26"/>
      <c r="D186" s="26"/>
      <c r="E186" s="14"/>
      <c r="F186" s="14"/>
      <c r="G186" s="14"/>
      <c r="H186" s="14"/>
      <c r="I186" s="26"/>
      <c r="J186" s="26"/>
      <c r="K186" s="26"/>
      <c r="L186" s="26"/>
      <c r="M186" s="26"/>
      <c r="N186" s="26"/>
      <c r="O186" s="58"/>
      <c r="P186" s="26"/>
      <c r="Q186" s="58"/>
    </row>
    <row r="187" spans="1:17" ht="15.75">
      <c r="A187" s="23"/>
      <c r="B187" s="24"/>
      <c r="C187" s="26"/>
      <c r="D187" s="26"/>
      <c r="E187" s="14"/>
      <c r="F187" s="14"/>
      <c r="G187" s="14"/>
      <c r="H187" s="14"/>
      <c r="I187" s="26"/>
      <c r="J187" s="26"/>
      <c r="K187" s="26"/>
      <c r="L187" s="26"/>
      <c r="M187" s="26"/>
      <c r="N187" s="26"/>
      <c r="O187" s="58"/>
      <c r="P187" s="26"/>
      <c r="Q187" s="58"/>
    </row>
    <row r="188" spans="1:17" ht="15.75">
      <c r="A188" s="23"/>
      <c r="B188" s="24"/>
      <c r="C188" s="26"/>
      <c r="D188" s="26"/>
      <c r="E188" s="14"/>
      <c r="F188" s="14"/>
      <c r="G188" s="14"/>
      <c r="H188" s="14"/>
      <c r="I188" s="26"/>
      <c r="J188" s="26"/>
      <c r="K188" s="26"/>
      <c r="L188" s="26"/>
      <c r="M188" s="26"/>
      <c r="N188" s="26"/>
      <c r="O188" s="58"/>
      <c r="P188" s="26"/>
      <c r="Q188" s="58"/>
    </row>
    <row r="189" spans="1:17" ht="15.75">
      <c r="A189" s="23"/>
      <c r="B189" s="24"/>
      <c r="C189" s="26"/>
      <c r="D189" s="26"/>
      <c r="E189" s="14"/>
      <c r="F189" s="14"/>
      <c r="G189" s="14"/>
      <c r="H189" s="14"/>
      <c r="I189" s="26"/>
      <c r="J189" s="26"/>
      <c r="K189" s="26"/>
      <c r="L189" s="26"/>
      <c r="M189" s="26"/>
      <c r="N189" s="26"/>
      <c r="O189" s="58"/>
      <c r="P189" s="26"/>
      <c r="Q189" s="58"/>
    </row>
    <row r="190" spans="1:17" ht="15.75">
      <c r="A190" s="23"/>
      <c r="B190" s="24"/>
      <c r="C190" s="26"/>
      <c r="D190" s="26"/>
      <c r="E190" s="14"/>
      <c r="F190" s="14"/>
      <c r="G190" s="14"/>
      <c r="H190" s="14"/>
      <c r="I190" s="26"/>
      <c r="J190" s="26"/>
      <c r="K190" s="26"/>
      <c r="L190" s="26"/>
      <c r="M190" s="26"/>
      <c r="N190" s="26"/>
      <c r="O190" s="58"/>
      <c r="P190" s="26"/>
      <c r="Q190" s="58"/>
    </row>
    <row r="191" spans="1:17" ht="15.75">
      <c r="A191" s="23"/>
      <c r="B191" s="24"/>
      <c r="C191" s="26"/>
      <c r="D191" s="26"/>
      <c r="E191" s="14"/>
      <c r="F191" s="14"/>
      <c r="G191" s="14"/>
      <c r="H191" s="14"/>
      <c r="I191" s="26"/>
      <c r="J191" s="26"/>
      <c r="K191" s="26"/>
      <c r="L191" s="26"/>
      <c r="M191" s="26"/>
      <c r="N191" s="26"/>
      <c r="O191" s="58"/>
      <c r="P191" s="26"/>
      <c r="Q191" s="58"/>
    </row>
    <row r="192" spans="1:17" ht="15.75">
      <c r="A192" s="23"/>
      <c r="B192" s="24"/>
      <c r="C192" s="26"/>
      <c r="D192" s="26"/>
      <c r="E192" s="14"/>
      <c r="F192" s="14"/>
      <c r="G192" s="14"/>
      <c r="H192" s="14"/>
      <c r="I192" s="26"/>
      <c r="J192" s="26"/>
      <c r="K192" s="26"/>
      <c r="L192" s="26"/>
      <c r="M192" s="26"/>
      <c r="N192" s="26"/>
      <c r="O192" s="58"/>
      <c r="P192" s="26"/>
      <c r="Q192" s="58"/>
    </row>
    <row r="193" spans="1:17" ht="15.75">
      <c r="A193" s="23"/>
      <c r="B193" s="24"/>
      <c r="C193" s="26"/>
      <c r="D193" s="26"/>
      <c r="E193" s="14"/>
      <c r="F193" s="14"/>
      <c r="G193" s="14"/>
      <c r="H193" s="14"/>
      <c r="I193" s="26"/>
      <c r="J193" s="26"/>
      <c r="K193" s="26"/>
      <c r="L193" s="26"/>
      <c r="M193" s="26"/>
      <c r="N193" s="26"/>
      <c r="O193" s="58"/>
      <c r="P193" s="26"/>
      <c r="Q193" s="58"/>
    </row>
    <row r="194" spans="1:17" ht="15.75">
      <c r="A194" s="23"/>
      <c r="B194" s="24"/>
      <c r="C194" s="26"/>
      <c r="D194" s="26"/>
      <c r="E194" s="14"/>
      <c r="F194" s="14"/>
      <c r="G194" s="14"/>
      <c r="H194" s="14"/>
      <c r="I194" s="26"/>
      <c r="J194" s="26"/>
      <c r="K194" s="26"/>
      <c r="L194" s="26"/>
      <c r="M194" s="26"/>
      <c r="N194" s="26"/>
      <c r="O194" s="58"/>
      <c r="P194" s="26"/>
      <c r="Q194" s="58"/>
    </row>
    <row r="195" spans="1:17" ht="15.75">
      <c r="A195" s="23"/>
      <c r="B195" s="24"/>
      <c r="C195" s="26"/>
      <c r="D195" s="26"/>
      <c r="E195" s="14"/>
      <c r="F195" s="14"/>
      <c r="G195" s="14"/>
      <c r="H195" s="14"/>
      <c r="I195" s="26"/>
      <c r="J195" s="26"/>
      <c r="K195" s="26"/>
      <c r="L195" s="26"/>
      <c r="M195" s="26"/>
      <c r="N195" s="26"/>
      <c r="O195" s="58"/>
      <c r="P195" s="26"/>
      <c r="Q195" s="58"/>
    </row>
    <row r="196" spans="1:17" ht="15.75">
      <c r="A196" s="23"/>
      <c r="B196" s="24"/>
      <c r="C196" s="26"/>
      <c r="D196" s="26"/>
      <c r="E196" s="14"/>
      <c r="F196" s="14"/>
      <c r="G196" s="14"/>
      <c r="H196" s="14"/>
      <c r="I196" s="26"/>
      <c r="J196" s="26"/>
      <c r="K196" s="26"/>
      <c r="L196" s="26"/>
      <c r="M196" s="26"/>
      <c r="N196" s="26"/>
      <c r="O196" s="58"/>
      <c r="P196" s="26"/>
      <c r="Q196" s="58"/>
    </row>
    <row r="197" spans="1:17" ht="15.75">
      <c r="A197" s="23"/>
      <c r="B197" s="24"/>
      <c r="C197" s="26"/>
      <c r="D197" s="26"/>
      <c r="E197" s="14"/>
      <c r="F197" s="14"/>
      <c r="G197" s="14"/>
      <c r="H197" s="14"/>
      <c r="I197" s="26"/>
      <c r="J197" s="26"/>
      <c r="K197" s="26"/>
      <c r="L197" s="26"/>
      <c r="M197" s="26"/>
      <c r="N197" s="26"/>
      <c r="O197" s="58"/>
      <c r="P197" s="26"/>
      <c r="Q197" s="58"/>
    </row>
    <row r="198" spans="1:17" ht="15.75">
      <c r="A198" s="23"/>
      <c r="B198" s="24"/>
      <c r="C198" s="26"/>
      <c r="D198" s="26"/>
      <c r="E198" s="14"/>
      <c r="F198" s="14"/>
      <c r="G198" s="14"/>
      <c r="H198" s="14"/>
      <c r="I198" s="26"/>
      <c r="J198" s="26"/>
      <c r="K198" s="26"/>
      <c r="L198" s="26"/>
      <c r="M198" s="26"/>
      <c r="N198" s="26"/>
      <c r="O198" s="58"/>
      <c r="P198" s="26"/>
      <c r="Q198" s="58"/>
    </row>
    <row r="199" spans="1:17" ht="15.75">
      <c r="A199" s="23"/>
      <c r="B199" s="24"/>
      <c r="C199" s="26"/>
      <c r="D199" s="26"/>
      <c r="E199" s="14"/>
      <c r="F199" s="14"/>
      <c r="G199" s="14"/>
      <c r="H199" s="14"/>
      <c r="I199" s="26"/>
      <c r="J199" s="26"/>
      <c r="K199" s="26"/>
      <c r="L199" s="26"/>
      <c r="M199" s="26"/>
      <c r="N199" s="26"/>
      <c r="O199" s="58"/>
      <c r="P199" s="26"/>
      <c r="Q199" s="58"/>
    </row>
    <row r="200" spans="1:17" ht="15.75">
      <c r="A200" s="23"/>
      <c r="B200" s="24"/>
      <c r="C200" s="26"/>
      <c r="D200" s="26"/>
      <c r="E200" s="14"/>
      <c r="F200" s="14"/>
      <c r="G200" s="14"/>
      <c r="H200" s="14"/>
      <c r="I200" s="26"/>
      <c r="J200" s="26"/>
      <c r="K200" s="26"/>
      <c r="L200" s="26"/>
      <c r="M200" s="26"/>
      <c r="N200" s="26"/>
      <c r="O200" s="58"/>
      <c r="P200" s="26"/>
      <c r="Q200" s="58"/>
    </row>
    <row r="201" spans="1:17" ht="15.75">
      <c r="A201" s="23"/>
      <c r="B201" s="24"/>
      <c r="C201" s="26"/>
      <c r="D201" s="26"/>
      <c r="E201" s="14"/>
      <c r="F201" s="14"/>
      <c r="G201" s="14"/>
      <c r="H201" s="14"/>
      <c r="I201" s="26"/>
      <c r="J201" s="26"/>
      <c r="K201" s="26"/>
      <c r="L201" s="26"/>
      <c r="M201" s="26"/>
      <c r="N201" s="26"/>
      <c r="O201" s="58"/>
      <c r="P201" s="26"/>
      <c r="Q201" s="58"/>
    </row>
    <row r="202" spans="1:17" ht="15.75">
      <c r="A202" s="23"/>
      <c r="B202" s="24"/>
      <c r="C202" s="26"/>
      <c r="D202" s="26"/>
      <c r="E202" s="14"/>
      <c r="F202" s="14"/>
      <c r="G202" s="14"/>
      <c r="H202" s="14"/>
      <c r="I202" s="26"/>
      <c r="J202" s="26"/>
      <c r="K202" s="26"/>
      <c r="L202" s="26"/>
      <c r="M202" s="26"/>
      <c r="N202" s="26"/>
      <c r="O202" s="58"/>
      <c r="P202" s="26"/>
      <c r="Q202" s="58"/>
    </row>
    <row r="203" spans="1:17" ht="15.75">
      <c r="A203" s="23"/>
      <c r="B203" s="24"/>
      <c r="C203" s="26"/>
      <c r="D203" s="26"/>
      <c r="E203" s="14"/>
      <c r="F203" s="14"/>
      <c r="G203" s="14"/>
      <c r="H203" s="14"/>
      <c r="I203" s="26"/>
      <c r="J203" s="26"/>
      <c r="K203" s="26"/>
      <c r="L203" s="26"/>
      <c r="M203" s="26"/>
      <c r="N203" s="26"/>
      <c r="O203" s="58"/>
      <c r="P203" s="26"/>
      <c r="Q203" s="58"/>
    </row>
    <row r="204" spans="1:17" ht="15.75">
      <c r="A204" s="23"/>
      <c r="B204" s="24"/>
      <c r="C204" s="26"/>
      <c r="D204" s="26"/>
      <c r="E204" s="14"/>
      <c r="F204" s="14"/>
      <c r="G204" s="14"/>
      <c r="H204" s="14"/>
      <c r="I204" s="26"/>
      <c r="J204" s="26"/>
      <c r="K204" s="26"/>
      <c r="L204" s="26"/>
      <c r="M204" s="26"/>
      <c r="N204" s="26"/>
      <c r="O204" s="58"/>
      <c r="P204" s="26"/>
      <c r="Q204" s="58"/>
    </row>
    <row r="205" spans="1:17" ht="15.75">
      <c r="A205" s="23"/>
      <c r="B205" s="24"/>
      <c r="C205" s="26"/>
      <c r="D205" s="26"/>
      <c r="E205" s="14"/>
      <c r="F205" s="14"/>
      <c r="G205" s="14"/>
      <c r="H205" s="14"/>
      <c r="I205" s="26"/>
      <c r="J205" s="26"/>
      <c r="K205" s="26"/>
      <c r="L205" s="26"/>
      <c r="M205" s="26"/>
      <c r="N205" s="26"/>
      <c r="O205" s="58"/>
      <c r="P205" s="26"/>
      <c r="Q205" s="58"/>
    </row>
    <row r="206" spans="1:17" ht="15.75">
      <c r="A206" s="23"/>
      <c r="B206" s="24"/>
      <c r="C206" s="26"/>
      <c r="D206" s="26"/>
      <c r="E206" s="14"/>
      <c r="F206" s="14"/>
      <c r="G206" s="14"/>
      <c r="H206" s="14"/>
      <c r="I206" s="26"/>
      <c r="J206" s="26"/>
      <c r="K206" s="26"/>
      <c r="L206" s="26"/>
      <c r="M206" s="26"/>
      <c r="N206" s="26"/>
      <c r="O206" s="58"/>
      <c r="P206" s="26"/>
      <c r="Q206" s="58"/>
    </row>
    <row r="207" spans="1:17" ht="15.75">
      <c r="A207" s="23"/>
      <c r="B207" s="24"/>
      <c r="C207" s="26"/>
      <c r="D207" s="26"/>
      <c r="E207" s="14"/>
      <c r="F207" s="14"/>
      <c r="G207" s="14"/>
      <c r="H207" s="14"/>
      <c r="I207" s="26"/>
      <c r="J207" s="26"/>
      <c r="K207" s="26"/>
      <c r="L207" s="26"/>
      <c r="M207" s="26"/>
      <c r="N207" s="26"/>
      <c r="O207" s="58"/>
      <c r="P207" s="26"/>
      <c r="Q207" s="58"/>
    </row>
    <row r="208" spans="1:17" ht="15.75">
      <c r="A208" s="23"/>
      <c r="B208" s="24"/>
      <c r="C208" s="26"/>
      <c r="D208" s="26"/>
      <c r="E208" s="14"/>
      <c r="F208" s="14"/>
      <c r="G208" s="14"/>
      <c r="H208" s="14"/>
      <c r="I208" s="26"/>
      <c r="J208" s="26"/>
      <c r="K208" s="26"/>
      <c r="L208" s="26"/>
      <c r="M208" s="26"/>
      <c r="N208" s="26"/>
      <c r="O208" s="58"/>
      <c r="P208" s="26"/>
      <c r="Q208" s="58"/>
    </row>
    <row r="209" spans="1:17" ht="15.75">
      <c r="A209" s="23"/>
      <c r="B209" s="24"/>
      <c r="C209" s="26"/>
      <c r="D209" s="26"/>
      <c r="E209" s="14"/>
      <c r="F209" s="14"/>
      <c r="G209" s="14"/>
      <c r="H209" s="14"/>
      <c r="I209" s="26"/>
      <c r="J209" s="26"/>
      <c r="K209" s="26"/>
      <c r="L209" s="26"/>
      <c r="M209" s="26"/>
      <c r="N209" s="26"/>
      <c r="O209" s="58"/>
      <c r="P209" s="26"/>
      <c r="Q209" s="58"/>
    </row>
    <row r="210" spans="1:17" ht="15.75">
      <c r="A210" s="23"/>
      <c r="B210" s="24"/>
      <c r="C210" s="26"/>
      <c r="D210" s="26"/>
      <c r="E210" s="14"/>
      <c r="F210" s="14"/>
      <c r="G210" s="14"/>
      <c r="H210" s="14"/>
      <c r="I210" s="26"/>
      <c r="J210" s="26"/>
      <c r="K210" s="26"/>
      <c r="L210" s="26"/>
      <c r="M210" s="26"/>
      <c r="N210" s="26"/>
      <c r="O210" s="58"/>
      <c r="P210" s="26"/>
      <c r="Q210" s="58"/>
    </row>
    <row r="211" spans="1:17" ht="15.75">
      <c r="A211" s="23"/>
      <c r="B211" s="24"/>
      <c r="C211" s="26"/>
      <c r="D211" s="26"/>
      <c r="E211" s="14"/>
      <c r="F211" s="14"/>
      <c r="G211" s="14"/>
      <c r="H211" s="14"/>
      <c r="I211" s="26"/>
      <c r="J211" s="26"/>
      <c r="K211" s="26"/>
      <c r="L211" s="26"/>
      <c r="M211" s="26"/>
      <c r="N211" s="26"/>
      <c r="O211" s="58"/>
      <c r="P211" s="26"/>
      <c r="Q211" s="58"/>
    </row>
    <row r="212" spans="1:17" ht="15.75">
      <c r="A212" s="23"/>
      <c r="B212" s="24"/>
      <c r="C212" s="26"/>
      <c r="D212" s="26"/>
      <c r="E212" s="14"/>
      <c r="F212" s="14"/>
      <c r="G212" s="14"/>
      <c r="H212" s="14"/>
      <c r="I212" s="26"/>
      <c r="J212" s="26"/>
      <c r="K212" s="26"/>
      <c r="L212" s="26"/>
      <c r="M212" s="26"/>
      <c r="N212" s="26"/>
      <c r="O212" s="58"/>
      <c r="P212" s="26"/>
      <c r="Q212" s="58"/>
    </row>
    <row r="213" spans="1:17" ht="15.75">
      <c r="A213" s="23"/>
      <c r="B213" s="24"/>
      <c r="C213" s="26"/>
      <c r="D213" s="26"/>
      <c r="E213" s="14"/>
      <c r="F213" s="14"/>
      <c r="G213" s="14"/>
      <c r="H213" s="14"/>
      <c r="I213" s="26"/>
      <c r="J213" s="26"/>
      <c r="K213" s="26"/>
      <c r="L213" s="26"/>
      <c r="M213" s="26"/>
      <c r="N213" s="26"/>
      <c r="O213" s="58"/>
      <c r="P213" s="26"/>
      <c r="Q213" s="58"/>
    </row>
    <row r="214" spans="1:17" ht="15.75">
      <c r="A214" s="23"/>
      <c r="B214" s="24"/>
      <c r="C214" s="26"/>
      <c r="D214" s="26"/>
      <c r="E214" s="14"/>
      <c r="F214" s="14"/>
      <c r="G214" s="14"/>
      <c r="H214" s="14"/>
      <c r="I214" s="26"/>
      <c r="J214" s="26"/>
      <c r="K214" s="26"/>
      <c r="L214" s="26"/>
      <c r="M214" s="26"/>
      <c r="N214" s="26"/>
      <c r="O214" s="58"/>
      <c r="P214" s="26"/>
      <c r="Q214" s="58"/>
    </row>
    <row r="215" spans="1:17" ht="15.75">
      <c r="A215" s="23"/>
      <c r="B215" s="24"/>
      <c r="C215" s="26"/>
      <c r="D215" s="26"/>
      <c r="E215" s="14"/>
      <c r="F215" s="14"/>
      <c r="G215" s="14"/>
      <c r="H215" s="14"/>
      <c r="I215" s="26"/>
      <c r="J215" s="26"/>
      <c r="K215" s="26"/>
      <c r="L215" s="26"/>
      <c r="M215" s="26"/>
      <c r="N215" s="26"/>
      <c r="O215" s="58"/>
      <c r="P215" s="26"/>
      <c r="Q215" s="58"/>
    </row>
    <row r="216" spans="1:17" ht="15.75">
      <c r="A216" s="23"/>
      <c r="B216" s="24"/>
      <c r="C216" s="26"/>
      <c r="D216" s="26"/>
      <c r="E216" s="14"/>
      <c r="F216" s="14"/>
      <c r="G216" s="14"/>
      <c r="H216" s="14"/>
      <c r="I216" s="26"/>
      <c r="J216" s="26"/>
      <c r="K216" s="26"/>
      <c r="L216" s="26"/>
      <c r="M216" s="26"/>
      <c r="N216" s="26"/>
      <c r="O216" s="58"/>
      <c r="P216" s="26"/>
      <c r="Q216" s="58"/>
    </row>
  </sheetData>
  <sheetProtection selectLockedCells="1"/>
  <dataConsolidate/>
  <mergeCells count="26">
    <mergeCell ref="AQ2:AS2"/>
    <mergeCell ref="D1:E1"/>
    <mergeCell ref="D2:E2"/>
    <mergeCell ref="AH2:AJ2"/>
    <mergeCell ref="AK2:AM2"/>
    <mergeCell ref="AN2:AP2"/>
    <mergeCell ref="D3:E3"/>
    <mergeCell ref="A4:B4"/>
    <mergeCell ref="D4:E4"/>
    <mergeCell ref="H4:I4"/>
    <mergeCell ref="A5:B5"/>
    <mergeCell ref="D5:E5"/>
    <mergeCell ref="H5:I5"/>
    <mergeCell ref="A6:K6"/>
    <mergeCell ref="A7:A8"/>
    <mergeCell ref="C7:D7"/>
    <mergeCell ref="E7:H7"/>
    <mergeCell ref="I7:I8"/>
    <mergeCell ref="J7:J8"/>
    <mergeCell ref="K7:K8"/>
    <mergeCell ref="V22:W22"/>
    <mergeCell ref="L7:Q7"/>
    <mergeCell ref="E8:F8"/>
    <mergeCell ref="G8:H8"/>
    <mergeCell ref="N8:O8"/>
    <mergeCell ref="P8:Q8"/>
  </mergeCells>
  <dataValidations disablePrompts="1" count="3">
    <dataValidation type="list" allowBlank="1" showInputMessage="1" showErrorMessage="1" sqref="F2" xr:uid="{00000000-0002-0000-0000-000000000000}">
      <formula1>$G$1:$J$1</formula1>
    </dataValidation>
    <dataValidation type="list" allowBlank="1" showInputMessage="1" showErrorMessage="1" sqref="F3" xr:uid="{00000000-0002-0000-0000-000001000000}">
      <formula1>$G$2:$J$2</formula1>
    </dataValidation>
    <dataValidation type="list" allowBlank="1" showInputMessage="1" showErrorMessage="1" sqref="V22" xr:uid="{00000000-0002-0000-0000-000002000000}">
      <formula1>$A$10:$A$216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roup Box 2">
              <controlPr defaultSize="0" autoFill="0" autoPict="0">
                <anchor moveWithCells="1" sizeWithCells="1">
                  <from>
                    <xdr:col>8</xdr:col>
                    <xdr:colOff>609600</xdr:colOff>
                    <xdr:row>0</xdr:row>
                    <xdr:rowOff>66675</xdr:rowOff>
                  </from>
                  <to>
                    <xdr:col>10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Option Button 3">
              <controlPr defaultSize="0" autoFill="0" autoLine="0" autoPict="0">
                <anchor moveWithCells="1" sizeWithCells="1">
                  <from>
                    <xdr:col>9</xdr:col>
                    <xdr:colOff>38100</xdr:colOff>
                    <xdr:row>0</xdr:row>
                    <xdr:rowOff>114300</xdr:rowOff>
                  </from>
                  <to>
                    <xdr:col>11</xdr:col>
                    <xdr:colOff>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Option Button 4">
              <controlPr defaultSize="0" autoFill="0" autoLine="0" autoPict="0">
                <anchor moveWithCells="1" sizeWithCells="1">
                  <from>
                    <xdr:col>9</xdr:col>
                    <xdr:colOff>38100</xdr:colOff>
                    <xdr:row>2</xdr:row>
                    <xdr:rowOff>38100</xdr:rowOff>
                  </from>
                  <to>
                    <xdr:col>11</xdr:col>
                    <xdr:colOff>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Check Box 5">
              <controlPr defaultSize="0" autoFill="0" autoLine="0" autoPict="0">
                <anchor moveWithCells="1">
                  <from>
                    <xdr:col>6</xdr:col>
                    <xdr:colOff>57150</xdr:colOff>
                    <xdr:row>1</xdr:row>
                    <xdr:rowOff>142875</xdr:rowOff>
                  </from>
                  <to>
                    <xdr:col>8</xdr:col>
                    <xdr:colOff>276225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Option Button 6">
              <controlPr defaultSize="0" autoFill="0" autoLine="0" autoPict="0">
                <anchor moveWithCells="1" sizeWithCells="1">
                  <from>
                    <xdr:col>9</xdr:col>
                    <xdr:colOff>38100</xdr:colOff>
                    <xdr:row>3</xdr:row>
                    <xdr:rowOff>85725</xdr:rowOff>
                  </from>
                  <to>
                    <xdr:col>11</xdr:col>
                    <xdr:colOff>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9" name="Check Box 13">
              <controlPr defaultSize="0" autoFill="0" autoLine="0" autoPict="0">
                <anchor moveWithCells="1">
                  <from>
                    <xdr:col>6</xdr:col>
                    <xdr:colOff>57150</xdr:colOff>
                    <xdr:row>0</xdr:row>
                    <xdr:rowOff>152400</xdr:rowOff>
                  </from>
                  <to>
                    <xdr:col>8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0" name="Check Box 15">
              <controlPr defaultSize="0" autoFill="0" autoLine="0" autoPict="0">
                <anchor moveWithCells="1">
                  <from>
                    <xdr:col>6</xdr:col>
                    <xdr:colOff>57150</xdr:colOff>
                    <xdr:row>0</xdr:row>
                    <xdr:rowOff>0</xdr:rowOff>
                  </from>
                  <to>
                    <xdr:col>8</xdr:col>
                    <xdr:colOff>276225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A216"/>
  <sheetViews>
    <sheetView zoomScale="115" zoomScaleNormal="115" workbookViewId="0">
      <selection activeCell="F5" sqref="F5"/>
    </sheetView>
  </sheetViews>
  <sheetFormatPr defaultColWidth="9.140625" defaultRowHeight="12.75" outlineLevelCol="1"/>
  <cols>
    <col min="1" max="1" width="12.7109375" style="4" customWidth="1"/>
    <col min="2" max="2" width="10.7109375" style="28" customWidth="1"/>
    <col min="3" max="4" width="9.140625" style="12"/>
    <col min="5" max="8" width="9.140625" style="4"/>
    <col min="9" max="9" width="9.140625" style="4" customWidth="1"/>
    <col min="10" max="11" width="9.140625" style="4"/>
    <col min="12" max="12" width="11.5703125" style="4" customWidth="1" outlineLevel="1"/>
    <col min="13" max="14" width="9.140625" style="4" customWidth="1" outlineLevel="1"/>
    <col min="15" max="15" width="9.140625" style="153" customWidth="1" outlineLevel="1"/>
    <col min="16" max="17" width="9.140625" style="4" customWidth="1" outlineLevel="1"/>
    <col min="18" max="18" width="9.140625" style="153" customWidth="1" outlineLevel="1"/>
    <col min="19" max="19" width="9.140625" style="4" customWidth="1" outlineLevel="1"/>
    <col min="20" max="20" width="9.140625" style="153" customWidth="1" outlineLevel="1"/>
    <col min="21" max="21" width="9.140625" style="4" customWidth="1" outlineLevel="1"/>
    <col min="22" max="22" width="9.140625" style="153" customWidth="1" outlineLevel="1"/>
    <col min="23" max="32" width="9.140625" style="4"/>
    <col min="33" max="35" width="9.140625" style="27"/>
    <col min="36" max="50" width="9.140625" style="8"/>
    <col min="51" max="53" width="9.140625" style="27"/>
    <col min="54" max="16384" width="9.140625" style="4"/>
  </cols>
  <sheetData>
    <row r="1" spans="1:53" ht="15" customHeight="1">
      <c r="A1" s="1" t="s">
        <v>0</v>
      </c>
      <c r="B1" s="1"/>
      <c r="C1" s="2">
        <v>800</v>
      </c>
      <c r="D1" s="180"/>
      <c r="E1" s="181"/>
      <c r="F1" s="182"/>
      <c r="G1" s="3" t="s">
        <v>8</v>
      </c>
      <c r="H1" s="3" t="s">
        <v>9</v>
      </c>
      <c r="I1" s="3" t="s">
        <v>2</v>
      </c>
      <c r="J1" s="3" t="s">
        <v>4</v>
      </c>
      <c r="AS1" s="69" t="s">
        <v>92</v>
      </c>
      <c r="AT1" s="69" t="s">
        <v>94</v>
      </c>
      <c r="AU1" s="69" t="s">
        <v>97</v>
      </c>
      <c r="AV1" s="69" t="s">
        <v>95</v>
      </c>
      <c r="AW1" s="69" t="s">
        <v>93</v>
      </c>
      <c r="AX1" s="69" t="s">
        <v>96</v>
      </c>
    </row>
    <row r="2" spans="1:53">
      <c r="A2" s="1" t="s">
        <v>5</v>
      </c>
      <c r="B2" s="1"/>
      <c r="C2" s="2">
        <v>200</v>
      </c>
      <c r="D2" s="514" t="s">
        <v>6</v>
      </c>
      <c r="E2" s="514"/>
      <c r="F2" s="6" t="s">
        <v>9</v>
      </c>
      <c r="G2" s="3" t="s">
        <v>7</v>
      </c>
      <c r="H2" s="3" t="s">
        <v>8</v>
      </c>
      <c r="I2" s="3" t="s">
        <v>9</v>
      </c>
      <c r="J2" s="3" t="s">
        <v>1</v>
      </c>
      <c r="N2" s="27"/>
      <c r="AJ2" s="68" t="s">
        <v>10</v>
      </c>
      <c r="AK2" s="68">
        <f>VLOOKUP($AA$22,$A$10:$J$216,3,0)</f>
        <v>1000</v>
      </c>
      <c r="AL2" s="68" t="s">
        <v>11</v>
      </c>
      <c r="AM2" s="520" t="s">
        <v>12</v>
      </c>
      <c r="AN2" s="520"/>
      <c r="AO2" s="520"/>
      <c r="AP2" s="520" t="s">
        <v>13</v>
      </c>
      <c r="AQ2" s="520"/>
      <c r="AR2" s="520"/>
      <c r="AS2" s="520" t="s">
        <v>14</v>
      </c>
      <c r="AT2" s="520"/>
      <c r="AU2" s="520"/>
      <c r="AV2" s="520" t="s">
        <v>15</v>
      </c>
      <c r="AW2" s="520"/>
      <c r="AX2" s="520"/>
    </row>
    <row r="3" spans="1:53">
      <c r="A3" s="9" t="str">
        <f>IF(D1&gt;0,"Tên vách", "Tên cột")</f>
        <v>Tên cột</v>
      </c>
      <c r="B3" s="10"/>
      <c r="C3" s="11" t="s">
        <v>164</v>
      </c>
      <c r="D3" s="514" t="s">
        <v>16</v>
      </c>
      <c r="E3" s="514"/>
      <c r="F3" s="6" t="s">
        <v>7</v>
      </c>
      <c r="G3" s="7" t="b">
        <v>0</v>
      </c>
      <c r="H3" s="5" t="b">
        <v>0</v>
      </c>
      <c r="I3" s="5" t="b">
        <v>1</v>
      </c>
      <c r="J3" s="7">
        <v>2</v>
      </c>
      <c r="K3" s="5" t="b">
        <v>1</v>
      </c>
      <c r="AJ3" s="68" t="s">
        <v>17</v>
      </c>
      <c r="AK3" s="68" t="s">
        <v>18</v>
      </c>
      <c r="AL3" s="68">
        <v>1</v>
      </c>
      <c r="AM3" s="8">
        <f>$AJ$16+50</f>
        <v>-450</v>
      </c>
      <c r="AN3" s="8">
        <f>$AK$16+50</f>
        <v>-350</v>
      </c>
      <c r="AO3" s="8">
        <f>-AN3</f>
        <v>350</v>
      </c>
      <c r="AP3" s="8">
        <f>$AJ$16+50</f>
        <v>-450</v>
      </c>
      <c r="AQ3" s="8">
        <f>$AK$16+50</f>
        <v>-350</v>
      </c>
      <c r="AR3" s="8">
        <f>-AP3</f>
        <v>450</v>
      </c>
      <c r="AS3" s="8">
        <f>IF(AJ5&gt;0,0,AM3)</f>
        <v>0</v>
      </c>
      <c r="AT3" s="8">
        <f>IF(AJ5=0,AN3,AT4)</f>
        <v>-233.33333333333331</v>
      </c>
      <c r="AU3" s="8">
        <f>-AT3</f>
        <v>233.33333333333331</v>
      </c>
      <c r="AV3" s="8">
        <f>IF(AJ9=0,AP3,AV4)</f>
        <v>-300</v>
      </c>
      <c r="AW3" s="8">
        <f>IF(AJ9&gt;0,0,AQ3)</f>
        <v>0</v>
      </c>
      <c r="AX3" s="8">
        <f>-AV3</f>
        <v>300</v>
      </c>
    </row>
    <row r="4" spans="1:53">
      <c r="A4" s="515" t="s">
        <v>19</v>
      </c>
      <c r="B4" s="516"/>
      <c r="C4" s="14">
        <v>1</v>
      </c>
      <c r="D4" s="517" t="s">
        <v>101</v>
      </c>
      <c r="E4" s="518"/>
      <c r="F4" s="14" t="s">
        <v>231</v>
      </c>
      <c r="G4" s="105" t="s">
        <v>105</v>
      </c>
      <c r="H4" s="519" t="s">
        <v>113</v>
      </c>
      <c r="I4" s="519"/>
      <c r="AJ4" s="68">
        <f>VLOOKUP($AA$22,$A$10:$J$216,5,0)</f>
        <v>7</v>
      </c>
      <c r="AK4" s="68">
        <f>MIN(VLOOKUP($AA$22,$A$10:$J$216,6,0),IF(G3,AJ4-2,AJ4))</f>
        <v>7</v>
      </c>
      <c r="AL4" s="68">
        <v>2</v>
      </c>
      <c r="AM4" s="8">
        <f>IF(AL4&gt;$AJ$4,AM3,AM3+$AK$10)</f>
        <v>-300</v>
      </c>
      <c r="AN4" s="8">
        <f>AN3</f>
        <v>-350</v>
      </c>
      <c r="AO4" s="8">
        <f t="shared" ref="AO4:AO52" si="0">-AN4</f>
        <v>350</v>
      </c>
      <c r="AP4" s="8">
        <f>AP3</f>
        <v>-450</v>
      </c>
      <c r="AQ4" s="8">
        <f t="shared" ref="AQ4:AQ52" si="1">IF(AL4&gt;$AJ$8,AQ3,AQ3+$AK$11)</f>
        <v>-233.33333333333331</v>
      </c>
      <c r="AR4" s="8">
        <f t="shared" ref="AR4:AR52" si="2">-AP4</f>
        <v>450</v>
      </c>
      <c r="AS4" s="8">
        <f>IF($AK$5&gt;=AL3,AM4,AM3)</f>
        <v>-300</v>
      </c>
      <c r="AT4" s="8">
        <f>AN3+IF(AK4&gt;0,IF(G3,25,AK11))</f>
        <v>-233.33333333333331</v>
      </c>
      <c r="AU4" s="8">
        <f>-AT4</f>
        <v>233.33333333333331</v>
      </c>
      <c r="AV4" s="8">
        <f>AP3+IF(AK8&gt;0,IF(G3,25,AK10))</f>
        <v>-300</v>
      </c>
      <c r="AW4" s="8">
        <f>IF($AK$9&gt;=AL3,IF(OR(AK5&lt;1,G3),AQ4,AQ5),AW3)</f>
        <v>-116.66666666666664</v>
      </c>
      <c r="AX4" s="8">
        <f>-AV4</f>
        <v>300</v>
      </c>
    </row>
    <row r="5" spans="1:53">
      <c r="A5" s="515" t="s">
        <v>24</v>
      </c>
      <c r="B5" s="516"/>
      <c r="C5" s="15">
        <v>-5.5</v>
      </c>
      <c r="D5" s="517" t="s">
        <v>151</v>
      </c>
      <c r="E5" s="518"/>
      <c r="F5" s="14">
        <v>15</v>
      </c>
      <c r="G5" s="50" t="s">
        <v>115</v>
      </c>
      <c r="H5" s="519" t="s">
        <v>117</v>
      </c>
      <c r="I5" s="519"/>
      <c r="AJ5" s="69">
        <f>MOD(AK4,2)</f>
        <v>1</v>
      </c>
      <c r="AK5" s="69">
        <f>MAX(ROUND(AK4/2-0.499,0)-IF(G3,0,1),0)</f>
        <v>2</v>
      </c>
      <c r="AL5" s="68">
        <v>3</v>
      </c>
      <c r="AM5" s="8">
        <f t="shared" ref="AM5:AM52" si="3">IF(AL5&gt;$AJ$4,AM4,AM4+$AK$10)</f>
        <v>-150</v>
      </c>
      <c r="AN5" s="8">
        <f t="shared" ref="AN5:AN52" si="4">AN4</f>
        <v>-350</v>
      </c>
      <c r="AO5" s="8">
        <f t="shared" si="0"/>
        <v>350</v>
      </c>
      <c r="AP5" s="8">
        <f t="shared" ref="AP5:AP52" si="5">AP4</f>
        <v>-450</v>
      </c>
      <c r="AQ5" s="8">
        <f t="shared" si="1"/>
        <v>-116.66666666666664</v>
      </c>
      <c r="AR5" s="8">
        <f t="shared" si="2"/>
        <v>450</v>
      </c>
      <c r="AS5" s="8">
        <f t="shared" ref="AS5:AS26" si="6">IF($AK$5&gt;=AL4,AM5,AS4)</f>
        <v>-150</v>
      </c>
      <c r="AT5" s="8">
        <f>AT4</f>
        <v>-233.33333333333331</v>
      </c>
      <c r="AU5" s="8">
        <f t="shared" ref="AU5:AU52" si="7">-AT5</f>
        <v>233.33333333333331</v>
      </c>
      <c r="AV5" s="8">
        <f t="shared" ref="AV5:AV52" si="8">AV4</f>
        <v>-300</v>
      </c>
      <c r="AW5" s="8">
        <f>IF(AL4&gt;$AK$9,AW4,AW4+$AK$11)</f>
        <v>-116.66666666666664</v>
      </c>
      <c r="AX5" s="8">
        <f t="shared" ref="AX5:AX52" si="9">-AV5</f>
        <v>300</v>
      </c>
    </row>
    <row r="6" spans="1:53">
      <c r="A6" s="506"/>
      <c r="B6" s="507"/>
      <c r="C6" s="507"/>
      <c r="D6" s="507"/>
      <c r="E6" s="507"/>
      <c r="F6" s="507"/>
      <c r="G6" s="507"/>
      <c r="H6" s="507"/>
      <c r="I6" s="507"/>
      <c r="J6" s="507"/>
      <c r="K6" s="507"/>
      <c r="AJ6" s="68" t="s">
        <v>20</v>
      </c>
      <c r="AK6" s="68">
        <f>VLOOKUP($AA$22,$A$10:$J$216,4,0)</f>
        <v>800</v>
      </c>
      <c r="AL6" s="68">
        <v>4</v>
      </c>
      <c r="AM6" s="8">
        <f t="shared" si="3"/>
        <v>0</v>
      </c>
      <c r="AN6" s="8">
        <f t="shared" si="4"/>
        <v>-350</v>
      </c>
      <c r="AO6" s="8">
        <f t="shared" si="0"/>
        <v>350</v>
      </c>
      <c r="AP6" s="8">
        <f t="shared" si="5"/>
        <v>-450</v>
      </c>
      <c r="AQ6" s="8">
        <f t="shared" si="1"/>
        <v>2.8421709430404007E-14</v>
      </c>
      <c r="AR6" s="8">
        <f t="shared" si="2"/>
        <v>450</v>
      </c>
      <c r="AS6" s="8">
        <f t="shared" si="6"/>
        <v>-150</v>
      </c>
      <c r="AT6" s="8">
        <f t="shared" ref="AT6:AT52" si="10">AT5</f>
        <v>-233.33333333333331</v>
      </c>
      <c r="AU6" s="8">
        <f t="shared" si="7"/>
        <v>233.33333333333331</v>
      </c>
      <c r="AV6" s="8">
        <f t="shared" si="8"/>
        <v>-300</v>
      </c>
      <c r="AW6" s="8">
        <f t="shared" ref="AW6:AW26" si="11">IF(AL5&gt;$AK$9,AW5,AW5+$AK$11)</f>
        <v>-116.66666666666664</v>
      </c>
      <c r="AX6" s="8">
        <f t="shared" si="9"/>
        <v>300</v>
      </c>
    </row>
    <row r="7" spans="1:53">
      <c r="A7" s="508" t="s">
        <v>26</v>
      </c>
      <c r="B7" s="16" t="s">
        <v>27</v>
      </c>
      <c r="C7" s="510" t="str">
        <f>IF(F1&gt;0,"Kích thước vách", "Kích thước cột")</f>
        <v>Kích thước cột</v>
      </c>
      <c r="D7" s="511"/>
      <c r="E7" s="512" t="s">
        <v>28</v>
      </c>
      <c r="F7" s="512"/>
      <c r="G7" s="512"/>
      <c r="H7" s="512"/>
      <c r="I7" s="513" t="s">
        <v>29</v>
      </c>
      <c r="J7" s="513" t="s">
        <v>30</v>
      </c>
      <c r="K7" s="513" t="s">
        <v>31</v>
      </c>
      <c r="L7" s="513" t="s">
        <v>105</v>
      </c>
      <c r="M7" s="513" t="s">
        <v>116</v>
      </c>
      <c r="N7" s="513"/>
      <c r="O7" s="513"/>
      <c r="P7" s="513"/>
      <c r="Q7" s="513"/>
      <c r="R7" s="513"/>
      <c r="S7" s="513"/>
      <c r="T7" s="513"/>
      <c r="U7" s="513"/>
      <c r="V7" s="513"/>
      <c r="AJ7" s="68" t="s">
        <v>17</v>
      </c>
      <c r="AK7" s="68" t="s">
        <v>18</v>
      </c>
      <c r="AL7" s="68">
        <v>5</v>
      </c>
      <c r="AM7" s="8">
        <f t="shared" si="3"/>
        <v>150</v>
      </c>
      <c r="AN7" s="8">
        <f t="shared" si="4"/>
        <v>-350</v>
      </c>
      <c r="AO7" s="8">
        <f t="shared" si="0"/>
        <v>350</v>
      </c>
      <c r="AP7" s="8">
        <f t="shared" si="5"/>
        <v>-450</v>
      </c>
      <c r="AQ7" s="8">
        <f t="shared" si="1"/>
        <v>116.6666666666667</v>
      </c>
      <c r="AR7" s="8">
        <f t="shared" si="2"/>
        <v>450</v>
      </c>
      <c r="AS7" s="8">
        <f t="shared" si="6"/>
        <v>-150</v>
      </c>
      <c r="AT7" s="8">
        <f t="shared" si="10"/>
        <v>-233.33333333333331</v>
      </c>
      <c r="AU7" s="8">
        <f t="shared" si="7"/>
        <v>233.33333333333331</v>
      </c>
      <c r="AV7" s="8">
        <f t="shared" si="8"/>
        <v>-300</v>
      </c>
      <c r="AW7" s="8">
        <f t="shared" si="11"/>
        <v>-116.66666666666664</v>
      </c>
      <c r="AX7" s="8">
        <f t="shared" si="9"/>
        <v>300</v>
      </c>
    </row>
    <row r="8" spans="1:53" ht="12.75" customHeight="1">
      <c r="A8" s="509"/>
      <c r="B8" s="18" t="s">
        <v>33</v>
      </c>
      <c r="C8" s="19" t="str">
        <f>IF(F1&gt;0,"Cạnh dài", "b")</f>
        <v>b</v>
      </c>
      <c r="D8" s="19" t="str">
        <f>IF(F1&gt;0,"Cạnh ngắn", "h")</f>
        <v>h</v>
      </c>
      <c r="E8" s="503" t="str">
        <f>IF(F1&gt;0,"Cạnh dài", "Cạnh b")</f>
        <v>Cạnh b</v>
      </c>
      <c r="F8" s="503"/>
      <c r="G8" s="503" t="str">
        <f>IF(F1&gt;0,"Cạnh ngắn", "Cạnh h")</f>
        <v>Cạnh h</v>
      </c>
      <c r="H8" s="503"/>
      <c r="I8" s="513"/>
      <c r="J8" s="513"/>
      <c r="K8" s="513"/>
      <c r="L8" s="513"/>
      <c r="M8" s="523" t="s">
        <v>106</v>
      </c>
      <c r="N8" s="504"/>
      <c r="O8" s="505"/>
      <c r="P8" s="523" t="s">
        <v>107</v>
      </c>
      <c r="Q8" s="504"/>
      <c r="R8" s="505"/>
      <c r="S8" s="504" t="s">
        <v>108</v>
      </c>
      <c r="T8" s="505"/>
      <c r="U8" s="504" t="s">
        <v>109</v>
      </c>
      <c r="V8" s="505"/>
      <c r="AJ8" s="68">
        <f>VLOOKUP($AA$22,$A$10:$J$216,7,0)</f>
        <v>7</v>
      </c>
      <c r="AK8" s="68">
        <f>MIN(VLOOKUP($AA$22,$A$10:$J$216,8,0),IF(G3,AJ8-2,AJ8))</f>
        <v>7</v>
      </c>
      <c r="AL8" s="68">
        <v>6</v>
      </c>
      <c r="AM8" s="8">
        <f t="shared" si="3"/>
        <v>300</v>
      </c>
      <c r="AN8" s="8">
        <f t="shared" si="4"/>
        <v>-350</v>
      </c>
      <c r="AO8" s="8">
        <f t="shared" si="0"/>
        <v>350</v>
      </c>
      <c r="AP8" s="8">
        <f t="shared" si="5"/>
        <v>-450</v>
      </c>
      <c r="AQ8" s="8">
        <f t="shared" si="1"/>
        <v>233.33333333333337</v>
      </c>
      <c r="AR8" s="8">
        <f t="shared" si="2"/>
        <v>450</v>
      </c>
      <c r="AS8" s="8">
        <f t="shared" si="6"/>
        <v>-150</v>
      </c>
      <c r="AT8" s="8">
        <f t="shared" si="10"/>
        <v>-233.33333333333331</v>
      </c>
      <c r="AU8" s="8">
        <f t="shared" si="7"/>
        <v>233.33333333333331</v>
      </c>
      <c r="AV8" s="8">
        <f t="shared" si="8"/>
        <v>-300</v>
      </c>
      <c r="AW8" s="8">
        <f>IF(AL7&gt;$AK$9,AW7,AW7+$AK$11)</f>
        <v>-116.66666666666664</v>
      </c>
      <c r="AX8" s="8">
        <f t="shared" si="9"/>
        <v>300</v>
      </c>
    </row>
    <row r="9" spans="1:53" ht="15" customHeight="1">
      <c r="A9" s="20" t="s">
        <v>23</v>
      </c>
      <c r="B9" s="15">
        <v>1.5</v>
      </c>
      <c r="C9" s="19" t="s">
        <v>35</v>
      </c>
      <c r="D9" s="19" t="s">
        <v>35</v>
      </c>
      <c r="E9" s="21" t="s">
        <v>17</v>
      </c>
      <c r="F9" s="21" t="s">
        <v>18</v>
      </c>
      <c r="G9" s="21" t="s">
        <v>17</v>
      </c>
      <c r="H9" s="21" t="s">
        <v>18</v>
      </c>
      <c r="I9" s="19" t="s">
        <v>35</v>
      </c>
      <c r="J9" s="19" t="s">
        <v>35</v>
      </c>
      <c r="K9" s="19" t="s">
        <v>35</v>
      </c>
      <c r="L9" s="19" t="s">
        <v>110</v>
      </c>
      <c r="M9" s="19" t="s">
        <v>111</v>
      </c>
      <c r="N9" s="19" t="s">
        <v>110</v>
      </c>
      <c r="O9" s="154" t="s">
        <v>112</v>
      </c>
      <c r="P9" s="19" t="s">
        <v>111</v>
      </c>
      <c r="Q9" s="19" t="s">
        <v>110</v>
      </c>
      <c r="R9" s="154" t="s">
        <v>112</v>
      </c>
      <c r="S9" s="19" t="s">
        <v>110</v>
      </c>
      <c r="T9" s="154" t="s">
        <v>112</v>
      </c>
      <c r="U9" s="19" t="s">
        <v>110</v>
      </c>
      <c r="V9" s="154" t="s">
        <v>112</v>
      </c>
      <c r="AJ9" s="69">
        <f>MOD(AK8,2)</f>
        <v>1</v>
      </c>
      <c r="AK9" s="69">
        <f>MAX(ROUND(AK8/2-0.499,0)-IF(G3,0,IF(AK5&gt;0,2,1)),0)</f>
        <v>1</v>
      </c>
      <c r="AL9" s="68">
        <v>7</v>
      </c>
      <c r="AM9" s="8">
        <f t="shared" si="3"/>
        <v>450</v>
      </c>
      <c r="AN9" s="8">
        <f t="shared" si="4"/>
        <v>-350</v>
      </c>
      <c r="AO9" s="8">
        <f t="shared" si="0"/>
        <v>350</v>
      </c>
      <c r="AP9" s="8">
        <f t="shared" si="5"/>
        <v>-450</v>
      </c>
      <c r="AQ9" s="8">
        <f t="shared" si="1"/>
        <v>350.00000000000006</v>
      </c>
      <c r="AR9" s="8">
        <f t="shared" si="2"/>
        <v>450</v>
      </c>
      <c r="AS9" s="8">
        <f t="shared" si="6"/>
        <v>-150</v>
      </c>
      <c r="AT9" s="8">
        <f t="shared" si="10"/>
        <v>-233.33333333333331</v>
      </c>
      <c r="AU9" s="8">
        <f t="shared" si="7"/>
        <v>233.33333333333331</v>
      </c>
      <c r="AV9" s="8">
        <f t="shared" si="8"/>
        <v>-300</v>
      </c>
      <c r="AW9" s="8">
        <f t="shared" si="11"/>
        <v>-116.66666666666664</v>
      </c>
      <c r="AX9" s="8">
        <f t="shared" si="9"/>
        <v>300</v>
      </c>
    </row>
    <row r="10" spans="1:53" ht="15.75">
      <c r="A10" s="23" t="s">
        <v>36</v>
      </c>
      <c r="B10" s="24">
        <v>3</v>
      </c>
      <c r="C10" s="14">
        <v>1000</v>
      </c>
      <c r="D10" s="14">
        <v>800</v>
      </c>
      <c r="E10" s="25">
        <v>7</v>
      </c>
      <c r="F10" s="25">
        <v>7</v>
      </c>
      <c r="G10" s="25">
        <v>7</v>
      </c>
      <c r="H10" s="14">
        <v>7</v>
      </c>
      <c r="I10" s="14">
        <v>25</v>
      </c>
      <c r="J10" s="14"/>
      <c r="K10" s="14">
        <v>600</v>
      </c>
      <c r="L10" s="14" t="s">
        <v>113</v>
      </c>
      <c r="M10" s="14">
        <v>0.5</v>
      </c>
      <c r="N10" s="14" t="s">
        <v>114</v>
      </c>
      <c r="O10" s="155"/>
      <c r="P10" s="14">
        <v>0.5</v>
      </c>
      <c r="Q10" s="14" t="s">
        <v>114</v>
      </c>
      <c r="R10" s="155"/>
      <c r="S10" s="14" t="s">
        <v>114</v>
      </c>
      <c r="T10" s="155" t="s">
        <v>152</v>
      </c>
      <c r="U10" s="14" t="s">
        <v>114</v>
      </c>
      <c r="V10" s="155" t="s">
        <v>152</v>
      </c>
      <c r="AJ10" s="68" t="s">
        <v>25</v>
      </c>
      <c r="AK10" s="68">
        <f>(AK2-100)/(AJ4-1)</f>
        <v>150</v>
      </c>
      <c r="AL10" s="68">
        <v>8</v>
      </c>
      <c r="AM10" s="8">
        <f t="shared" si="3"/>
        <v>450</v>
      </c>
      <c r="AN10" s="8">
        <f t="shared" si="4"/>
        <v>-350</v>
      </c>
      <c r="AO10" s="8">
        <f t="shared" si="0"/>
        <v>350</v>
      </c>
      <c r="AP10" s="8">
        <f t="shared" si="5"/>
        <v>-450</v>
      </c>
      <c r="AQ10" s="8">
        <f t="shared" si="1"/>
        <v>350.00000000000006</v>
      </c>
      <c r="AR10" s="8">
        <f t="shared" si="2"/>
        <v>450</v>
      </c>
      <c r="AS10" s="8">
        <f t="shared" si="6"/>
        <v>-150</v>
      </c>
      <c r="AT10" s="8">
        <f t="shared" si="10"/>
        <v>-233.33333333333331</v>
      </c>
      <c r="AU10" s="8">
        <f t="shared" si="7"/>
        <v>233.33333333333331</v>
      </c>
      <c r="AV10" s="8">
        <f t="shared" si="8"/>
        <v>-300</v>
      </c>
      <c r="AW10" s="8">
        <f t="shared" si="11"/>
        <v>-116.66666666666664</v>
      </c>
      <c r="AX10" s="8">
        <f t="shared" si="9"/>
        <v>300</v>
      </c>
    </row>
    <row r="11" spans="1:53" s="17" customFormat="1" ht="15" customHeight="1">
      <c r="A11" s="23" t="s">
        <v>37</v>
      </c>
      <c r="B11" s="24">
        <v>3.5</v>
      </c>
      <c r="C11" s="14">
        <v>1000</v>
      </c>
      <c r="D11" s="14">
        <v>800</v>
      </c>
      <c r="E11" s="25">
        <v>7</v>
      </c>
      <c r="F11" s="25">
        <v>7</v>
      </c>
      <c r="G11" s="25">
        <v>7</v>
      </c>
      <c r="H11" s="25">
        <v>7</v>
      </c>
      <c r="I11" s="14">
        <v>25</v>
      </c>
      <c r="J11" s="14"/>
      <c r="K11" s="14">
        <v>600</v>
      </c>
      <c r="L11" s="14" t="s">
        <v>113</v>
      </c>
      <c r="M11" s="14">
        <v>0.5</v>
      </c>
      <c r="N11" s="14" t="s">
        <v>114</v>
      </c>
      <c r="O11" s="155"/>
      <c r="P11" s="14">
        <v>0.5</v>
      </c>
      <c r="Q11" s="14" t="s">
        <v>114</v>
      </c>
      <c r="R11" s="155"/>
      <c r="S11" s="14" t="s">
        <v>114</v>
      </c>
      <c r="T11" s="155" t="s">
        <v>152</v>
      </c>
      <c r="U11" s="14" t="s">
        <v>114</v>
      </c>
      <c r="V11" s="155" t="s">
        <v>152</v>
      </c>
      <c r="AG11" s="66"/>
      <c r="AH11" s="66"/>
      <c r="AI11" s="66"/>
      <c r="AJ11" s="68" t="s">
        <v>32</v>
      </c>
      <c r="AK11" s="68">
        <f>(AK6-100)/(AJ8-1)</f>
        <v>116.66666666666667</v>
      </c>
      <c r="AL11" s="68">
        <v>9</v>
      </c>
      <c r="AM11" s="8">
        <f t="shared" si="3"/>
        <v>450</v>
      </c>
      <c r="AN11" s="8">
        <f t="shared" si="4"/>
        <v>-350</v>
      </c>
      <c r="AO11" s="8">
        <f t="shared" si="0"/>
        <v>350</v>
      </c>
      <c r="AP11" s="8">
        <f t="shared" si="5"/>
        <v>-450</v>
      </c>
      <c r="AQ11" s="8">
        <f t="shared" si="1"/>
        <v>350.00000000000006</v>
      </c>
      <c r="AR11" s="8">
        <f t="shared" si="2"/>
        <v>450</v>
      </c>
      <c r="AS11" s="8">
        <f t="shared" si="6"/>
        <v>-150</v>
      </c>
      <c r="AT11" s="8">
        <f t="shared" si="10"/>
        <v>-233.33333333333331</v>
      </c>
      <c r="AU11" s="8">
        <f t="shared" si="7"/>
        <v>233.33333333333331</v>
      </c>
      <c r="AV11" s="8">
        <f t="shared" si="8"/>
        <v>-300</v>
      </c>
      <c r="AW11" s="8">
        <f t="shared" si="11"/>
        <v>-116.66666666666664</v>
      </c>
      <c r="AX11" s="8">
        <f t="shared" si="9"/>
        <v>300</v>
      </c>
      <c r="AY11" s="66"/>
      <c r="AZ11" s="66"/>
      <c r="BA11" s="66"/>
    </row>
    <row r="12" spans="1:53" s="12" customFormat="1" ht="14.25" customHeight="1">
      <c r="A12" s="23" t="s">
        <v>39</v>
      </c>
      <c r="B12" s="24">
        <v>3.9</v>
      </c>
      <c r="C12" s="14">
        <v>1000</v>
      </c>
      <c r="D12" s="14">
        <v>800</v>
      </c>
      <c r="E12" s="25">
        <v>7</v>
      </c>
      <c r="F12" s="25">
        <v>7</v>
      </c>
      <c r="G12" s="25">
        <v>7</v>
      </c>
      <c r="H12" s="25">
        <v>7</v>
      </c>
      <c r="I12" s="14" t="s">
        <v>149</v>
      </c>
      <c r="J12" s="14"/>
      <c r="K12" s="14">
        <v>400</v>
      </c>
      <c r="L12" s="14" t="s">
        <v>113</v>
      </c>
      <c r="M12" s="14">
        <v>0.5</v>
      </c>
      <c r="N12" s="14" t="s">
        <v>114</v>
      </c>
      <c r="O12" s="155"/>
      <c r="P12" s="14">
        <v>0.5</v>
      </c>
      <c r="Q12" s="14" t="s">
        <v>114</v>
      </c>
      <c r="R12" s="155"/>
      <c r="S12" s="14" t="s">
        <v>114</v>
      </c>
      <c r="T12" s="155" t="s">
        <v>152</v>
      </c>
      <c r="U12" s="14" t="s">
        <v>114</v>
      </c>
      <c r="V12" s="155" t="s">
        <v>152</v>
      </c>
      <c r="W12" s="4"/>
      <c r="X12" s="4"/>
      <c r="Y12" s="4"/>
      <c r="Z12" s="4"/>
      <c r="AA12" s="4"/>
      <c r="AB12" s="4"/>
      <c r="AC12" s="4"/>
      <c r="AD12" s="4"/>
      <c r="AE12" s="4"/>
      <c r="AF12" s="4"/>
      <c r="AG12" s="27"/>
      <c r="AH12" s="27"/>
      <c r="AI12" s="27"/>
      <c r="AJ12" s="68" t="s">
        <v>34</v>
      </c>
      <c r="AK12" s="68"/>
      <c r="AL12" s="68">
        <v>10</v>
      </c>
      <c r="AM12" s="8">
        <f t="shared" si="3"/>
        <v>450</v>
      </c>
      <c r="AN12" s="8">
        <f t="shared" si="4"/>
        <v>-350</v>
      </c>
      <c r="AO12" s="8">
        <f t="shared" si="0"/>
        <v>350</v>
      </c>
      <c r="AP12" s="8">
        <f t="shared" si="5"/>
        <v>-450</v>
      </c>
      <c r="AQ12" s="8">
        <f t="shared" si="1"/>
        <v>350.00000000000006</v>
      </c>
      <c r="AR12" s="8">
        <f t="shared" si="2"/>
        <v>450</v>
      </c>
      <c r="AS12" s="8">
        <f t="shared" si="6"/>
        <v>-150</v>
      </c>
      <c r="AT12" s="8">
        <f t="shared" si="10"/>
        <v>-233.33333333333331</v>
      </c>
      <c r="AU12" s="8">
        <f t="shared" si="7"/>
        <v>233.33333333333331</v>
      </c>
      <c r="AV12" s="8">
        <f t="shared" si="8"/>
        <v>-300</v>
      </c>
      <c r="AW12" s="8">
        <f t="shared" si="11"/>
        <v>-116.66666666666664</v>
      </c>
      <c r="AX12" s="8">
        <f t="shared" si="9"/>
        <v>300</v>
      </c>
      <c r="AY12" s="59"/>
      <c r="AZ12" s="59"/>
      <c r="BA12" s="59"/>
    </row>
    <row r="13" spans="1:53" s="12" customFormat="1" ht="15.75">
      <c r="A13" s="23" t="s">
        <v>40</v>
      </c>
      <c r="B13" s="24">
        <v>4.5999999999999996</v>
      </c>
      <c r="C13" s="14">
        <v>1000</v>
      </c>
      <c r="D13" s="14">
        <v>800</v>
      </c>
      <c r="E13" s="25">
        <v>7</v>
      </c>
      <c r="F13" s="25">
        <v>7</v>
      </c>
      <c r="G13" s="25">
        <v>7</v>
      </c>
      <c r="H13" s="25">
        <v>7</v>
      </c>
      <c r="I13" s="14">
        <v>20</v>
      </c>
      <c r="J13" s="14"/>
      <c r="K13" s="14">
        <v>400</v>
      </c>
      <c r="L13" s="14" t="s">
        <v>113</v>
      </c>
      <c r="M13" s="14">
        <v>0.5</v>
      </c>
      <c r="N13" s="14" t="s">
        <v>114</v>
      </c>
      <c r="O13" s="155"/>
      <c r="P13" s="14">
        <v>0.5</v>
      </c>
      <c r="Q13" s="14" t="s">
        <v>114</v>
      </c>
      <c r="R13" s="155"/>
      <c r="S13" s="14" t="s">
        <v>114</v>
      </c>
      <c r="T13" s="155" t="s">
        <v>152</v>
      </c>
      <c r="U13" s="14" t="s">
        <v>114</v>
      </c>
      <c r="V13" s="155" t="s">
        <v>152</v>
      </c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67"/>
      <c r="AH13" s="67"/>
      <c r="AI13" s="67"/>
      <c r="AJ13" s="68">
        <f>ROUND(MAX(AK2,AK6)/250+0.499,0)*125</f>
        <v>500</v>
      </c>
      <c r="AK13" s="68">
        <f>AJ13</f>
        <v>500</v>
      </c>
      <c r="AL13" s="68">
        <v>11</v>
      </c>
      <c r="AM13" s="8">
        <f t="shared" si="3"/>
        <v>450</v>
      </c>
      <c r="AN13" s="8">
        <f t="shared" si="4"/>
        <v>-350</v>
      </c>
      <c r="AO13" s="8">
        <f t="shared" si="0"/>
        <v>350</v>
      </c>
      <c r="AP13" s="8">
        <f t="shared" si="5"/>
        <v>-450</v>
      </c>
      <c r="AQ13" s="8">
        <f t="shared" si="1"/>
        <v>350.00000000000006</v>
      </c>
      <c r="AR13" s="8">
        <f t="shared" si="2"/>
        <v>450</v>
      </c>
      <c r="AS13" s="8">
        <f t="shared" si="6"/>
        <v>-150</v>
      </c>
      <c r="AT13" s="8">
        <f t="shared" si="10"/>
        <v>-233.33333333333331</v>
      </c>
      <c r="AU13" s="8">
        <f t="shared" si="7"/>
        <v>233.33333333333331</v>
      </c>
      <c r="AV13" s="8">
        <f t="shared" si="8"/>
        <v>-300</v>
      </c>
      <c r="AW13" s="8">
        <f t="shared" si="11"/>
        <v>-116.66666666666664</v>
      </c>
      <c r="AX13" s="8">
        <f t="shared" si="9"/>
        <v>300</v>
      </c>
      <c r="AY13" s="59"/>
      <c r="AZ13" s="59"/>
      <c r="BA13" s="59"/>
    </row>
    <row r="14" spans="1:53" ht="15.75">
      <c r="A14" s="23" t="s">
        <v>41</v>
      </c>
      <c r="B14" s="24">
        <v>3.3</v>
      </c>
      <c r="C14" s="14">
        <v>1000</v>
      </c>
      <c r="D14" s="14">
        <v>800</v>
      </c>
      <c r="E14" s="25">
        <v>7</v>
      </c>
      <c r="F14" s="25">
        <v>7</v>
      </c>
      <c r="G14" s="25">
        <v>7</v>
      </c>
      <c r="H14" s="25">
        <v>7</v>
      </c>
      <c r="I14" s="14">
        <v>20</v>
      </c>
      <c r="J14" s="14"/>
      <c r="K14" s="14">
        <v>600</v>
      </c>
      <c r="L14" s="14" t="s">
        <v>113</v>
      </c>
      <c r="M14" s="14">
        <v>0.5</v>
      </c>
      <c r="N14" s="14" t="s">
        <v>114</v>
      </c>
      <c r="O14" s="155"/>
      <c r="P14" s="14">
        <v>0.5</v>
      </c>
      <c r="Q14" s="14" t="s">
        <v>114</v>
      </c>
      <c r="R14" s="155"/>
      <c r="S14" s="14" t="s">
        <v>114</v>
      </c>
      <c r="T14" s="155" t="s">
        <v>152</v>
      </c>
      <c r="U14" s="14" t="s">
        <v>114</v>
      </c>
      <c r="V14" s="155" t="s">
        <v>152</v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67"/>
      <c r="AH14" s="67"/>
      <c r="AI14" s="67"/>
      <c r="AJ14" s="68">
        <f>-AJ13</f>
        <v>-500</v>
      </c>
      <c r="AK14" s="68">
        <f>AJ14</f>
        <v>-500</v>
      </c>
      <c r="AL14" s="68">
        <v>12</v>
      </c>
      <c r="AM14" s="8">
        <f t="shared" si="3"/>
        <v>450</v>
      </c>
      <c r="AN14" s="8">
        <f t="shared" si="4"/>
        <v>-350</v>
      </c>
      <c r="AO14" s="8">
        <f t="shared" si="0"/>
        <v>350</v>
      </c>
      <c r="AP14" s="8">
        <f t="shared" si="5"/>
        <v>-450</v>
      </c>
      <c r="AQ14" s="8">
        <f t="shared" si="1"/>
        <v>350.00000000000006</v>
      </c>
      <c r="AR14" s="8">
        <f t="shared" si="2"/>
        <v>450</v>
      </c>
      <c r="AS14" s="8">
        <f t="shared" si="6"/>
        <v>-150</v>
      </c>
      <c r="AT14" s="8">
        <f>AT13</f>
        <v>-233.33333333333331</v>
      </c>
      <c r="AU14" s="8">
        <f t="shared" si="7"/>
        <v>233.33333333333331</v>
      </c>
      <c r="AV14" s="8">
        <f t="shared" si="8"/>
        <v>-300</v>
      </c>
      <c r="AW14" s="8">
        <f t="shared" si="11"/>
        <v>-116.66666666666664</v>
      </c>
      <c r="AX14" s="8">
        <f t="shared" si="9"/>
        <v>300</v>
      </c>
    </row>
    <row r="15" spans="1:53" ht="15.75">
      <c r="A15" s="23" t="s">
        <v>42</v>
      </c>
      <c r="B15" s="24">
        <v>3.3</v>
      </c>
      <c r="C15" s="14">
        <v>1000</v>
      </c>
      <c r="D15" s="14">
        <v>800</v>
      </c>
      <c r="E15" s="25">
        <v>7</v>
      </c>
      <c r="F15" s="25">
        <v>7</v>
      </c>
      <c r="G15" s="25">
        <v>7</v>
      </c>
      <c r="H15" s="25">
        <v>7</v>
      </c>
      <c r="I15" s="14">
        <v>20</v>
      </c>
      <c r="J15" s="14"/>
      <c r="K15" s="14">
        <v>400</v>
      </c>
      <c r="L15" s="14" t="s">
        <v>113</v>
      </c>
      <c r="M15" s="14">
        <v>0.5</v>
      </c>
      <c r="N15" s="14" t="s">
        <v>114</v>
      </c>
      <c r="O15" s="155"/>
      <c r="P15" s="14">
        <v>0.5</v>
      </c>
      <c r="Q15" s="14" t="s">
        <v>114</v>
      </c>
      <c r="R15" s="155"/>
      <c r="S15" s="14" t="s">
        <v>114</v>
      </c>
      <c r="T15" s="155" t="s">
        <v>152</v>
      </c>
      <c r="U15" s="14" t="s">
        <v>114</v>
      </c>
      <c r="V15" s="155" t="s">
        <v>152</v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67"/>
      <c r="AH15" s="67"/>
      <c r="AI15" s="67"/>
      <c r="AJ15" s="68" t="s">
        <v>38</v>
      </c>
      <c r="AK15" s="68"/>
      <c r="AL15" s="68">
        <v>13</v>
      </c>
      <c r="AM15" s="8">
        <f t="shared" si="3"/>
        <v>450</v>
      </c>
      <c r="AN15" s="8">
        <f t="shared" si="4"/>
        <v>-350</v>
      </c>
      <c r="AO15" s="8">
        <f t="shared" si="0"/>
        <v>350</v>
      </c>
      <c r="AP15" s="8">
        <f t="shared" si="5"/>
        <v>-450</v>
      </c>
      <c r="AQ15" s="8">
        <f t="shared" si="1"/>
        <v>350.00000000000006</v>
      </c>
      <c r="AR15" s="8">
        <f t="shared" si="2"/>
        <v>450</v>
      </c>
      <c r="AS15" s="8">
        <f t="shared" si="6"/>
        <v>-150</v>
      </c>
      <c r="AT15" s="8">
        <f t="shared" si="10"/>
        <v>-233.33333333333331</v>
      </c>
      <c r="AU15" s="8">
        <f t="shared" si="7"/>
        <v>233.33333333333331</v>
      </c>
      <c r="AV15" s="8">
        <f t="shared" si="8"/>
        <v>-300</v>
      </c>
      <c r="AW15" s="8">
        <f t="shared" si="11"/>
        <v>-116.66666666666664</v>
      </c>
      <c r="AX15" s="8">
        <f t="shared" si="9"/>
        <v>300</v>
      </c>
    </row>
    <row r="16" spans="1:53" ht="15.75">
      <c r="A16" s="23"/>
      <c r="B16" s="24"/>
      <c r="C16" s="14"/>
      <c r="D16" s="14"/>
      <c r="E16" s="25"/>
      <c r="F16" s="25"/>
      <c r="G16" s="25"/>
      <c r="H16" s="25"/>
      <c r="I16" s="14"/>
      <c r="J16" s="14"/>
      <c r="K16" s="14"/>
      <c r="L16" s="14"/>
      <c r="M16" s="14"/>
      <c r="N16" s="14"/>
      <c r="O16" s="155"/>
      <c r="P16" s="14"/>
      <c r="Q16" s="14"/>
      <c r="R16" s="155"/>
      <c r="S16" s="14"/>
      <c r="T16" s="155"/>
      <c r="U16" s="14"/>
      <c r="V16" s="155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67"/>
      <c r="AH16" s="67"/>
      <c r="AI16" s="67"/>
      <c r="AJ16" s="68">
        <f>-AK2/2</f>
        <v>-500</v>
      </c>
      <c r="AK16" s="68">
        <f>-AK6/2</f>
        <v>-400</v>
      </c>
      <c r="AL16" s="68">
        <v>14</v>
      </c>
      <c r="AM16" s="8">
        <f t="shared" si="3"/>
        <v>450</v>
      </c>
      <c r="AN16" s="8">
        <f t="shared" si="4"/>
        <v>-350</v>
      </c>
      <c r="AO16" s="8">
        <f t="shared" si="0"/>
        <v>350</v>
      </c>
      <c r="AP16" s="8">
        <f t="shared" si="5"/>
        <v>-450</v>
      </c>
      <c r="AQ16" s="8">
        <f t="shared" si="1"/>
        <v>350.00000000000006</v>
      </c>
      <c r="AR16" s="8">
        <f t="shared" si="2"/>
        <v>450</v>
      </c>
      <c r="AS16" s="8">
        <f t="shared" si="6"/>
        <v>-150</v>
      </c>
      <c r="AT16" s="8">
        <f t="shared" si="10"/>
        <v>-233.33333333333331</v>
      </c>
      <c r="AU16" s="8">
        <f t="shared" si="7"/>
        <v>233.33333333333331</v>
      </c>
      <c r="AV16" s="8">
        <f t="shared" si="8"/>
        <v>-300</v>
      </c>
      <c r="AW16" s="8">
        <f t="shared" si="11"/>
        <v>-116.66666666666664</v>
      </c>
      <c r="AX16" s="8">
        <f t="shared" si="9"/>
        <v>300</v>
      </c>
    </row>
    <row r="17" spans="1:50" ht="15.75">
      <c r="A17" s="23"/>
      <c r="B17" s="24"/>
      <c r="C17" s="14"/>
      <c r="D17" s="14"/>
      <c r="E17" s="25"/>
      <c r="F17" s="25"/>
      <c r="G17" s="25"/>
      <c r="H17" s="25"/>
      <c r="I17" s="14"/>
      <c r="J17" s="14"/>
      <c r="K17" s="14"/>
      <c r="L17" s="14"/>
      <c r="M17" s="14"/>
      <c r="N17" s="14"/>
      <c r="O17" s="155"/>
      <c r="P17" s="14"/>
      <c r="Q17" s="14"/>
      <c r="R17" s="155"/>
      <c r="S17" s="14"/>
      <c r="T17" s="155"/>
      <c r="U17" s="14"/>
      <c r="V17" s="155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67"/>
      <c r="AH17" s="67"/>
      <c r="AI17" s="67"/>
      <c r="AJ17" s="68">
        <f>AJ16+AK2</f>
        <v>500</v>
      </c>
      <c r="AK17" s="68">
        <f>AK16</f>
        <v>-400</v>
      </c>
      <c r="AL17" s="68">
        <v>15</v>
      </c>
      <c r="AM17" s="8">
        <f t="shared" si="3"/>
        <v>450</v>
      </c>
      <c r="AN17" s="8">
        <f t="shared" si="4"/>
        <v>-350</v>
      </c>
      <c r="AO17" s="8">
        <f t="shared" si="0"/>
        <v>350</v>
      </c>
      <c r="AP17" s="8">
        <f t="shared" si="5"/>
        <v>-450</v>
      </c>
      <c r="AQ17" s="8">
        <f t="shared" si="1"/>
        <v>350.00000000000006</v>
      </c>
      <c r="AR17" s="8">
        <f t="shared" si="2"/>
        <v>450</v>
      </c>
      <c r="AS17" s="8">
        <f t="shared" si="6"/>
        <v>-150</v>
      </c>
      <c r="AT17" s="8">
        <f t="shared" si="10"/>
        <v>-233.33333333333331</v>
      </c>
      <c r="AU17" s="8">
        <f t="shared" si="7"/>
        <v>233.33333333333331</v>
      </c>
      <c r="AV17" s="8">
        <f t="shared" si="8"/>
        <v>-300</v>
      </c>
      <c r="AW17" s="8">
        <f t="shared" si="11"/>
        <v>-116.66666666666664</v>
      </c>
      <c r="AX17" s="8">
        <f t="shared" si="9"/>
        <v>300</v>
      </c>
    </row>
    <row r="18" spans="1:50" ht="15.75">
      <c r="A18" s="23"/>
      <c r="B18" s="24"/>
      <c r="C18" s="14"/>
      <c r="D18" s="14"/>
      <c r="E18" s="25"/>
      <c r="F18" s="25"/>
      <c r="G18" s="25"/>
      <c r="H18" s="25"/>
      <c r="I18" s="14"/>
      <c r="J18" s="14"/>
      <c r="K18" s="14"/>
      <c r="L18" s="14"/>
      <c r="M18" s="14"/>
      <c r="N18" s="14"/>
      <c r="O18" s="155"/>
      <c r="P18" s="14"/>
      <c r="Q18" s="14"/>
      <c r="R18" s="155"/>
      <c r="S18" s="14"/>
      <c r="T18" s="155"/>
      <c r="U18" s="14"/>
      <c r="V18" s="155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67"/>
      <c r="AH18" s="67"/>
      <c r="AI18" s="67"/>
      <c r="AJ18" s="68">
        <f>AJ17</f>
        <v>500</v>
      </c>
      <c r="AK18" s="68">
        <f>AK17+AK6</f>
        <v>400</v>
      </c>
      <c r="AL18" s="68">
        <v>16</v>
      </c>
      <c r="AM18" s="8">
        <f t="shared" si="3"/>
        <v>450</v>
      </c>
      <c r="AN18" s="8">
        <f t="shared" si="4"/>
        <v>-350</v>
      </c>
      <c r="AO18" s="8">
        <f t="shared" si="0"/>
        <v>350</v>
      </c>
      <c r="AP18" s="8">
        <f t="shared" si="5"/>
        <v>-450</v>
      </c>
      <c r="AQ18" s="8">
        <f t="shared" si="1"/>
        <v>350.00000000000006</v>
      </c>
      <c r="AR18" s="8">
        <f t="shared" si="2"/>
        <v>450</v>
      </c>
      <c r="AS18" s="8">
        <f t="shared" si="6"/>
        <v>-150</v>
      </c>
      <c r="AT18" s="8">
        <f t="shared" si="10"/>
        <v>-233.33333333333331</v>
      </c>
      <c r="AU18" s="8">
        <f t="shared" si="7"/>
        <v>233.33333333333331</v>
      </c>
      <c r="AV18" s="8">
        <f t="shared" si="8"/>
        <v>-300</v>
      </c>
      <c r="AW18" s="8">
        <f t="shared" si="11"/>
        <v>-116.66666666666664</v>
      </c>
      <c r="AX18" s="8">
        <f t="shared" si="9"/>
        <v>300</v>
      </c>
    </row>
    <row r="19" spans="1:50" ht="15.75">
      <c r="A19" s="23"/>
      <c r="B19" s="24"/>
      <c r="C19" s="14"/>
      <c r="D19" s="14"/>
      <c r="E19" s="25"/>
      <c r="F19" s="25"/>
      <c r="G19" s="25"/>
      <c r="H19" s="25"/>
      <c r="I19" s="14"/>
      <c r="J19" s="14"/>
      <c r="K19" s="14"/>
      <c r="L19" s="14"/>
      <c r="M19" s="14"/>
      <c r="N19" s="14"/>
      <c r="O19" s="155"/>
      <c r="P19" s="14"/>
      <c r="Q19" s="14"/>
      <c r="R19" s="155"/>
      <c r="S19" s="14"/>
      <c r="T19" s="155"/>
      <c r="U19" s="14"/>
      <c r="V19" s="155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67"/>
      <c r="AH19" s="67"/>
      <c r="AI19" s="67"/>
      <c r="AJ19" s="68">
        <f>AJ18-AK2</f>
        <v>-500</v>
      </c>
      <c r="AK19" s="68">
        <f>AK18</f>
        <v>400</v>
      </c>
      <c r="AL19" s="68">
        <v>17</v>
      </c>
      <c r="AM19" s="8">
        <f t="shared" si="3"/>
        <v>450</v>
      </c>
      <c r="AN19" s="8">
        <f t="shared" si="4"/>
        <v>-350</v>
      </c>
      <c r="AO19" s="8">
        <f t="shared" si="0"/>
        <v>350</v>
      </c>
      <c r="AP19" s="8">
        <f t="shared" si="5"/>
        <v>-450</v>
      </c>
      <c r="AQ19" s="8">
        <f t="shared" si="1"/>
        <v>350.00000000000006</v>
      </c>
      <c r="AR19" s="8">
        <f t="shared" si="2"/>
        <v>450</v>
      </c>
      <c r="AS19" s="8">
        <f t="shared" si="6"/>
        <v>-150</v>
      </c>
      <c r="AT19" s="8">
        <f t="shared" si="10"/>
        <v>-233.33333333333331</v>
      </c>
      <c r="AU19" s="8">
        <f t="shared" si="7"/>
        <v>233.33333333333331</v>
      </c>
      <c r="AV19" s="8">
        <f t="shared" si="8"/>
        <v>-300</v>
      </c>
      <c r="AW19" s="8">
        <f t="shared" si="11"/>
        <v>-116.66666666666664</v>
      </c>
      <c r="AX19" s="8">
        <f t="shared" si="9"/>
        <v>300</v>
      </c>
    </row>
    <row r="20" spans="1:50" ht="15.75">
      <c r="A20" s="23"/>
      <c r="B20" s="24"/>
      <c r="C20" s="14"/>
      <c r="D20" s="14"/>
      <c r="E20" s="25"/>
      <c r="F20" s="25"/>
      <c r="G20" s="25"/>
      <c r="H20" s="25"/>
      <c r="I20" s="14"/>
      <c r="J20" s="14"/>
      <c r="K20" s="14"/>
      <c r="L20" s="14"/>
      <c r="M20" s="14"/>
      <c r="N20" s="14"/>
      <c r="O20" s="155"/>
      <c r="P20" s="14"/>
      <c r="Q20" s="14"/>
      <c r="R20" s="155"/>
      <c r="S20" s="14"/>
      <c r="T20" s="155"/>
      <c r="U20" s="14"/>
      <c r="V20" s="155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67"/>
      <c r="AH20" s="67"/>
      <c r="AI20" s="67"/>
      <c r="AJ20" s="68">
        <f>AJ19</f>
        <v>-500</v>
      </c>
      <c r="AK20" s="68">
        <f>AK19-AK6</f>
        <v>-400</v>
      </c>
      <c r="AL20" s="68">
        <v>18</v>
      </c>
      <c r="AM20" s="8">
        <f t="shared" si="3"/>
        <v>450</v>
      </c>
      <c r="AN20" s="8">
        <f t="shared" si="4"/>
        <v>-350</v>
      </c>
      <c r="AO20" s="8">
        <f t="shared" si="0"/>
        <v>350</v>
      </c>
      <c r="AP20" s="8">
        <f t="shared" si="5"/>
        <v>-450</v>
      </c>
      <c r="AQ20" s="8">
        <f t="shared" si="1"/>
        <v>350.00000000000006</v>
      </c>
      <c r="AR20" s="8">
        <f t="shared" si="2"/>
        <v>450</v>
      </c>
      <c r="AS20" s="8">
        <f t="shared" si="6"/>
        <v>-150</v>
      </c>
      <c r="AT20" s="8">
        <f t="shared" si="10"/>
        <v>-233.33333333333331</v>
      </c>
      <c r="AU20" s="8">
        <f t="shared" si="7"/>
        <v>233.33333333333331</v>
      </c>
      <c r="AV20" s="8">
        <f t="shared" si="8"/>
        <v>-300</v>
      </c>
      <c r="AW20" s="8">
        <f t="shared" si="11"/>
        <v>-116.66666666666664</v>
      </c>
      <c r="AX20" s="8">
        <f t="shared" si="9"/>
        <v>300</v>
      </c>
    </row>
    <row r="21" spans="1:50" ht="15.75">
      <c r="A21" s="23"/>
      <c r="B21" s="24"/>
      <c r="C21" s="14"/>
      <c r="D21" s="14"/>
      <c r="E21" s="25"/>
      <c r="F21" s="14"/>
      <c r="G21" s="25"/>
      <c r="H21" s="14"/>
      <c r="I21" s="14"/>
      <c r="J21" s="14"/>
      <c r="K21" s="14"/>
      <c r="L21" s="14"/>
      <c r="M21" s="14"/>
      <c r="N21" s="14"/>
      <c r="O21" s="155"/>
      <c r="P21" s="14"/>
      <c r="Q21" s="14"/>
      <c r="R21" s="155"/>
      <c r="S21" s="14"/>
      <c r="T21" s="155"/>
      <c r="U21" s="14"/>
      <c r="V21" s="155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67"/>
      <c r="AH21" s="67"/>
      <c r="AI21" s="67"/>
      <c r="AJ21" s="69" t="s">
        <v>43</v>
      </c>
      <c r="AK21" s="69">
        <f>AJ13/25</f>
        <v>20</v>
      </c>
      <c r="AL21" s="68">
        <v>19</v>
      </c>
      <c r="AM21" s="8">
        <f t="shared" si="3"/>
        <v>450</v>
      </c>
      <c r="AN21" s="8">
        <f t="shared" si="4"/>
        <v>-350</v>
      </c>
      <c r="AO21" s="8">
        <f t="shared" si="0"/>
        <v>350</v>
      </c>
      <c r="AP21" s="8">
        <f t="shared" si="5"/>
        <v>-450</v>
      </c>
      <c r="AQ21" s="8">
        <f t="shared" si="1"/>
        <v>350.00000000000006</v>
      </c>
      <c r="AR21" s="8">
        <f t="shared" si="2"/>
        <v>450</v>
      </c>
      <c r="AS21" s="8">
        <f t="shared" si="6"/>
        <v>-150</v>
      </c>
      <c r="AT21" s="8">
        <f t="shared" si="10"/>
        <v>-233.33333333333331</v>
      </c>
      <c r="AU21" s="8">
        <f t="shared" si="7"/>
        <v>233.33333333333331</v>
      </c>
      <c r="AV21" s="8">
        <f t="shared" si="8"/>
        <v>-300</v>
      </c>
      <c r="AW21" s="8">
        <f>IF(AL20&gt;$AK$9,AW20,AW20+$AK$11)</f>
        <v>-116.66666666666664</v>
      </c>
      <c r="AX21" s="8">
        <f t="shared" si="9"/>
        <v>300</v>
      </c>
    </row>
    <row r="22" spans="1:50" ht="17.25">
      <c r="A22" s="23"/>
      <c r="B22" s="24"/>
      <c r="C22" s="14"/>
      <c r="D22" s="14"/>
      <c r="E22" s="25"/>
      <c r="F22" s="14"/>
      <c r="G22" s="25"/>
      <c r="H22" s="14"/>
      <c r="I22" s="14"/>
      <c r="J22" s="14"/>
      <c r="K22" s="14"/>
      <c r="L22" s="14"/>
      <c r="M22" s="14"/>
      <c r="N22" s="14"/>
      <c r="O22" s="155"/>
      <c r="P22" s="14"/>
      <c r="Q22" s="14"/>
      <c r="R22" s="155"/>
      <c r="S22" s="14"/>
      <c r="T22" s="155"/>
      <c r="U22" s="14"/>
      <c r="V22" s="155"/>
      <c r="W22" s="22"/>
      <c r="X22" s="4" t="s">
        <v>44</v>
      </c>
      <c r="AA22" s="498" t="s">
        <v>37</v>
      </c>
      <c r="AB22" s="499"/>
      <c r="AC22" s="22"/>
      <c r="AD22" s="22"/>
      <c r="AE22" s="22"/>
      <c r="AF22" s="22"/>
      <c r="AG22" s="67"/>
      <c r="AH22" s="67"/>
      <c r="AI22" s="67"/>
      <c r="AJ22" s="8" t="s">
        <v>45</v>
      </c>
      <c r="AK22" s="8">
        <f>VLOOKUP($AA$22,$A$10:$J$216,9,0)</f>
        <v>25</v>
      </c>
      <c r="AL22" s="68">
        <v>20</v>
      </c>
      <c r="AM22" s="8">
        <f t="shared" si="3"/>
        <v>450</v>
      </c>
      <c r="AN22" s="8">
        <f t="shared" si="4"/>
        <v>-350</v>
      </c>
      <c r="AO22" s="8">
        <f t="shared" si="0"/>
        <v>350</v>
      </c>
      <c r="AP22" s="8">
        <f t="shared" si="5"/>
        <v>-450</v>
      </c>
      <c r="AQ22" s="8">
        <f t="shared" si="1"/>
        <v>350.00000000000006</v>
      </c>
      <c r="AR22" s="8">
        <f t="shared" si="2"/>
        <v>450</v>
      </c>
      <c r="AS22" s="8">
        <f t="shared" si="6"/>
        <v>-150</v>
      </c>
      <c r="AT22" s="8">
        <f t="shared" si="10"/>
        <v>-233.33333333333331</v>
      </c>
      <c r="AU22" s="8">
        <f t="shared" si="7"/>
        <v>233.33333333333331</v>
      </c>
      <c r="AV22" s="8">
        <f t="shared" si="8"/>
        <v>-300</v>
      </c>
      <c r="AW22" s="8">
        <f t="shared" si="11"/>
        <v>-116.66666666666664</v>
      </c>
      <c r="AX22" s="8">
        <f t="shared" si="9"/>
        <v>300</v>
      </c>
    </row>
    <row r="23" spans="1:50" ht="15.75">
      <c r="A23" s="23"/>
      <c r="B23" s="24"/>
      <c r="C23" s="14"/>
      <c r="D23" s="14"/>
      <c r="E23" s="25"/>
      <c r="F23" s="14"/>
      <c r="G23" s="25"/>
      <c r="H23" s="14"/>
      <c r="I23" s="14"/>
      <c r="J23" s="14"/>
      <c r="K23" s="14"/>
      <c r="L23" s="14"/>
      <c r="M23" s="14"/>
      <c r="N23" s="14"/>
      <c r="O23" s="155"/>
      <c r="P23" s="14"/>
      <c r="Q23" s="14"/>
      <c r="R23" s="155"/>
      <c r="S23" s="14"/>
      <c r="T23" s="155"/>
      <c r="U23" s="14"/>
      <c r="V23" s="155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67"/>
      <c r="AH23" s="67"/>
      <c r="AI23" s="67"/>
      <c r="AJ23" s="8" t="s">
        <v>46</v>
      </c>
      <c r="AK23" s="8">
        <f>(AJ4+AJ8)*2-4+2*(AJ5+AJ9)+4*(AK5+AK9)</f>
        <v>40</v>
      </c>
      <c r="AL23" s="68">
        <v>21</v>
      </c>
      <c r="AM23" s="8">
        <f t="shared" si="3"/>
        <v>450</v>
      </c>
      <c r="AN23" s="8">
        <f t="shared" si="4"/>
        <v>-350</v>
      </c>
      <c r="AO23" s="8">
        <f t="shared" si="0"/>
        <v>350</v>
      </c>
      <c r="AP23" s="8">
        <f t="shared" si="5"/>
        <v>-450</v>
      </c>
      <c r="AQ23" s="8">
        <f t="shared" si="1"/>
        <v>350.00000000000006</v>
      </c>
      <c r="AR23" s="8">
        <f t="shared" si="2"/>
        <v>450</v>
      </c>
      <c r="AS23" s="8">
        <f t="shared" si="6"/>
        <v>-150</v>
      </c>
      <c r="AT23" s="8">
        <f t="shared" si="10"/>
        <v>-233.33333333333331</v>
      </c>
      <c r="AU23" s="8">
        <f t="shared" si="7"/>
        <v>233.33333333333331</v>
      </c>
      <c r="AV23" s="8">
        <f t="shared" si="8"/>
        <v>-300</v>
      </c>
      <c r="AW23" s="8">
        <f t="shared" si="11"/>
        <v>-116.66666666666664</v>
      </c>
      <c r="AX23" s="8">
        <f t="shared" si="9"/>
        <v>300</v>
      </c>
    </row>
    <row r="24" spans="1:50" ht="15.75">
      <c r="A24" s="23"/>
      <c r="B24" s="24"/>
      <c r="C24" s="14"/>
      <c r="D24" s="14"/>
      <c r="E24" s="25"/>
      <c r="F24" s="14"/>
      <c r="G24" s="25"/>
      <c r="H24" s="14"/>
      <c r="I24" s="14"/>
      <c r="J24" s="14"/>
      <c r="K24" s="14"/>
      <c r="L24" s="14"/>
      <c r="M24" s="14"/>
      <c r="N24" s="14"/>
      <c r="O24" s="155"/>
      <c r="P24" s="14"/>
      <c r="Q24" s="14"/>
      <c r="R24" s="155"/>
      <c r="S24" s="14"/>
      <c r="T24" s="155"/>
      <c r="U24" s="14"/>
      <c r="V24" s="155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67"/>
      <c r="AH24" s="67"/>
      <c r="AI24" s="67"/>
      <c r="AJ24" s="8" t="s">
        <v>47</v>
      </c>
      <c r="AK24" s="70">
        <f>ROUND(AK23*AK22^2/4*PI()/AK2/AK6*100,2)</f>
        <v>2.4500000000000002</v>
      </c>
      <c r="AL24" s="68">
        <v>22</v>
      </c>
      <c r="AM24" s="8">
        <f t="shared" si="3"/>
        <v>450</v>
      </c>
      <c r="AN24" s="8">
        <f t="shared" si="4"/>
        <v>-350</v>
      </c>
      <c r="AO24" s="8">
        <f t="shared" si="0"/>
        <v>350</v>
      </c>
      <c r="AP24" s="8">
        <f t="shared" si="5"/>
        <v>-450</v>
      </c>
      <c r="AQ24" s="8">
        <f t="shared" si="1"/>
        <v>350.00000000000006</v>
      </c>
      <c r="AR24" s="8">
        <f t="shared" si="2"/>
        <v>450</v>
      </c>
      <c r="AS24" s="8">
        <f t="shared" si="6"/>
        <v>-150</v>
      </c>
      <c r="AT24" s="8">
        <f t="shared" si="10"/>
        <v>-233.33333333333331</v>
      </c>
      <c r="AU24" s="8">
        <f t="shared" si="7"/>
        <v>233.33333333333331</v>
      </c>
      <c r="AV24" s="8">
        <f t="shared" si="8"/>
        <v>-300</v>
      </c>
      <c r="AW24" s="8">
        <f t="shared" si="11"/>
        <v>-116.66666666666664</v>
      </c>
      <c r="AX24" s="8">
        <f t="shared" si="9"/>
        <v>300</v>
      </c>
    </row>
    <row r="25" spans="1:50" ht="15.75">
      <c r="A25" s="23"/>
      <c r="B25" s="24"/>
      <c r="C25" s="14"/>
      <c r="D25" s="14"/>
      <c r="E25" s="25"/>
      <c r="F25" s="14"/>
      <c r="G25" s="25"/>
      <c r="H25" s="14"/>
      <c r="I25" s="14"/>
      <c r="J25" s="14"/>
      <c r="K25" s="14"/>
      <c r="L25" s="14"/>
      <c r="M25" s="14"/>
      <c r="N25" s="14"/>
      <c r="O25" s="155"/>
      <c r="P25" s="14"/>
      <c r="Q25" s="14"/>
      <c r="R25" s="155"/>
      <c r="S25" s="14"/>
      <c r="T25" s="155"/>
      <c r="U25" s="14"/>
      <c r="V25" s="155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67"/>
      <c r="AH25" s="67"/>
      <c r="AI25" s="67"/>
      <c r="AJ25" s="8" t="str">
        <f>AK23&amp;AK25&amp;AK22</f>
        <v>40Ø25</v>
      </c>
      <c r="AK25" s="8" t="s">
        <v>48</v>
      </c>
      <c r="AL25" s="68">
        <v>23</v>
      </c>
      <c r="AM25" s="8">
        <f t="shared" si="3"/>
        <v>450</v>
      </c>
      <c r="AN25" s="8">
        <f t="shared" si="4"/>
        <v>-350</v>
      </c>
      <c r="AO25" s="8">
        <f t="shared" si="0"/>
        <v>350</v>
      </c>
      <c r="AP25" s="8">
        <f t="shared" si="5"/>
        <v>-450</v>
      </c>
      <c r="AQ25" s="8">
        <f t="shared" si="1"/>
        <v>350.00000000000006</v>
      </c>
      <c r="AR25" s="8">
        <f t="shared" si="2"/>
        <v>450</v>
      </c>
      <c r="AS25" s="8">
        <f t="shared" si="6"/>
        <v>-150</v>
      </c>
      <c r="AT25" s="8">
        <f t="shared" si="10"/>
        <v>-233.33333333333331</v>
      </c>
      <c r="AU25" s="8">
        <f t="shared" si="7"/>
        <v>233.33333333333331</v>
      </c>
      <c r="AV25" s="8">
        <f t="shared" si="8"/>
        <v>-300</v>
      </c>
      <c r="AW25" s="8">
        <f t="shared" si="11"/>
        <v>-116.66666666666664</v>
      </c>
      <c r="AX25" s="8">
        <f t="shared" si="9"/>
        <v>300</v>
      </c>
    </row>
    <row r="26" spans="1:50" ht="15.75">
      <c r="A26" s="23"/>
      <c r="B26" s="24"/>
      <c r="C26" s="14"/>
      <c r="D26" s="14"/>
      <c r="E26" s="25"/>
      <c r="F26" s="14"/>
      <c r="G26" s="25"/>
      <c r="H26" s="14"/>
      <c r="I26" s="14"/>
      <c r="J26" s="14"/>
      <c r="K26" s="14"/>
      <c r="L26" s="14"/>
      <c r="M26" s="14"/>
      <c r="N26" s="14"/>
      <c r="O26" s="155"/>
      <c r="P26" s="14"/>
      <c r="Q26" s="14"/>
      <c r="R26" s="155"/>
      <c r="S26" s="14"/>
      <c r="T26" s="155"/>
      <c r="U26" s="14"/>
      <c r="V26" s="155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67"/>
      <c r="AH26" s="67"/>
      <c r="AI26" s="67"/>
      <c r="AJ26" s="8" t="str">
        <f>AK26&amp;AK24&amp;"%"</f>
        <v>µ=2.45%</v>
      </c>
      <c r="AK26" s="71" t="s">
        <v>49</v>
      </c>
      <c r="AL26" s="68">
        <v>24</v>
      </c>
      <c r="AM26" s="8">
        <f t="shared" si="3"/>
        <v>450</v>
      </c>
      <c r="AN26" s="8">
        <f t="shared" si="4"/>
        <v>-350</v>
      </c>
      <c r="AO26" s="8">
        <f t="shared" si="0"/>
        <v>350</v>
      </c>
      <c r="AP26" s="8">
        <f t="shared" si="5"/>
        <v>-450</v>
      </c>
      <c r="AQ26" s="8">
        <f t="shared" si="1"/>
        <v>350.00000000000006</v>
      </c>
      <c r="AR26" s="8">
        <f t="shared" si="2"/>
        <v>450</v>
      </c>
      <c r="AS26" s="8">
        <f t="shared" si="6"/>
        <v>-150</v>
      </c>
      <c r="AT26" s="8">
        <f t="shared" si="10"/>
        <v>-233.33333333333331</v>
      </c>
      <c r="AU26" s="8">
        <f t="shared" si="7"/>
        <v>233.33333333333331</v>
      </c>
      <c r="AV26" s="8">
        <f t="shared" si="8"/>
        <v>-300</v>
      </c>
      <c r="AW26" s="8">
        <f t="shared" si="11"/>
        <v>-116.66666666666664</v>
      </c>
      <c r="AX26" s="8">
        <f t="shared" si="9"/>
        <v>300</v>
      </c>
    </row>
    <row r="27" spans="1:50" ht="15.75">
      <c r="A27" s="23"/>
      <c r="B27" s="24"/>
      <c r="C27" s="14"/>
      <c r="D27" s="14"/>
      <c r="E27" s="25"/>
      <c r="F27" s="14"/>
      <c r="G27" s="25"/>
      <c r="H27" s="14"/>
      <c r="I27" s="14"/>
      <c r="J27" s="14"/>
      <c r="K27" s="14"/>
      <c r="L27" s="14"/>
      <c r="M27" s="14"/>
      <c r="N27" s="14"/>
      <c r="O27" s="155"/>
      <c r="P27" s="14"/>
      <c r="Q27" s="14"/>
      <c r="R27" s="155"/>
      <c r="S27" s="14"/>
      <c r="T27" s="155"/>
      <c r="U27" s="14"/>
      <c r="V27" s="155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67"/>
      <c r="AH27" s="67"/>
      <c r="AI27" s="67"/>
      <c r="AL27" s="68">
        <v>25</v>
      </c>
      <c r="AM27" s="8">
        <f t="shared" si="3"/>
        <v>450</v>
      </c>
      <c r="AN27" s="8">
        <f t="shared" si="4"/>
        <v>-350</v>
      </c>
      <c r="AO27" s="8">
        <f t="shared" si="0"/>
        <v>350</v>
      </c>
      <c r="AP27" s="8">
        <f t="shared" si="5"/>
        <v>-450</v>
      </c>
      <c r="AQ27" s="8">
        <f t="shared" si="1"/>
        <v>350.00000000000006</v>
      </c>
      <c r="AR27" s="8">
        <f t="shared" si="2"/>
        <v>450</v>
      </c>
      <c r="AS27" s="8">
        <f>-AS4</f>
        <v>300</v>
      </c>
      <c r="AT27" s="8">
        <f>AT26</f>
        <v>-233.33333333333331</v>
      </c>
      <c r="AU27" s="8">
        <f t="shared" si="7"/>
        <v>233.33333333333331</v>
      </c>
      <c r="AV27" s="8">
        <f>AV26</f>
        <v>-300</v>
      </c>
      <c r="AW27" s="8">
        <f>-AW4</f>
        <v>116.66666666666664</v>
      </c>
      <c r="AX27" s="8">
        <f t="shared" si="9"/>
        <v>300</v>
      </c>
    </row>
    <row r="28" spans="1:50" ht="15.75">
      <c r="A28" s="23"/>
      <c r="B28" s="24"/>
      <c r="C28" s="14"/>
      <c r="D28" s="14"/>
      <c r="E28" s="25"/>
      <c r="F28" s="14"/>
      <c r="G28" s="25"/>
      <c r="H28" s="14"/>
      <c r="I28" s="14"/>
      <c r="J28" s="14"/>
      <c r="K28" s="14"/>
      <c r="L28" s="14"/>
      <c r="M28" s="14"/>
      <c r="N28" s="14"/>
      <c r="O28" s="155"/>
      <c r="P28" s="14"/>
      <c r="Q28" s="14"/>
      <c r="R28" s="155"/>
      <c r="S28" s="14"/>
      <c r="T28" s="155"/>
      <c r="U28" s="14"/>
      <c r="V28" s="155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67"/>
      <c r="AH28" s="67"/>
      <c r="AI28" s="67"/>
      <c r="AL28" s="68">
        <v>26</v>
      </c>
      <c r="AM28" s="8">
        <f t="shared" si="3"/>
        <v>450</v>
      </c>
      <c r="AN28" s="8">
        <f t="shared" si="4"/>
        <v>-350</v>
      </c>
      <c r="AO28" s="8">
        <f t="shared" si="0"/>
        <v>350</v>
      </c>
      <c r="AP28" s="8">
        <f t="shared" si="5"/>
        <v>-450</v>
      </c>
      <c r="AQ28" s="8">
        <f t="shared" si="1"/>
        <v>350.00000000000006</v>
      </c>
      <c r="AR28" s="8">
        <f t="shared" si="2"/>
        <v>450</v>
      </c>
      <c r="AS28" s="8">
        <f>-AS5</f>
        <v>150</v>
      </c>
      <c r="AT28" s="8">
        <f t="shared" si="10"/>
        <v>-233.33333333333331</v>
      </c>
      <c r="AU28" s="8">
        <f t="shared" si="7"/>
        <v>233.33333333333331</v>
      </c>
      <c r="AV28" s="8">
        <f>AV27</f>
        <v>-300</v>
      </c>
      <c r="AW28" s="8">
        <f>-AW5</f>
        <v>116.66666666666664</v>
      </c>
      <c r="AX28" s="8">
        <f t="shared" si="9"/>
        <v>300</v>
      </c>
    </row>
    <row r="29" spans="1:50" ht="15.75">
      <c r="A29" s="23"/>
      <c r="B29" s="24"/>
      <c r="C29" s="14"/>
      <c r="D29" s="14"/>
      <c r="E29" s="25"/>
      <c r="F29" s="14"/>
      <c r="G29" s="25"/>
      <c r="H29" s="14"/>
      <c r="I29" s="14"/>
      <c r="J29" s="14"/>
      <c r="K29" s="14"/>
      <c r="L29" s="14"/>
      <c r="M29" s="14"/>
      <c r="N29" s="14"/>
      <c r="O29" s="155"/>
      <c r="P29" s="14"/>
      <c r="Q29" s="14"/>
      <c r="R29" s="155"/>
      <c r="S29" s="14"/>
      <c r="T29" s="155"/>
      <c r="U29" s="14"/>
      <c r="V29" s="155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67"/>
      <c r="AH29" s="67"/>
      <c r="AI29" s="67"/>
      <c r="AL29" s="68">
        <v>27</v>
      </c>
      <c r="AM29" s="8">
        <f t="shared" si="3"/>
        <v>450</v>
      </c>
      <c r="AN29" s="8">
        <f t="shared" si="4"/>
        <v>-350</v>
      </c>
      <c r="AO29" s="8">
        <f t="shared" si="0"/>
        <v>350</v>
      </c>
      <c r="AP29" s="8">
        <f t="shared" si="5"/>
        <v>-450</v>
      </c>
      <c r="AQ29" s="8">
        <f t="shared" si="1"/>
        <v>350.00000000000006</v>
      </c>
      <c r="AR29" s="8">
        <f t="shared" si="2"/>
        <v>450</v>
      </c>
      <c r="AS29" s="8">
        <f t="shared" ref="AS29:AS51" si="12">-AS6</f>
        <v>150</v>
      </c>
      <c r="AT29" s="8">
        <f t="shared" si="10"/>
        <v>-233.33333333333331</v>
      </c>
      <c r="AU29" s="8">
        <f t="shared" si="7"/>
        <v>233.33333333333331</v>
      </c>
      <c r="AV29" s="8">
        <f t="shared" si="8"/>
        <v>-300</v>
      </c>
      <c r="AW29" s="8">
        <f t="shared" ref="AW29:AW52" si="13">-AW6</f>
        <v>116.66666666666664</v>
      </c>
      <c r="AX29" s="8">
        <f t="shared" si="9"/>
        <v>300</v>
      </c>
    </row>
    <row r="30" spans="1:50" ht="15.75">
      <c r="A30" s="23"/>
      <c r="B30" s="24"/>
      <c r="C30" s="14"/>
      <c r="D30" s="14"/>
      <c r="E30" s="25"/>
      <c r="F30" s="14"/>
      <c r="G30" s="25"/>
      <c r="H30" s="14"/>
      <c r="I30" s="14"/>
      <c r="J30" s="14"/>
      <c r="K30" s="14"/>
      <c r="L30" s="14"/>
      <c r="M30" s="14"/>
      <c r="N30" s="14"/>
      <c r="O30" s="155"/>
      <c r="P30" s="14"/>
      <c r="Q30" s="14"/>
      <c r="R30" s="155"/>
      <c r="S30" s="14"/>
      <c r="T30" s="155"/>
      <c r="U30" s="14"/>
      <c r="V30" s="155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67"/>
      <c r="AH30" s="67"/>
      <c r="AI30" s="67"/>
      <c r="AL30" s="68">
        <v>28</v>
      </c>
      <c r="AM30" s="8">
        <f t="shared" si="3"/>
        <v>450</v>
      </c>
      <c r="AN30" s="8">
        <f t="shared" si="4"/>
        <v>-350</v>
      </c>
      <c r="AO30" s="8">
        <f t="shared" si="0"/>
        <v>350</v>
      </c>
      <c r="AP30" s="8">
        <f t="shared" si="5"/>
        <v>-450</v>
      </c>
      <c r="AQ30" s="8">
        <f t="shared" si="1"/>
        <v>350.00000000000006</v>
      </c>
      <c r="AR30" s="8">
        <f t="shared" si="2"/>
        <v>450</v>
      </c>
      <c r="AS30" s="8">
        <f t="shared" si="12"/>
        <v>150</v>
      </c>
      <c r="AT30" s="8">
        <f t="shared" si="10"/>
        <v>-233.33333333333331</v>
      </c>
      <c r="AU30" s="8">
        <f t="shared" si="7"/>
        <v>233.33333333333331</v>
      </c>
      <c r="AV30" s="8">
        <f t="shared" si="8"/>
        <v>-300</v>
      </c>
      <c r="AW30" s="8">
        <f t="shared" si="13"/>
        <v>116.66666666666664</v>
      </c>
      <c r="AX30" s="8">
        <f t="shared" si="9"/>
        <v>300</v>
      </c>
    </row>
    <row r="31" spans="1:50" ht="15.75">
      <c r="A31" s="23"/>
      <c r="B31" s="24"/>
      <c r="C31" s="14"/>
      <c r="D31" s="14"/>
      <c r="E31" s="25"/>
      <c r="F31" s="14"/>
      <c r="G31" s="25"/>
      <c r="H31" s="14"/>
      <c r="I31" s="14"/>
      <c r="J31" s="14"/>
      <c r="K31" s="14"/>
      <c r="L31" s="14"/>
      <c r="M31" s="14"/>
      <c r="N31" s="14"/>
      <c r="O31" s="155"/>
      <c r="P31" s="14"/>
      <c r="Q31" s="14"/>
      <c r="R31" s="155"/>
      <c r="S31" s="14"/>
      <c r="T31" s="155"/>
      <c r="U31" s="14"/>
      <c r="V31" s="155"/>
      <c r="AL31" s="68">
        <v>29</v>
      </c>
      <c r="AM31" s="8">
        <f t="shared" si="3"/>
        <v>450</v>
      </c>
      <c r="AN31" s="8">
        <f t="shared" si="4"/>
        <v>-350</v>
      </c>
      <c r="AO31" s="8">
        <f t="shared" si="0"/>
        <v>350</v>
      </c>
      <c r="AP31" s="8">
        <f t="shared" si="5"/>
        <v>-450</v>
      </c>
      <c r="AQ31" s="8">
        <f t="shared" si="1"/>
        <v>350.00000000000006</v>
      </c>
      <c r="AR31" s="8">
        <f t="shared" si="2"/>
        <v>450</v>
      </c>
      <c r="AS31" s="8">
        <f t="shared" si="12"/>
        <v>150</v>
      </c>
      <c r="AT31" s="8">
        <f t="shared" si="10"/>
        <v>-233.33333333333331</v>
      </c>
      <c r="AU31" s="8">
        <f t="shared" si="7"/>
        <v>233.33333333333331</v>
      </c>
      <c r="AV31" s="8">
        <f t="shared" si="8"/>
        <v>-300</v>
      </c>
      <c r="AW31" s="8">
        <f t="shared" si="13"/>
        <v>116.66666666666664</v>
      </c>
      <c r="AX31" s="8">
        <f t="shared" si="9"/>
        <v>300</v>
      </c>
    </row>
    <row r="32" spans="1:50" ht="15.75">
      <c r="A32" s="23"/>
      <c r="B32" s="24"/>
      <c r="C32" s="14"/>
      <c r="D32" s="14"/>
      <c r="E32" s="25"/>
      <c r="F32" s="14"/>
      <c r="G32" s="25"/>
      <c r="H32" s="14"/>
      <c r="I32" s="14"/>
      <c r="J32" s="14"/>
      <c r="K32" s="14"/>
      <c r="L32" s="14"/>
      <c r="M32" s="14"/>
      <c r="N32" s="14"/>
      <c r="O32" s="155"/>
      <c r="P32" s="14"/>
      <c r="Q32" s="14"/>
      <c r="R32" s="155"/>
      <c r="S32" s="14"/>
      <c r="T32" s="155"/>
      <c r="U32" s="14"/>
      <c r="V32" s="155"/>
      <c r="AL32" s="68">
        <v>30</v>
      </c>
      <c r="AM32" s="8">
        <f t="shared" si="3"/>
        <v>450</v>
      </c>
      <c r="AN32" s="8">
        <f t="shared" si="4"/>
        <v>-350</v>
      </c>
      <c r="AO32" s="8">
        <f t="shared" si="0"/>
        <v>350</v>
      </c>
      <c r="AP32" s="8">
        <f t="shared" si="5"/>
        <v>-450</v>
      </c>
      <c r="AQ32" s="8">
        <f t="shared" si="1"/>
        <v>350.00000000000006</v>
      </c>
      <c r="AR32" s="8">
        <f t="shared" si="2"/>
        <v>450</v>
      </c>
      <c r="AS32" s="8">
        <f t="shared" si="12"/>
        <v>150</v>
      </c>
      <c r="AT32" s="8">
        <f t="shared" si="10"/>
        <v>-233.33333333333331</v>
      </c>
      <c r="AU32" s="8">
        <f t="shared" si="7"/>
        <v>233.33333333333331</v>
      </c>
      <c r="AV32" s="8">
        <f t="shared" si="8"/>
        <v>-300</v>
      </c>
      <c r="AW32" s="8">
        <f t="shared" si="13"/>
        <v>116.66666666666664</v>
      </c>
      <c r="AX32" s="8">
        <f t="shared" si="9"/>
        <v>300</v>
      </c>
    </row>
    <row r="33" spans="1:50" ht="15.75">
      <c r="A33" s="23"/>
      <c r="B33" s="24"/>
      <c r="C33" s="14"/>
      <c r="D33" s="14"/>
      <c r="E33" s="25"/>
      <c r="F33" s="14"/>
      <c r="G33" s="25"/>
      <c r="H33" s="14"/>
      <c r="I33" s="14"/>
      <c r="J33" s="14"/>
      <c r="K33" s="14"/>
      <c r="L33" s="14"/>
      <c r="M33" s="14"/>
      <c r="N33" s="14"/>
      <c r="O33" s="155"/>
      <c r="P33" s="14"/>
      <c r="Q33" s="14"/>
      <c r="R33" s="155"/>
      <c r="S33" s="14"/>
      <c r="T33" s="155"/>
      <c r="U33" s="14"/>
      <c r="V33" s="155"/>
      <c r="AL33" s="68">
        <v>31</v>
      </c>
      <c r="AM33" s="8">
        <f t="shared" si="3"/>
        <v>450</v>
      </c>
      <c r="AN33" s="8">
        <f t="shared" si="4"/>
        <v>-350</v>
      </c>
      <c r="AO33" s="8">
        <f t="shared" si="0"/>
        <v>350</v>
      </c>
      <c r="AP33" s="8">
        <f t="shared" si="5"/>
        <v>-450</v>
      </c>
      <c r="AQ33" s="8">
        <f t="shared" si="1"/>
        <v>350.00000000000006</v>
      </c>
      <c r="AR33" s="8">
        <f t="shared" si="2"/>
        <v>450</v>
      </c>
      <c r="AS33" s="8">
        <f t="shared" si="12"/>
        <v>150</v>
      </c>
      <c r="AT33" s="8">
        <f t="shared" si="10"/>
        <v>-233.33333333333331</v>
      </c>
      <c r="AU33" s="8">
        <f t="shared" si="7"/>
        <v>233.33333333333331</v>
      </c>
      <c r="AV33" s="8">
        <f t="shared" si="8"/>
        <v>-300</v>
      </c>
      <c r="AW33" s="8">
        <f t="shared" si="13"/>
        <v>116.66666666666664</v>
      </c>
      <c r="AX33" s="8">
        <f t="shared" si="9"/>
        <v>300</v>
      </c>
    </row>
    <row r="34" spans="1:50" ht="15.75">
      <c r="A34" s="23"/>
      <c r="B34" s="24"/>
      <c r="C34" s="26"/>
      <c r="D34" s="26"/>
      <c r="E34" s="14"/>
      <c r="F34" s="14"/>
      <c r="G34" s="14"/>
      <c r="H34" s="14"/>
      <c r="I34" s="26"/>
      <c r="J34" s="26"/>
      <c r="K34" s="26"/>
      <c r="L34" s="26"/>
      <c r="M34" s="26"/>
      <c r="N34" s="26"/>
      <c r="O34" s="58"/>
      <c r="P34" s="26"/>
      <c r="Q34" s="26"/>
      <c r="R34" s="58"/>
      <c r="S34" s="26"/>
      <c r="T34" s="58"/>
      <c r="U34" s="26"/>
      <c r="V34" s="58"/>
      <c r="AL34" s="68">
        <v>32</v>
      </c>
      <c r="AM34" s="8">
        <f t="shared" si="3"/>
        <v>450</v>
      </c>
      <c r="AN34" s="8">
        <f t="shared" si="4"/>
        <v>-350</v>
      </c>
      <c r="AO34" s="8">
        <f t="shared" si="0"/>
        <v>350</v>
      </c>
      <c r="AP34" s="8">
        <f t="shared" si="5"/>
        <v>-450</v>
      </c>
      <c r="AQ34" s="8">
        <f t="shared" si="1"/>
        <v>350.00000000000006</v>
      </c>
      <c r="AR34" s="8">
        <f t="shared" si="2"/>
        <v>450</v>
      </c>
      <c r="AS34" s="8">
        <f t="shared" si="12"/>
        <v>150</v>
      </c>
      <c r="AT34" s="8">
        <f t="shared" si="10"/>
        <v>-233.33333333333331</v>
      </c>
      <c r="AU34" s="8">
        <f t="shared" si="7"/>
        <v>233.33333333333331</v>
      </c>
      <c r="AV34" s="8">
        <f t="shared" si="8"/>
        <v>-300</v>
      </c>
      <c r="AW34" s="8">
        <f t="shared" si="13"/>
        <v>116.66666666666664</v>
      </c>
      <c r="AX34" s="8">
        <f t="shared" si="9"/>
        <v>300</v>
      </c>
    </row>
    <row r="35" spans="1:50" ht="15.75">
      <c r="A35" s="23"/>
      <c r="B35" s="24"/>
      <c r="C35" s="26"/>
      <c r="D35" s="26"/>
      <c r="E35" s="14"/>
      <c r="F35" s="14"/>
      <c r="G35" s="14"/>
      <c r="H35" s="14"/>
      <c r="I35" s="26"/>
      <c r="J35" s="26"/>
      <c r="K35" s="26"/>
      <c r="L35" s="26"/>
      <c r="M35" s="26"/>
      <c r="N35" s="26"/>
      <c r="O35" s="58"/>
      <c r="P35" s="26"/>
      <c r="Q35" s="26"/>
      <c r="R35" s="58"/>
      <c r="S35" s="26"/>
      <c r="T35" s="58"/>
      <c r="U35" s="26"/>
      <c r="V35" s="58"/>
      <c r="AL35" s="68">
        <v>33</v>
      </c>
      <c r="AM35" s="8">
        <f t="shared" si="3"/>
        <v>450</v>
      </c>
      <c r="AN35" s="8">
        <f t="shared" si="4"/>
        <v>-350</v>
      </c>
      <c r="AO35" s="8">
        <f t="shared" si="0"/>
        <v>350</v>
      </c>
      <c r="AP35" s="8">
        <f t="shared" si="5"/>
        <v>-450</v>
      </c>
      <c r="AQ35" s="8">
        <f t="shared" si="1"/>
        <v>350.00000000000006</v>
      </c>
      <c r="AR35" s="8">
        <f t="shared" si="2"/>
        <v>450</v>
      </c>
      <c r="AS35" s="8">
        <f t="shared" si="12"/>
        <v>150</v>
      </c>
      <c r="AT35" s="8">
        <f t="shared" si="10"/>
        <v>-233.33333333333331</v>
      </c>
      <c r="AU35" s="8">
        <f t="shared" si="7"/>
        <v>233.33333333333331</v>
      </c>
      <c r="AV35" s="8">
        <f t="shared" si="8"/>
        <v>-300</v>
      </c>
      <c r="AW35" s="8">
        <f t="shared" si="13"/>
        <v>116.66666666666664</v>
      </c>
      <c r="AX35" s="8">
        <f t="shared" si="9"/>
        <v>300</v>
      </c>
    </row>
    <row r="36" spans="1:50" ht="15.75">
      <c r="A36" s="23"/>
      <c r="B36" s="24"/>
      <c r="C36" s="26"/>
      <c r="D36" s="26"/>
      <c r="E36" s="14"/>
      <c r="F36" s="14"/>
      <c r="G36" s="14"/>
      <c r="H36" s="14"/>
      <c r="I36" s="26"/>
      <c r="J36" s="26"/>
      <c r="K36" s="26"/>
      <c r="L36" s="26"/>
      <c r="M36" s="26"/>
      <c r="N36" s="26"/>
      <c r="O36" s="58"/>
      <c r="P36" s="26"/>
      <c r="Q36" s="26"/>
      <c r="R36" s="58"/>
      <c r="S36" s="26"/>
      <c r="T36" s="58"/>
      <c r="U36" s="26"/>
      <c r="V36" s="58"/>
      <c r="AL36" s="68">
        <v>34</v>
      </c>
      <c r="AM36" s="8">
        <f t="shared" si="3"/>
        <v>450</v>
      </c>
      <c r="AN36" s="8">
        <f t="shared" si="4"/>
        <v>-350</v>
      </c>
      <c r="AO36" s="8">
        <f t="shared" si="0"/>
        <v>350</v>
      </c>
      <c r="AP36" s="8">
        <f t="shared" si="5"/>
        <v>-450</v>
      </c>
      <c r="AQ36" s="8">
        <f t="shared" si="1"/>
        <v>350.00000000000006</v>
      </c>
      <c r="AR36" s="8">
        <f t="shared" si="2"/>
        <v>450</v>
      </c>
      <c r="AS36" s="8">
        <f t="shared" si="12"/>
        <v>150</v>
      </c>
      <c r="AT36" s="8">
        <f t="shared" si="10"/>
        <v>-233.33333333333331</v>
      </c>
      <c r="AU36" s="8">
        <f t="shared" si="7"/>
        <v>233.33333333333331</v>
      </c>
      <c r="AV36" s="8">
        <f t="shared" si="8"/>
        <v>-300</v>
      </c>
      <c r="AW36" s="8">
        <f t="shared" si="13"/>
        <v>116.66666666666664</v>
      </c>
      <c r="AX36" s="8">
        <f t="shared" si="9"/>
        <v>300</v>
      </c>
    </row>
    <row r="37" spans="1:50" ht="15.75">
      <c r="A37" s="23"/>
      <c r="B37" s="24"/>
      <c r="C37" s="26"/>
      <c r="D37" s="26"/>
      <c r="E37" s="14"/>
      <c r="F37" s="14"/>
      <c r="G37" s="14"/>
      <c r="H37" s="14"/>
      <c r="I37" s="26"/>
      <c r="J37" s="26"/>
      <c r="K37" s="26"/>
      <c r="L37" s="26"/>
      <c r="M37" s="26"/>
      <c r="N37" s="26"/>
      <c r="O37" s="58"/>
      <c r="P37" s="26"/>
      <c r="Q37" s="26"/>
      <c r="R37" s="58"/>
      <c r="S37" s="26"/>
      <c r="T37" s="58"/>
      <c r="U37" s="26"/>
      <c r="V37" s="58"/>
      <c r="AL37" s="68">
        <v>35</v>
      </c>
      <c r="AM37" s="8">
        <f t="shared" si="3"/>
        <v>450</v>
      </c>
      <c r="AN37" s="8">
        <f t="shared" si="4"/>
        <v>-350</v>
      </c>
      <c r="AO37" s="8">
        <f t="shared" si="0"/>
        <v>350</v>
      </c>
      <c r="AP37" s="8">
        <f t="shared" si="5"/>
        <v>-450</v>
      </c>
      <c r="AQ37" s="8">
        <f t="shared" si="1"/>
        <v>350.00000000000006</v>
      </c>
      <c r="AR37" s="8">
        <f t="shared" si="2"/>
        <v>450</v>
      </c>
      <c r="AS37" s="8">
        <f t="shared" si="12"/>
        <v>150</v>
      </c>
      <c r="AT37" s="8">
        <f t="shared" si="10"/>
        <v>-233.33333333333331</v>
      </c>
      <c r="AU37" s="8">
        <f t="shared" si="7"/>
        <v>233.33333333333331</v>
      </c>
      <c r="AV37" s="8">
        <f t="shared" si="8"/>
        <v>-300</v>
      </c>
      <c r="AW37" s="8">
        <f t="shared" si="13"/>
        <v>116.66666666666664</v>
      </c>
      <c r="AX37" s="8">
        <f t="shared" si="9"/>
        <v>300</v>
      </c>
    </row>
    <row r="38" spans="1:50" ht="15.75">
      <c r="A38" s="23"/>
      <c r="B38" s="24"/>
      <c r="C38" s="26"/>
      <c r="D38" s="26"/>
      <c r="E38" s="14"/>
      <c r="F38" s="14"/>
      <c r="G38" s="14"/>
      <c r="H38" s="14"/>
      <c r="I38" s="26"/>
      <c r="J38" s="26"/>
      <c r="K38" s="26"/>
      <c r="L38" s="26"/>
      <c r="M38" s="26"/>
      <c r="N38" s="26"/>
      <c r="O38" s="58"/>
      <c r="P38" s="26"/>
      <c r="Q38" s="26"/>
      <c r="R38" s="58"/>
      <c r="S38" s="26"/>
      <c r="T38" s="58"/>
      <c r="U38" s="26"/>
      <c r="V38" s="58"/>
      <c r="AL38" s="68">
        <v>36</v>
      </c>
      <c r="AM38" s="8">
        <f t="shared" si="3"/>
        <v>450</v>
      </c>
      <c r="AN38" s="8">
        <f t="shared" si="4"/>
        <v>-350</v>
      </c>
      <c r="AO38" s="8">
        <f t="shared" si="0"/>
        <v>350</v>
      </c>
      <c r="AP38" s="8">
        <f t="shared" si="5"/>
        <v>-450</v>
      </c>
      <c r="AQ38" s="8">
        <f t="shared" si="1"/>
        <v>350.00000000000006</v>
      </c>
      <c r="AR38" s="8">
        <f t="shared" si="2"/>
        <v>450</v>
      </c>
      <c r="AS38" s="8">
        <f t="shared" si="12"/>
        <v>150</v>
      </c>
      <c r="AT38" s="8">
        <f t="shared" si="10"/>
        <v>-233.33333333333331</v>
      </c>
      <c r="AU38" s="8">
        <f t="shared" si="7"/>
        <v>233.33333333333331</v>
      </c>
      <c r="AV38" s="8">
        <f t="shared" si="8"/>
        <v>-300</v>
      </c>
      <c r="AW38" s="8">
        <f t="shared" si="13"/>
        <v>116.66666666666664</v>
      </c>
      <c r="AX38" s="8">
        <f t="shared" si="9"/>
        <v>300</v>
      </c>
    </row>
    <row r="39" spans="1:50" ht="15.75">
      <c r="A39" s="23"/>
      <c r="B39" s="24"/>
      <c r="C39" s="26"/>
      <c r="D39" s="26"/>
      <c r="E39" s="14"/>
      <c r="F39" s="14"/>
      <c r="G39" s="14"/>
      <c r="H39" s="14"/>
      <c r="I39" s="26"/>
      <c r="J39" s="26"/>
      <c r="K39" s="26"/>
      <c r="L39" s="26"/>
      <c r="M39" s="26"/>
      <c r="N39" s="26"/>
      <c r="O39" s="58"/>
      <c r="P39" s="26"/>
      <c r="Q39" s="26"/>
      <c r="R39" s="58"/>
      <c r="S39" s="26"/>
      <c r="T39" s="58"/>
      <c r="U39" s="26"/>
      <c r="V39" s="58"/>
      <c r="AL39" s="68">
        <v>37</v>
      </c>
      <c r="AM39" s="8">
        <f t="shared" si="3"/>
        <v>450</v>
      </c>
      <c r="AN39" s="8">
        <f t="shared" si="4"/>
        <v>-350</v>
      </c>
      <c r="AO39" s="8">
        <f t="shared" si="0"/>
        <v>350</v>
      </c>
      <c r="AP39" s="8">
        <f t="shared" si="5"/>
        <v>-450</v>
      </c>
      <c r="AQ39" s="8">
        <f t="shared" si="1"/>
        <v>350.00000000000006</v>
      </c>
      <c r="AR39" s="8">
        <f t="shared" si="2"/>
        <v>450</v>
      </c>
      <c r="AS39" s="8">
        <f t="shared" si="12"/>
        <v>150</v>
      </c>
      <c r="AT39" s="8">
        <f t="shared" si="10"/>
        <v>-233.33333333333331</v>
      </c>
      <c r="AU39" s="8">
        <f t="shared" si="7"/>
        <v>233.33333333333331</v>
      </c>
      <c r="AV39" s="8">
        <f t="shared" si="8"/>
        <v>-300</v>
      </c>
      <c r="AW39" s="8">
        <f t="shared" si="13"/>
        <v>116.66666666666664</v>
      </c>
      <c r="AX39" s="8">
        <f t="shared" si="9"/>
        <v>300</v>
      </c>
    </row>
    <row r="40" spans="1:50" ht="15.75">
      <c r="A40" s="23"/>
      <c r="B40" s="24"/>
      <c r="C40" s="26"/>
      <c r="D40" s="26"/>
      <c r="E40" s="14"/>
      <c r="F40" s="14"/>
      <c r="G40" s="14"/>
      <c r="H40" s="14"/>
      <c r="I40" s="26"/>
      <c r="J40" s="26"/>
      <c r="K40" s="26"/>
      <c r="L40" s="26"/>
      <c r="M40" s="26"/>
      <c r="N40" s="26"/>
      <c r="O40" s="58"/>
      <c r="P40" s="26"/>
      <c r="Q40" s="26"/>
      <c r="R40" s="58"/>
      <c r="S40" s="26"/>
      <c r="T40" s="58"/>
      <c r="U40" s="26"/>
      <c r="V40" s="58"/>
      <c r="AL40" s="68">
        <v>38</v>
      </c>
      <c r="AM40" s="8">
        <f t="shared" si="3"/>
        <v>450</v>
      </c>
      <c r="AN40" s="8">
        <f t="shared" si="4"/>
        <v>-350</v>
      </c>
      <c r="AO40" s="8">
        <f t="shared" si="0"/>
        <v>350</v>
      </c>
      <c r="AP40" s="8">
        <f t="shared" si="5"/>
        <v>-450</v>
      </c>
      <c r="AQ40" s="8">
        <f t="shared" si="1"/>
        <v>350.00000000000006</v>
      </c>
      <c r="AR40" s="8">
        <f t="shared" si="2"/>
        <v>450</v>
      </c>
      <c r="AS40" s="8">
        <f t="shared" si="12"/>
        <v>150</v>
      </c>
      <c r="AT40" s="8">
        <f t="shared" si="10"/>
        <v>-233.33333333333331</v>
      </c>
      <c r="AU40" s="8">
        <f t="shared" si="7"/>
        <v>233.33333333333331</v>
      </c>
      <c r="AV40" s="8">
        <f t="shared" si="8"/>
        <v>-300</v>
      </c>
      <c r="AW40" s="8">
        <f t="shared" si="13"/>
        <v>116.66666666666664</v>
      </c>
      <c r="AX40" s="8">
        <f t="shared" si="9"/>
        <v>300</v>
      </c>
    </row>
    <row r="41" spans="1:50" ht="15.75">
      <c r="A41" s="23"/>
      <c r="B41" s="24"/>
      <c r="C41" s="26"/>
      <c r="D41" s="26"/>
      <c r="E41" s="14"/>
      <c r="F41" s="14"/>
      <c r="G41" s="14"/>
      <c r="H41" s="14"/>
      <c r="I41" s="26"/>
      <c r="J41" s="26"/>
      <c r="K41" s="26"/>
      <c r="L41" s="26"/>
      <c r="M41" s="26"/>
      <c r="N41" s="26"/>
      <c r="O41" s="58"/>
      <c r="P41" s="26"/>
      <c r="Q41" s="26"/>
      <c r="R41" s="58"/>
      <c r="S41" s="26"/>
      <c r="T41" s="58"/>
      <c r="U41" s="26"/>
      <c r="V41" s="58"/>
      <c r="AL41" s="68">
        <v>39</v>
      </c>
      <c r="AM41" s="8">
        <f t="shared" si="3"/>
        <v>450</v>
      </c>
      <c r="AN41" s="8">
        <f t="shared" si="4"/>
        <v>-350</v>
      </c>
      <c r="AO41" s="8">
        <f t="shared" si="0"/>
        <v>350</v>
      </c>
      <c r="AP41" s="8">
        <f t="shared" si="5"/>
        <v>-450</v>
      </c>
      <c r="AQ41" s="8">
        <f t="shared" si="1"/>
        <v>350.00000000000006</v>
      </c>
      <c r="AR41" s="8">
        <f t="shared" si="2"/>
        <v>450</v>
      </c>
      <c r="AS41" s="8">
        <f t="shared" si="12"/>
        <v>150</v>
      </c>
      <c r="AT41" s="8">
        <f t="shared" si="10"/>
        <v>-233.33333333333331</v>
      </c>
      <c r="AU41" s="8">
        <f t="shared" si="7"/>
        <v>233.33333333333331</v>
      </c>
      <c r="AV41" s="8">
        <f t="shared" si="8"/>
        <v>-300</v>
      </c>
      <c r="AW41" s="8">
        <f t="shared" si="13"/>
        <v>116.66666666666664</v>
      </c>
      <c r="AX41" s="8">
        <f t="shared" si="9"/>
        <v>300</v>
      </c>
    </row>
    <row r="42" spans="1:50" ht="15.75">
      <c r="A42" s="23"/>
      <c r="B42" s="24"/>
      <c r="C42" s="26"/>
      <c r="D42" s="26"/>
      <c r="E42" s="14"/>
      <c r="F42" s="14"/>
      <c r="G42" s="14"/>
      <c r="H42" s="14"/>
      <c r="I42" s="26"/>
      <c r="J42" s="26"/>
      <c r="K42" s="26"/>
      <c r="L42" s="26"/>
      <c r="M42" s="26"/>
      <c r="N42" s="26"/>
      <c r="O42" s="58"/>
      <c r="P42" s="26"/>
      <c r="Q42" s="26"/>
      <c r="R42" s="58"/>
      <c r="S42" s="26"/>
      <c r="T42" s="58"/>
      <c r="U42" s="26"/>
      <c r="V42" s="58"/>
      <c r="AL42" s="68">
        <v>40</v>
      </c>
      <c r="AM42" s="8">
        <f t="shared" si="3"/>
        <v>450</v>
      </c>
      <c r="AN42" s="8">
        <f t="shared" si="4"/>
        <v>-350</v>
      </c>
      <c r="AO42" s="8">
        <f t="shared" si="0"/>
        <v>350</v>
      </c>
      <c r="AP42" s="8">
        <f t="shared" si="5"/>
        <v>-450</v>
      </c>
      <c r="AQ42" s="8">
        <f t="shared" si="1"/>
        <v>350.00000000000006</v>
      </c>
      <c r="AR42" s="8">
        <f t="shared" si="2"/>
        <v>450</v>
      </c>
      <c r="AS42" s="8">
        <f t="shared" si="12"/>
        <v>150</v>
      </c>
      <c r="AT42" s="8">
        <f t="shared" si="10"/>
        <v>-233.33333333333331</v>
      </c>
      <c r="AU42" s="8">
        <f t="shared" si="7"/>
        <v>233.33333333333331</v>
      </c>
      <c r="AV42" s="8">
        <f t="shared" si="8"/>
        <v>-300</v>
      </c>
      <c r="AW42" s="8">
        <f t="shared" si="13"/>
        <v>116.66666666666664</v>
      </c>
      <c r="AX42" s="8">
        <f t="shared" si="9"/>
        <v>300</v>
      </c>
    </row>
    <row r="43" spans="1:50" ht="15.75">
      <c r="A43" s="23"/>
      <c r="B43" s="24"/>
      <c r="C43" s="26"/>
      <c r="D43" s="26"/>
      <c r="E43" s="14"/>
      <c r="F43" s="14"/>
      <c r="G43" s="14"/>
      <c r="H43" s="14"/>
      <c r="I43" s="26"/>
      <c r="J43" s="26"/>
      <c r="K43" s="26"/>
      <c r="L43" s="26"/>
      <c r="M43" s="26"/>
      <c r="N43" s="26"/>
      <c r="O43" s="58"/>
      <c r="P43" s="26"/>
      <c r="Q43" s="26"/>
      <c r="R43" s="58"/>
      <c r="S43" s="26"/>
      <c r="T43" s="58"/>
      <c r="U43" s="26"/>
      <c r="V43" s="58"/>
      <c r="AL43" s="68">
        <v>41</v>
      </c>
      <c r="AM43" s="8">
        <f t="shared" si="3"/>
        <v>450</v>
      </c>
      <c r="AN43" s="8">
        <f t="shared" si="4"/>
        <v>-350</v>
      </c>
      <c r="AO43" s="8">
        <f t="shared" si="0"/>
        <v>350</v>
      </c>
      <c r="AP43" s="8">
        <f t="shared" si="5"/>
        <v>-450</v>
      </c>
      <c r="AQ43" s="8">
        <f t="shared" si="1"/>
        <v>350.00000000000006</v>
      </c>
      <c r="AR43" s="8">
        <f t="shared" si="2"/>
        <v>450</v>
      </c>
      <c r="AS43" s="8">
        <f t="shared" si="12"/>
        <v>150</v>
      </c>
      <c r="AT43" s="8">
        <f t="shared" si="10"/>
        <v>-233.33333333333331</v>
      </c>
      <c r="AU43" s="8">
        <f t="shared" si="7"/>
        <v>233.33333333333331</v>
      </c>
      <c r="AV43" s="8">
        <f t="shared" si="8"/>
        <v>-300</v>
      </c>
      <c r="AW43" s="8">
        <f t="shared" si="13"/>
        <v>116.66666666666664</v>
      </c>
      <c r="AX43" s="8">
        <f t="shared" si="9"/>
        <v>300</v>
      </c>
    </row>
    <row r="44" spans="1:50" ht="15.75">
      <c r="A44" s="23"/>
      <c r="B44" s="24"/>
      <c r="C44" s="26"/>
      <c r="D44" s="26"/>
      <c r="E44" s="14"/>
      <c r="F44" s="14"/>
      <c r="G44" s="14"/>
      <c r="H44" s="14"/>
      <c r="I44" s="26"/>
      <c r="J44" s="26"/>
      <c r="K44" s="26"/>
      <c r="L44" s="26"/>
      <c r="M44" s="26"/>
      <c r="N44" s="26"/>
      <c r="O44" s="58"/>
      <c r="P44" s="26"/>
      <c r="Q44" s="26"/>
      <c r="R44" s="58"/>
      <c r="S44" s="26"/>
      <c r="T44" s="58"/>
      <c r="U44" s="26"/>
      <c r="V44" s="58"/>
      <c r="AL44" s="68">
        <v>42</v>
      </c>
      <c r="AM44" s="8">
        <f t="shared" si="3"/>
        <v>450</v>
      </c>
      <c r="AN44" s="8">
        <f t="shared" si="4"/>
        <v>-350</v>
      </c>
      <c r="AO44" s="8">
        <f t="shared" si="0"/>
        <v>350</v>
      </c>
      <c r="AP44" s="8">
        <f t="shared" si="5"/>
        <v>-450</v>
      </c>
      <c r="AQ44" s="8">
        <f t="shared" si="1"/>
        <v>350.00000000000006</v>
      </c>
      <c r="AR44" s="8">
        <f t="shared" si="2"/>
        <v>450</v>
      </c>
      <c r="AS44" s="8">
        <f t="shared" si="12"/>
        <v>150</v>
      </c>
      <c r="AT44" s="8">
        <f t="shared" si="10"/>
        <v>-233.33333333333331</v>
      </c>
      <c r="AU44" s="8">
        <f t="shared" si="7"/>
        <v>233.33333333333331</v>
      </c>
      <c r="AV44" s="8">
        <f t="shared" si="8"/>
        <v>-300</v>
      </c>
      <c r="AW44" s="8">
        <f t="shared" si="13"/>
        <v>116.66666666666664</v>
      </c>
      <c r="AX44" s="8">
        <f t="shared" si="9"/>
        <v>300</v>
      </c>
    </row>
    <row r="45" spans="1:50" ht="15.75">
      <c r="A45" s="23"/>
      <c r="B45" s="24"/>
      <c r="C45" s="26"/>
      <c r="D45" s="26"/>
      <c r="E45" s="14"/>
      <c r="F45" s="14"/>
      <c r="G45" s="14"/>
      <c r="H45" s="14"/>
      <c r="I45" s="26"/>
      <c r="J45" s="26"/>
      <c r="K45" s="26"/>
      <c r="L45" s="26"/>
      <c r="M45" s="26"/>
      <c r="N45" s="26"/>
      <c r="O45" s="58"/>
      <c r="P45" s="26"/>
      <c r="Q45" s="26"/>
      <c r="R45" s="58"/>
      <c r="S45" s="26"/>
      <c r="T45" s="58"/>
      <c r="U45" s="26"/>
      <c r="V45" s="58"/>
      <c r="AL45" s="68">
        <v>43</v>
      </c>
      <c r="AM45" s="8">
        <f t="shared" si="3"/>
        <v>450</v>
      </c>
      <c r="AN45" s="8">
        <f t="shared" si="4"/>
        <v>-350</v>
      </c>
      <c r="AO45" s="8">
        <f t="shared" si="0"/>
        <v>350</v>
      </c>
      <c r="AP45" s="8">
        <f t="shared" si="5"/>
        <v>-450</v>
      </c>
      <c r="AQ45" s="8">
        <f t="shared" si="1"/>
        <v>350.00000000000006</v>
      </c>
      <c r="AR45" s="8">
        <f t="shared" si="2"/>
        <v>450</v>
      </c>
      <c r="AS45" s="8">
        <f t="shared" si="12"/>
        <v>150</v>
      </c>
      <c r="AT45" s="8">
        <f t="shared" si="10"/>
        <v>-233.33333333333331</v>
      </c>
      <c r="AU45" s="8">
        <f t="shared" si="7"/>
        <v>233.33333333333331</v>
      </c>
      <c r="AV45" s="8">
        <f t="shared" si="8"/>
        <v>-300</v>
      </c>
      <c r="AW45" s="8">
        <f t="shared" si="13"/>
        <v>116.66666666666664</v>
      </c>
      <c r="AX45" s="8">
        <f t="shared" si="9"/>
        <v>300</v>
      </c>
    </row>
    <row r="46" spans="1:50" ht="15.75">
      <c r="A46" s="23"/>
      <c r="B46" s="24"/>
      <c r="C46" s="26"/>
      <c r="D46" s="26"/>
      <c r="E46" s="14"/>
      <c r="F46" s="14"/>
      <c r="G46" s="14"/>
      <c r="H46" s="14"/>
      <c r="I46" s="26"/>
      <c r="J46" s="26"/>
      <c r="K46" s="26"/>
      <c r="L46" s="26"/>
      <c r="M46" s="26"/>
      <c r="N46" s="26"/>
      <c r="O46" s="58"/>
      <c r="P46" s="26"/>
      <c r="Q46" s="26"/>
      <c r="R46" s="58"/>
      <c r="S46" s="26"/>
      <c r="T46" s="58"/>
      <c r="U46" s="26"/>
      <c r="V46" s="58"/>
      <c r="AL46" s="68">
        <v>44</v>
      </c>
      <c r="AM46" s="8">
        <f t="shared" si="3"/>
        <v>450</v>
      </c>
      <c r="AN46" s="8">
        <f t="shared" si="4"/>
        <v>-350</v>
      </c>
      <c r="AO46" s="8">
        <f t="shared" si="0"/>
        <v>350</v>
      </c>
      <c r="AP46" s="8">
        <f t="shared" si="5"/>
        <v>-450</v>
      </c>
      <c r="AQ46" s="8">
        <f t="shared" si="1"/>
        <v>350.00000000000006</v>
      </c>
      <c r="AR46" s="8">
        <f t="shared" si="2"/>
        <v>450</v>
      </c>
      <c r="AS46" s="8">
        <f t="shared" si="12"/>
        <v>150</v>
      </c>
      <c r="AT46" s="8">
        <f t="shared" si="10"/>
        <v>-233.33333333333331</v>
      </c>
      <c r="AU46" s="8">
        <f t="shared" si="7"/>
        <v>233.33333333333331</v>
      </c>
      <c r="AV46" s="8">
        <f t="shared" si="8"/>
        <v>-300</v>
      </c>
      <c r="AW46" s="8">
        <f t="shared" si="13"/>
        <v>116.66666666666664</v>
      </c>
      <c r="AX46" s="8">
        <f t="shared" si="9"/>
        <v>300</v>
      </c>
    </row>
    <row r="47" spans="1:50" ht="15.75">
      <c r="A47" s="23"/>
      <c r="B47" s="24"/>
      <c r="C47" s="26"/>
      <c r="D47" s="26"/>
      <c r="E47" s="14"/>
      <c r="F47" s="14"/>
      <c r="G47" s="14"/>
      <c r="H47" s="14"/>
      <c r="I47" s="26"/>
      <c r="J47" s="26"/>
      <c r="K47" s="26"/>
      <c r="L47" s="26"/>
      <c r="M47" s="26"/>
      <c r="N47" s="26"/>
      <c r="O47" s="58"/>
      <c r="P47" s="26"/>
      <c r="Q47" s="26"/>
      <c r="R47" s="58"/>
      <c r="S47" s="26"/>
      <c r="T47" s="58"/>
      <c r="U47" s="26"/>
      <c r="V47" s="58"/>
      <c r="AL47" s="68">
        <v>45</v>
      </c>
      <c r="AM47" s="8">
        <f t="shared" si="3"/>
        <v>450</v>
      </c>
      <c r="AN47" s="8">
        <f t="shared" si="4"/>
        <v>-350</v>
      </c>
      <c r="AO47" s="8">
        <f t="shared" si="0"/>
        <v>350</v>
      </c>
      <c r="AP47" s="8">
        <f t="shared" si="5"/>
        <v>-450</v>
      </c>
      <c r="AQ47" s="8">
        <f t="shared" si="1"/>
        <v>350.00000000000006</v>
      </c>
      <c r="AR47" s="8">
        <f t="shared" si="2"/>
        <v>450</v>
      </c>
      <c r="AS47" s="8">
        <f t="shared" si="12"/>
        <v>150</v>
      </c>
      <c r="AT47" s="8">
        <f t="shared" si="10"/>
        <v>-233.33333333333331</v>
      </c>
      <c r="AU47" s="8">
        <f t="shared" si="7"/>
        <v>233.33333333333331</v>
      </c>
      <c r="AV47" s="8">
        <f t="shared" si="8"/>
        <v>-300</v>
      </c>
      <c r="AW47" s="8">
        <f t="shared" si="13"/>
        <v>116.66666666666664</v>
      </c>
      <c r="AX47" s="8">
        <f t="shared" si="9"/>
        <v>300</v>
      </c>
    </row>
    <row r="48" spans="1:50" ht="15.75">
      <c r="A48" s="23"/>
      <c r="B48" s="24"/>
      <c r="C48" s="26"/>
      <c r="D48" s="26"/>
      <c r="E48" s="14"/>
      <c r="F48" s="14"/>
      <c r="G48" s="14"/>
      <c r="H48" s="14"/>
      <c r="I48" s="26"/>
      <c r="J48" s="26"/>
      <c r="K48" s="26"/>
      <c r="L48" s="26"/>
      <c r="M48" s="26"/>
      <c r="N48" s="26"/>
      <c r="O48" s="58"/>
      <c r="P48" s="26"/>
      <c r="Q48" s="26"/>
      <c r="R48" s="58"/>
      <c r="S48" s="26"/>
      <c r="T48" s="58"/>
      <c r="U48" s="26"/>
      <c r="V48" s="58"/>
      <c r="AL48" s="68">
        <v>46</v>
      </c>
      <c r="AM48" s="8">
        <f t="shared" si="3"/>
        <v>450</v>
      </c>
      <c r="AN48" s="8">
        <f t="shared" si="4"/>
        <v>-350</v>
      </c>
      <c r="AO48" s="8">
        <f t="shared" si="0"/>
        <v>350</v>
      </c>
      <c r="AP48" s="8">
        <f t="shared" si="5"/>
        <v>-450</v>
      </c>
      <c r="AQ48" s="8">
        <f t="shared" si="1"/>
        <v>350.00000000000006</v>
      </c>
      <c r="AR48" s="8">
        <f t="shared" si="2"/>
        <v>450</v>
      </c>
      <c r="AS48" s="8">
        <f t="shared" si="12"/>
        <v>150</v>
      </c>
      <c r="AT48" s="8">
        <f t="shared" si="10"/>
        <v>-233.33333333333331</v>
      </c>
      <c r="AU48" s="8">
        <f t="shared" si="7"/>
        <v>233.33333333333331</v>
      </c>
      <c r="AV48" s="8">
        <f t="shared" si="8"/>
        <v>-300</v>
      </c>
      <c r="AW48" s="8">
        <f t="shared" si="13"/>
        <v>116.66666666666664</v>
      </c>
      <c r="AX48" s="8">
        <f t="shared" si="9"/>
        <v>300</v>
      </c>
    </row>
    <row r="49" spans="1:50" ht="15.75">
      <c r="A49" s="23"/>
      <c r="B49" s="24"/>
      <c r="C49" s="26"/>
      <c r="D49" s="26"/>
      <c r="E49" s="14"/>
      <c r="F49" s="14"/>
      <c r="G49" s="14"/>
      <c r="H49" s="14"/>
      <c r="I49" s="26"/>
      <c r="J49" s="26"/>
      <c r="K49" s="26"/>
      <c r="L49" s="26"/>
      <c r="M49" s="26"/>
      <c r="N49" s="26"/>
      <c r="O49" s="58"/>
      <c r="P49" s="26"/>
      <c r="Q49" s="26"/>
      <c r="R49" s="58"/>
      <c r="S49" s="26"/>
      <c r="T49" s="58"/>
      <c r="U49" s="26"/>
      <c r="V49" s="58"/>
      <c r="AL49" s="68">
        <v>47</v>
      </c>
      <c r="AM49" s="8">
        <f t="shared" si="3"/>
        <v>450</v>
      </c>
      <c r="AN49" s="8">
        <f t="shared" si="4"/>
        <v>-350</v>
      </c>
      <c r="AO49" s="8">
        <f t="shared" si="0"/>
        <v>350</v>
      </c>
      <c r="AP49" s="8">
        <f t="shared" si="5"/>
        <v>-450</v>
      </c>
      <c r="AQ49" s="8">
        <f t="shared" si="1"/>
        <v>350.00000000000006</v>
      </c>
      <c r="AR49" s="8">
        <f t="shared" si="2"/>
        <v>450</v>
      </c>
      <c r="AS49" s="8">
        <f t="shared" si="12"/>
        <v>150</v>
      </c>
      <c r="AT49" s="8">
        <f t="shared" si="10"/>
        <v>-233.33333333333331</v>
      </c>
      <c r="AU49" s="8">
        <f t="shared" si="7"/>
        <v>233.33333333333331</v>
      </c>
      <c r="AV49" s="8">
        <f t="shared" si="8"/>
        <v>-300</v>
      </c>
      <c r="AW49" s="8">
        <f t="shared" si="13"/>
        <v>116.66666666666664</v>
      </c>
      <c r="AX49" s="8">
        <f t="shared" si="9"/>
        <v>300</v>
      </c>
    </row>
    <row r="50" spans="1:50" ht="15.75">
      <c r="A50" s="23"/>
      <c r="B50" s="24"/>
      <c r="C50" s="26"/>
      <c r="D50" s="26"/>
      <c r="E50" s="14"/>
      <c r="F50" s="14"/>
      <c r="G50" s="14"/>
      <c r="H50" s="14"/>
      <c r="I50" s="26"/>
      <c r="J50" s="26"/>
      <c r="K50" s="26"/>
      <c r="L50" s="26"/>
      <c r="M50" s="26"/>
      <c r="N50" s="26"/>
      <c r="O50" s="58"/>
      <c r="P50" s="26"/>
      <c r="Q50" s="26"/>
      <c r="R50" s="58"/>
      <c r="S50" s="26"/>
      <c r="T50" s="58"/>
      <c r="U50" s="26"/>
      <c r="V50" s="58"/>
      <c r="AL50" s="68">
        <v>48</v>
      </c>
      <c r="AM50" s="8">
        <f t="shared" si="3"/>
        <v>450</v>
      </c>
      <c r="AN50" s="8">
        <f t="shared" si="4"/>
        <v>-350</v>
      </c>
      <c r="AO50" s="8">
        <f t="shared" si="0"/>
        <v>350</v>
      </c>
      <c r="AP50" s="8">
        <f t="shared" si="5"/>
        <v>-450</v>
      </c>
      <c r="AQ50" s="8">
        <f t="shared" si="1"/>
        <v>350.00000000000006</v>
      </c>
      <c r="AR50" s="8">
        <f t="shared" si="2"/>
        <v>450</v>
      </c>
      <c r="AS50" s="8">
        <f t="shared" si="12"/>
        <v>-300</v>
      </c>
      <c r="AT50" s="8">
        <f t="shared" si="10"/>
        <v>-233.33333333333331</v>
      </c>
      <c r="AU50" s="8">
        <f t="shared" si="7"/>
        <v>233.33333333333331</v>
      </c>
      <c r="AV50" s="8">
        <f t="shared" si="8"/>
        <v>-300</v>
      </c>
      <c r="AW50" s="8">
        <f t="shared" si="13"/>
        <v>-116.66666666666664</v>
      </c>
      <c r="AX50" s="8">
        <f t="shared" si="9"/>
        <v>300</v>
      </c>
    </row>
    <row r="51" spans="1:50" ht="15.75">
      <c r="A51" s="23"/>
      <c r="B51" s="24"/>
      <c r="C51" s="26"/>
      <c r="D51" s="26"/>
      <c r="E51" s="14"/>
      <c r="F51" s="14"/>
      <c r="G51" s="14"/>
      <c r="H51" s="14"/>
      <c r="I51" s="26"/>
      <c r="J51" s="26"/>
      <c r="K51" s="26"/>
      <c r="L51" s="26"/>
      <c r="M51" s="26"/>
      <c r="N51" s="26"/>
      <c r="O51" s="58"/>
      <c r="P51" s="26"/>
      <c r="Q51" s="26"/>
      <c r="R51" s="58"/>
      <c r="S51" s="26"/>
      <c r="T51" s="58"/>
      <c r="U51" s="26"/>
      <c r="V51" s="58"/>
      <c r="AL51" s="68">
        <v>49</v>
      </c>
      <c r="AM51" s="8">
        <f t="shared" si="3"/>
        <v>450</v>
      </c>
      <c r="AN51" s="8">
        <f t="shared" si="4"/>
        <v>-350</v>
      </c>
      <c r="AO51" s="8">
        <f t="shared" si="0"/>
        <v>350</v>
      </c>
      <c r="AP51" s="8">
        <f t="shared" si="5"/>
        <v>-450</v>
      </c>
      <c r="AQ51" s="8">
        <f t="shared" si="1"/>
        <v>350.00000000000006</v>
      </c>
      <c r="AR51" s="8">
        <f t="shared" si="2"/>
        <v>450</v>
      </c>
      <c r="AS51" s="8">
        <f t="shared" si="12"/>
        <v>-150</v>
      </c>
      <c r="AT51" s="8">
        <f t="shared" si="10"/>
        <v>-233.33333333333331</v>
      </c>
      <c r="AU51" s="8">
        <f t="shared" si="7"/>
        <v>233.33333333333331</v>
      </c>
      <c r="AV51" s="8">
        <f t="shared" si="8"/>
        <v>-300</v>
      </c>
      <c r="AW51" s="8">
        <f t="shared" si="13"/>
        <v>-116.66666666666664</v>
      </c>
      <c r="AX51" s="8">
        <f t="shared" si="9"/>
        <v>300</v>
      </c>
    </row>
    <row r="52" spans="1:50" ht="15.75">
      <c r="A52" s="23"/>
      <c r="B52" s="24"/>
      <c r="C52" s="26"/>
      <c r="D52" s="26"/>
      <c r="E52" s="14"/>
      <c r="F52" s="14"/>
      <c r="G52" s="14"/>
      <c r="H52" s="14"/>
      <c r="I52" s="26"/>
      <c r="J52" s="26"/>
      <c r="K52" s="26"/>
      <c r="L52" s="26"/>
      <c r="M52" s="26"/>
      <c r="N52" s="26"/>
      <c r="O52" s="58"/>
      <c r="P52" s="26"/>
      <c r="Q52" s="26"/>
      <c r="R52" s="58"/>
      <c r="S52" s="26"/>
      <c r="T52" s="58"/>
      <c r="U52" s="26"/>
      <c r="V52" s="58"/>
      <c r="AL52" s="68">
        <v>50</v>
      </c>
      <c r="AM52" s="8">
        <f t="shared" si="3"/>
        <v>450</v>
      </c>
      <c r="AN52" s="8">
        <f t="shared" si="4"/>
        <v>-350</v>
      </c>
      <c r="AO52" s="8">
        <f t="shared" si="0"/>
        <v>350</v>
      </c>
      <c r="AP52" s="8">
        <f t="shared" si="5"/>
        <v>-450</v>
      </c>
      <c r="AQ52" s="8">
        <f t="shared" si="1"/>
        <v>350.00000000000006</v>
      </c>
      <c r="AR52" s="8">
        <f t="shared" si="2"/>
        <v>450</v>
      </c>
      <c r="AS52" s="8">
        <f>-AS29</f>
        <v>-150</v>
      </c>
      <c r="AT52" s="8">
        <f t="shared" si="10"/>
        <v>-233.33333333333331</v>
      </c>
      <c r="AU52" s="8">
        <f t="shared" si="7"/>
        <v>233.33333333333331</v>
      </c>
      <c r="AV52" s="8">
        <f t="shared" si="8"/>
        <v>-300</v>
      </c>
      <c r="AW52" s="8">
        <f t="shared" si="13"/>
        <v>-116.66666666666664</v>
      </c>
      <c r="AX52" s="8">
        <f t="shared" si="9"/>
        <v>300</v>
      </c>
    </row>
    <row r="53" spans="1:50" ht="15.75">
      <c r="A53" s="23"/>
      <c r="B53" s="24"/>
      <c r="C53" s="26"/>
      <c r="D53" s="26"/>
      <c r="E53" s="14"/>
      <c r="F53" s="14"/>
      <c r="G53" s="14"/>
      <c r="H53" s="14"/>
      <c r="I53" s="26"/>
      <c r="J53" s="26"/>
      <c r="K53" s="26"/>
      <c r="L53" s="26"/>
      <c r="M53" s="26"/>
      <c r="N53" s="26"/>
      <c r="O53" s="58"/>
      <c r="P53" s="26"/>
      <c r="Q53" s="26"/>
      <c r="R53" s="58"/>
      <c r="S53" s="26"/>
      <c r="T53" s="58"/>
      <c r="U53" s="26"/>
      <c r="V53" s="58"/>
    </row>
    <row r="54" spans="1:50" ht="15.75">
      <c r="A54" s="23"/>
      <c r="B54" s="24"/>
      <c r="C54" s="26"/>
      <c r="D54" s="26"/>
      <c r="E54" s="14"/>
      <c r="F54" s="14"/>
      <c r="G54" s="14"/>
      <c r="H54" s="14"/>
      <c r="I54" s="26"/>
      <c r="J54" s="26"/>
      <c r="K54" s="26"/>
      <c r="L54" s="26"/>
      <c r="M54" s="26"/>
      <c r="N54" s="26"/>
      <c r="O54" s="58"/>
      <c r="P54" s="26"/>
      <c r="Q54" s="26"/>
      <c r="R54" s="58"/>
      <c r="S54" s="26"/>
      <c r="T54" s="58"/>
      <c r="U54" s="26"/>
      <c r="V54" s="58"/>
    </row>
    <row r="55" spans="1:50" ht="15.75">
      <c r="A55" s="23"/>
      <c r="B55" s="24"/>
      <c r="C55" s="26"/>
      <c r="D55" s="26"/>
      <c r="E55" s="14"/>
      <c r="F55" s="14"/>
      <c r="G55" s="14"/>
      <c r="H55" s="14"/>
      <c r="I55" s="26"/>
      <c r="J55" s="26"/>
      <c r="K55" s="26"/>
      <c r="L55" s="26"/>
      <c r="M55" s="26"/>
      <c r="N55" s="26"/>
      <c r="O55" s="58"/>
      <c r="P55" s="26"/>
      <c r="Q55" s="26"/>
      <c r="R55" s="58"/>
      <c r="S55" s="26"/>
      <c r="T55" s="58"/>
      <c r="U55" s="26"/>
      <c r="V55" s="58"/>
    </row>
    <row r="56" spans="1:50" ht="15.75">
      <c r="A56" s="23"/>
      <c r="B56" s="24"/>
      <c r="C56" s="26"/>
      <c r="D56" s="26"/>
      <c r="E56" s="14"/>
      <c r="F56" s="14"/>
      <c r="G56" s="14"/>
      <c r="H56" s="14"/>
      <c r="I56" s="26"/>
      <c r="J56" s="26"/>
      <c r="K56" s="26"/>
      <c r="L56" s="26"/>
      <c r="M56" s="26"/>
      <c r="N56" s="26"/>
      <c r="O56" s="58"/>
      <c r="P56" s="26"/>
      <c r="Q56" s="26"/>
      <c r="R56" s="58"/>
      <c r="S56" s="26"/>
      <c r="T56" s="58"/>
      <c r="U56" s="26"/>
      <c r="V56" s="58"/>
    </row>
    <row r="57" spans="1:50" ht="15.75">
      <c r="A57" s="23"/>
      <c r="B57" s="24"/>
      <c r="C57" s="26"/>
      <c r="D57" s="26"/>
      <c r="E57" s="14"/>
      <c r="F57" s="14"/>
      <c r="G57" s="14"/>
      <c r="H57" s="14"/>
      <c r="I57" s="26"/>
      <c r="J57" s="26"/>
      <c r="K57" s="26"/>
      <c r="L57" s="26"/>
      <c r="M57" s="26"/>
      <c r="N57" s="26"/>
      <c r="O57" s="58"/>
      <c r="P57" s="26"/>
      <c r="Q57" s="26"/>
      <c r="R57" s="58"/>
      <c r="S57" s="26"/>
      <c r="T57" s="58"/>
      <c r="U57" s="26"/>
      <c r="V57" s="58"/>
    </row>
    <row r="58" spans="1:50" ht="15.75">
      <c r="A58" s="23"/>
      <c r="B58" s="24"/>
      <c r="C58" s="26"/>
      <c r="D58" s="26"/>
      <c r="E58" s="14"/>
      <c r="F58" s="14"/>
      <c r="G58" s="14"/>
      <c r="H58" s="14"/>
      <c r="I58" s="26"/>
      <c r="J58" s="26"/>
      <c r="K58" s="26"/>
      <c r="L58" s="26"/>
      <c r="M58" s="26"/>
      <c r="N58" s="26"/>
      <c r="O58" s="58"/>
      <c r="P58" s="26"/>
      <c r="Q58" s="26"/>
      <c r="R58" s="58"/>
      <c r="S58" s="26"/>
      <c r="T58" s="58"/>
      <c r="U58" s="26"/>
      <c r="V58" s="58"/>
    </row>
    <row r="59" spans="1:50" ht="15.75">
      <c r="A59" s="23"/>
      <c r="B59" s="24"/>
      <c r="C59" s="26"/>
      <c r="D59" s="26"/>
      <c r="E59" s="14"/>
      <c r="F59" s="14"/>
      <c r="G59" s="14"/>
      <c r="H59" s="14"/>
      <c r="I59" s="26"/>
      <c r="J59" s="26"/>
      <c r="K59" s="26"/>
      <c r="L59" s="26"/>
      <c r="M59" s="26"/>
      <c r="N59" s="26"/>
      <c r="O59" s="58"/>
      <c r="P59" s="26"/>
      <c r="Q59" s="26"/>
      <c r="R59" s="58"/>
      <c r="S59" s="26"/>
      <c r="T59" s="58"/>
      <c r="U59" s="26"/>
      <c r="V59" s="58"/>
    </row>
    <row r="60" spans="1:50" ht="15.75">
      <c r="A60" s="23"/>
      <c r="B60" s="24"/>
      <c r="C60" s="26"/>
      <c r="D60" s="26"/>
      <c r="E60" s="14"/>
      <c r="F60" s="14"/>
      <c r="G60" s="14"/>
      <c r="H60" s="14"/>
      <c r="I60" s="26"/>
      <c r="J60" s="26"/>
      <c r="K60" s="26"/>
      <c r="L60" s="26"/>
      <c r="M60" s="26"/>
      <c r="N60" s="26"/>
      <c r="O60" s="58"/>
      <c r="P60" s="26"/>
      <c r="Q60" s="26"/>
      <c r="R60" s="58"/>
      <c r="S60" s="26"/>
      <c r="T60" s="58"/>
      <c r="U60" s="26"/>
      <c r="V60" s="58"/>
    </row>
    <row r="61" spans="1:50" ht="15.75">
      <c r="A61" s="23"/>
      <c r="B61" s="24"/>
      <c r="C61" s="26"/>
      <c r="D61" s="26"/>
      <c r="E61" s="14"/>
      <c r="F61" s="14"/>
      <c r="G61" s="14"/>
      <c r="H61" s="14"/>
      <c r="I61" s="26"/>
      <c r="J61" s="26"/>
      <c r="K61" s="26"/>
      <c r="L61" s="26"/>
      <c r="M61" s="26"/>
      <c r="N61" s="26"/>
      <c r="O61" s="58"/>
      <c r="P61" s="26"/>
      <c r="Q61" s="26"/>
      <c r="R61" s="58"/>
      <c r="S61" s="26"/>
      <c r="T61" s="58"/>
      <c r="U61" s="26"/>
      <c r="V61" s="58"/>
    </row>
    <row r="62" spans="1:50" ht="15.75">
      <c r="A62" s="23"/>
      <c r="B62" s="24"/>
      <c r="C62" s="26"/>
      <c r="D62" s="26"/>
      <c r="E62" s="14"/>
      <c r="F62" s="14"/>
      <c r="G62" s="14"/>
      <c r="H62" s="14"/>
      <c r="I62" s="26"/>
      <c r="J62" s="26"/>
      <c r="K62" s="26"/>
      <c r="L62" s="26"/>
      <c r="M62" s="26"/>
      <c r="N62" s="26"/>
      <c r="O62" s="58"/>
      <c r="P62" s="26"/>
      <c r="Q62" s="26"/>
      <c r="R62" s="58"/>
      <c r="S62" s="26"/>
      <c r="T62" s="58"/>
      <c r="U62" s="26"/>
      <c r="V62" s="58"/>
    </row>
    <row r="63" spans="1:50" ht="15.75">
      <c r="A63" s="23"/>
      <c r="B63" s="24"/>
      <c r="C63" s="26"/>
      <c r="D63" s="26"/>
      <c r="E63" s="14"/>
      <c r="F63" s="14"/>
      <c r="G63" s="14"/>
      <c r="H63" s="14"/>
      <c r="I63" s="26"/>
      <c r="J63" s="26"/>
      <c r="K63" s="26"/>
      <c r="L63" s="26"/>
      <c r="M63" s="26"/>
      <c r="N63" s="26"/>
      <c r="O63" s="58"/>
      <c r="P63" s="26"/>
      <c r="Q63" s="26"/>
      <c r="R63" s="58"/>
      <c r="S63" s="26"/>
      <c r="T63" s="58"/>
      <c r="U63" s="26"/>
      <c r="V63" s="58"/>
    </row>
    <row r="64" spans="1:50" ht="15.75">
      <c r="A64" s="23"/>
      <c r="B64" s="24"/>
      <c r="C64" s="26"/>
      <c r="D64" s="26"/>
      <c r="E64" s="14"/>
      <c r="F64" s="14"/>
      <c r="G64" s="14"/>
      <c r="H64" s="14"/>
      <c r="I64" s="26"/>
      <c r="J64" s="26"/>
      <c r="K64" s="26"/>
      <c r="L64" s="26"/>
      <c r="M64" s="26"/>
      <c r="N64" s="26"/>
      <c r="O64" s="58"/>
      <c r="P64" s="26"/>
      <c r="Q64" s="26"/>
      <c r="R64" s="58"/>
      <c r="S64" s="26"/>
      <c r="T64" s="58"/>
      <c r="U64" s="26"/>
      <c r="V64" s="58"/>
    </row>
    <row r="65" spans="1:22" ht="15.75">
      <c r="A65" s="23"/>
      <c r="B65" s="24"/>
      <c r="C65" s="26"/>
      <c r="D65" s="26"/>
      <c r="E65" s="14"/>
      <c r="F65" s="14"/>
      <c r="G65" s="14"/>
      <c r="H65" s="14"/>
      <c r="I65" s="26"/>
      <c r="J65" s="26"/>
      <c r="K65" s="26"/>
      <c r="L65" s="26"/>
      <c r="M65" s="26"/>
      <c r="N65" s="26"/>
      <c r="O65" s="58"/>
      <c r="P65" s="26"/>
      <c r="Q65" s="26"/>
      <c r="R65" s="58"/>
      <c r="S65" s="26"/>
      <c r="T65" s="58"/>
      <c r="U65" s="26"/>
      <c r="V65" s="58"/>
    </row>
    <row r="66" spans="1:22" ht="15.75">
      <c r="A66" s="23"/>
      <c r="B66" s="24"/>
      <c r="C66" s="26"/>
      <c r="D66" s="26"/>
      <c r="E66" s="14"/>
      <c r="F66" s="14"/>
      <c r="G66" s="14"/>
      <c r="H66" s="14"/>
      <c r="I66" s="26"/>
      <c r="J66" s="26"/>
      <c r="K66" s="26"/>
      <c r="L66" s="26"/>
      <c r="M66" s="26"/>
      <c r="N66" s="26"/>
      <c r="O66" s="58"/>
      <c r="P66" s="26"/>
      <c r="Q66" s="26"/>
      <c r="R66" s="58"/>
      <c r="S66" s="26"/>
      <c r="T66" s="58"/>
      <c r="U66" s="26"/>
      <c r="V66" s="58"/>
    </row>
    <row r="67" spans="1:22" ht="15.75">
      <c r="A67" s="23"/>
      <c r="B67" s="24"/>
      <c r="C67" s="26"/>
      <c r="D67" s="26"/>
      <c r="E67" s="14"/>
      <c r="F67" s="14"/>
      <c r="G67" s="14"/>
      <c r="H67" s="14"/>
      <c r="I67" s="26"/>
      <c r="J67" s="26"/>
      <c r="K67" s="26"/>
      <c r="L67" s="26"/>
      <c r="M67" s="26"/>
      <c r="N67" s="26"/>
      <c r="O67" s="58"/>
      <c r="P67" s="26"/>
      <c r="Q67" s="26"/>
      <c r="R67" s="58"/>
      <c r="S67" s="26"/>
      <c r="T67" s="58"/>
      <c r="U67" s="26"/>
      <c r="V67" s="58"/>
    </row>
    <row r="68" spans="1:22" ht="15.75">
      <c r="A68" s="23"/>
      <c r="B68" s="24"/>
      <c r="C68" s="26"/>
      <c r="D68" s="26"/>
      <c r="E68" s="14"/>
      <c r="F68" s="14"/>
      <c r="G68" s="14"/>
      <c r="H68" s="14"/>
      <c r="I68" s="26"/>
      <c r="J68" s="26"/>
      <c r="K68" s="26"/>
      <c r="L68" s="26"/>
      <c r="M68" s="26"/>
      <c r="N68" s="26"/>
      <c r="O68" s="58"/>
      <c r="P68" s="26"/>
      <c r="Q68" s="26"/>
      <c r="R68" s="58"/>
      <c r="S68" s="26"/>
      <c r="T68" s="58"/>
      <c r="U68" s="26"/>
      <c r="V68" s="58"/>
    </row>
    <row r="69" spans="1:22" ht="15.75">
      <c r="A69" s="23"/>
      <c r="B69" s="24"/>
      <c r="C69" s="26"/>
      <c r="D69" s="26"/>
      <c r="E69" s="14"/>
      <c r="F69" s="14"/>
      <c r="G69" s="14"/>
      <c r="H69" s="14"/>
      <c r="I69" s="26"/>
      <c r="J69" s="26"/>
      <c r="K69" s="26"/>
      <c r="L69" s="26"/>
      <c r="M69" s="26"/>
      <c r="N69" s="26"/>
      <c r="O69" s="58"/>
      <c r="P69" s="26"/>
      <c r="Q69" s="26"/>
      <c r="R69" s="58"/>
      <c r="S69" s="26"/>
      <c r="T69" s="58"/>
      <c r="U69" s="26"/>
      <c r="V69" s="58"/>
    </row>
    <row r="70" spans="1:22" ht="15.75">
      <c r="A70" s="23"/>
      <c r="B70" s="24"/>
      <c r="C70" s="26"/>
      <c r="D70" s="26"/>
      <c r="E70" s="14"/>
      <c r="F70" s="14"/>
      <c r="G70" s="14"/>
      <c r="H70" s="14"/>
      <c r="I70" s="26"/>
      <c r="J70" s="26"/>
      <c r="K70" s="26"/>
      <c r="L70" s="26"/>
      <c r="M70" s="26"/>
      <c r="N70" s="26"/>
      <c r="O70" s="58"/>
      <c r="P70" s="26"/>
      <c r="Q70" s="26"/>
      <c r="R70" s="58"/>
      <c r="S70" s="26"/>
      <c r="T70" s="58"/>
      <c r="U70" s="26"/>
      <c r="V70" s="58"/>
    </row>
    <row r="71" spans="1:22" ht="15.75">
      <c r="A71" s="23"/>
      <c r="B71" s="24"/>
      <c r="C71" s="26"/>
      <c r="D71" s="26"/>
      <c r="E71" s="14"/>
      <c r="F71" s="14"/>
      <c r="G71" s="14"/>
      <c r="H71" s="14"/>
      <c r="I71" s="26"/>
      <c r="J71" s="26"/>
      <c r="K71" s="26"/>
      <c r="L71" s="26"/>
      <c r="M71" s="26"/>
      <c r="N71" s="26"/>
      <c r="O71" s="58"/>
      <c r="P71" s="26"/>
      <c r="Q71" s="26"/>
      <c r="R71" s="58"/>
      <c r="S71" s="26"/>
      <c r="T71" s="58"/>
      <c r="U71" s="26"/>
      <c r="V71" s="58"/>
    </row>
    <row r="72" spans="1:22" ht="15.75">
      <c r="A72" s="23"/>
      <c r="B72" s="24"/>
      <c r="C72" s="26"/>
      <c r="D72" s="26"/>
      <c r="E72" s="14"/>
      <c r="F72" s="14"/>
      <c r="G72" s="14"/>
      <c r="H72" s="14"/>
      <c r="I72" s="26"/>
      <c r="J72" s="26"/>
      <c r="K72" s="26"/>
      <c r="L72" s="26"/>
      <c r="M72" s="26"/>
      <c r="N72" s="26"/>
      <c r="O72" s="58"/>
      <c r="P72" s="26"/>
      <c r="Q72" s="26"/>
      <c r="R72" s="58"/>
      <c r="S72" s="26"/>
      <c r="T72" s="58"/>
      <c r="U72" s="26"/>
      <c r="V72" s="58"/>
    </row>
    <row r="73" spans="1:22" ht="15.75">
      <c r="A73" s="23"/>
      <c r="B73" s="24"/>
      <c r="C73" s="26"/>
      <c r="D73" s="26"/>
      <c r="E73" s="14"/>
      <c r="F73" s="14"/>
      <c r="G73" s="14"/>
      <c r="H73" s="14"/>
      <c r="I73" s="26"/>
      <c r="J73" s="26"/>
      <c r="K73" s="26"/>
      <c r="L73" s="26"/>
      <c r="M73" s="26"/>
      <c r="N73" s="26"/>
      <c r="O73" s="58"/>
      <c r="P73" s="26"/>
      <c r="Q73" s="26"/>
      <c r="R73" s="58"/>
      <c r="S73" s="26"/>
      <c r="T73" s="58"/>
      <c r="U73" s="26"/>
      <c r="V73" s="58"/>
    </row>
    <row r="74" spans="1:22" ht="15.75">
      <c r="A74" s="23"/>
      <c r="B74" s="24"/>
      <c r="C74" s="26"/>
      <c r="D74" s="26"/>
      <c r="E74" s="14"/>
      <c r="F74" s="14"/>
      <c r="G74" s="14"/>
      <c r="H74" s="14"/>
      <c r="I74" s="26"/>
      <c r="J74" s="26"/>
      <c r="K74" s="26"/>
      <c r="L74" s="26"/>
      <c r="M74" s="26"/>
      <c r="N74" s="26"/>
      <c r="O74" s="58"/>
      <c r="P74" s="26"/>
      <c r="Q74" s="26"/>
      <c r="R74" s="58"/>
      <c r="S74" s="26"/>
      <c r="T74" s="58"/>
      <c r="U74" s="26"/>
      <c r="V74" s="58"/>
    </row>
    <row r="75" spans="1:22" ht="15.75">
      <c r="A75" s="23"/>
      <c r="B75" s="24"/>
      <c r="C75" s="26"/>
      <c r="D75" s="26"/>
      <c r="E75" s="14"/>
      <c r="F75" s="14"/>
      <c r="G75" s="14"/>
      <c r="H75" s="14"/>
      <c r="I75" s="26"/>
      <c r="J75" s="26"/>
      <c r="K75" s="26"/>
      <c r="L75" s="26"/>
      <c r="M75" s="26"/>
      <c r="N75" s="26"/>
      <c r="O75" s="58"/>
      <c r="P75" s="26"/>
      <c r="Q75" s="26"/>
      <c r="R75" s="58"/>
      <c r="S75" s="26"/>
      <c r="T75" s="58"/>
      <c r="U75" s="26"/>
      <c r="V75" s="58"/>
    </row>
    <row r="76" spans="1:22" ht="15.75">
      <c r="A76" s="23"/>
      <c r="B76" s="24"/>
      <c r="C76" s="26"/>
      <c r="D76" s="26"/>
      <c r="E76" s="14"/>
      <c r="F76" s="14"/>
      <c r="G76" s="14"/>
      <c r="H76" s="14"/>
      <c r="I76" s="26"/>
      <c r="J76" s="26"/>
      <c r="K76" s="26"/>
      <c r="L76" s="26"/>
      <c r="M76" s="26"/>
      <c r="N76" s="26"/>
      <c r="O76" s="58"/>
      <c r="P76" s="26"/>
      <c r="Q76" s="26"/>
      <c r="R76" s="58"/>
      <c r="S76" s="26"/>
      <c r="T76" s="58"/>
      <c r="U76" s="26"/>
      <c r="V76" s="58"/>
    </row>
    <row r="77" spans="1:22" ht="15.75">
      <c r="A77" s="23"/>
      <c r="B77" s="24"/>
      <c r="C77" s="26"/>
      <c r="D77" s="26"/>
      <c r="E77" s="14"/>
      <c r="F77" s="14"/>
      <c r="G77" s="14"/>
      <c r="H77" s="14"/>
      <c r="I77" s="26"/>
      <c r="J77" s="26"/>
      <c r="K77" s="26"/>
      <c r="L77" s="26"/>
      <c r="M77" s="26"/>
      <c r="N77" s="26"/>
      <c r="O77" s="58"/>
      <c r="P77" s="26"/>
      <c r="Q77" s="26"/>
      <c r="R77" s="58"/>
      <c r="S77" s="26"/>
      <c r="T77" s="58"/>
      <c r="U77" s="26"/>
      <c r="V77" s="58"/>
    </row>
    <row r="78" spans="1:22" ht="15.75">
      <c r="A78" s="23"/>
      <c r="B78" s="24"/>
      <c r="C78" s="26"/>
      <c r="D78" s="26"/>
      <c r="E78" s="14"/>
      <c r="F78" s="14"/>
      <c r="G78" s="14"/>
      <c r="H78" s="14"/>
      <c r="I78" s="26"/>
      <c r="J78" s="26"/>
      <c r="K78" s="26"/>
      <c r="L78" s="26"/>
      <c r="M78" s="26"/>
      <c r="N78" s="26"/>
      <c r="O78" s="58"/>
      <c r="P78" s="26"/>
      <c r="Q78" s="26"/>
      <c r="R78" s="58"/>
      <c r="S78" s="26"/>
      <c r="T78" s="58"/>
      <c r="U78" s="26"/>
      <c r="V78" s="58"/>
    </row>
    <row r="79" spans="1:22" ht="15.75">
      <c r="A79" s="23"/>
      <c r="B79" s="24"/>
      <c r="C79" s="26"/>
      <c r="D79" s="26"/>
      <c r="E79" s="14"/>
      <c r="F79" s="14"/>
      <c r="G79" s="14"/>
      <c r="H79" s="14"/>
      <c r="I79" s="26"/>
      <c r="J79" s="26"/>
      <c r="K79" s="26"/>
      <c r="L79" s="26"/>
      <c r="M79" s="26"/>
      <c r="N79" s="26"/>
      <c r="O79" s="58"/>
      <c r="P79" s="26"/>
      <c r="Q79" s="26"/>
      <c r="R79" s="58"/>
      <c r="S79" s="26"/>
      <c r="T79" s="58"/>
      <c r="U79" s="26"/>
      <c r="V79" s="58"/>
    </row>
    <row r="80" spans="1:22" ht="15.75">
      <c r="A80" s="23"/>
      <c r="B80" s="24"/>
      <c r="C80" s="26"/>
      <c r="D80" s="26"/>
      <c r="E80" s="14"/>
      <c r="F80" s="14"/>
      <c r="G80" s="14"/>
      <c r="H80" s="14"/>
      <c r="I80" s="26"/>
      <c r="J80" s="26"/>
      <c r="K80" s="26"/>
      <c r="L80" s="26"/>
      <c r="M80" s="26"/>
      <c r="N80" s="26"/>
      <c r="O80" s="58"/>
      <c r="P80" s="26"/>
      <c r="Q80" s="26"/>
      <c r="R80" s="58"/>
      <c r="S80" s="26"/>
      <c r="T80" s="58"/>
      <c r="U80" s="26"/>
      <c r="V80" s="58"/>
    </row>
    <row r="81" spans="1:22" ht="15.75">
      <c r="A81" s="23"/>
      <c r="B81" s="24"/>
      <c r="C81" s="26"/>
      <c r="D81" s="26"/>
      <c r="E81" s="14"/>
      <c r="F81" s="14"/>
      <c r="G81" s="14"/>
      <c r="H81" s="14"/>
      <c r="I81" s="26"/>
      <c r="J81" s="26"/>
      <c r="K81" s="26"/>
      <c r="L81" s="26"/>
      <c r="M81" s="26"/>
      <c r="N81" s="26"/>
      <c r="O81" s="58"/>
      <c r="P81" s="26"/>
      <c r="Q81" s="26"/>
      <c r="R81" s="58"/>
      <c r="S81" s="26"/>
      <c r="T81" s="58"/>
      <c r="U81" s="26"/>
      <c r="V81" s="58"/>
    </row>
    <row r="82" spans="1:22" ht="15.75">
      <c r="A82" s="23"/>
      <c r="B82" s="24"/>
      <c r="C82" s="26"/>
      <c r="D82" s="26"/>
      <c r="E82" s="14"/>
      <c r="F82" s="14"/>
      <c r="G82" s="14"/>
      <c r="H82" s="14"/>
      <c r="I82" s="26"/>
      <c r="J82" s="26"/>
      <c r="K82" s="26"/>
      <c r="L82" s="26"/>
      <c r="M82" s="26"/>
      <c r="N82" s="26"/>
      <c r="O82" s="58"/>
      <c r="P82" s="26"/>
      <c r="Q82" s="26"/>
      <c r="R82" s="58"/>
      <c r="S82" s="26"/>
      <c r="T82" s="58"/>
      <c r="U82" s="26"/>
      <c r="V82" s="58"/>
    </row>
    <row r="83" spans="1:22" ht="15.75">
      <c r="A83" s="23"/>
      <c r="B83" s="24"/>
      <c r="C83" s="26"/>
      <c r="D83" s="26"/>
      <c r="E83" s="14"/>
      <c r="F83" s="14"/>
      <c r="G83" s="14"/>
      <c r="H83" s="14"/>
      <c r="I83" s="26"/>
      <c r="J83" s="26"/>
      <c r="K83" s="26"/>
      <c r="L83" s="26"/>
      <c r="M83" s="26"/>
      <c r="N83" s="26"/>
      <c r="O83" s="58"/>
      <c r="P83" s="26"/>
      <c r="Q83" s="26"/>
      <c r="R83" s="58"/>
      <c r="S83" s="26"/>
      <c r="T83" s="58"/>
      <c r="U83" s="26"/>
      <c r="V83" s="58"/>
    </row>
    <row r="84" spans="1:22" ht="15.75">
      <c r="A84" s="23"/>
      <c r="B84" s="24"/>
      <c r="C84" s="26"/>
      <c r="D84" s="26"/>
      <c r="E84" s="14"/>
      <c r="F84" s="14"/>
      <c r="G84" s="14"/>
      <c r="H84" s="14"/>
      <c r="I84" s="26"/>
      <c r="J84" s="26"/>
      <c r="K84" s="26"/>
      <c r="L84" s="26"/>
      <c r="M84" s="26"/>
      <c r="N84" s="26"/>
      <c r="O84" s="58"/>
      <c r="P84" s="26"/>
      <c r="Q84" s="26"/>
      <c r="R84" s="58"/>
      <c r="S84" s="26"/>
      <c r="T84" s="58"/>
      <c r="U84" s="26"/>
      <c r="V84" s="58"/>
    </row>
    <row r="85" spans="1:22" ht="15.75">
      <c r="A85" s="23"/>
      <c r="B85" s="24"/>
      <c r="C85" s="26"/>
      <c r="D85" s="26"/>
      <c r="E85" s="14"/>
      <c r="F85" s="14"/>
      <c r="G85" s="14"/>
      <c r="H85" s="14"/>
      <c r="I85" s="26"/>
      <c r="J85" s="26"/>
      <c r="K85" s="26"/>
      <c r="L85" s="26"/>
      <c r="M85" s="26"/>
      <c r="N85" s="26"/>
      <c r="O85" s="58"/>
      <c r="P85" s="26"/>
      <c r="Q85" s="26"/>
      <c r="R85" s="58"/>
      <c r="S85" s="26"/>
      <c r="T85" s="58"/>
      <c r="U85" s="26"/>
      <c r="V85" s="58"/>
    </row>
    <row r="86" spans="1:22" ht="15.75">
      <c r="A86" s="23"/>
      <c r="B86" s="24"/>
      <c r="C86" s="26"/>
      <c r="D86" s="26"/>
      <c r="E86" s="14"/>
      <c r="F86" s="14"/>
      <c r="G86" s="14"/>
      <c r="H86" s="14"/>
      <c r="I86" s="26"/>
      <c r="J86" s="26"/>
      <c r="K86" s="26"/>
      <c r="L86" s="26"/>
      <c r="M86" s="26"/>
      <c r="N86" s="26"/>
      <c r="O86" s="58"/>
      <c r="P86" s="26"/>
      <c r="Q86" s="26"/>
      <c r="R86" s="58"/>
      <c r="S86" s="26"/>
      <c r="T86" s="58"/>
      <c r="U86" s="26"/>
      <c r="V86" s="58"/>
    </row>
    <row r="87" spans="1:22" ht="15.75">
      <c r="A87" s="23"/>
      <c r="B87" s="24"/>
      <c r="C87" s="26"/>
      <c r="D87" s="26"/>
      <c r="E87" s="14"/>
      <c r="F87" s="14"/>
      <c r="G87" s="14"/>
      <c r="H87" s="14"/>
      <c r="I87" s="26"/>
      <c r="J87" s="26"/>
      <c r="K87" s="26"/>
      <c r="L87" s="26"/>
      <c r="M87" s="26"/>
      <c r="N87" s="26"/>
      <c r="O87" s="58"/>
      <c r="P87" s="26"/>
      <c r="Q87" s="26"/>
      <c r="R87" s="58"/>
      <c r="S87" s="26"/>
      <c r="T87" s="58"/>
      <c r="U87" s="26"/>
      <c r="V87" s="58"/>
    </row>
    <row r="88" spans="1:22" ht="15.75">
      <c r="A88" s="23"/>
      <c r="B88" s="24"/>
      <c r="C88" s="26"/>
      <c r="D88" s="26"/>
      <c r="E88" s="14"/>
      <c r="F88" s="14"/>
      <c r="G88" s="14"/>
      <c r="H88" s="14"/>
      <c r="I88" s="26"/>
      <c r="J88" s="26"/>
      <c r="K88" s="26"/>
      <c r="L88" s="26"/>
      <c r="M88" s="26"/>
      <c r="N88" s="26"/>
      <c r="O88" s="58"/>
      <c r="P88" s="26"/>
      <c r="Q88" s="26"/>
      <c r="R88" s="58"/>
      <c r="S88" s="26"/>
      <c r="T88" s="58"/>
      <c r="U88" s="26"/>
      <c r="V88" s="58"/>
    </row>
    <row r="89" spans="1:22" ht="15.75">
      <c r="A89" s="23"/>
      <c r="B89" s="24"/>
      <c r="C89" s="26"/>
      <c r="D89" s="26"/>
      <c r="E89" s="14"/>
      <c r="F89" s="14"/>
      <c r="G89" s="14"/>
      <c r="H89" s="14"/>
      <c r="I89" s="26"/>
      <c r="J89" s="26"/>
      <c r="K89" s="26"/>
      <c r="L89" s="26"/>
      <c r="M89" s="26"/>
      <c r="N89" s="26"/>
      <c r="O89" s="58"/>
      <c r="P89" s="26"/>
      <c r="Q89" s="26"/>
      <c r="R89" s="58"/>
      <c r="S89" s="26"/>
      <c r="T89" s="58"/>
      <c r="U89" s="26"/>
      <c r="V89" s="58"/>
    </row>
    <row r="90" spans="1:22" ht="15.75">
      <c r="A90" s="23"/>
      <c r="B90" s="24"/>
      <c r="C90" s="26"/>
      <c r="D90" s="26"/>
      <c r="E90" s="14"/>
      <c r="F90" s="14"/>
      <c r="G90" s="14"/>
      <c r="H90" s="14"/>
      <c r="I90" s="26"/>
      <c r="J90" s="26"/>
      <c r="K90" s="26"/>
      <c r="L90" s="26"/>
      <c r="M90" s="26"/>
      <c r="N90" s="26"/>
      <c r="O90" s="58"/>
      <c r="P90" s="26"/>
      <c r="Q90" s="26"/>
      <c r="R90" s="58"/>
      <c r="S90" s="26"/>
      <c r="T90" s="58"/>
      <c r="U90" s="26"/>
      <c r="V90" s="58"/>
    </row>
    <row r="91" spans="1:22" ht="15.75">
      <c r="A91" s="23"/>
      <c r="B91" s="24"/>
      <c r="C91" s="26"/>
      <c r="D91" s="26"/>
      <c r="E91" s="14"/>
      <c r="F91" s="14"/>
      <c r="G91" s="14"/>
      <c r="H91" s="14"/>
      <c r="I91" s="26"/>
      <c r="J91" s="26"/>
      <c r="K91" s="26"/>
      <c r="L91" s="26"/>
      <c r="M91" s="26"/>
      <c r="N91" s="26"/>
      <c r="O91" s="58"/>
      <c r="P91" s="26"/>
      <c r="Q91" s="26"/>
      <c r="R91" s="58"/>
      <c r="S91" s="26"/>
      <c r="T91" s="58"/>
      <c r="U91" s="26"/>
      <c r="V91" s="58"/>
    </row>
    <row r="92" spans="1:22" ht="15.75">
      <c r="A92" s="23"/>
      <c r="B92" s="24"/>
      <c r="C92" s="26"/>
      <c r="D92" s="26"/>
      <c r="E92" s="14"/>
      <c r="F92" s="14"/>
      <c r="G92" s="14"/>
      <c r="H92" s="14"/>
      <c r="I92" s="26"/>
      <c r="J92" s="26"/>
      <c r="K92" s="26"/>
      <c r="L92" s="26"/>
      <c r="M92" s="26"/>
      <c r="N92" s="26"/>
      <c r="O92" s="58"/>
      <c r="P92" s="26"/>
      <c r="Q92" s="26"/>
      <c r="R92" s="58"/>
      <c r="S92" s="26"/>
      <c r="T92" s="58"/>
      <c r="U92" s="26"/>
      <c r="V92" s="58"/>
    </row>
    <row r="93" spans="1:22" ht="15.75">
      <c r="A93" s="23"/>
      <c r="B93" s="24"/>
      <c r="C93" s="26"/>
      <c r="D93" s="26"/>
      <c r="E93" s="14"/>
      <c r="F93" s="14"/>
      <c r="G93" s="14"/>
      <c r="H93" s="14"/>
      <c r="I93" s="26"/>
      <c r="J93" s="26"/>
      <c r="K93" s="26"/>
      <c r="L93" s="26"/>
      <c r="M93" s="26"/>
      <c r="N93" s="26"/>
      <c r="O93" s="58"/>
      <c r="P93" s="26"/>
      <c r="Q93" s="26"/>
      <c r="R93" s="58"/>
      <c r="S93" s="26"/>
      <c r="T93" s="58"/>
      <c r="U93" s="26"/>
      <c r="V93" s="58"/>
    </row>
    <row r="94" spans="1:22" ht="15.75">
      <c r="A94" s="23"/>
      <c r="B94" s="24"/>
      <c r="C94" s="26"/>
      <c r="D94" s="26"/>
      <c r="E94" s="14"/>
      <c r="F94" s="14"/>
      <c r="G94" s="14"/>
      <c r="H94" s="14"/>
      <c r="I94" s="26"/>
      <c r="J94" s="26"/>
      <c r="K94" s="26"/>
      <c r="L94" s="26"/>
      <c r="M94" s="26"/>
      <c r="N94" s="26"/>
      <c r="O94" s="58"/>
      <c r="P94" s="26"/>
      <c r="Q94" s="26"/>
      <c r="R94" s="58"/>
      <c r="S94" s="26"/>
      <c r="T94" s="58"/>
      <c r="U94" s="26"/>
      <c r="V94" s="58"/>
    </row>
    <row r="95" spans="1:22" ht="15.75">
      <c r="A95" s="23"/>
      <c r="B95" s="24"/>
      <c r="C95" s="26"/>
      <c r="D95" s="26"/>
      <c r="E95" s="14"/>
      <c r="F95" s="14"/>
      <c r="G95" s="14"/>
      <c r="H95" s="14"/>
      <c r="I95" s="26"/>
      <c r="J95" s="26"/>
      <c r="K95" s="26"/>
      <c r="L95" s="26"/>
      <c r="M95" s="26"/>
      <c r="N95" s="26"/>
      <c r="O95" s="58"/>
      <c r="P95" s="26"/>
      <c r="Q95" s="26"/>
      <c r="R95" s="58"/>
      <c r="S95" s="26"/>
      <c r="T95" s="58"/>
      <c r="U95" s="26"/>
      <c r="V95" s="58"/>
    </row>
    <row r="96" spans="1:22" ht="15.75">
      <c r="A96" s="23"/>
      <c r="B96" s="24"/>
      <c r="C96" s="26"/>
      <c r="D96" s="26"/>
      <c r="E96" s="14"/>
      <c r="F96" s="14"/>
      <c r="G96" s="14"/>
      <c r="H96" s="14"/>
      <c r="I96" s="26"/>
      <c r="J96" s="26"/>
      <c r="K96" s="26"/>
      <c r="L96" s="26"/>
      <c r="M96" s="26"/>
      <c r="N96" s="26"/>
      <c r="O96" s="58"/>
      <c r="P96" s="26"/>
      <c r="Q96" s="26"/>
      <c r="R96" s="58"/>
      <c r="S96" s="26"/>
      <c r="T96" s="58"/>
      <c r="U96" s="26"/>
      <c r="V96" s="58"/>
    </row>
    <row r="97" spans="1:22" ht="15.75">
      <c r="A97" s="23"/>
      <c r="B97" s="24"/>
      <c r="C97" s="26"/>
      <c r="D97" s="26"/>
      <c r="E97" s="14"/>
      <c r="F97" s="14"/>
      <c r="G97" s="14"/>
      <c r="H97" s="14"/>
      <c r="I97" s="26"/>
      <c r="J97" s="26"/>
      <c r="K97" s="26"/>
      <c r="L97" s="26"/>
      <c r="M97" s="26"/>
      <c r="N97" s="26"/>
      <c r="O97" s="58"/>
      <c r="P97" s="26"/>
      <c r="Q97" s="26"/>
      <c r="R97" s="58"/>
      <c r="S97" s="26"/>
      <c r="T97" s="58"/>
      <c r="U97" s="26"/>
      <c r="V97" s="58"/>
    </row>
    <row r="98" spans="1:22" ht="15.75">
      <c r="A98" s="23"/>
      <c r="B98" s="24"/>
      <c r="C98" s="26"/>
      <c r="D98" s="26"/>
      <c r="E98" s="14"/>
      <c r="F98" s="14"/>
      <c r="G98" s="14"/>
      <c r="H98" s="14"/>
      <c r="I98" s="26"/>
      <c r="J98" s="26"/>
      <c r="K98" s="26"/>
      <c r="L98" s="26"/>
      <c r="M98" s="26"/>
      <c r="N98" s="26"/>
      <c r="O98" s="58"/>
      <c r="P98" s="26"/>
      <c r="Q98" s="26"/>
      <c r="R98" s="58"/>
      <c r="S98" s="26"/>
      <c r="T98" s="58"/>
      <c r="U98" s="26"/>
      <c r="V98" s="58"/>
    </row>
    <row r="99" spans="1:22" ht="15.75">
      <c r="A99" s="23"/>
      <c r="B99" s="24"/>
      <c r="C99" s="26"/>
      <c r="D99" s="26"/>
      <c r="E99" s="14"/>
      <c r="F99" s="14"/>
      <c r="G99" s="14"/>
      <c r="H99" s="14"/>
      <c r="I99" s="26"/>
      <c r="J99" s="26"/>
      <c r="K99" s="26"/>
      <c r="L99" s="26"/>
      <c r="M99" s="26"/>
      <c r="N99" s="26"/>
      <c r="O99" s="58"/>
      <c r="P99" s="26"/>
      <c r="Q99" s="26"/>
      <c r="R99" s="58"/>
      <c r="S99" s="26"/>
      <c r="T99" s="58"/>
      <c r="U99" s="26"/>
      <c r="V99" s="58"/>
    </row>
    <row r="100" spans="1:22" ht="15.75">
      <c r="A100" s="23"/>
      <c r="B100" s="24"/>
      <c r="C100" s="26"/>
      <c r="D100" s="26"/>
      <c r="E100" s="14"/>
      <c r="F100" s="14"/>
      <c r="G100" s="14"/>
      <c r="H100" s="14"/>
      <c r="I100" s="26"/>
      <c r="J100" s="26"/>
      <c r="K100" s="26"/>
      <c r="L100" s="26"/>
      <c r="M100" s="26"/>
      <c r="N100" s="26"/>
      <c r="O100" s="58"/>
      <c r="P100" s="26"/>
      <c r="Q100" s="26"/>
      <c r="R100" s="58"/>
      <c r="S100" s="26"/>
      <c r="T100" s="58"/>
      <c r="U100" s="26"/>
      <c r="V100" s="58"/>
    </row>
    <row r="101" spans="1:22" ht="15.75">
      <c r="A101" s="23"/>
      <c r="B101" s="24"/>
      <c r="C101" s="26"/>
      <c r="D101" s="26"/>
      <c r="E101" s="14"/>
      <c r="F101" s="14"/>
      <c r="G101" s="14"/>
      <c r="H101" s="14"/>
      <c r="I101" s="26"/>
      <c r="J101" s="26"/>
      <c r="K101" s="26"/>
      <c r="L101" s="26"/>
      <c r="M101" s="26"/>
      <c r="N101" s="26"/>
      <c r="O101" s="58"/>
      <c r="P101" s="26"/>
      <c r="Q101" s="26"/>
      <c r="R101" s="58"/>
      <c r="S101" s="26"/>
      <c r="T101" s="58"/>
      <c r="U101" s="26"/>
      <c r="V101" s="58"/>
    </row>
    <row r="102" spans="1:22" ht="15.75">
      <c r="A102" s="23"/>
      <c r="B102" s="24"/>
      <c r="C102" s="26"/>
      <c r="D102" s="26"/>
      <c r="E102" s="14"/>
      <c r="F102" s="14"/>
      <c r="G102" s="14"/>
      <c r="H102" s="14"/>
      <c r="I102" s="26"/>
      <c r="J102" s="26"/>
      <c r="K102" s="26"/>
      <c r="L102" s="26"/>
      <c r="M102" s="26"/>
      <c r="N102" s="26"/>
      <c r="O102" s="58"/>
      <c r="P102" s="26"/>
      <c r="Q102" s="26"/>
      <c r="R102" s="58"/>
      <c r="S102" s="26"/>
      <c r="T102" s="58"/>
      <c r="U102" s="26"/>
      <c r="V102" s="58"/>
    </row>
    <row r="103" spans="1:22" ht="15.75">
      <c r="A103" s="23"/>
      <c r="B103" s="24"/>
      <c r="C103" s="26"/>
      <c r="D103" s="26"/>
      <c r="E103" s="14"/>
      <c r="F103" s="14"/>
      <c r="G103" s="14"/>
      <c r="H103" s="14"/>
      <c r="I103" s="26"/>
      <c r="J103" s="26"/>
      <c r="K103" s="26"/>
      <c r="L103" s="26"/>
      <c r="M103" s="26"/>
      <c r="N103" s="26"/>
      <c r="O103" s="58"/>
      <c r="P103" s="26"/>
      <c r="Q103" s="26"/>
      <c r="R103" s="58"/>
      <c r="S103" s="26"/>
      <c r="T103" s="58"/>
      <c r="U103" s="26"/>
      <c r="V103" s="58"/>
    </row>
    <row r="104" spans="1:22" ht="15.75">
      <c r="A104" s="23"/>
      <c r="B104" s="24"/>
      <c r="C104" s="26"/>
      <c r="D104" s="26"/>
      <c r="E104" s="14"/>
      <c r="F104" s="14"/>
      <c r="G104" s="14"/>
      <c r="H104" s="14"/>
      <c r="I104" s="26"/>
      <c r="J104" s="26"/>
      <c r="K104" s="26"/>
      <c r="L104" s="26"/>
      <c r="M104" s="26"/>
      <c r="N104" s="26"/>
      <c r="O104" s="58"/>
      <c r="P104" s="26"/>
      <c r="Q104" s="26"/>
      <c r="R104" s="58"/>
      <c r="S104" s="26"/>
      <c r="T104" s="58"/>
      <c r="U104" s="26"/>
      <c r="V104" s="58"/>
    </row>
    <row r="105" spans="1:22" ht="15.75">
      <c r="A105" s="23"/>
      <c r="B105" s="24"/>
      <c r="C105" s="26"/>
      <c r="D105" s="26"/>
      <c r="E105" s="14"/>
      <c r="F105" s="14"/>
      <c r="G105" s="14"/>
      <c r="H105" s="14"/>
      <c r="I105" s="26"/>
      <c r="J105" s="26"/>
      <c r="K105" s="26"/>
      <c r="L105" s="26"/>
      <c r="M105" s="26"/>
      <c r="N105" s="26"/>
      <c r="O105" s="58"/>
      <c r="P105" s="26"/>
      <c r="Q105" s="26"/>
      <c r="R105" s="58"/>
      <c r="S105" s="26"/>
      <c r="T105" s="58"/>
      <c r="U105" s="26"/>
      <c r="V105" s="58"/>
    </row>
    <row r="106" spans="1:22" ht="15.75">
      <c r="A106" s="23"/>
      <c r="B106" s="24"/>
      <c r="C106" s="26"/>
      <c r="D106" s="26"/>
      <c r="E106" s="14"/>
      <c r="F106" s="14"/>
      <c r="G106" s="14"/>
      <c r="H106" s="14"/>
      <c r="I106" s="26"/>
      <c r="J106" s="26"/>
      <c r="K106" s="26"/>
      <c r="L106" s="26"/>
      <c r="M106" s="26"/>
      <c r="N106" s="26"/>
      <c r="O106" s="58"/>
      <c r="P106" s="26"/>
      <c r="Q106" s="26"/>
      <c r="R106" s="58"/>
      <c r="S106" s="26"/>
      <c r="T106" s="58"/>
      <c r="U106" s="26"/>
      <c r="V106" s="58"/>
    </row>
    <row r="107" spans="1:22" ht="15.75">
      <c r="A107" s="23"/>
      <c r="B107" s="24"/>
      <c r="C107" s="26"/>
      <c r="D107" s="26"/>
      <c r="E107" s="14"/>
      <c r="F107" s="14"/>
      <c r="G107" s="14"/>
      <c r="H107" s="14"/>
      <c r="I107" s="26"/>
      <c r="J107" s="26"/>
      <c r="K107" s="26"/>
      <c r="L107" s="26"/>
      <c r="M107" s="26"/>
      <c r="N107" s="26"/>
      <c r="O107" s="58"/>
      <c r="P107" s="26"/>
      <c r="Q107" s="26"/>
      <c r="R107" s="58"/>
      <c r="S107" s="26"/>
      <c r="T107" s="58"/>
      <c r="U107" s="26"/>
      <c r="V107" s="58"/>
    </row>
    <row r="108" spans="1:22" ht="15.75">
      <c r="A108" s="23"/>
      <c r="B108" s="24"/>
      <c r="C108" s="26"/>
      <c r="D108" s="26"/>
      <c r="E108" s="14"/>
      <c r="F108" s="14"/>
      <c r="G108" s="14"/>
      <c r="H108" s="14"/>
      <c r="I108" s="26"/>
      <c r="J108" s="26"/>
      <c r="K108" s="26"/>
      <c r="L108" s="26"/>
      <c r="M108" s="26"/>
      <c r="N108" s="26"/>
      <c r="O108" s="58"/>
      <c r="P108" s="26"/>
      <c r="Q108" s="26"/>
      <c r="R108" s="58"/>
      <c r="S108" s="26"/>
      <c r="T108" s="58"/>
      <c r="U108" s="26"/>
      <c r="V108" s="58"/>
    </row>
    <row r="109" spans="1:22" ht="15.75">
      <c r="A109" s="23"/>
      <c r="B109" s="24"/>
      <c r="C109" s="26"/>
      <c r="D109" s="26"/>
      <c r="E109" s="14"/>
      <c r="F109" s="14"/>
      <c r="G109" s="14"/>
      <c r="H109" s="14"/>
      <c r="I109" s="26"/>
      <c r="J109" s="26"/>
      <c r="K109" s="26"/>
      <c r="L109" s="26"/>
      <c r="M109" s="26"/>
      <c r="N109" s="26"/>
      <c r="O109" s="58"/>
      <c r="P109" s="26"/>
      <c r="Q109" s="26"/>
      <c r="R109" s="58"/>
      <c r="S109" s="26"/>
      <c r="T109" s="58"/>
      <c r="U109" s="26"/>
      <c r="V109" s="58"/>
    </row>
    <row r="110" spans="1:22" ht="15.75">
      <c r="A110" s="23"/>
      <c r="B110" s="24"/>
      <c r="C110" s="26"/>
      <c r="D110" s="26"/>
      <c r="E110" s="14"/>
      <c r="F110" s="14"/>
      <c r="G110" s="14"/>
      <c r="H110" s="14"/>
      <c r="I110" s="26"/>
      <c r="J110" s="26"/>
      <c r="K110" s="26"/>
      <c r="L110" s="26"/>
      <c r="M110" s="26"/>
      <c r="N110" s="26"/>
      <c r="O110" s="58"/>
      <c r="P110" s="26"/>
      <c r="Q110" s="26"/>
      <c r="R110" s="58"/>
      <c r="S110" s="26"/>
      <c r="T110" s="58"/>
      <c r="U110" s="26"/>
      <c r="V110" s="58"/>
    </row>
    <row r="111" spans="1:22" ht="15.75">
      <c r="A111" s="23"/>
      <c r="B111" s="24"/>
      <c r="C111" s="26"/>
      <c r="D111" s="26"/>
      <c r="E111" s="14"/>
      <c r="F111" s="14"/>
      <c r="G111" s="14"/>
      <c r="H111" s="14"/>
      <c r="I111" s="26"/>
      <c r="J111" s="26"/>
      <c r="K111" s="26"/>
      <c r="L111" s="26"/>
      <c r="M111" s="26"/>
      <c r="N111" s="26"/>
      <c r="O111" s="58"/>
      <c r="P111" s="26"/>
      <c r="Q111" s="26"/>
      <c r="R111" s="58"/>
      <c r="S111" s="26"/>
      <c r="T111" s="58"/>
      <c r="U111" s="26"/>
      <c r="V111" s="58"/>
    </row>
    <row r="112" spans="1:22" ht="15.75">
      <c r="A112" s="23"/>
      <c r="B112" s="24"/>
      <c r="C112" s="26"/>
      <c r="D112" s="26"/>
      <c r="E112" s="14"/>
      <c r="F112" s="14"/>
      <c r="G112" s="14"/>
      <c r="H112" s="14"/>
      <c r="I112" s="26"/>
      <c r="J112" s="26"/>
      <c r="K112" s="26"/>
      <c r="L112" s="26"/>
      <c r="M112" s="26"/>
      <c r="N112" s="26"/>
      <c r="O112" s="58"/>
      <c r="P112" s="26"/>
      <c r="Q112" s="26"/>
      <c r="R112" s="58"/>
      <c r="S112" s="26"/>
      <c r="T112" s="58"/>
      <c r="U112" s="26"/>
      <c r="V112" s="58"/>
    </row>
    <row r="113" spans="1:22" ht="15.75">
      <c r="A113" s="23"/>
      <c r="B113" s="24"/>
      <c r="C113" s="26"/>
      <c r="D113" s="26"/>
      <c r="E113" s="14"/>
      <c r="F113" s="14"/>
      <c r="G113" s="14"/>
      <c r="H113" s="14"/>
      <c r="I113" s="26"/>
      <c r="J113" s="26"/>
      <c r="K113" s="26"/>
      <c r="L113" s="26"/>
      <c r="M113" s="26"/>
      <c r="N113" s="26"/>
      <c r="O113" s="58"/>
      <c r="P113" s="26"/>
      <c r="Q113" s="26"/>
      <c r="R113" s="58"/>
      <c r="S113" s="26"/>
      <c r="T113" s="58"/>
      <c r="U113" s="26"/>
      <c r="V113" s="58"/>
    </row>
    <row r="114" spans="1:22" ht="15.75">
      <c r="A114" s="23"/>
      <c r="B114" s="24"/>
      <c r="C114" s="26"/>
      <c r="D114" s="26"/>
      <c r="E114" s="14"/>
      <c r="F114" s="14"/>
      <c r="G114" s="14"/>
      <c r="H114" s="14"/>
      <c r="I114" s="26"/>
      <c r="J114" s="26"/>
      <c r="K114" s="26"/>
      <c r="L114" s="26"/>
      <c r="M114" s="26"/>
      <c r="N114" s="26"/>
      <c r="O114" s="58"/>
      <c r="P114" s="26"/>
      <c r="Q114" s="26"/>
      <c r="R114" s="58"/>
      <c r="S114" s="26"/>
      <c r="T114" s="58"/>
      <c r="U114" s="26"/>
      <c r="V114" s="58"/>
    </row>
    <row r="115" spans="1:22" ht="15.75">
      <c r="A115" s="23"/>
      <c r="B115" s="24"/>
      <c r="C115" s="26"/>
      <c r="D115" s="26"/>
      <c r="E115" s="14"/>
      <c r="F115" s="14"/>
      <c r="G115" s="14"/>
      <c r="H115" s="14"/>
      <c r="I115" s="26"/>
      <c r="J115" s="26"/>
      <c r="K115" s="26"/>
      <c r="L115" s="26"/>
      <c r="M115" s="26"/>
      <c r="N115" s="26"/>
      <c r="O115" s="58"/>
      <c r="P115" s="26"/>
      <c r="Q115" s="26"/>
      <c r="R115" s="58"/>
      <c r="S115" s="26"/>
      <c r="T115" s="58"/>
      <c r="U115" s="26"/>
      <c r="V115" s="58"/>
    </row>
    <row r="116" spans="1:22" ht="15.75">
      <c r="A116" s="23"/>
      <c r="B116" s="24"/>
      <c r="C116" s="26"/>
      <c r="D116" s="26"/>
      <c r="E116" s="14"/>
      <c r="F116" s="14"/>
      <c r="G116" s="14"/>
      <c r="H116" s="14"/>
      <c r="I116" s="26"/>
      <c r="J116" s="26"/>
      <c r="K116" s="26"/>
      <c r="L116" s="26"/>
      <c r="M116" s="26"/>
      <c r="N116" s="26"/>
      <c r="O116" s="58"/>
      <c r="P116" s="26"/>
      <c r="Q116" s="26"/>
      <c r="R116" s="58"/>
      <c r="S116" s="26"/>
      <c r="T116" s="58"/>
      <c r="U116" s="26"/>
      <c r="V116" s="58"/>
    </row>
    <row r="117" spans="1:22" ht="15.75">
      <c r="A117" s="23"/>
      <c r="B117" s="24"/>
      <c r="C117" s="26"/>
      <c r="D117" s="26"/>
      <c r="E117" s="14"/>
      <c r="F117" s="14"/>
      <c r="G117" s="14"/>
      <c r="H117" s="14"/>
      <c r="I117" s="26"/>
      <c r="J117" s="26"/>
      <c r="K117" s="26"/>
      <c r="L117" s="26"/>
      <c r="M117" s="26"/>
      <c r="N117" s="26"/>
      <c r="O117" s="58"/>
      <c r="P117" s="26"/>
      <c r="Q117" s="26"/>
      <c r="R117" s="58"/>
      <c r="S117" s="26"/>
      <c r="T117" s="58"/>
      <c r="U117" s="26"/>
      <c r="V117" s="58"/>
    </row>
    <row r="118" spans="1:22" ht="15.75">
      <c r="A118" s="23"/>
      <c r="B118" s="24"/>
      <c r="C118" s="26"/>
      <c r="D118" s="26"/>
      <c r="E118" s="14"/>
      <c r="F118" s="14"/>
      <c r="G118" s="14"/>
      <c r="H118" s="14"/>
      <c r="I118" s="26"/>
      <c r="J118" s="26"/>
      <c r="K118" s="26"/>
      <c r="L118" s="26"/>
      <c r="M118" s="26"/>
      <c r="N118" s="26"/>
      <c r="O118" s="58"/>
      <c r="P118" s="26"/>
      <c r="Q118" s="26"/>
      <c r="R118" s="58"/>
      <c r="S118" s="26"/>
      <c r="T118" s="58"/>
      <c r="U118" s="26"/>
      <c r="V118" s="58"/>
    </row>
    <row r="119" spans="1:22" ht="15.75">
      <c r="A119" s="23"/>
      <c r="B119" s="24"/>
      <c r="C119" s="26"/>
      <c r="D119" s="26"/>
      <c r="E119" s="14"/>
      <c r="F119" s="14"/>
      <c r="G119" s="14"/>
      <c r="H119" s="14"/>
      <c r="I119" s="26"/>
      <c r="J119" s="26"/>
      <c r="K119" s="26"/>
      <c r="L119" s="26"/>
      <c r="M119" s="26"/>
      <c r="N119" s="26"/>
      <c r="O119" s="58"/>
      <c r="P119" s="26"/>
      <c r="Q119" s="26"/>
      <c r="R119" s="58"/>
      <c r="S119" s="26"/>
      <c r="T119" s="58"/>
      <c r="U119" s="26"/>
      <c r="V119" s="58"/>
    </row>
    <row r="120" spans="1:22" ht="15.75">
      <c r="A120" s="23"/>
      <c r="B120" s="24"/>
      <c r="C120" s="26"/>
      <c r="D120" s="26"/>
      <c r="E120" s="14"/>
      <c r="F120" s="14"/>
      <c r="G120" s="14"/>
      <c r="H120" s="14"/>
      <c r="I120" s="26"/>
      <c r="J120" s="26"/>
      <c r="K120" s="26"/>
      <c r="L120" s="26"/>
      <c r="M120" s="26"/>
      <c r="N120" s="26"/>
      <c r="O120" s="58"/>
      <c r="P120" s="26"/>
      <c r="Q120" s="26"/>
      <c r="R120" s="58"/>
      <c r="S120" s="26"/>
      <c r="T120" s="58"/>
      <c r="U120" s="26"/>
      <c r="V120" s="58"/>
    </row>
    <row r="121" spans="1:22" ht="15.75">
      <c r="A121" s="23"/>
      <c r="B121" s="24"/>
      <c r="C121" s="26"/>
      <c r="D121" s="26"/>
      <c r="E121" s="14"/>
      <c r="F121" s="14"/>
      <c r="G121" s="14"/>
      <c r="H121" s="14"/>
      <c r="I121" s="26"/>
      <c r="J121" s="26"/>
      <c r="K121" s="26"/>
      <c r="L121" s="26"/>
      <c r="M121" s="26"/>
      <c r="N121" s="26"/>
      <c r="O121" s="58"/>
      <c r="P121" s="26"/>
      <c r="Q121" s="26"/>
      <c r="R121" s="58"/>
      <c r="S121" s="26"/>
      <c r="T121" s="58"/>
      <c r="U121" s="26"/>
      <c r="V121" s="58"/>
    </row>
    <row r="122" spans="1:22" ht="15.75">
      <c r="A122" s="23"/>
      <c r="B122" s="24"/>
      <c r="C122" s="26"/>
      <c r="D122" s="26"/>
      <c r="E122" s="14"/>
      <c r="F122" s="14"/>
      <c r="G122" s="14"/>
      <c r="H122" s="14"/>
      <c r="I122" s="26"/>
      <c r="J122" s="26"/>
      <c r="K122" s="26"/>
      <c r="L122" s="26"/>
      <c r="M122" s="26"/>
      <c r="N122" s="26"/>
      <c r="O122" s="58"/>
      <c r="P122" s="26"/>
      <c r="Q122" s="26"/>
      <c r="R122" s="58"/>
      <c r="S122" s="26"/>
      <c r="T122" s="58"/>
      <c r="U122" s="26"/>
      <c r="V122" s="58"/>
    </row>
    <row r="123" spans="1:22" ht="15.75">
      <c r="A123" s="23"/>
      <c r="B123" s="24"/>
      <c r="C123" s="26"/>
      <c r="D123" s="26"/>
      <c r="E123" s="14"/>
      <c r="F123" s="14"/>
      <c r="G123" s="14"/>
      <c r="H123" s="14"/>
      <c r="I123" s="26"/>
      <c r="J123" s="26"/>
      <c r="K123" s="26"/>
      <c r="L123" s="26"/>
      <c r="M123" s="26"/>
      <c r="N123" s="26"/>
      <c r="O123" s="58"/>
      <c r="P123" s="26"/>
      <c r="Q123" s="26"/>
      <c r="R123" s="58"/>
      <c r="S123" s="26"/>
      <c r="T123" s="58"/>
      <c r="U123" s="26"/>
      <c r="V123" s="58"/>
    </row>
    <row r="124" spans="1:22" ht="15.75">
      <c r="A124" s="23"/>
      <c r="B124" s="24"/>
      <c r="C124" s="26"/>
      <c r="D124" s="26"/>
      <c r="E124" s="14"/>
      <c r="F124" s="14"/>
      <c r="G124" s="14"/>
      <c r="H124" s="14"/>
      <c r="I124" s="26"/>
      <c r="J124" s="26"/>
      <c r="K124" s="26"/>
      <c r="L124" s="26"/>
      <c r="M124" s="26"/>
      <c r="N124" s="26"/>
      <c r="O124" s="58"/>
      <c r="P124" s="26"/>
      <c r="Q124" s="26"/>
      <c r="R124" s="58"/>
      <c r="S124" s="26"/>
      <c r="T124" s="58"/>
      <c r="U124" s="26"/>
      <c r="V124" s="58"/>
    </row>
    <row r="125" spans="1:22" ht="15.75">
      <c r="A125" s="23"/>
      <c r="B125" s="24"/>
      <c r="C125" s="26"/>
      <c r="D125" s="26"/>
      <c r="E125" s="14"/>
      <c r="F125" s="14"/>
      <c r="G125" s="14"/>
      <c r="H125" s="14"/>
      <c r="I125" s="26"/>
      <c r="J125" s="26"/>
      <c r="K125" s="26"/>
      <c r="L125" s="26"/>
      <c r="M125" s="26"/>
      <c r="N125" s="26"/>
      <c r="O125" s="58"/>
      <c r="P125" s="26"/>
      <c r="Q125" s="26"/>
      <c r="R125" s="58"/>
      <c r="S125" s="26"/>
      <c r="T125" s="58"/>
      <c r="U125" s="26"/>
      <c r="V125" s="58"/>
    </row>
    <row r="126" spans="1:22" ht="15.75">
      <c r="A126" s="23"/>
      <c r="B126" s="24"/>
      <c r="C126" s="26"/>
      <c r="D126" s="26"/>
      <c r="E126" s="14"/>
      <c r="F126" s="14"/>
      <c r="G126" s="14"/>
      <c r="H126" s="14"/>
      <c r="I126" s="26"/>
      <c r="J126" s="26"/>
      <c r="K126" s="26"/>
      <c r="L126" s="26"/>
      <c r="M126" s="26"/>
      <c r="N126" s="26"/>
      <c r="O126" s="58"/>
      <c r="P126" s="26"/>
      <c r="Q126" s="26"/>
      <c r="R126" s="58"/>
      <c r="S126" s="26"/>
      <c r="T126" s="58"/>
      <c r="U126" s="26"/>
      <c r="V126" s="58"/>
    </row>
    <row r="127" spans="1:22" ht="15.75">
      <c r="A127" s="23"/>
      <c r="B127" s="24"/>
      <c r="C127" s="26"/>
      <c r="D127" s="26"/>
      <c r="E127" s="14"/>
      <c r="F127" s="14"/>
      <c r="G127" s="14"/>
      <c r="H127" s="14"/>
      <c r="I127" s="26"/>
      <c r="J127" s="26"/>
      <c r="K127" s="26"/>
      <c r="L127" s="26"/>
      <c r="M127" s="26"/>
      <c r="N127" s="26"/>
      <c r="O127" s="58"/>
      <c r="P127" s="26"/>
      <c r="Q127" s="26"/>
      <c r="R127" s="58"/>
      <c r="S127" s="26"/>
      <c r="T127" s="58"/>
      <c r="U127" s="26"/>
      <c r="V127" s="58"/>
    </row>
    <row r="128" spans="1:22" ht="15.75">
      <c r="A128" s="23"/>
      <c r="B128" s="24"/>
      <c r="C128" s="26"/>
      <c r="D128" s="26"/>
      <c r="E128" s="14"/>
      <c r="F128" s="14"/>
      <c r="G128" s="14"/>
      <c r="H128" s="14"/>
      <c r="I128" s="26"/>
      <c r="J128" s="26"/>
      <c r="K128" s="26"/>
      <c r="L128" s="26"/>
      <c r="M128" s="26"/>
      <c r="N128" s="26"/>
      <c r="O128" s="58"/>
      <c r="P128" s="26"/>
      <c r="Q128" s="26"/>
      <c r="R128" s="58"/>
      <c r="S128" s="26"/>
      <c r="T128" s="58"/>
      <c r="U128" s="26"/>
      <c r="V128" s="58"/>
    </row>
    <row r="129" spans="1:22" ht="15.75">
      <c r="A129" s="23"/>
      <c r="B129" s="24"/>
      <c r="C129" s="26"/>
      <c r="D129" s="26"/>
      <c r="E129" s="14"/>
      <c r="F129" s="14"/>
      <c r="G129" s="14"/>
      <c r="H129" s="14"/>
      <c r="I129" s="26"/>
      <c r="J129" s="26"/>
      <c r="K129" s="26"/>
      <c r="L129" s="26"/>
      <c r="M129" s="26"/>
      <c r="N129" s="26"/>
      <c r="O129" s="58"/>
      <c r="P129" s="26"/>
      <c r="Q129" s="26"/>
      <c r="R129" s="58"/>
      <c r="S129" s="26"/>
      <c r="T129" s="58"/>
      <c r="U129" s="26"/>
      <c r="V129" s="58"/>
    </row>
    <row r="130" spans="1:22" ht="15.75">
      <c r="A130" s="23"/>
      <c r="B130" s="24"/>
      <c r="C130" s="26"/>
      <c r="D130" s="26"/>
      <c r="E130" s="14"/>
      <c r="F130" s="14"/>
      <c r="G130" s="14"/>
      <c r="H130" s="14"/>
      <c r="I130" s="26"/>
      <c r="J130" s="26"/>
      <c r="K130" s="26"/>
      <c r="L130" s="26"/>
      <c r="M130" s="26"/>
      <c r="N130" s="26"/>
      <c r="O130" s="58"/>
      <c r="P130" s="26"/>
      <c r="Q130" s="26"/>
      <c r="R130" s="58"/>
      <c r="S130" s="26"/>
      <c r="T130" s="58"/>
      <c r="U130" s="26"/>
      <c r="V130" s="58"/>
    </row>
    <row r="131" spans="1:22" ht="15.75">
      <c r="A131" s="23"/>
      <c r="B131" s="24"/>
      <c r="C131" s="26"/>
      <c r="D131" s="26"/>
      <c r="E131" s="14"/>
      <c r="F131" s="14"/>
      <c r="G131" s="14"/>
      <c r="H131" s="14"/>
      <c r="I131" s="26"/>
      <c r="J131" s="26"/>
      <c r="K131" s="26"/>
      <c r="L131" s="26"/>
      <c r="M131" s="26"/>
      <c r="N131" s="26"/>
      <c r="O131" s="58"/>
      <c r="P131" s="26"/>
      <c r="Q131" s="26"/>
      <c r="R131" s="58"/>
      <c r="S131" s="26"/>
      <c r="T131" s="58"/>
      <c r="U131" s="26"/>
      <c r="V131" s="58"/>
    </row>
    <row r="132" spans="1:22" ht="15.75">
      <c r="A132" s="23"/>
      <c r="B132" s="24"/>
      <c r="C132" s="26"/>
      <c r="D132" s="26"/>
      <c r="E132" s="14"/>
      <c r="F132" s="14"/>
      <c r="G132" s="14"/>
      <c r="H132" s="14"/>
      <c r="I132" s="26"/>
      <c r="J132" s="26"/>
      <c r="K132" s="26"/>
      <c r="L132" s="26"/>
      <c r="M132" s="26"/>
      <c r="N132" s="26"/>
      <c r="O132" s="58"/>
      <c r="P132" s="26"/>
      <c r="Q132" s="26"/>
      <c r="R132" s="58"/>
      <c r="S132" s="26"/>
      <c r="T132" s="58"/>
      <c r="U132" s="26"/>
      <c r="V132" s="58"/>
    </row>
    <row r="133" spans="1:22" ht="15.75">
      <c r="A133" s="23"/>
      <c r="B133" s="24"/>
      <c r="C133" s="26"/>
      <c r="D133" s="26"/>
      <c r="E133" s="14"/>
      <c r="F133" s="14"/>
      <c r="G133" s="14"/>
      <c r="H133" s="14"/>
      <c r="I133" s="26"/>
      <c r="J133" s="26"/>
      <c r="K133" s="26"/>
      <c r="L133" s="26"/>
      <c r="M133" s="26"/>
      <c r="N133" s="26"/>
      <c r="O133" s="58"/>
      <c r="P133" s="26"/>
      <c r="Q133" s="26"/>
      <c r="R133" s="58"/>
      <c r="S133" s="26"/>
      <c r="T133" s="58"/>
      <c r="U133" s="26"/>
      <c r="V133" s="58"/>
    </row>
    <row r="134" spans="1:22" ht="15.75">
      <c r="A134" s="23"/>
      <c r="B134" s="24"/>
      <c r="C134" s="26"/>
      <c r="D134" s="26"/>
      <c r="E134" s="14"/>
      <c r="F134" s="14"/>
      <c r="G134" s="14"/>
      <c r="H134" s="14"/>
      <c r="I134" s="26"/>
      <c r="J134" s="26"/>
      <c r="K134" s="26"/>
      <c r="L134" s="26"/>
      <c r="M134" s="26"/>
      <c r="N134" s="26"/>
      <c r="O134" s="58"/>
      <c r="P134" s="26"/>
      <c r="Q134" s="26"/>
      <c r="R134" s="58"/>
      <c r="S134" s="26"/>
      <c r="T134" s="58"/>
      <c r="U134" s="26"/>
      <c r="V134" s="58"/>
    </row>
    <row r="135" spans="1:22" ht="15.75">
      <c r="A135" s="23"/>
      <c r="B135" s="24"/>
      <c r="C135" s="26"/>
      <c r="D135" s="26"/>
      <c r="E135" s="14"/>
      <c r="F135" s="14"/>
      <c r="G135" s="14"/>
      <c r="H135" s="14"/>
      <c r="I135" s="26"/>
      <c r="J135" s="26"/>
      <c r="K135" s="26"/>
      <c r="L135" s="26"/>
      <c r="M135" s="26"/>
      <c r="N135" s="26"/>
      <c r="O135" s="58"/>
      <c r="P135" s="26"/>
      <c r="Q135" s="26"/>
      <c r="R135" s="58"/>
      <c r="S135" s="26"/>
      <c r="T135" s="58"/>
      <c r="U135" s="26"/>
      <c r="V135" s="58"/>
    </row>
    <row r="136" spans="1:22" ht="15.75">
      <c r="A136" s="23"/>
      <c r="B136" s="24"/>
      <c r="C136" s="26"/>
      <c r="D136" s="26"/>
      <c r="E136" s="14"/>
      <c r="F136" s="14"/>
      <c r="G136" s="14"/>
      <c r="H136" s="14"/>
      <c r="I136" s="26"/>
      <c r="J136" s="26"/>
      <c r="K136" s="26"/>
      <c r="L136" s="26"/>
      <c r="M136" s="26"/>
      <c r="N136" s="26"/>
      <c r="O136" s="58"/>
      <c r="P136" s="26"/>
      <c r="Q136" s="26"/>
      <c r="R136" s="58"/>
      <c r="S136" s="26"/>
      <c r="T136" s="58"/>
      <c r="U136" s="26"/>
      <c r="V136" s="58"/>
    </row>
    <row r="137" spans="1:22" ht="15.75">
      <c r="A137" s="23"/>
      <c r="B137" s="24"/>
      <c r="C137" s="26"/>
      <c r="D137" s="26"/>
      <c r="E137" s="14"/>
      <c r="F137" s="14"/>
      <c r="G137" s="14"/>
      <c r="H137" s="14"/>
      <c r="I137" s="26"/>
      <c r="J137" s="26"/>
      <c r="K137" s="26"/>
      <c r="L137" s="26"/>
      <c r="M137" s="26"/>
      <c r="N137" s="26"/>
      <c r="O137" s="58"/>
      <c r="P137" s="26"/>
      <c r="Q137" s="26"/>
      <c r="R137" s="58"/>
      <c r="S137" s="26"/>
      <c r="T137" s="58"/>
      <c r="U137" s="26"/>
      <c r="V137" s="58"/>
    </row>
    <row r="138" spans="1:22" ht="15.75">
      <c r="A138" s="23"/>
      <c r="B138" s="24"/>
      <c r="C138" s="26"/>
      <c r="D138" s="26"/>
      <c r="E138" s="14"/>
      <c r="F138" s="14"/>
      <c r="G138" s="14"/>
      <c r="H138" s="14"/>
      <c r="I138" s="26"/>
      <c r="J138" s="26"/>
      <c r="K138" s="26"/>
      <c r="L138" s="26"/>
      <c r="M138" s="26"/>
      <c r="N138" s="26"/>
      <c r="O138" s="58"/>
      <c r="P138" s="26"/>
      <c r="Q138" s="26"/>
      <c r="R138" s="58"/>
      <c r="S138" s="26"/>
      <c r="T138" s="58"/>
      <c r="U138" s="26"/>
      <c r="V138" s="58"/>
    </row>
    <row r="139" spans="1:22" ht="15.75">
      <c r="A139" s="23"/>
      <c r="B139" s="24"/>
      <c r="C139" s="26"/>
      <c r="D139" s="26"/>
      <c r="E139" s="14"/>
      <c r="F139" s="14"/>
      <c r="G139" s="14"/>
      <c r="H139" s="14"/>
      <c r="I139" s="26"/>
      <c r="J139" s="26"/>
      <c r="K139" s="26"/>
      <c r="L139" s="26"/>
      <c r="M139" s="26"/>
      <c r="N139" s="26"/>
      <c r="O139" s="58"/>
      <c r="P139" s="26"/>
      <c r="Q139" s="26"/>
      <c r="R139" s="58"/>
      <c r="S139" s="26"/>
      <c r="T139" s="58"/>
      <c r="U139" s="26"/>
      <c r="V139" s="58"/>
    </row>
    <row r="140" spans="1:22" ht="15.75">
      <c r="A140" s="23"/>
      <c r="B140" s="24"/>
      <c r="C140" s="26"/>
      <c r="D140" s="26"/>
      <c r="E140" s="14"/>
      <c r="F140" s="14"/>
      <c r="G140" s="14"/>
      <c r="H140" s="14"/>
      <c r="I140" s="26"/>
      <c r="J140" s="26"/>
      <c r="K140" s="26"/>
      <c r="L140" s="26"/>
      <c r="M140" s="26"/>
      <c r="N140" s="26"/>
      <c r="O140" s="58"/>
      <c r="P140" s="26"/>
      <c r="Q140" s="26"/>
      <c r="R140" s="58"/>
      <c r="S140" s="26"/>
      <c r="T140" s="58"/>
      <c r="U140" s="26"/>
      <c r="V140" s="58"/>
    </row>
    <row r="141" spans="1:22" ht="15.75">
      <c r="A141" s="23"/>
      <c r="B141" s="24"/>
      <c r="C141" s="26"/>
      <c r="D141" s="26"/>
      <c r="E141" s="14"/>
      <c r="F141" s="14"/>
      <c r="G141" s="14"/>
      <c r="H141" s="14"/>
      <c r="I141" s="26"/>
      <c r="J141" s="26"/>
      <c r="K141" s="26"/>
      <c r="L141" s="26"/>
      <c r="M141" s="26"/>
      <c r="N141" s="26"/>
      <c r="O141" s="58"/>
      <c r="P141" s="26"/>
      <c r="Q141" s="26"/>
      <c r="R141" s="58"/>
      <c r="S141" s="26"/>
      <c r="T141" s="58"/>
      <c r="U141" s="26"/>
      <c r="V141" s="58"/>
    </row>
    <row r="142" spans="1:22" ht="15.75">
      <c r="A142" s="23"/>
      <c r="B142" s="24"/>
      <c r="C142" s="26"/>
      <c r="D142" s="26"/>
      <c r="E142" s="14"/>
      <c r="F142" s="14"/>
      <c r="G142" s="14"/>
      <c r="H142" s="14"/>
      <c r="I142" s="26"/>
      <c r="J142" s="26"/>
      <c r="K142" s="26"/>
      <c r="L142" s="26"/>
      <c r="M142" s="26"/>
      <c r="N142" s="26"/>
      <c r="O142" s="58"/>
      <c r="P142" s="26"/>
      <c r="Q142" s="26"/>
      <c r="R142" s="58"/>
      <c r="S142" s="26"/>
      <c r="T142" s="58"/>
      <c r="U142" s="26"/>
      <c r="V142" s="58"/>
    </row>
    <row r="143" spans="1:22" ht="15.75">
      <c r="A143" s="23"/>
      <c r="B143" s="24"/>
      <c r="C143" s="26"/>
      <c r="D143" s="26"/>
      <c r="E143" s="14"/>
      <c r="F143" s="14"/>
      <c r="G143" s="14"/>
      <c r="H143" s="14"/>
      <c r="I143" s="26"/>
      <c r="J143" s="26"/>
      <c r="K143" s="26"/>
      <c r="L143" s="26"/>
      <c r="M143" s="26"/>
      <c r="N143" s="26"/>
      <c r="O143" s="58"/>
      <c r="P143" s="26"/>
      <c r="Q143" s="26"/>
      <c r="R143" s="58"/>
      <c r="S143" s="26"/>
      <c r="T143" s="58"/>
      <c r="U143" s="26"/>
      <c r="V143" s="58"/>
    </row>
    <row r="144" spans="1:22" ht="15.75">
      <c r="A144" s="23"/>
      <c r="B144" s="24"/>
      <c r="C144" s="26"/>
      <c r="D144" s="26"/>
      <c r="E144" s="14"/>
      <c r="F144" s="14"/>
      <c r="G144" s="14"/>
      <c r="H144" s="14"/>
      <c r="I144" s="26"/>
      <c r="J144" s="26"/>
      <c r="K144" s="26"/>
      <c r="L144" s="26"/>
      <c r="M144" s="26"/>
      <c r="N144" s="26"/>
      <c r="O144" s="58"/>
      <c r="P144" s="26"/>
      <c r="Q144" s="26"/>
      <c r="R144" s="58"/>
      <c r="S144" s="26"/>
      <c r="T144" s="58"/>
      <c r="U144" s="26"/>
      <c r="V144" s="58"/>
    </row>
    <row r="145" spans="1:22" ht="15.75">
      <c r="A145" s="23"/>
      <c r="B145" s="24"/>
      <c r="C145" s="26"/>
      <c r="D145" s="26"/>
      <c r="E145" s="14"/>
      <c r="F145" s="14"/>
      <c r="G145" s="14"/>
      <c r="H145" s="14"/>
      <c r="I145" s="26"/>
      <c r="J145" s="26"/>
      <c r="K145" s="26"/>
      <c r="L145" s="26"/>
      <c r="M145" s="26"/>
      <c r="N145" s="26"/>
      <c r="O145" s="58"/>
      <c r="P145" s="26"/>
      <c r="Q145" s="26"/>
      <c r="R145" s="58"/>
      <c r="S145" s="26"/>
      <c r="T145" s="58"/>
      <c r="U145" s="26"/>
      <c r="V145" s="58"/>
    </row>
    <row r="146" spans="1:22" ht="15.75">
      <c r="A146" s="23"/>
      <c r="B146" s="24"/>
      <c r="C146" s="26"/>
      <c r="D146" s="26"/>
      <c r="E146" s="14"/>
      <c r="F146" s="14"/>
      <c r="G146" s="14"/>
      <c r="H146" s="14"/>
      <c r="I146" s="26"/>
      <c r="J146" s="26"/>
      <c r="K146" s="26"/>
      <c r="L146" s="26"/>
      <c r="M146" s="26"/>
      <c r="N146" s="26"/>
      <c r="O146" s="58"/>
      <c r="P146" s="26"/>
      <c r="Q146" s="26"/>
      <c r="R146" s="58"/>
      <c r="S146" s="26"/>
      <c r="T146" s="58"/>
      <c r="U146" s="26"/>
      <c r="V146" s="58"/>
    </row>
    <row r="147" spans="1:22" ht="15.75">
      <c r="A147" s="23"/>
      <c r="B147" s="24"/>
      <c r="C147" s="26"/>
      <c r="D147" s="26"/>
      <c r="E147" s="14"/>
      <c r="F147" s="14"/>
      <c r="G147" s="14"/>
      <c r="H147" s="14"/>
      <c r="I147" s="26"/>
      <c r="J147" s="26"/>
      <c r="K147" s="26"/>
      <c r="L147" s="26"/>
      <c r="M147" s="26"/>
      <c r="N147" s="26"/>
      <c r="O147" s="58"/>
      <c r="P147" s="26"/>
      <c r="Q147" s="26"/>
      <c r="R147" s="58"/>
      <c r="S147" s="26"/>
      <c r="T147" s="58"/>
      <c r="U147" s="26"/>
      <c r="V147" s="58"/>
    </row>
    <row r="148" spans="1:22" ht="15.75">
      <c r="A148" s="23"/>
      <c r="B148" s="24"/>
      <c r="C148" s="26"/>
      <c r="D148" s="26"/>
      <c r="E148" s="14"/>
      <c r="F148" s="14"/>
      <c r="G148" s="14"/>
      <c r="H148" s="14"/>
      <c r="I148" s="26"/>
      <c r="J148" s="26"/>
      <c r="K148" s="26"/>
      <c r="L148" s="26"/>
      <c r="M148" s="26"/>
      <c r="N148" s="26"/>
      <c r="O148" s="58"/>
      <c r="P148" s="26"/>
      <c r="Q148" s="26"/>
      <c r="R148" s="58"/>
      <c r="S148" s="26"/>
      <c r="T148" s="58"/>
      <c r="U148" s="26"/>
      <c r="V148" s="58"/>
    </row>
    <row r="149" spans="1:22" ht="15.75">
      <c r="A149" s="23"/>
      <c r="B149" s="24"/>
      <c r="C149" s="26"/>
      <c r="D149" s="26"/>
      <c r="E149" s="14"/>
      <c r="F149" s="14"/>
      <c r="G149" s="14"/>
      <c r="H149" s="14"/>
      <c r="I149" s="26"/>
      <c r="J149" s="26"/>
      <c r="K149" s="26"/>
      <c r="L149" s="26"/>
      <c r="M149" s="26"/>
      <c r="N149" s="26"/>
      <c r="O149" s="58"/>
      <c r="P149" s="26"/>
      <c r="Q149" s="26"/>
      <c r="R149" s="58"/>
      <c r="S149" s="26"/>
      <c r="T149" s="58"/>
      <c r="U149" s="26"/>
      <c r="V149" s="58"/>
    </row>
    <row r="150" spans="1:22" ht="15.75">
      <c r="A150" s="23"/>
      <c r="B150" s="24"/>
      <c r="C150" s="26"/>
      <c r="D150" s="26"/>
      <c r="E150" s="14"/>
      <c r="F150" s="14"/>
      <c r="G150" s="14"/>
      <c r="H150" s="14"/>
      <c r="I150" s="26"/>
      <c r="J150" s="26"/>
      <c r="K150" s="26"/>
      <c r="L150" s="26"/>
      <c r="M150" s="26"/>
      <c r="N150" s="26"/>
      <c r="O150" s="58"/>
      <c r="P150" s="26"/>
      <c r="Q150" s="26"/>
      <c r="R150" s="58"/>
      <c r="S150" s="26"/>
      <c r="T150" s="58"/>
      <c r="U150" s="26"/>
      <c r="V150" s="58"/>
    </row>
    <row r="151" spans="1:22" ht="15.75">
      <c r="A151" s="23"/>
      <c r="B151" s="24"/>
      <c r="C151" s="26"/>
      <c r="D151" s="26"/>
      <c r="E151" s="14"/>
      <c r="F151" s="14"/>
      <c r="G151" s="14"/>
      <c r="H151" s="14"/>
      <c r="I151" s="26"/>
      <c r="J151" s="26"/>
      <c r="K151" s="26"/>
      <c r="L151" s="26"/>
      <c r="M151" s="26"/>
      <c r="N151" s="26"/>
      <c r="O151" s="58"/>
      <c r="P151" s="26"/>
      <c r="Q151" s="26"/>
      <c r="R151" s="58"/>
      <c r="S151" s="26"/>
      <c r="T151" s="58"/>
      <c r="U151" s="26"/>
      <c r="V151" s="58"/>
    </row>
    <row r="152" spans="1:22" ht="15.75">
      <c r="A152" s="23"/>
      <c r="B152" s="24"/>
      <c r="C152" s="26"/>
      <c r="D152" s="26"/>
      <c r="E152" s="14"/>
      <c r="F152" s="14"/>
      <c r="G152" s="14"/>
      <c r="H152" s="14"/>
      <c r="I152" s="26"/>
      <c r="J152" s="26"/>
      <c r="K152" s="26"/>
      <c r="L152" s="26"/>
      <c r="M152" s="26"/>
      <c r="N152" s="26"/>
      <c r="O152" s="58"/>
      <c r="P152" s="26"/>
      <c r="Q152" s="26"/>
      <c r="R152" s="58"/>
      <c r="S152" s="26"/>
      <c r="T152" s="58"/>
      <c r="U152" s="26"/>
      <c r="V152" s="58"/>
    </row>
    <row r="153" spans="1:22" ht="15.75">
      <c r="A153" s="23"/>
      <c r="B153" s="24"/>
      <c r="C153" s="26"/>
      <c r="D153" s="26"/>
      <c r="E153" s="14"/>
      <c r="F153" s="14"/>
      <c r="G153" s="14"/>
      <c r="H153" s="14"/>
      <c r="I153" s="26"/>
      <c r="J153" s="26"/>
      <c r="K153" s="26"/>
      <c r="L153" s="26"/>
      <c r="M153" s="26"/>
      <c r="N153" s="26"/>
      <c r="O153" s="58"/>
      <c r="P153" s="26"/>
      <c r="Q153" s="26"/>
      <c r="R153" s="58"/>
      <c r="S153" s="26"/>
      <c r="T153" s="58"/>
      <c r="U153" s="26"/>
      <c r="V153" s="58"/>
    </row>
    <row r="154" spans="1:22" ht="15.75">
      <c r="A154" s="23"/>
      <c r="B154" s="24"/>
      <c r="C154" s="26"/>
      <c r="D154" s="26"/>
      <c r="E154" s="14"/>
      <c r="F154" s="14"/>
      <c r="G154" s="14"/>
      <c r="H154" s="14"/>
      <c r="I154" s="26"/>
      <c r="J154" s="26"/>
      <c r="K154" s="26"/>
      <c r="L154" s="26"/>
      <c r="M154" s="26"/>
      <c r="N154" s="26"/>
      <c r="O154" s="58"/>
      <c r="P154" s="26"/>
      <c r="Q154" s="26"/>
      <c r="R154" s="58"/>
      <c r="S154" s="26"/>
      <c r="T154" s="58"/>
      <c r="U154" s="26"/>
      <c r="V154" s="58"/>
    </row>
    <row r="155" spans="1:22" ht="15.75">
      <c r="A155" s="23"/>
      <c r="B155" s="24"/>
      <c r="C155" s="26"/>
      <c r="D155" s="26"/>
      <c r="E155" s="14"/>
      <c r="F155" s="14"/>
      <c r="G155" s="14"/>
      <c r="H155" s="14"/>
      <c r="I155" s="26"/>
      <c r="J155" s="26"/>
      <c r="K155" s="26"/>
      <c r="L155" s="26"/>
      <c r="M155" s="26"/>
      <c r="N155" s="26"/>
      <c r="O155" s="58"/>
      <c r="P155" s="26"/>
      <c r="Q155" s="26"/>
      <c r="R155" s="58"/>
      <c r="S155" s="26"/>
      <c r="T155" s="58"/>
      <c r="U155" s="26"/>
      <c r="V155" s="58"/>
    </row>
    <row r="156" spans="1:22" ht="15.75">
      <c r="A156" s="23"/>
      <c r="B156" s="24"/>
      <c r="C156" s="26"/>
      <c r="D156" s="26"/>
      <c r="E156" s="14"/>
      <c r="F156" s="14"/>
      <c r="G156" s="14"/>
      <c r="H156" s="14"/>
      <c r="I156" s="26"/>
      <c r="J156" s="26"/>
      <c r="K156" s="26"/>
      <c r="L156" s="26"/>
      <c r="M156" s="26"/>
      <c r="N156" s="26"/>
      <c r="O156" s="58"/>
      <c r="P156" s="26"/>
      <c r="Q156" s="26"/>
      <c r="R156" s="58"/>
      <c r="S156" s="26"/>
      <c r="T156" s="58"/>
      <c r="U156" s="26"/>
      <c r="V156" s="58"/>
    </row>
    <row r="157" spans="1:22" ht="15.75">
      <c r="A157" s="23"/>
      <c r="B157" s="24"/>
      <c r="C157" s="26"/>
      <c r="D157" s="26"/>
      <c r="E157" s="14"/>
      <c r="F157" s="14"/>
      <c r="G157" s="14"/>
      <c r="H157" s="14"/>
      <c r="I157" s="26"/>
      <c r="J157" s="26"/>
      <c r="K157" s="26"/>
      <c r="L157" s="26"/>
      <c r="M157" s="26"/>
      <c r="N157" s="26"/>
      <c r="O157" s="58"/>
      <c r="P157" s="26"/>
      <c r="Q157" s="26"/>
      <c r="R157" s="58"/>
      <c r="S157" s="26"/>
      <c r="T157" s="58"/>
      <c r="U157" s="26"/>
      <c r="V157" s="58"/>
    </row>
    <row r="158" spans="1:22" ht="15.75">
      <c r="A158" s="23"/>
      <c r="B158" s="24"/>
      <c r="C158" s="26"/>
      <c r="D158" s="26"/>
      <c r="E158" s="14"/>
      <c r="F158" s="14"/>
      <c r="G158" s="14"/>
      <c r="H158" s="14"/>
      <c r="I158" s="26"/>
      <c r="J158" s="26"/>
      <c r="K158" s="26"/>
      <c r="L158" s="26"/>
      <c r="M158" s="26"/>
      <c r="N158" s="26"/>
      <c r="O158" s="58"/>
      <c r="P158" s="26"/>
      <c r="Q158" s="26"/>
      <c r="R158" s="58"/>
      <c r="S158" s="26"/>
      <c r="T158" s="58"/>
      <c r="U158" s="26"/>
      <c r="V158" s="58"/>
    </row>
    <row r="159" spans="1:22" ht="15.75">
      <c r="A159" s="23"/>
      <c r="B159" s="24"/>
      <c r="C159" s="26"/>
      <c r="D159" s="26"/>
      <c r="E159" s="14"/>
      <c r="F159" s="14"/>
      <c r="G159" s="14"/>
      <c r="H159" s="14"/>
      <c r="I159" s="26"/>
      <c r="J159" s="26"/>
      <c r="K159" s="26"/>
      <c r="L159" s="26"/>
      <c r="M159" s="26"/>
      <c r="N159" s="26"/>
      <c r="O159" s="58"/>
      <c r="P159" s="26"/>
      <c r="Q159" s="26"/>
      <c r="R159" s="58"/>
      <c r="S159" s="26"/>
      <c r="T159" s="58"/>
      <c r="U159" s="26"/>
      <c r="V159" s="58"/>
    </row>
    <row r="160" spans="1:22" ht="15.75">
      <c r="A160" s="23"/>
      <c r="B160" s="24"/>
      <c r="C160" s="26"/>
      <c r="D160" s="26"/>
      <c r="E160" s="14"/>
      <c r="F160" s="14"/>
      <c r="G160" s="14"/>
      <c r="H160" s="14"/>
      <c r="I160" s="26"/>
      <c r="J160" s="26"/>
      <c r="K160" s="26"/>
      <c r="L160" s="26"/>
      <c r="M160" s="26"/>
      <c r="N160" s="26"/>
      <c r="O160" s="58"/>
      <c r="P160" s="26"/>
      <c r="Q160" s="26"/>
      <c r="R160" s="58"/>
      <c r="S160" s="26"/>
      <c r="T160" s="58"/>
      <c r="U160" s="26"/>
      <c r="V160" s="58"/>
    </row>
    <row r="161" spans="1:22" ht="15.75">
      <c r="A161" s="23"/>
      <c r="B161" s="24"/>
      <c r="C161" s="26"/>
      <c r="D161" s="26"/>
      <c r="E161" s="14"/>
      <c r="F161" s="14"/>
      <c r="G161" s="14"/>
      <c r="H161" s="14"/>
      <c r="I161" s="26"/>
      <c r="J161" s="26"/>
      <c r="K161" s="26"/>
      <c r="L161" s="26"/>
      <c r="M161" s="26"/>
      <c r="N161" s="26"/>
      <c r="O161" s="58"/>
      <c r="P161" s="26"/>
      <c r="Q161" s="26"/>
      <c r="R161" s="58"/>
      <c r="S161" s="26"/>
      <c r="T161" s="58"/>
      <c r="U161" s="26"/>
      <c r="V161" s="58"/>
    </row>
    <row r="162" spans="1:22" ht="15.75">
      <c r="A162" s="23"/>
      <c r="B162" s="24"/>
      <c r="C162" s="26"/>
      <c r="D162" s="26"/>
      <c r="E162" s="14"/>
      <c r="F162" s="14"/>
      <c r="G162" s="14"/>
      <c r="H162" s="14"/>
      <c r="I162" s="26"/>
      <c r="J162" s="26"/>
      <c r="K162" s="26"/>
      <c r="L162" s="26"/>
      <c r="M162" s="26"/>
      <c r="N162" s="26"/>
      <c r="O162" s="58"/>
      <c r="P162" s="26"/>
      <c r="Q162" s="26"/>
      <c r="R162" s="58"/>
      <c r="S162" s="26"/>
      <c r="T162" s="58"/>
      <c r="U162" s="26"/>
      <c r="V162" s="58"/>
    </row>
    <row r="163" spans="1:22" ht="15.75">
      <c r="A163" s="23"/>
      <c r="B163" s="24"/>
      <c r="C163" s="26"/>
      <c r="D163" s="26"/>
      <c r="E163" s="14"/>
      <c r="F163" s="14"/>
      <c r="G163" s="14"/>
      <c r="H163" s="14"/>
      <c r="I163" s="26"/>
      <c r="J163" s="26"/>
      <c r="K163" s="26"/>
      <c r="L163" s="26"/>
      <c r="M163" s="26"/>
      <c r="N163" s="26"/>
      <c r="O163" s="58"/>
      <c r="P163" s="26"/>
      <c r="Q163" s="26"/>
      <c r="R163" s="58"/>
      <c r="S163" s="26"/>
      <c r="T163" s="58"/>
      <c r="U163" s="26"/>
      <c r="V163" s="58"/>
    </row>
    <row r="164" spans="1:22" ht="15.75">
      <c r="A164" s="23"/>
      <c r="B164" s="24"/>
      <c r="C164" s="26"/>
      <c r="D164" s="26"/>
      <c r="E164" s="14"/>
      <c r="F164" s="14"/>
      <c r="G164" s="14"/>
      <c r="H164" s="14"/>
      <c r="I164" s="26"/>
      <c r="J164" s="26"/>
      <c r="K164" s="26"/>
      <c r="L164" s="26"/>
      <c r="M164" s="26"/>
      <c r="N164" s="26"/>
      <c r="O164" s="58"/>
      <c r="P164" s="26"/>
      <c r="Q164" s="26"/>
      <c r="R164" s="58"/>
      <c r="S164" s="26"/>
      <c r="T164" s="58"/>
      <c r="U164" s="26"/>
      <c r="V164" s="58"/>
    </row>
    <row r="165" spans="1:22" ht="15.75">
      <c r="A165" s="23"/>
      <c r="B165" s="24"/>
      <c r="C165" s="26"/>
      <c r="D165" s="26"/>
      <c r="E165" s="14"/>
      <c r="F165" s="14"/>
      <c r="G165" s="14"/>
      <c r="H165" s="14"/>
      <c r="I165" s="26"/>
      <c r="J165" s="26"/>
      <c r="K165" s="26"/>
      <c r="L165" s="26"/>
      <c r="M165" s="26"/>
      <c r="N165" s="26"/>
      <c r="O165" s="58"/>
      <c r="P165" s="26"/>
      <c r="Q165" s="26"/>
      <c r="R165" s="58"/>
      <c r="S165" s="26"/>
      <c r="T165" s="58"/>
      <c r="U165" s="26"/>
      <c r="V165" s="58"/>
    </row>
    <row r="166" spans="1:22" ht="15.75">
      <c r="A166" s="23"/>
      <c r="B166" s="24"/>
      <c r="C166" s="26"/>
      <c r="D166" s="26"/>
      <c r="E166" s="14"/>
      <c r="F166" s="14"/>
      <c r="G166" s="14"/>
      <c r="H166" s="14"/>
      <c r="I166" s="26"/>
      <c r="J166" s="26"/>
      <c r="K166" s="26"/>
      <c r="L166" s="26"/>
      <c r="M166" s="26"/>
      <c r="N166" s="26"/>
      <c r="O166" s="58"/>
      <c r="P166" s="26"/>
      <c r="Q166" s="26"/>
      <c r="R166" s="58"/>
      <c r="S166" s="26"/>
      <c r="T166" s="58"/>
      <c r="U166" s="26"/>
      <c r="V166" s="58"/>
    </row>
    <row r="167" spans="1:22" ht="15.75">
      <c r="A167" s="23"/>
      <c r="B167" s="24"/>
      <c r="C167" s="26"/>
      <c r="D167" s="26"/>
      <c r="E167" s="14"/>
      <c r="F167" s="14"/>
      <c r="G167" s="14"/>
      <c r="H167" s="14"/>
      <c r="I167" s="26"/>
      <c r="J167" s="26"/>
      <c r="K167" s="26"/>
      <c r="L167" s="26"/>
      <c r="M167" s="26"/>
      <c r="N167" s="26"/>
      <c r="O167" s="58"/>
      <c r="P167" s="26"/>
      <c r="Q167" s="26"/>
      <c r="R167" s="58"/>
      <c r="S167" s="26"/>
      <c r="T167" s="58"/>
      <c r="U167" s="26"/>
      <c r="V167" s="58"/>
    </row>
    <row r="168" spans="1:22" ht="15.75">
      <c r="A168" s="23"/>
      <c r="B168" s="24"/>
      <c r="C168" s="26"/>
      <c r="D168" s="26"/>
      <c r="E168" s="14"/>
      <c r="F168" s="14"/>
      <c r="G168" s="14"/>
      <c r="H168" s="14"/>
      <c r="I168" s="26"/>
      <c r="J168" s="26"/>
      <c r="K168" s="26"/>
      <c r="L168" s="26"/>
      <c r="M168" s="26"/>
      <c r="N168" s="26"/>
      <c r="O168" s="58"/>
      <c r="P168" s="26"/>
      <c r="Q168" s="26"/>
      <c r="R168" s="58"/>
      <c r="S168" s="26"/>
      <c r="T168" s="58"/>
      <c r="U168" s="26"/>
      <c r="V168" s="58"/>
    </row>
    <row r="169" spans="1:22" ht="15.75">
      <c r="A169" s="23"/>
      <c r="B169" s="24"/>
      <c r="C169" s="26"/>
      <c r="D169" s="26"/>
      <c r="E169" s="14"/>
      <c r="F169" s="14"/>
      <c r="G169" s="14"/>
      <c r="H169" s="14"/>
      <c r="I169" s="26"/>
      <c r="J169" s="26"/>
      <c r="K169" s="26"/>
      <c r="L169" s="26"/>
      <c r="M169" s="26"/>
      <c r="N169" s="26"/>
      <c r="O169" s="58"/>
      <c r="P169" s="26"/>
      <c r="Q169" s="26"/>
      <c r="R169" s="58"/>
      <c r="S169" s="26"/>
      <c r="T169" s="58"/>
      <c r="U169" s="26"/>
      <c r="V169" s="58"/>
    </row>
    <row r="170" spans="1:22" ht="15.75">
      <c r="A170" s="23"/>
      <c r="B170" s="24"/>
      <c r="C170" s="26"/>
      <c r="D170" s="26"/>
      <c r="E170" s="14"/>
      <c r="F170" s="14"/>
      <c r="G170" s="14"/>
      <c r="H170" s="14"/>
      <c r="I170" s="26"/>
      <c r="J170" s="26"/>
      <c r="K170" s="26"/>
      <c r="L170" s="26"/>
      <c r="M170" s="26"/>
      <c r="N170" s="26"/>
      <c r="O170" s="58"/>
      <c r="P170" s="26"/>
      <c r="Q170" s="26"/>
      <c r="R170" s="58"/>
      <c r="S170" s="26"/>
      <c r="T170" s="58"/>
      <c r="U170" s="26"/>
      <c r="V170" s="58"/>
    </row>
    <row r="171" spans="1:22" ht="15.75">
      <c r="A171" s="23"/>
      <c r="B171" s="24"/>
      <c r="C171" s="26"/>
      <c r="D171" s="26"/>
      <c r="E171" s="14"/>
      <c r="F171" s="14"/>
      <c r="G171" s="14"/>
      <c r="H171" s="14"/>
      <c r="I171" s="26"/>
      <c r="J171" s="26"/>
      <c r="K171" s="26"/>
      <c r="L171" s="26"/>
      <c r="M171" s="26"/>
      <c r="N171" s="26"/>
      <c r="O171" s="58"/>
      <c r="P171" s="26"/>
      <c r="Q171" s="26"/>
      <c r="R171" s="58"/>
      <c r="S171" s="26"/>
      <c r="T171" s="58"/>
      <c r="U171" s="26"/>
      <c r="V171" s="58"/>
    </row>
    <row r="172" spans="1:22" ht="15.75">
      <c r="A172" s="23"/>
      <c r="B172" s="24"/>
      <c r="C172" s="26"/>
      <c r="D172" s="26"/>
      <c r="E172" s="14"/>
      <c r="F172" s="14"/>
      <c r="G172" s="14"/>
      <c r="H172" s="14"/>
      <c r="I172" s="26"/>
      <c r="J172" s="26"/>
      <c r="K172" s="26"/>
      <c r="L172" s="26"/>
      <c r="M172" s="26"/>
      <c r="N172" s="26"/>
      <c r="O172" s="58"/>
      <c r="P172" s="26"/>
      <c r="Q172" s="26"/>
      <c r="R172" s="58"/>
      <c r="S172" s="26"/>
      <c r="T172" s="58"/>
      <c r="U172" s="26"/>
      <c r="V172" s="58"/>
    </row>
    <row r="173" spans="1:22" ht="15.75">
      <c r="A173" s="23"/>
      <c r="B173" s="24"/>
      <c r="C173" s="26"/>
      <c r="D173" s="26"/>
      <c r="E173" s="14"/>
      <c r="F173" s="14"/>
      <c r="G173" s="14"/>
      <c r="H173" s="14"/>
      <c r="I173" s="26"/>
      <c r="J173" s="26"/>
      <c r="K173" s="26"/>
      <c r="L173" s="26"/>
      <c r="M173" s="26"/>
      <c r="N173" s="26"/>
      <c r="O173" s="58"/>
      <c r="P173" s="26"/>
      <c r="Q173" s="26"/>
      <c r="R173" s="58"/>
      <c r="S173" s="26"/>
      <c r="T173" s="58"/>
      <c r="U173" s="26"/>
      <c r="V173" s="58"/>
    </row>
    <row r="174" spans="1:22" ht="15.75">
      <c r="A174" s="23"/>
      <c r="B174" s="24"/>
      <c r="C174" s="26"/>
      <c r="D174" s="26"/>
      <c r="E174" s="14"/>
      <c r="F174" s="14"/>
      <c r="G174" s="14"/>
      <c r="H174" s="14"/>
      <c r="I174" s="26"/>
      <c r="J174" s="26"/>
      <c r="K174" s="26"/>
      <c r="L174" s="26"/>
      <c r="M174" s="26"/>
      <c r="N174" s="26"/>
      <c r="O174" s="58"/>
      <c r="P174" s="26"/>
      <c r="Q174" s="26"/>
      <c r="R174" s="58"/>
      <c r="S174" s="26"/>
      <c r="T174" s="58"/>
      <c r="U174" s="26"/>
      <c r="V174" s="58"/>
    </row>
    <row r="175" spans="1:22" ht="15.75">
      <c r="A175" s="23"/>
      <c r="B175" s="24"/>
      <c r="C175" s="26"/>
      <c r="D175" s="26"/>
      <c r="E175" s="14"/>
      <c r="F175" s="14"/>
      <c r="G175" s="14"/>
      <c r="H175" s="14"/>
      <c r="I175" s="26"/>
      <c r="J175" s="26"/>
      <c r="K175" s="26"/>
      <c r="L175" s="26"/>
      <c r="M175" s="26"/>
      <c r="N175" s="26"/>
      <c r="O175" s="58"/>
      <c r="P175" s="26"/>
      <c r="Q175" s="26"/>
      <c r="R175" s="58"/>
      <c r="S175" s="26"/>
      <c r="T175" s="58"/>
      <c r="U175" s="26"/>
      <c r="V175" s="58"/>
    </row>
    <row r="176" spans="1:22" ht="15.75">
      <c r="A176" s="23"/>
      <c r="B176" s="24"/>
      <c r="C176" s="26"/>
      <c r="D176" s="26"/>
      <c r="E176" s="14"/>
      <c r="F176" s="14"/>
      <c r="G176" s="14"/>
      <c r="H176" s="14"/>
      <c r="I176" s="26"/>
      <c r="J176" s="26"/>
      <c r="K176" s="26"/>
      <c r="L176" s="26"/>
      <c r="M176" s="26"/>
      <c r="N176" s="26"/>
      <c r="O176" s="58"/>
      <c r="P176" s="26"/>
      <c r="Q176" s="26"/>
      <c r="R176" s="58"/>
      <c r="S176" s="26"/>
      <c r="T176" s="58"/>
      <c r="U176" s="26"/>
      <c r="V176" s="58"/>
    </row>
    <row r="177" spans="1:22" ht="15.75">
      <c r="A177" s="23"/>
      <c r="B177" s="24"/>
      <c r="C177" s="26"/>
      <c r="D177" s="26"/>
      <c r="E177" s="14"/>
      <c r="F177" s="14"/>
      <c r="G177" s="14"/>
      <c r="H177" s="14"/>
      <c r="I177" s="26"/>
      <c r="J177" s="26"/>
      <c r="K177" s="26"/>
      <c r="L177" s="26"/>
      <c r="M177" s="26"/>
      <c r="N177" s="26"/>
      <c r="O177" s="58"/>
      <c r="P177" s="26"/>
      <c r="Q177" s="26"/>
      <c r="R177" s="58"/>
      <c r="S177" s="26"/>
      <c r="T177" s="58"/>
      <c r="U177" s="26"/>
      <c r="V177" s="58"/>
    </row>
    <row r="178" spans="1:22" ht="15.75">
      <c r="A178" s="23"/>
      <c r="B178" s="24"/>
      <c r="C178" s="26"/>
      <c r="D178" s="26"/>
      <c r="E178" s="14"/>
      <c r="F178" s="14"/>
      <c r="G178" s="14"/>
      <c r="H178" s="14"/>
      <c r="I178" s="26"/>
      <c r="J178" s="26"/>
      <c r="K178" s="26"/>
      <c r="L178" s="26"/>
      <c r="M178" s="26"/>
      <c r="N178" s="26"/>
      <c r="O178" s="58"/>
      <c r="P178" s="26"/>
      <c r="Q178" s="26"/>
      <c r="R178" s="58"/>
      <c r="S178" s="26"/>
      <c r="T178" s="58"/>
      <c r="U178" s="26"/>
      <c r="V178" s="58"/>
    </row>
    <row r="179" spans="1:22" ht="15.75">
      <c r="A179" s="23"/>
      <c r="B179" s="24"/>
      <c r="C179" s="26"/>
      <c r="D179" s="26"/>
      <c r="E179" s="14"/>
      <c r="F179" s="14"/>
      <c r="G179" s="14"/>
      <c r="H179" s="14"/>
      <c r="I179" s="26"/>
      <c r="J179" s="26"/>
      <c r="K179" s="26"/>
      <c r="L179" s="26"/>
      <c r="M179" s="26"/>
      <c r="N179" s="26"/>
      <c r="O179" s="58"/>
      <c r="P179" s="26"/>
      <c r="Q179" s="26"/>
      <c r="R179" s="58"/>
      <c r="S179" s="26"/>
      <c r="T179" s="58"/>
      <c r="U179" s="26"/>
      <c r="V179" s="58"/>
    </row>
    <row r="180" spans="1:22" ht="15.75">
      <c r="A180" s="23"/>
      <c r="B180" s="24"/>
      <c r="C180" s="26"/>
      <c r="D180" s="26"/>
      <c r="E180" s="14"/>
      <c r="F180" s="14"/>
      <c r="G180" s="14"/>
      <c r="H180" s="14"/>
      <c r="I180" s="26"/>
      <c r="J180" s="26"/>
      <c r="K180" s="26"/>
      <c r="L180" s="26"/>
      <c r="M180" s="26"/>
      <c r="N180" s="26"/>
      <c r="O180" s="58"/>
      <c r="P180" s="26"/>
      <c r="Q180" s="26"/>
      <c r="R180" s="58"/>
      <c r="S180" s="26"/>
      <c r="T180" s="58"/>
      <c r="U180" s="26"/>
      <c r="V180" s="58"/>
    </row>
    <row r="181" spans="1:22" ht="15.75">
      <c r="A181" s="23"/>
      <c r="B181" s="24"/>
      <c r="C181" s="26"/>
      <c r="D181" s="26"/>
      <c r="E181" s="14"/>
      <c r="F181" s="14"/>
      <c r="G181" s="14"/>
      <c r="H181" s="14"/>
      <c r="I181" s="26"/>
      <c r="J181" s="26"/>
      <c r="K181" s="26"/>
      <c r="L181" s="26"/>
      <c r="M181" s="26"/>
      <c r="N181" s="26"/>
      <c r="O181" s="58"/>
      <c r="P181" s="26"/>
      <c r="Q181" s="26"/>
      <c r="R181" s="58"/>
      <c r="S181" s="26"/>
      <c r="T181" s="58"/>
      <c r="U181" s="26"/>
      <c r="V181" s="58"/>
    </row>
    <row r="182" spans="1:22" ht="15.75">
      <c r="A182" s="23"/>
      <c r="B182" s="24"/>
      <c r="C182" s="26"/>
      <c r="D182" s="26"/>
      <c r="E182" s="14"/>
      <c r="F182" s="14"/>
      <c r="G182" s="14"/>
      <c r="H182" s="14"/>
      <c r="I182" s="26"/>
      <c r="J182" s="26"/>
      <c r="K182" s="26"/>
      <c r="L182" s="26"/>
      <c r="M182" s="26"/>
      <c r="N182" s="26"/>
      <c r="O182" s="58"/>
      <c r="P182" s="26"/>
      <c r="Q182" s="26"/>
      <c r="R182" s="58"/>
      <c r="S182" s="26"/>
      <c r="T182" s="58"/>
      <c r="U182" s="26"/>
      <c r="V182" s="58"/>
    </row>
    <row r="183" spans="1:22" ht="15.75">
      <c r="A183" s="23"/>
      <c r="B183" s="24"/>
      <c r="C183" s="26"/>
      <c r="D183" s="26"/>
      <c r="E183" s="14"/>
      <c r="F183" s="14"/>
      <c r="G183" s="14"/>
      <c r="H183" s="14"/>
      <c r="I183" s="26"/>
      <c r="J183" s="26"/>
      <c r="K183" s="26"/>
      <c r="L183" s="26"/>
      <c r="M183" s="26"/>
      <c r="N183" s="26"/>
      <c r="O183" s="58"/>
      <c r="P183" s="26"/>
      <c r="Q183" s="26"/>
      <c r="R183" s="58"/>
      <c r="S183" s="26"/>
      <c r="T183" s="58"/>
      <c r="U183" s="26"/>
      <c r="V183" s="58"/>
    </row>
    <row r="184" spans="1:22" ht="15.75">
      <c r="A184" s="23"/>
      <c r="B184" s="24"/>
      <c r="C184" s="26"/>
      <c r="D184" s="26"/>
      <c r="E184" s="14"/>
      <c r="F184" s="14"/>
      <c r="G184" s="14"/>
      <c r="H184" s="14"/>
      <c r="I184" s="26"/>
      <c r="J184" s="26"/>
      <c r="K184" s="26"/>
      <c r="L184" s="26"/>
      <c r="M184" s="26"/>
      <c r="N184" s="26"/>
      <c r="O184" s="58"/>
      <c r="P184" s="26"/>
      <c r="Q184" s="26"/>
      <c r="R184" s="58"/>
      <c r="S184" s="26"/>
      <c r="T184" s="58"/>
      <c r="U184" s="26"/>
      <c r="V184" s="58"/>
    </row>
    <row r="185" spans="1:22" ht="15.75">
      <c r="A185" s="23"/>
      <c r="B185" s="24"/>
      <c r="C185" s="26"/>
      <c r="D185" s="26"/>
      <c r="E185" s="14"/>
      <c r="F185" s="14"/>
      <c r="G185" s="14"/>
      <c r="H185" s="14"/>
      <c r="I185" s="26"/>
      <c r="J185" s="26"/>
      <c r="K185" s="26"/>
      <c r="L185" s="26"/>
      <c r="M185" s="26"/>
      <c r="N185" s="26"/>
      <c r="O185" s="58"/>
      <c r="P185" s="26"/>
      <c r="Q185" s="26"/>
      <c r="R185" s="58"/>
      <c r="S185" s="26"/>
      <c r="T185" s="58"/>
      <c r="U185" s="26"/>
      <c r="V185" s="58"/>
    </row>
    <row r="186" spans="1:22" ht="15.75">
      <c r="A186" s="23"/>
      <c r="B186" s="24"/>
      <c r="C186" s="26"/>
      <c r="D186" s="26"/>
      <c r="E186" s="14"/>
      <c r="F186" s="14"/>
      <c r="G186" s="14"/>
      <c r="H186" s="14"/>
      <c r="I186" s="26"/>
      <c r="J186" s="26"/>
      <c r="K186" s="26"/>
      <c r="L186" s="26"/>
      <c r="M186" s="26"/>
      <c r="N186" s="26"/>
      <c r="O186" s="58"/>
      <c r="P186" s="26"/>
      <c r="Q186" s="26"/>
      <c r="R186" s="58"/>
      <c r="S186" s="26"/>
      <c r="T186" s="58"/>
      <c r="U186" s="26"/>
      <c r="V186" s="58"/>
    </row>
    <row r="187" spans="1:22" ht="15.75">
      <c r="A187" s="23"/>
      <c r="B187" s="24"/>
      <c r="C187" s="26"/>
      <c r="D187" s="26"/>
      <c r="E187" s="14"/>
      <c r="F187" s="14"/>
      <c r="G187" s="14"/>
      <c r="H187" s="14"/>
      <c r="I187" s="26"/>
      <c r="J187" s="26"/>
      <c r="K187" s="26"/>
      <c r="L187" s="26"/>
      <c r="M187" s="26"/>
      <c r="N187" s="26"/>
      <c r="O187" s="58"/>
      <c r="P187" s="26"/>
      <c r="Q187" s="26"/>
      <c r="R187" s="58"/>
      <c r="S187" s="26"/>
      <c r="T187" s="58"/>
      <c r="U187" s="26"/>
      <c r="V187" s="58"/>
    </row>
    <row r="188" spans="1:22" ht="15.75">
      <c r="A188" s="23"/>
      <c r="B188" s="24"/>
      <c r="C188" s="26"/>
      <c r="D188" s="26"/>
      <c r="E188" s="14"/>
      <c r="F188" s="14"/>
      <c r="G188" s="14"/>
      <c r="H188" s="14"/>
      <c r="I188" s="26"/>
      <c r="J188" s="26"/>
      <c r="K188" s="26"/>
      <c r="L188" s="26"/>
      <c r="M188" s="26"/>
      <c r="N188" s="26"/>
      <c r="O188" s="58"/>
      <c r="P188" s="26"/>
      <c r="Q188" s="26"/>
      <c r="R188" s="58"/>
      <c r="S188" s="26"/>
      <c r="T188" s="58"/>
      <c r="U188" s="26"/>
      <c r="V188" s="58"/>
    </row>
    <row r="189" spans="1:22" ht="15.75">
      <c r="A189" s="23"/>
      <c r="B189" s="24"/>
      <c r="C189" s="26"/>
      <c r="D189" s="26"/>
      <c r="E189" s="14"/>
      <c r="F189" s="14"/>
      <c r="G189" s="14"/>
      <c r="H189" s="14"/>
      <c r="I189" s="26"/>
      <c r="J189" s="26"/>
      <c r="K189" s="26"/>
      <c r="L189" s="26"/>
      <c r="M189" s="26"/>
      <c r="N189" s="26"/>
      <c r="O189" s="58"/>
      <c r="P189" s="26"/>
      <c r="Q189" s="26"/>
      <c r="R189" s="58"/>
      <c r="S189" s="26"/>
      <c r="T189" s="58"/>
      <c r="U189" s="26"/>
      <c r="V189" s="58"/>
    </row>
    <row r="190" spans="1:22" ht="15.75">
      <c r="A190" s="23"/>
      <c r="B190" s="24"/>
      <c r="C190" s="26"/>
      <c r="D190" s="26"/>
      <c r="E190" s="14"/>
      <c r="F190" s="14"/>
      <c r="G190" s="14"/>
      <c r="H190" s="14"/>
      <c r="I190" s="26"/>
      <c r="J190" s="26"/>
      <c r="K190" s="26"/>
      <c r="L190" s="26"/>
      <c r="M190" s="26"/>
      <c r="N190" s="26"/>
      <c r="O190" s="58"/>
      <c r="P190" s="26"/>
      <c r="Q190" s="26"/>
      <c r="R190" s="58"/>
      <c r="S190" s="26"/>
      <c r="T190" s="58"/>
      <c r="U190" s="26"/>
      <c r="V190" s="58"/>
    </row>
    <row r="191" spans="1:22" ht="15.75">
      <c r="A191" s="23"/>
      <c r="B191" s="24"/>
      <c r="C191" s="26"/>
      <c r="D191" s="26"/>
      <c r="E191" s="14"/>
      <c r="F191" s="14"/>
      <c r="G191" s="14"/>
      <c r="H191" s="14"/>
      <c r="I191" s="26"/>
      <c r="J191" s="26"/>
      <c r="K191" s="26"/>
      <c r="L191" s="26"/>
      <c r="M191" s="26"/>
      <c r="N191" s="26"/>
      <c r="O191" s="58"/>
      <c r="P191" s="26"/>
      <c r="Q191" s="26"/>
      <c r="R191" s="58"/>
      <c r="S191" s="26"/>
      <c r="T191" s="58"/>
      <c r="U191" s="26"/>
      <c r="V191" s="58"/>
    </row>
    <row r="192" spans="1:22" ht="15.75">
      <c r="A192" s="23"/>
      <c r="B192" s="24"/>
      <c r="C192" s="26"/>
      <c r="D192" s="26"/>
      <c r="E192" s="14"/>
      <c r="F192" s="14"/>
      <c r="G192" s="14"/>
      <c r="H192" s="14"/>
      <c r="I192" s="26"/>
      <c r="J192" s="26"/>
      <c r="K192" s="26"/>
      <c r="L192" s="26"/>
      <c r="M192" s="26"/>
      <c r="N192" s="26"/>
      <c r="O192" s="58"/>
      <c r="P192" s="26"/>
      <c r="Q192" s="26"/>
      <c r="R192" s="58"/>
      <c r="S192" s="26"/>
      <c r="T192" s="58"/>
      <c r="U192" s="26"/>
      <c r="V192" s="58"/>
    </row>
    <row r="193" spans="1:22" ht="15.75">
      <c r="A193" s="23"/>
      <c r="B193" s="24"/>
      <c r="C193" s="26"/>
      <c r="D193" s="26"/>
      <c r="E193" s="14"/>
      <c r="F193" s="14"/>
      <c r="G193" s="14"/>
      <c r="H193" s="14"/>
      <c r="I193" s="26"/>
      <c r="J193" s="26"/>
      <c r="K193" s="26"/>
      <c r="L193" s="26"/>
      <c r="M193" s="26"/>
      <c r="N193" s="26"/>
      <c r="O193" s="58"/>
      <c r="P193" s="26"/>
      <c r="Q193" s="26"/>
      <c r="R193" s="58"/>
      <c r="S193" s="26"/>
      <c r="T193" s="58"/>
      <c r="U193" s="26"/>
      <c r="V193" s="58"/>
    </row>
    <row r="194" spans="1:22" ht="15.75">
      <c r="A194" s="23"/>
      <c r="B194" s="24"/>
      <c r="C194" s="26"/>
      <c r="D194" s="26"/>
      <c r="E194" s="14"/>
      <c r="F194" s="14"/>
      <c r="G194" s="14"/>
      <c r="H194" s="14"/>
      <c r="I194" s="26"/>
      <c r="J194" s="26"/>
      <c r="K194" s="26"/>
      <c r="L194" s="26"/>
      <c r="M194" s="26"/>
      <c r="N194" s="26"/>
      <c r="O194" s="58"/>
      <c r="P194" s="26"/>
      <c r="Q194" s="26"/>
      <c r="R194" s="58"/>
      <c r="S194" s="26"/>
      <c r="T194" s="58"/>
      <c r="U194" s="26"/>
      <c r="V194" s="58"/>
    </row>
    <row r="195" spans="1:22" ht="15.75">
      <c r="A195" s="23"/>
      <c r="B195" s="24"/>
      <c r="C195" s="26"/>
      <c r="D195" s="26"/>
      <c r="E195" s="14"/>
      <c r="F195" s="14"/>
      <c r="G195" s="14"/>
      <c r="H195" s="14"/>
      <c r="I195" s="26"/>
      <c r="J195" s="26"/>
      <c r="K195" s="26"/>
      <c r="L195" s="26"/>
      <c r="M195" s="26"/>
      <c r="N195" s="26"/>
      <c r="O195" s="58"/>
      <c r="P195" s="26"/>
      <c r="Q195" s="26"/>
      <c r="R195" s="58"/>
      <c r="S195" s="26"/>
      <c r="T195" s="58"/>
      <c r="U195" s="26"/>
      <c r="V195" s="58"/>
    </row>
    <row r="196" spans="1:22" ht="15.75">
      <c r="A196" s="23"/>
      <c r="B196" s="24"/>
      <c r="C196" s="26"/>
      <c r="D196" s="26"/>
      <c r="E196" s="14"/>
      <c r="F196" s="14"/>
      <c r="G196" s="14"/>
      <c r="H196" s="14"/>
      <c r="I196" s="26"/>
      <c r="J196" s="26"/>
      <c r="K196" s="26"/>
      <c r="L196" s="26"/>
      <c r="M196" s="26"/>
      <c r="N196" s="26"/>
      <c r="O196" s="58"/>
      <c r="P196" s="26"/>
      <c r="Q196" s="26"/>
      <c r="R196" s="58"/>
      <c r="S196" s="26"/>
      <c r="T196" s="58"/>
      <c r="U196" s="26"/>
      <c r="V196" s="58"/>
    </row>
    <row r="197" spans="1:22" ht="15.75">
      <c r="A197" s="23"/>
      <c r="B197" s="24"/>
      <c r="C197" s="26"/>
      <c r="D197" s="26"/>
      <c r="E197" s="14"/>
      <c r="F197" s="14"/>
      <c r="G197" s="14"/>
      <c r="H197" s="14"/>
      <c r="I197" s="26"/>
      <c r="J197" s="26"/>
      <c r="K197" s="26"/>
      <c r="L197" s="26"/>
      <c r="M197" s="26"/>
      <c r="N197" s="26"/>
      <c r="O197" s="58"/>
      <c r="P197" s="26"/>
      <c r="Q197" s="26"/>
      <c r="R197" s="58"/>
      <c r="S197" s="26"/>
      <c r="T197" s="58"/>
      <c r="U197" s="26"/>
      <c r="V197" s="58"/>
    </row>
    <row r="198" spans="1:22" ht="15.75">
      <c r="A198" s="23"/>
      <c r="B198" s="24"/>
      <c r="C198" s="26"/>
      <c r="D198" s="26"/>
      <c r="E198" s="14"/>
      <c r="F198" s="14"/>
      <c r="G198" s="14"/>
      <c r="H198" s="14"/>
      <c r="I198" s="26"/>
      <c r="J198" s="26"/>
      <c r="K198" s="26"/>
      <c r="L198" s="26"/>
      <c r="M198" s="26"/>
      <c r="N198" s="26"/>
      <c r="O198" s="58"/>
      <c r="P198" s="26"/>
      <c r="Q198" s="26"/>
      <c r="R198" s="58"/>
      <c r="S198" s="26"/>
      <c r="T198" s="58"/>
      <c r="U198" s="26"/>
      <c r="V198" s="58"/>
    </row>
    <row r="199" spans="1:22" ht="15.75">
      <c r="A199" s="23"/>
      <c r="B199" s="24"/>
      <c r="C199" s="26"/>
      <c r="D199" s="26"/>
      <c r="E199" s="14"/>
      <c r="F199" s="14"/>
      <c r="G199" s="14"/>
      <c r="H199" s="14"/>
      <c r="I199" s="26"/>
      <c r="J199" s="26"/>
      <c r="K199" s="26"/>
      <c r="L199" s="26"/>
      <c r="M199" s="26"/>
      <c r="N199" s="26"/>
      <c r="O199" s="58"/>
      <c r="P199" s="26"/>
      <c r="Q199" s="26"/>
      <c r="R199" s="58"/>
      <c r="S199" s="26"/>
      <c r="T199" s="58"/>
      <c r="U199" s="26"/>
      <c r="V199" s="58"/>
    </row>
    <row r="200" spans="1:22" ht="15.75">
      <c r="A200" s="23"/>
      <c r="B200" s="24"/>
      <c r="C200" s="26"/>
      <c r="D200" s="26"/>
      <c r="E200" s="14"/>
      <c r="F200" s="14"/>
      <c r="G200" s="14"/>
      <c r="H200" s="14"/>
      <c r="I200" s="26"/>
      <c r="J200" s="26"/>
      <c r="K200" s="26"/>
      <c r="L200" s="26"/>
      <c r="M200" s="26"/>
      <c r="N200" s="26"/>
      <c r="O200" s="58"/>
      <c r="P200" s="26"/>
      <c r="Q200" s="26"/>
      <c r="R200" s="58"/>
      <c r="S200" s="26"/>
      <c r="T200" s="58"/>
      <c r="U200" s="26"/>
      <c r="V200" s="58"/>
    </row>
    <row r="201" spans="1:22" ht="15.75">
      <c r="A201" s="23"/>
      <c r="B201" s="24"/>
      <c r="C201" s="26"/>
      <c r="D201" s="26"/>
      <c r="E201" s="14"/>
      <c r="F201" s="14"/>
      <c r="G201" s="14"/>
      <c r="H201" s="14"/>
      <c r="I201" s="26"/>
      <c r="J201" s="26"/>
      <c r="K201" s="26"/>
      <c r="L201" s="26"/>
      <c r="M201" s="26"/>
      <c r="N201" s="26"/>
      <c r="O201" s="58"/>
      <c r="P201" s="26"/>
      <c r="Q201" s="26"/>
      <c r="R201" s="58"/>
      <c r="S201" s="26"/>
      <c r="T201" s="58"/>
      <c r="U201" s="26"/>
      <c r="V201" s="58"/>
    </row>
    <row r="202" spans="1:22" ht="15.75">
      <c r="A202" s="23"/>
      <c r="B202" s="24"/>
      <c r="C202" s="26"/>
      <c r="D202" s="26"/>
      <c r="E202" s="14"/>
      <c r="F202" s="14"/>
      <c r="G202" s="14"/>
      <c r="H202" s="14"/>
      <c r="I202" s="26"/>
      <c r="J202" s="26"/>
      <c r="K202" s="26"/>
      <c r="L202" s="26"/>
      <c r="M202" s="26"/>
      <c r="N202" s="26"/>
      <c r="O202" s="58"/>
      <c r="P202" s="26"/>
      <c r="Q202" s="26"/>
      <c r="R202" s="58"/>
      <c r="S202" s="26"/>
      <c r="T202" s="58"/>
      <c r="U202" s="26"/>
      <c r="V202" s="58"/>
    </row>
    <row r="203" spans="1:22" ht="15.75">
      <c r="A203" s="23"/>
      <c r="B203" s="24"/>
      <c r="C203" s="26"/>
      <c r="D203" s="26"/>
      <c r="E203" s="14"/>
      <c r="F203" s="14"/>
      <c r="G203" s="14"/>
      <c r="H203" s="14"/>
      <c r="I203" s="26"/>
      <c r="J203" s="26"/>
      <c r="K203" s="26"/>
      <c r="L203" s="26"/>
      <c r="M203" s="26"/>
      <c r="N203" s="26"/>
      <c r="O203" s="58"/>
      <c r="P203" s="26"/>
      <c r="Q203" s="26"/>
      <c r="R203" s="58"/>
      <c r="S203" s="26"/>
      <c r="T203" s="58"/>
      <c r="U203" s="26"/>
      <c r="V203" s="58"/>
    </row>
    <row r="204" spans="1:22" ht="15.75">
      <c r="A204" s="23"/>
      <c r="B204" s="24"/>
      <c r="C204" s="26"/>
      <c r="D204" s="26"/>
      <c r="E204" s="14"/>
      <c r="F204" s="14"/>
      <c r="G204" s="14"/>
      <c r="H204" s="14"/>
      <c r="I204" s="26"/>
      <c r="J204" s="26"/>
      <c r="K204" s="26"/>
      <c r="L204" s="26"/>
      <c r="M204" s="26"/>
      <c r="N204" s="26"/>
      <c r="O204" s="58"/>
      <c r="P204" s="26"/>
      <c r="Q204" s="26"/>
      <c r="R204" s="58"/>
      <c r="S204" s="26"/>
      <c r="T204" s="58"/>
      <c r="U204" s="26"/>
      <c r="V204" s="58"/>
    </row>
    <row r="205" spans="1:22" ht="15.75">
      <c r="A205" s="23"/>
      <c r="B205" s="24"/>
      <c r="C205" s="26"/>
      <c r="D205" s="26"/>
      <c r="E205" s="14"/>
      <c r="F205" s="14"/>
      <c r="G205" s="14"/>
      <c r="H205" s="14"/>
      <c r="I205" s="26"/>
      <c r="J205" s="26"/>
      <c r="K205" s="26"/>
      <c r="L205" s="26"/>
      <c r="M205" s="26"/>
      <c r="N205" s="26"/>
      <c r="O205" s="58"/>
      <c r="P205" s="26"/>
      <c r="Q205" s="26"/>
      <c r="R205" s="58"/>
      <c r="S205" s="26"/>
      <c r="T205" s="58"/>
      <c r="U205" s="26"/>
      <c r="V205" s="58"/>
    </row>
    <row r="206" spans="1:22" ht="15.75">
      <c r="A206" s="23"/>
      <c r="B206" s="24"/>
      <c r="C206" s="26"/>
      <c r="D206" s="26"/>
      <c r="E206" s="14"/>
      <c r="F206" s="14"/>
      <c r="G206" s="14"/>
      <c r="H206" s="14"/>
      <c r="I206" s="26"/>
      <c r="J206" s="26"/>
      <c r="K206" s="26"/>
      <c r="L206" s="26"/>
      <c r="M206" s="26"/>
      <c r="N206" s="26"/>
      <c r="O206" s="58"/>
      <c r="P206" s="26"/>
      <c r="Q206" s="26"/>
      <c r="R206" s="58"/>
      <c r="S206" s="26"/>
      <c r="T206" s="58"/>
      <c r="U206" s="26"/>
      <c r="V206" s="58"/>
    </row>
    <row r="207" spans="1:22" ht="15.75">
      <c r="A207" s="23"/>
      <c r="B207" s="24"/>
      <c r="C207" s="26"/>
      <c r="D207" s="26"/>
      <c r="E207" s="14"/>
      <c r="F207" s="14"/>
      <c r="G207" s="14"/>
      <c r="H207" s="14"/>
      <c r="I207" s="26"/>
      <c r="J207" s="26"/>
      <c r="K207" s="26"/>
      <c r="L207" s="26"/>
      <c r="M207" s="26"/>
      <c r="N207" s="26"/>
      <c r="O207" s="58"/>
      <c r="P207" s="26"/>
      <c r="Q207" s="26"/>
      <c r="R207" s="58"/>
      <c r="S207" s="26"/>
      <c r="T207" s="58"/>
      <c r="U207" s="26"/>
      <c r="V207" s="58"/>
    </row>
    <row r="208" spans="1:22" ht="15.75">
      <c r="A208" s="23"/>
      <c r="B208" s="24"/>
      <c r="C208" s="26"/>
      <c r="D208" s="26"/>
      <c r="E208" s="14"/>
      <c r="F208" s="14"/>
      <c r="G208" s="14"/>
      <c r="H208" s="14"/>
      <c r="I208" s="26"/>
      <c r="J208" s="26"/>
      <c r="K208" s="26"/>
      <c r="L208" s="26"/>
      <c r="M208" s="26"/>
      <c r="N208" s="26"/>
      <c r="O208" s="58"/>
      <c r="P208" s="26"/>
      <c r="Q208" s="26"/>
      <c r="R208" s="58"/>
      <c r="S208" s="26"/>
      <c r="T208" s="58"/>
      <c r="U208" s="26"/>
      <c r="V208" s="58"/>
    </row>
    <row r="209" spans="1:22" ht="15.75">
      <c r="A209" s="23"/>
      <c r="B209" s="24"/>
      <c r="C209" s="26"/>
      <c r="D209" s="26"/>
      <c r="E209" s="14"/>
      <c r="F209" s="14"/>
      <c r="G209" s="14"/>
      <c r="H209" s="14"/>
      <c r="I209" s="26"/>
      <c r="J209" s="26"/>
      <c r="K209" s="26"/>
      <c r="L209" s="26"/>
      <c r="M209" s="26"/>
      <c r="N209" s="26"/>
      <c r="O209" s="58"/>
      <c r="P209" s="26"/>
      <c r="Q209" s="26"/>
      <c r="R209" s="58"/>
      <c r="S209" s="26"/>
      <c r="T209" s="58"/>
      <c r="U209" s="26"/>
      <c r="V209" s="58"/>
    </row>
    <row r="210" spans="1:22" ht="15.75">
      <c r="A210" s="23"/>
      <c r="B210" s="24"/>
      <c r="C210" s="26"/>
      <c r="D210" s="26"/>
      <c r="E210" s="14"/>
      <c r="F210" s="14"/>
      <c r="G210" s="14"/>
      <c r="H210" s="14"/>
      <c r="I210" s="26"/>
      <c r="J210" s="26"/>
      <c r="K210" s="26"/>
      <c r="L210" s="26"/>
      <c r="M210" s="26"/>
      <c r="N210" s="26"/>
      <c r="O210" s="58"/>
      <c r="P210" s="26"/>
      <c r="Q210" s="26"/>
      <c r="R210" s="58"/>
      <c r="S210" s="26"/>
      <c r="T210" s="58"/>
      <c r="U210" s="26"/>
      <c r="V210" s="58"/>
    </row>
    <row r="211" spans="1:22" ht="15.75">
      <c r="A211" s="23"/>
      <c r="B211" s="24"/>
      <c r="C211" s="26"/>
      <c r="D211" s="26"/>
      <c r="E211" s="14"/>
      <c r="F211" s="14"/>
      <c r="G211" s="14"/>
      <c r="H211" s="14"/>
      <c r="I211" s="26"/>
      <c r="J211" s="26"/>
      <c r="K211" s="26"/>
      <c r="L211" s="26"/>
      <c r="M211" s="26"/>
      <c r="N211" s="26"/>
      <c r="O211" s="58"/>
      <c r="P211" s="26"/>
      <c r="Q211" s="26"/>
      <c r="R211" s="58"/>
      <c r="S211" s="26"/>
      <c r="T211" s="58"/>
      <c r="U211" s="26"/>
      <c r="V211" s="58"/>
    </row>
    <row r="212" spans="1:22" ht="15.75">
      <c r="A212" s="23"/>
      <c r="B212" s="24"/>
      <c r="C212" s="26"/>
      <c r="D212" s="26"/>
      <c r="E212" s="14"/>
      <c r="F212" s="14"/>
      <c r="G212" s="14"/>
      <c r="H212" s="14"/>
      <c r="I212" s="26"/>
      <c r="J212" s="26"/>
      <c r="K212" s="26"/>
      <c r="L212" s="26"/>
      <c r="M212" s="26"/>
      <c r="N212" s="26"/>
      <c r="O212" s="58"/>
      <c r="P212" s="26"/>
      <c r="Q212" s="26"/>
      <c r="R212" s="58"/>
      <c r="S212" s="26"/>
      <c r="T212" s="58"/>
      <c r="U212" s="26"/>
      <c r="V212" s="58"/>
    </row>
    <row r="213" spans="1:22" ht="15.75">
      <c r="A213" s="23"/>
      <c r="B213" s="24"/>
      <c r="C213" s="26"/>
      <c r="D213" s="26"/>
      <c r="E213" s="14"/>
      <c r="F213" s="14"/>
      <c r="G213" s="14"/>
      <c r="H213" s="14"/>
      <c r="I213" s="26"/>
      <c r="J213" s="26"/>
      <c r="K213" s="26"/>
      <c r="L213" s="26"/>
      <c r="M213" s="26"/>
      <c r="N213" s="26"/>
      <c r="O213" s="58"/>
      <c r="P213" s="26"/>
      <c r="Q213" s="26"/>
      <c r="R213" s="58"/>
      <c r="S213" s="26"/>
      <c r="T213" s="58"/>
      <c r="U213" s="26"/>
      <c r="V213" s="58"/>
    </row>
    <row r="214" spans="1:22" ht="15.75">
      <c r="A214" s="23"/>
      <c r="B214" s="24"/>
      <c r="C214" s="26"/>
      <c r="D214" s="26"/>
      <c r="E214" s="14"/>
      <c r="F214" s="14"/>
      <c r="G214" s="14"/>
      <c r="H214" s="14"/>
      <c r="I214" s="26"/>
      <c r="J214" s="26"/>
      <c r="K214" s="26"/>
      <c r="L214" s="26"/>
      <c r="M214" s="26"/>
      <c r="N214" s="26"/>
      <c r="O214" s="58"/>
      <c r="P214" s="26"/>
      <c r="Q214" s="26"/>
      <c r="R214" s="58"/>
      <c r="S214" s="26"/>
      <c r="T214" s="58"/>
      <c r="U214" s="26"/>
      <c r="V214" s="58"/>
    </row>
    <row r="215" spans="1:22" ht="15.75">
      <c r="A215" s="23"/>
      <c r="B215" s="24"/>
      <c r="C215" s="26"/>
      <c r="D215" s="26"/>
      <c r="E215" s="14"/>
      <c r="F215" s="14"/>
      <c r="G215" s="14"/>
      <c r="H215" s="14"/>
      <c r="I215" s="26"/>
      <c r="J215" s="26"/>
      <c r="K215" s="26"/>
      <c r="L215" s="26"/>
      <c r="M215" s="26"/>
      <c r="N215" s="26"/>
      <c r="O215" s="58"/>
      <c r="P215" s="26"/>
      <c r="Q215" s="26"/>
      <c r="R215" s="58"/>
      <c r="S215" s="26"/>
      <c r="T215" s="58"/>
      <c r="U215" s="26"/>
      <c r="V215" s="58"/>
    </row>
    <row r="216" spans="1:22" ht="15.75">
      <c r="A216" s="23"/>
      <c r="B216" s="24"/>
      <c r="C216" s="26"/>
      <c r="D216" s="26"/>
      <c r="E216" s="14"/>
      <c r="F216" s="14"/>
      <c r="G216" s="14"/>
      <c r="H216" s="14"/>
      <c r="I216" s="26"/>
      <c r="J216" s="26"/>
      <c r="K216" s="26"/>
      <c r="L216" s="26"/>
      <c r="M216" s="26"/>
      <c r="N216" s="26"/>
      <c r="O216" s="58"/>
      <c r="P216" s="26"/>
      <c r="Q216" s="26"/>
      <c r="R216" s="58"/>
      <c r="S216" s="26"/>
      <c r="T216" s="58"/>
      <c r="U216" s="26"/>
      <c r="V216" s="58"/>
    </row>
  </sheetData>
  <sheetProtection selectLockedCells="1"/>
  <dataConsolidate/>
  <mergeCells count="28">
    <mergeCell ref="D3:E3"/>
    <mergeCell ref="D5:E5"/>
    <mergeCell ref="AS2:AU2"/>
    <mergeCell ref="AV2:AX2"/>
    <mergeCell ref="D2:E2"/>
    <mergeCell ref="AM2:AO2"/>
    <mergeCell ref="AP2:AR2"/>
    <mergeCell ref="D4:E4"/>
    <mergeCell ref="H4:I4"/>
    <mergeCell ref="H5:I5"/>
    <mergeCell ref="AA22:AB22"/>
    <mergeCell ref="A7:A8"/>
    <mergeCell ref="C7:D7"/>
    <mergeCell ref="E7:H7"/>
    <mergeCell ref="I7:I8"/>
    <mergeCell ref="A4:B4"/>
    <mergeCell ref="L7:L8"/>
    <mergeCell ref="M7:V7"/>
    <mergeCell ref="M8:O8"/>
    <mergeCell ref="P8:R8"/>
    <mergeCell ref="S8:T8"/>
    <mergeCell ref="U8:V8"/>
    <mergeCell ref="J7:J8"/>
    <mergeCell ref="K7:K8"/>
    <mergeCell ref="E8:F8"/>
    <mergeCell ref="G8:H8"/>
    <mergeCell ref="A5:B5"/>
    <mergeCell ref="A6:K6"/>
  </mergeCells>
  <dataValidations count="3">
    <dataValidation type="list" allowBlank="1" showInputMessage="1" showErrorMessage="1" sqref="AA22" xr:uid="{00000000-0002-0000-0100-000000000000}">
      <formula1>$A$10:$A$216</formula1>
    </dataValidation>
    <dataValidation type="list" allowBlank="1" showInputMessage="1" showErrorMessage="1" sqref="F3" xr:uid="{00000000-0002-0000-0100-000001000000}">
      <formula1>$G$2:$J$2</formula1>
    </dataValidation>
    <dataValidation type="list" allowBlank="1" showInputMessage="1" showErrorMessage="1" sqref="F2" xr:uid="{00000000-0002-0000-0100-000002000000}">
      <formula1>$G$1:$J$1</formula1>
    </dataValidation>
  </dataValidations>
  <pageMargins left="0.7" right="0.7" top="0.75" bottom="0.75" header="0.3" footer="0.3"/>
  <pageSetup orientation="portrait" horizontalDpi="300" verticalDpi="300" r:id="rId1"/>
  <ignoredErrors>
    <ignoredError sqref="T10:T15 V15 V10:V14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3</xdr:col>
                    <xdr:colOff>38100</xdr:colOff>
                    <xdr:row>0</xdr:row>
                    <xdr:rowOff>0</xdr:rowOff>
                  </from>
                  <to>
                    <xdr:col>5</xdr:col>
                    <xdr:colOff>285750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Group Box 4">
              <controlPr defaultSize="0" autoFill="0" autoPict="0">
                <anchor moveWithCells="1" sizeWithCells="1">
                  <from>
                    <xdr:col>9</xdr:col>
                    <xdr:colOff>0</xdr:colOff>
                    <xdr:row>0</xdr:row>
                    <xdr:rowOff>66675</xdr:rowOff>
                  </from>
                  <to>
                    <xdr:col>11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ption Button 5">
              <controlPr defaultSize="0" autoFill="0" autoLine="0" autoPict="0">
                <anchor moveWithCells="1" sizeWithCells="1">
                  <from>
                    <xdr:col>9</xdr:col>
                    <xdr:colOff>38100</xdr:colOff>
                    <xdr:row>0</xdr:row>
                    <xdr:rowOff>104775</xdr:rowOff>
                  </from>
                  <to>
                    <xdr:col>11</xdr:col>
                    <xdr:colOff>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>
                <anchor moveWithCells="1" sizeWithCells="1">
                  <from>
                    <xdr:col>9</xdr:col>
                    <xdr:colOff>38100</xdr:colOff>
                    <xdr:row>2</xdr:row>
                    <xdr:rowOff>19050</xdr:rowOff>
                  </from>
                  <to>
                    <xdr:col>11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 Box 12">
              <controlPr defaultSize="0" autoFill="0" autoLine="0" autoPict="0">
                <anchor moveWithCells="1">
                  <from>
                    <xdr:col>6</xdr:col>
                    <xdr:colOff>57150</xdr:colOff>
                    <xdr:row>1</xdr:row>
                    <xdr:rowOff>142875</xdr:rowOff>
                  </from>
                  <to>
                    <xdr:col>8</xdr:col>
                    <xdr:colOff>276225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Option Button 13">
              <controlPr defaultSize="0" autoFill="0" autoLine="0" autoPict="0">
                <anchor moveWithCells="1" sizeWithCells="1">
                  <from>
                    <xdr:col>9</xdr:col>
                    <xdr:colOff>38100</xdr:colOff>
                    <xdr:row>3</xdr:row>
                    <xdr:rowOff>66675</xdr:rowOff>
                  </from>
                  <to>
                    <xdr:col>11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6</xdr:col>
                    <xdr:colOff>57150</xdr:colOff>
                    <xdr:row>0</xdr:row>
                    <xdr:rowOff>171450</xdr:rowOff>
                  </from>
                  <to>
                    <xdr:col>8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Check Box 19">
              <controlPr defaultSize="0" autoFill="0" autoLine="0" autoPict="0">
                <anchor moveWithCells="1">
                  <from>
                    <xdr:col>6</xdr:col>
                    <xdr:colOff>57150</xdr:colOff>
                    <xdr:row>0</xdr:row>
                    <xdr:rowOff>9525</xdr:rowOff>
                  </from>
                  <to>
                    <xdr:col>8</xdr:col>
                    <xdr:colOff>276225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K80"/>
  <sheetViews>
    <sheetView tabSelected="1" zoomScale="115" zoomScaleNormal="115" workbookViewId="0">
      <selection activeCell="P29" sqref="P29"/>
    </sheetView>
  </sheetViews>
  <sheetFormatPr defaultColWidth="9.140625" defaultRowHeight="12.75" outlineLevelRow="1"/>
  <cols>
    <col min="1" max="1" width="19.28515625" style="4" customWidth="1"/>
    <col min="2" max="2" width="9.140625" style="38" customWidth="1"/>
    <col min="3" max="3" width="6.7109375" style="38" customWidth="1"/>
    <col min="4" max="4" width="12.7109375" style="38" customWidth="1"/>
    <col min="5" max="5" width="6.7109375" style="38" customWidth="1"/>
    <col min="6" max="6" width="12.7109375" style="38" customWidth="1"/>
    <col min="7" max="7" width="6.7109375" style="38" customWidth="1"/>
    <col min="8" max="8" width="12.7109375" style="38" customWidth="1"/>
    <col min="9" max="9" width="6.7109375" style="38" customWidth="1"/>
    <col min="10" max="10" width="12.7109375" style="38" customWidth="1"/>
    <col min="11" max="11" width="6.7109375" style="38" customWidth="1"/>
    <col min="12" max="12" width="12.7109375" style="38" customWidth="1"/>
    <col min="13" max="13" width="6.7109375" style="38" customWidth="1"/>
    <col min="14" max="14" width="12.7109375" style="38" customWidth="1"/>
    <col min="15" max="15" width="6.7109375" style="38" customWidth="1"/>
    <col min="16" max="16" width="12.7109375" style="38" customWidth="1"/>
    <col min="17" max="17" width="6.7109375" style="38" customWidth="1"/>
    <col min="18" max="18" width="12.7109375" style="38" customWidth="1"/>
    <col min="19" max="19" width="6.7109375" style="38" customWidth="1"/>
    <col min="20" max="20" width="12.7109375" style="38" customWidth="1"/>
    <col min="21" max="21" width="6.7109375" style="38" customWidth="1"/>
    <col min="22" max="22" width="12.7109375" style="38" customWidth="1"/>
    <col min="23" max="23" width="6.7109375" style="38" customWidth="1"/>
    <col min="24" max="24" width="12.7109375" style="38" customWidth="1"/>
    <col min="25" max="25" width="6.7109375" style="38" customWidth="1"/>
    <col min="26" max="26" width="12.7109375" style="38" customWidth="1"/>
    <col min="27" max="27" width="6.7109375" style="38" customWidth="1"/>
    <col min="28" max="28" width="12.7109375" style="38" customWidth="1"/>
    <col min="29" max="29" width="6.7109375" style="38" customWidth="1"/>
    <col min="30" max="30" width="12.7109375" style="38" customWidth="1"/>
    <col min="31" max="31" width="6.7109375" style="38" customWidth="1"/>
    <col min="32" max="32" width="12.7109375" style="38" customWidth="1"/>
    <col min="33" max="33" width="6.7109375" style="38" customWidth="1"/>
    <col min="34" max="34" width="12.7109375" style="38" customWidth="1"/>
    <col min="35" max="35" width="6.7109375" style="38" customWidth="1"/>
    <col min="36" max="16384" width="9.140625" style="38"/>
  </cols>
  <sheetData>
    <row r="1" spans="1:37" s="31" customFormat="1" ht="12.75" customHeight="1">
      <c r="A1" s="29" t="s">
        <v>50</v>
      </c>
      <c r="B1" s="30" t="s">
        <v>2</v>
      </c>
      <c r="E1" s="130" t="s">
        <v>159</v>
      </c>
      <c r="F1" s="32"/>
      <c r="G1" s="26">
        <v>500</v>
      </c>
      <c r="H1" s="33"/>
      <c r="I1" s="7" t="b">
        <v>1</v>
      </c>
      <c r="J1" s="13"/>
      <c r="M1" s="34" t="s">
        <v>3</v>
      </c>
      <c r="N1" s="34" t="s">
        <v>2</v>
      </c>
      <c r="O1" s="34" t="s">
        <v>1</v>
      </c>
      <c r="P1" s="34" t="s">
        <v>9</v>
      </c>
      <c r="Q1" s="34" t="s">
        <v>8</v>
      </c>
    </row>
    <row r="2" spans="1:37" s="31" customFormat="1" ht="15">
      <c r="A2" s="35" t="s">
        <v>16</v>
      </c>
      <c r="B2" s="36" t="s">
        <v>8</v>
      </c>
      <c r="E2" s="483" t="s">
        <v>51</v>
      </c>
      <c r="F2" s="484"/>
      <c r="G2" s="37">
        <v>40</v>
      </c>
      <c r="H2" s="33"/>
      <c r="I2" s="38"/>
      <c r="J2" s="13"/>
      <c r="K2" s="39" t="s">
        <v>52</v>
      </c>
      <c r="M2" s="40"/>
      <c r="N2" s="34" t="s">
        <v>1</v>
      </c>
      <c r="O2" s="34" t="s">
        <v>9</v>
      </c>
      <c r="P2" s="34" t="s">
        <v>8</v>
      </c>
      <c r="Q2" s="34" t="s">
        <v>7</v>
      </c>
      <c r="T2" s="4"/>
    </row>
    <row r="3" spans="1:37" s="31" customFormat="1" ht="14.25">
      <c r="A3" s="119" t="s">
        <v>53</v>
      </c>
      <c r="B3" s="26" t="s">
        <v>201</v>
      </c>
      <c r="E3" s="485" t="s">
        <v>54</v>
      </c>
      <c r="F3" s="486"/>
      <c r="G3" s="41">
        <v>30</v>
      </c>
      <c r="H3" s="75">
        <v>0.2</v>
      </c>
      <c r="I3" s="74" t="s">
        <v>99</v>
      </c>
      <c r="J3" s="13"/>
      <c r="K3" s="42" t="s">
        <v>55</v>
      </c>
      <c r="N3" s="63" t="s">
        <v>99</v>
      </c>
      <c r="T3" s="4"/>
    </row>
    <row r="4" spans="1:37" s="31" customFormat="1" ht="14.25" customHeight="1">
      <c r="A4" s="119" t="s">
        <v>19</v>
      </c>
      <c r="B4" s="26">
        <v>1</v>
      </c>
      <c r="E4" s="43" t="s">
        <v>56</v>
      </c>
      <c r="F4" s="44"/>
      <c r="G4" s="45">
        <v>12</v>
      </c>
      <c r="H4" s="33"/>
      <c r="I4" s="38"/>
      <c r="J4" s="38"/>
      <c r="K4" s="42" t="s">
        <v>57</v>
      </c>
      <c r="N4" s="63" t="s">
        <v>100</v>
      </c>
    </row>
    <row r="5" spans="1:37" s="31" customFormat="1" ht="12.75" customHeight="1">
      <c r="A5" s="120" t="s">
        <v>58</v>
      </c>
      <c r="B5" s="46">
        <v>1100</v>
      </c>
      <c r="E5" s="47" t="s">
        <v>59</v>
      </c>
      <c r="F5" s="48"/>
      <c r="G5" s="49">
        <v>2</v>
      </c>
      <c r="H5" s="75">
        <v>0.25</v>
      </c>
      <c r="I5" s="74" t="s">
        <v>99</v>
      </c>
      <c r="J5" s="74"/>
      <c r="K5" s="42" t="s">
        <v>60</v>
      </c>
      <c r="N5" s="129" t="s">
        <v>213</v>
      </c>
    </row>
    <row r="6" spans="1:37" s="31" customFormat="1" ht="12.75" customHeight="1">
      <c r="A6" s="121" t="s">
        <v>61</v>
      </c>
      <c r="B6" s="49">
        <v>500</v>
      </c>
      <c r="E6" s="1" t="s">
        <v>62</v>
      </c>
      <c r="F6" s="50"/>
      <c r="G6" s="26">
        <v>10</v>
      </c>
      <c r="H6" s="106"/>
      <c r="I6" s="38"/>
      <c r="J6" s="38"/>
      <c r="K6" s="42" t="s">
        <v>63</v>
      </c>
      <c r="N6" s="129" t="s">
        <v>177</v>
      </c>
    </row>
    <row r="7" spans="1:37" s="31" customFormat="1" ht="14.25">
      <c r="A7" s="119" t="s">
        <v>64</v>
      </c>
      <c r="B7" s="26">
        <v>150</v>
      </c>
      <c r="E7" s="487" t="s">
        <v>65</v>
      </c>
      <c r="F7" s="51" t="s">
        <v>66</v>
      </c>
      <c r="G7" s="45" t="s">
        <v>21</v>
      </c>
      <c r="H7" s="52" t="b">
        <v>0</v>
      </c>
      <c r="J7" s="55" t="s">
        <v>70</v>
      </c>
      <c r="K7" s="42" t="s">
        <v>67</v>
      </c>
    </row>
    <row r="8" spans="1:37" s="31" customFormat="1" ht="14.25">
      <c r="A8" s="122" t="s">
        <v>68</v>
      </c>
      <c r="B8" s="46"/>
      <c r="E8" s="487"/>
      <c r="F8" s="53" t="s">
        <v>69</v>
      </c>
      <c r="G8" s="54" t="s">
        <v>22</v>
      </c>
      <c r="I8" s="52">
        <v>2</v>
      </c>
      <c r="K8" s="42" t="s">
        <v>71</v>
      </c>
    </row>
    <row r="9" spans="1:37" s="13" customFormat="1">
      <c r="A9" s="123" t="s">
        <v>72</v>
      </c>
      <c r="B9" s="49">
        <v>-100</v>
      </c>
      <c r="E9" s="487"/>
      <c r="F9" s="56" t="s">
        <v>73</v>
      </c>
      <c r="G9" s="57">
        <v>150</v>
      </c>
      <c r="H9" s="488" t="s">
        <v>160</v>
      </c>
      <c r="I9" s="489"/>
      <c r="J9" s="73" t="s">
        <v>202</v>
      </c>
      <c r="L9" s="34"/>
    </row>
    <row r="10" spans="1:37" s="60" customFormat="1" ht="12.75" customHeight="1">
      <c r="A10" s="119" t="s">
        <v>74</v>
      </c>
      <c r="B10" s="58" t="s">
        <v>148</v>
      </c>
      <c r="C10" s="59" t="s">
        <v>75</v>
      </c>
      <c r="D10" s="59" t="s">
        <v>76</v>
      </c>
      <c r="E10" s="59" t="s">
        <v>77</v>
      </c>
      <c r="F10" s="59" t="s">
        <v>76</v>
      </c>
      <c r="G10" s="59" t="s">
        <v>77</v>
      </c>
      <c r="H10" s="59" t="s">
        <v>76</v>
      </c>
      <c r="I10" s="59" t="s">
        <v>77</v>
      </c>
      <c r="J10" s="59" t="s">
        <v>76</v>
      </c>
      <c r="K10" s="59" t="s">
        <v>77</v>
      </c>
      <c r="L10" s="59" t="s">
        <v>76</v>
      </c>
      <c r="M10" s="59" t="s">
        <v>77</v>
      </c>
      <c r="N10" s="59" t="s">
        <v>76</v>
      </c>
      <c r="O10" s="59" t="s">
        <v>77</v>
      </c>
      <c r="P10" s="59" t="s">
        <v>76</v>
      </c>
      <c r="Q10" s="59" t="s">
        <v>77</v>
      </c>
      <c r="R10" s="59" t="s">
        <v>76</v>
      </c>
      <c r="S10" s="59" t="s">
        <v>77</v>
      </c>
      <c r="T10" s="59" t="s">
        <v>76</v>
      </c>
      <c r="U10" s="59" t="s">
        <v>77</v>
      </c>
      <c r="V10" s="59" t="s">
        <v>76</v>
      </c>
      <c r="W10" s="59" t="s">
        <v>77</v>
      </c>
      <c r="X10" s="59" t="s">
        <v>76</v>
      </c>
      <c r="Y10" s="59" t="s">
        <v>77</v>
      </c>
      <c r="Z10" s="59" t="s">
        <v>76</v>
      </c>
      <c r="AA10" s="59" t="s">
        <v>77</v>
      </c>
      <c r="AB10" s="59" t="s">
        <v>76</v>
      </c>
      <c r="AC10" s="59" t="s">
        <v>77</v>
      </c>
      <c r="AD10" s="59" t="s">
        <v>76</v>
      </c>
      <c r="AE10" s="59" t="s">
        <v>77</v>
      </c>
      <c r="AF10" s="59" t="s">
        <v>76</v>
      </c>
      <c r="AG10" s="59" t="s">
        <v>77</v>
      </c>
      <c r="AH10" s="59" t="s">
        <v>76</v>
      </c>
      <c r="AI10" s="59" t="s">
        <v>77</v>
      </c>
    </row>
    <row r="11" spans="1:37" s="62" customFormat="1" ht="12.75" customHeight="1">
      <c r="A11" s="122" t="s">
        <v>78</v>
      </c>
      <c r="B11" s="45" t="s">
        <v>225</v>
      </c>
      <c r="C11" s="62">
        <v>400</v>
      </c>
      <c r="D11" s="62">
        <v>10400</v>
      </c>
      <c r="E11" s="62">
        <v>400</v>
      </c>
      <c r="F11" s="62">
        <v>6500</v>
      </c>
      <c r="G11" s="62">
        <v>400</v>
      </c>
      <c r="H11" s="62">
        <v>2500</v>
      </c>
      <c r="I11" s="62">
        <v>0</v>
      </c>
      <c r="J11" s="62">
        <v>4000</v>
      </c>
      <c r="K11" s="62">
        <v>400</v>
      </c>
      <c r="L11" s="62">
        <v>6200</v>
      </c>
      <c r="M11" s="62">
        <v>400</v>
      </c>
      <c r="N11" s="62">
        <v>2000</v>
      </c>
      <c r="O11" s="62">
        <v>0</v>
      </c>
    </row>
    <row r="12" spans="1:37" s="118" customFormat="1" ht="12.75" customHeight="1">
      <c r="A12" s="124" t="s">
        <v>79</v>
      </c>
      <c r="B12" s="11" t="s">
        <v>225</v>
      </c>
      <c r="C12" s="59"/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59"/>
      <c r="AJ12" s="59"/>
      <c r="AK12" s="59"/>
    </row>
    <row r="13" spans="1:37" s="62" customFormat="1" ht="12.75" customHeight="1" thickBot="1">
      <c r="A13" s="481" t="s">
        <v>80</v>
      </c>
      <c r="B13" s="76" t="s">
        <v>81</v>
      </c>
      <c r="C13" s="77"/>
      <c r="D13" s="78"/>
      <c r="E13" s="77"/>
      <c r="F13" s="78"/>
      <c r="G13" s="77"/>
      <c r="H13" s="78"/>
      <c r="I13" s="77"/>
      <c r="J13" s="78"/>
      <c r="K13" s="79"/>
      <c r="L13" s="78"/>
      <c r="M13" s="79"/>
      <c r="N13" s="78"/>
      <c r="O13" s="79"/>
      <c r="P13" s="78"/>
      <c r="Q13" s="79"/>
      <c r="R13" s="78"/>
      <c r="S13" s="79"/>
      <c r="T13" s="78"/>
      <c r="U13" s="79"/>
      <c r="V13" s="78"/>
      <c r="W13" s="79"/>
      <c r="X13" s="78"/>
      <c r="Y13" s="79"/>
      <c r="Z13" s="78"/>
      <c r="AA13" s="79"/>
      <c r="AB13" s="78"/>
      <c r="AC13" s="79"/>
      <c r="AD13" s="78"/>
      <c r="AE13" s="79"/>
      <c r="AF13" s="78"/>
      <c r="AG13" s="79"/>
      <c r="AH13" s="78"/>
      <c r="AI13" s="79"/>
    </row>
    <row r="14" spans="1:37" s="62" customFormat="1" ht="12.75" customHeight="1" thickTop="1">
      <c r="A14" s="482"/>
      <c r="B14" s="80" t="s">
        <v>82</v>
      </c>
      <c r="C14" s="81" t="s">
        <v>225</v>
      </c>
      <c r="D14" s="82"/>
      <c r="E14" s="79" t="s">
        <v>214</v>
      </c>
      <c r="F14" s="82"/>
      <c r="G14" s="79" t="s">
        <v>203</v>
      </c>
      <c r="H14" s="82"/>
      <c r="I14" s="79"/>
      <c r="J14" s="82"/>
      <c r="K14" s="79" t="s">
        <v>221</v>
      </c>
      <c r="L14" s="82"/>
      <c r="M14" s="79" t="s">
        <v>222</v>
      </c>
      <c r="N14" s="82"/>
      <c r="O14" s="84"/>
      <c r="P14" s="82"/>
      <c r="Q14" s="84"/>
      <c r="R14" s="82"/>
      <c r="S14" s="84"/>
      <c r="T14" s="82"/>
      <c r="U14" s="84"/>
      <c r="V14" s="82"/>
      <c r="W14" s="84"/>
      <c r="X14" s="82"/>
      <c r="Y14" s="84"/>
      <c r="Z14" s="82"/>
      <c r="AA14" s="84"/>
      <c r="AB14" s="82"/>
      <c r="AC14" s="84"/>
      <c r="AD14" s="82"/>
      <c r="AE14" s="84"/>
      <c r="AF14" s="82"/>
      <c r="AG14" s="84"/>
      <c r="AH14" s="82"/>
      <c r="AI14" s="84"/>
    </row>
    <row r="15" spans="1:37" s="62" customFormat="1" ht="12.75" customHeight="1" outlineLevel="1">
      <c r="A15" s="125"/>
      <c r="B15" s="80" t="s">
        <v>98</v>
      </c>
      <c r="C15" s="81"/>
      <c r="D15" s="83"/>
      <c r="E15" s="79" t="s">
        <v>224</v>
      </c>
      <c r="F15" s="83"/>
      <c r="G15" s="79"/>
      <c r="H15" s="83"/>
      <c r="I15" s="79"/>
      <c r="J15" s="83"/>
      <c r="K15" s="79"/>
      <c r="L15" s="83"/>
      <c r="M15" s="79"/>
      <c r="N15" s="83"/>
      <c r="O15" s="79"/>
      <c r="P15" s="83"/>
      <c r="Q15" s="79"/>
      <c r="R15" s="83"/>
      <c r="S15" s="79"/>
      <c r="T15" s="83"/>
      <c r="U15" s="79"/>
      <c r="V15" s="83"/>
      <c r="W15" s="79"/>
      <c r="X15" s="83"/>
      <c r="Y15" s="79"/>
      <c r="Z15" s="83"/>
      <c r="AA15" s="79"/>
      <c r="AB15" s="83"/>
      <c r="AC15" s="79"/>
      <c r="AD15" s="83"/>
      <c r="AE15" s="79"/>
      <c r="AF15" s="83"/>
      <c r="AG15" s="79"/>
      <c r="AH15" s="83"/>
      <c r="AI15" s="79"/>
    </row>
    <row r="16" spans="1:37" s="62" customFormat="1" ht="12.75" customHeight="1" outlineLevel="1">
      <c r="A16" s="126"/>
      <c r="B16" s="76" t="s">
        <v>98</v>
      </c>
      <c r="C16" s="85"/>
      <c r="D16" s="79"/>
      <c r="E16" s="83"/>
      <c r="F16" s="79"/>
      <c r="G16" s="83"/>
      <c r="H16" s="79"/>
      <c r="I16" s="83"/>
      <c r="J16" s="79"/>
      <c r="K16" s="83"/>
      <c r="L16" s="79"/>
      <c r="M16" s="83"/>
      <c r="N16" s="79"/>
      <c r="O16" s="83"/>
      <c r="P16" s="79"/>
      <c r="Q16" s="83"/>
      <c r="R16" s="79"/>
      <c r="S16" s="83"/>
      <c r="T16" s="79"/>
      <c r="U16" s="83"/>
      <c r="V16" s="79"/>
      <c r="W16" s="83"/>
      <c r="X16" s="79"/>
      <c r="Y16" s="83"/>
      <c r="Z16" s="79"/>
      <c r="AA16" s="83"/>
      <c r="AB16" s="79"/>
      <c r="AC16" s="83"/>
      <c r="AD16" s="79"/>
      <c r="AE16" s="83"/>
      <c r="AF16" s="79"/>
      <c r="AG16" s="83"/>
      <c r="AH16" s="79"/>
      <c r="AI16" s="83"/>
    </row>
    <row r="17" spans="1:35" s="62" customFormat="1" ht="13.5" customHeight="1" thickBot="1">
      <c r="A17" s="481" t="s">
        <v>83</v>
      </c>
      <c r="B17" s="76" t="s">
        <v>82</v>
      </c>
      <c r="C17" s="86"/>
      <c r="D17" s="79" t="s">
        <v>225</v>
      </c>
      <c r="E17" s="83"/>
      <c r="F17" s="79" t="s">
        <v>203</v>
      </c>
      <c r="G17" s="83"/>
      <c r="H17" s="79"/>
      <c r="I17" s="83" t="s">
        <v>203</v>
      </c>
      <c r="J17" s="79" t="s">
        <v>218</v>
      </c>
      <c r="K17" s="83"/>
      <c r="L17" s="79" t="s">
        <v>203</v>
      </c>
      <c r="M17" s="83"/>
      <c r="N17" s="79"/>
      <c r="O17" s="83"/>
      <c r="P17" s="79"/>
      <c r="Q17" s="83"/>
      <c r="R17" s="79"/>
      <c r="S17" s="83"/>
      <c r="T17" s="79"/>
      <c r="U17" s="83"/>
      <c r="V17" s="79"/>
      <c r="W17" s="83"/>
      <c r="X17" s="79"/>
      <c r="Y17" s="83"/>
      <c r="Z17" s="79"/>
      <c r="AA17" s="83"/>
      <c r="AB17" s="79"/>
      <c r="AC17" s="83"/>
      <c r="AD17" s="79"/>
      <c r="AE17" s="83"/>
      <c r="AF17" s="79"/>
      <c r="AG17" s="83"/>
      <c r="AH17" s="79"/>
      <c r="AI17" s="83"/>
    </row>
    <row r="18" spans="1:35" s="62" customFormat="1" ht="13.5" thickTop="1">
      <c r="A18" s="482"/>
      <c r="B18" s="80" t="s">
        <v>81</v>
      </c>
      <c r="C18" s="87"/>
      <c r="D18" s="88"/>
      <c r="E18" s="87"/>
      <c r="F18" s="88"/>
      <c r="G18" s="87"/>
      <c r="H18" s="88"/>
      <c r="I18" s="87"/>
      <c r="J18" s="88"/>
      <c r="K18" s="87"/>
      <c r="L18" s="88"/>
      <c r="M18" s="87"/>
      <c r="N18" s="88"/>
      <c r="O18" s="87"/>
      <c r="P18" s="88"/>
      <c r="Q18" s="87"/>
      <c r="R18" s="88"/>
      <c r="S18" s="87"/>
      <c r="T18" s="88"/>
      <c r="U18" s="87"/>
      <c r="V18" s="88"/>
      <c r="W18" s="87"/>
      <c r="X18" s="88"/>
      <c r="Y18" s="87"/>
      <c r="Z18" s="88"/>
      <c r="AA18" s="87"/>
      <c r="AB18" s="88"/>
      <c r="AC18" s="87"/>
      <c r="AD18" s="88"/>
      <c r="AE18" s="87"/>
      <c r="AF18" s="88"/>
      <c r="AG18" s="87"/>
      <c r="AH18" s="88"/>
      <c r="AI18" s="87"/>
    </row>
    <row r="19" spans="1:35" s="59" customFormat="1">
      <c r="A19" s="491" t="s">
        <v>102</v>
      </c>
      <c r="B19" s="491"/>
      <c r="H19" s="59">
        <v>-50</v>
      </c>
      <c r="J19" s="59">
        <v>0</v>
      </c>
      <c r="L19" s="59" t="s">
        <v>220</v>
      </c>
      <c r="N19" s="59">
        <v>-200</v>
      </c>
    </row>
    <row r="20" spans="1:35" s="112" customFormat="1">
      <c r="A20" s="117" t="s">
        <v>84</v>
      </c>
      <c r="B20" s="109"/>
      <c r="C20" s="110" t="s">
        <v>489</v>
      </c>
      <c r="D20" s="89"/>
      <c r="E20" s="111">
        <v>400</v>
      </c>
      <c r="F20" s="90" t="s">
        <v>217</v>
      </c>
      <c r="G20" s="111">
        <v>400</v>
      </c>
      <c r="H20" s="90"/>
      <c r="I20" s="111"/>
      <c r="J20" s="89"/>
      <c r="K20" s="111" t="s">
        <v>490</v>
      </c>
      <c r="L20" s="89">
        <v>300</v>
      </c>
      <c r="M20" s="111">
        <v>400</v>
      </c>
      <c r="N20" s="89" t="s">
        <v>223</v>
      </c>
      <c r="O20" s="111"/>
      <c r="P20" s="89"/>
      <c r="Q20" s="111"/>
      <c r="R20" s="89"/>
      <c r="S20" s="111"/>
      <c r="T20" s="89"/>
      <c r="U20" s="111"/>
      <c r="V20" s="89"/>
      <c r="W20" s="111"/>
      <c r="X20" s="89"/>
      <c r="Y20" s="111"/>
      <c r="Z20" s="89"/>
      <c r="AA20" s="111"/>
      <c r="AB20" s="89"/>
      <c r="AC20" s="111"/>
      <c r="AD20" s="89"/>
      <c r="AE20" s="111"/>
      <c r="AF20" s="89"/>
      <c r="AG20" s="111"/>
      <c r="AH20" s="89"/>
      <c r="AI20" s="111"/>
    </row>
    <row r="21" spans="1:35" s="112" customFormat="1">
      <c r="A21" s="492" t="s">
        <v>85</v>
      </c>
      <c r="B21" s="493"/>
      <c r="C21" s="113"/>
      <c r="D21" s="91"/>
      <c r="E21" s="114"/>
      <c r="F21" s="116">
        <v>400</v>
      </c>
      <c r="G21" s="115"/>
      <c r="H21" s="116"/>
      <c r="I21" s="114"/>
      <c r="J21" s="92"/>
      <c r="K21" s="114"/>
      <c r="L21" s="92" t="s">
        <v>220</v>
      </c>
      <c r="M21" s="114"/>
      <c r="N21" s="92">
        <v>0</v>
      </c>
      <c r="O21" s="114"/>
      <c r="P21" s="92"/>
      <c r="Q21" s="114"/>
      <c r="R21" s="92"/>
      <c r="S21" s="114"/>
      <c r="T21" s="92"/>
      <c r="U21" s="115"/>
      <c r="V21" s="92"/>
      <c r="W21" s="114"/>
      <c r="X21" s="92"/>
      <c r="Y21" s="114"/>
      <c r="Z21" s="92"/>
      <c r="AA21" s="114"/>
      <c r="AB21" s="92"/>
      <c r="AC21" s="114"/>
      <c r="AD21" s="92"/>
      <c r="AE21" s="115"/>
      <c r="AF21" s="92"/>
      <c r="AG21" s="114"/>
      <c r="AH21" s="92"/>
      <c r="AI21" s="115"/>
    </row>
    <row r="22" spans="1:35" s="107" customFormat="1" ht="12.75" customHeight="1">
      <c r="A22" s="494" t="s">
        <v>86</v>
      </c>
      <c r="B22" s="495"/>
      <c r="C22" s="61">
        <v>1</v>
      </c>
      <c r="E22" s="61">
        <v>2</v>
      </c>
      <c r="F22" s="108"/>
      <c r="G22" s="61">
        <v>3</v>
      </c>
      <c r="H22" s="108"/>
      <c r="I22" s="61">
        <v>4</v>
      </c>
      <c r="K22" s="61">
        <v>5</v>
      </c>
      <c r="M22" s="61">
        <v>6</v>
      </c>
      <c r="O22" s="61"/>
      <c r="Q22" s="61"/>
      <c r="S22" s="61"/>
      <c r="U22" s="61"/>
      <c r="W22" s="61"/>
      <c r="Y22" s="61"/>
      <c r="AA22" s="61"/>
      <c r="AC22" s="61"/>
      <c r="AE22" s="61"/>
      <c r="AG22" s="61"/>
      <c r="AI22" s="61"/>
    </row>
    <row r="23" spans="1:35" s="60" customFormat="1" ht="12.75" customHeight="1">
      <c r="A23" s="496" t="s">
        <v>87</v>
      </c>
      <c r="B23" s="497"/>
      <c r="C23" s="62">
        <v>-150</v>
      </c>
      <c r="E23" s="62"/>
      <c r="F23" s="93"/>
      <c r="G23" s="62"/>
      <c r="H23" s="93"/>
      <c r="I23" s="62"/>
      <c r="K23" s="62"/>
      <c r="M23" s="62"/>
      <c r="O23" s="62"/>
      <c r="Q23" s="62"/>
      <c r="S23" s="62"/>
      <c r="U23" s="62"/>
      <c r="W23" s="62"/>
      <c r="Y23" s="62"/>
      <c r="AA23" s="62"/>
      <c r="AC23" s="62"/>
      <c r="AE23" s="62"/>
      <c r="AG23" s="62"/>
      <c r="AI23" s="62"/>
    </row>
    <row r="24" spans="1:35" ht="21.75" customHeight="1" thickBot="1">
      <c r="A24" s="127"/>
      <c r="B24" s="12"/>
      <c r="C24" s="12"/>
      <c r="E24" s="12"/>
      <c r="F24" s="12"/>
      <c r="K24" s="38" t="s">
        <v>219</v>
      </c>
    </row>
    <row r="25" spans="1:35">
      <c r="A25" s="13" t="s">
        <v>88</v>
      </c>
      <c r="C25" s="94" t="s">
        <v>90</v>
      </c>
      <c r="D25" s="95" t="s">
        <v>215</v>
      </c>
      <c r="E25" s="94"/>
      <c r="F25" s="95"/>
      <c r="G25" s="94"/>
      <c r="H25" s="95"/>
      <c r="I25" s="94"/>
      <c r="J25" s="95"/>
      <c r="K25" s="94"/>
      <c r="L25" s="95"/>
      <c r="M25" s="94" t="s">
        <v>89</v>
      </c>
      <c r="N25" s="95" t="s">
        <v>152</v>
      </c>
      <c r="O25" s="94"/>
      <c r="P25" s="95"/>
      <c r="Q25" s="94"/>
      <c r="R25" s="95"/>
      <c r="S25" s="94"/>
      <c r="T25" s="95"/>
      <c r="U25" s="94"/>
      <c r="V25" s="95"/>
      <c r="W25" s="94"/>
      <c r="X25" s="95"/>
      <c r="Y25" s="94"/>
      <c r="Z25" s="95"/>
      <c r="AA25" s="94"/>
      <c r="AB25" s="95"/>
      <c r="AC25" s="94"/>
      <c r="AD25" s="95"/>
      <c r="AE25" s="94"/>
      <c r="AF25" s="95"/>
      <c r="AG25" s="94"/>
      <c r="AH25" s="95"/>
    </row>
    <row r="26" spans="1:35">
      <c r="A26" s="13" t="s">
        <v>90</v>
      </c>
      <c r="C26" s="96" t="s">
        <v>89</v>
      </c>
      <c r="D26" s="97" t="s">
        <v>152</v>
      </c>
      <c r="E26" s="96"/>
      <c r="F26" s="97"/>
      <c r="G26" s="96"/>
      <c r="H26" s="97"/>
      <c r="I26" s="96"/>
      <c r="J26" s="97"/>
      <c r="K26" s="96"/>
      <c r="L26" s="97"/>
      <c r="M26" s="96"/>
      <c r="N26" s="97"/>
      <c r="O26" s="96"/>
      <c r="P26" s="97"/>
      <c r="Q26" s="96"/>
      <c r="R26" s="97"/>
      <c r="S26" s="96"/>
      <c r="T26" s="97"/>
      <c r="U26" s="96"/>
      <c r="V26" s="97"/>
      <c r="W26" s="96"/>
      <c r="X26" s="97"/>
      <c r="Y26" s="96"/>
      <c r="Z26" s="97"/>
      <c r="AA26" s="96"/>
      <c r="AB26" s="97"/>
      <c r="AC26" s="96"/>
      <c r="AD26" s="97"/>
      <c r="AE26" s="96"/>
      <c r="AF26" s="97"/>
      <c r="AG26" s="96"/>
      <c r="AH26" s="97"/>
    </row>
    <row r="27" spans="1:35">
      <c r="A27" s="13" t="s">
        <v>89</v>
      </c>
      <c r="C27" s="96" t="s">
        <v>89</v>
      </c>
      <c r="D27" s="97" t="s">
        <v>216</v>
      </c>
      <c r="E27" s="96"/>
      <c r="F27" s="97"/>
      <c r="G27" s="96"/>
      <c r="H27" s="97"/>
      <c r="I27" s="96"/>
      <c r="J27" s="97"/>
      <c r="K27" s="96"/>
      <c r="L27" s="97"/>
      <c r="M27" s="96"/>
      <c r="N27" s="97"/>
      <c r="O27" s="96"/>
      <c r="P27" s="97"/>
      <c r="Q27" s="96"/>
      <c r="R27" s="97"/>
      <c r="S27" s="96"/>
      <c r="T27" s="97"/>
      <c r="U27" s="96"/>
      <c r="V27" s="97"/>
      <c r="W27" s="96"/>
      <c r="X27" s="97"/>
      <c r="Y27" s="96"/>
      <c r="Z27" s="97"/>
      <c r="AA27" s="96"/>
      <c r="AB27" s="97"/>
      <c r="AC27" s="96"/>
      <c r="AD27" s="97"/>
      <c r="AE27" s="96"/>
      <c r="AF27" s="97"/>
      <c r="AG27" s="96"/>
      <c r="AH27" s="97"/>
    </row>
    <row r="28" spans="1:35">
      <c r="A28" s="4">
        <v>1</v>
      </c>
      <c r="C28" s="96"/>
      <c r="D28" s="97"/>
      <c r="E28" s="96"/>
      <c r="F28" s="97"/>
      <c r="G28" s="96"/>
      <c r="H28" s="97"/>
      <c r="I28" s="96"/>
      <c r="J28" s="97"/>
      <c r="K28" s="96"/>
      <c r="L28" s="97"/>
      <c r="M28" s="96"/>
      <c r="N28" s="97"/>
      <c r="O28" s="96"/>
      <c r="P28" s="97"/>
      <c r="Q28" s="96"/>
      <c r="R28" s="97"/>
      <c r="S28" s="96"/>
      <c r="T28" s="97"/>
      <c r="U28" s="96"/>
      <c r="V28" s="97"/>
      <c r="W28" s="96"/>
      <c r="X28" s="97"/>
      <c r="Y28" s="96"/>
      <c r="Z28" s="97"/>
      <c r="AA28" s="96"/>
      <c r="AB28" s="97"/>
      <c r="AC28" s="96"/>
      <c r="AD28" s="97"/>
      <c r="AE28" s="96"/>
      <c r="AF28" s="97"/>
      <c r="AG28" s="96"/>
      <c r="AH28" s="97"/>
    </row>
    <row r="29" spans="1:35">
      <c r="C29" s="96"/>
      <c r="D29" s="97"/>
      <c r="E29" s="96"/>
      <c r="F29" s="97"/>
      <c r="G29" s="96"/>
      <c r="H29" s="97"/>
      <c r="I29" s="96"/>
      <c r="J29" s="97"/>
      <c r="K29" s="96"/>
      <c r="L29" s="97"/>
      <c r="M29" s="96"/>
      <c r="N29" s="97"/>
      <c r="O29" s="96"/>
      <c r="P29" s="97"/>
      <c r="Q29" s="96"/>
      <c r="R29" s="97"/>
      <c r="S29" s="96"/>
      <c r="T29" s="97"/>
      <c r="U29" s="96"/>
      <c r="V29" s="97"/>
      <c r="W29" s="96"/>
      <c r="X29" s="97"/>
      <c r="Y29" s="96"/>
      <c r="Z29" s="97"/>
      <c r="AA29" s="96"/>
      <c r="AB29" s="97"/>
      <c r="AC29" s="96"/>
      <c r="AD29" s="97"/>
      <c r="AE29" s="96"/>
      <c r="AF29" s="97"/>
      <c r="AG29" s="96"/>
      <c r="AH29" s="97"/>
    </row>
    <row r="30" spans="1:35">
      <c r="C30" s="96"/>
      <c r="D30" s="97"/>
      <c r="E30" s="96"/>
      <c r="F30" s="97"/>
      <c r="G30" s="96"/>
      <c r="H30" s="97"/>
      <c r="I30" s="96"/>
      <c r="J30" s="97"/>
      <c r="K30" s="96"/>
      <c r="L30" s="97"/>
      <c r="M30" s="96"/>
      <c r="N30" s="97"/>
      <c r="O30" s="96"/>
      <c r="P30" s="97"/>
      <c r="Q30" s="96"/>
      <c r="R30" s="97"/>
      <c r="S30" s="96"/>
      <c r="T30" s="97"/>
      <c r="U30" s="96"/>
      <c r="V30" s="97"/>
      <c r="W30" s="96"/>
      <c r="X30" s="97"/>
      <c r="Y30" s="96"/>
      <c r="Z30" s="97"/>
      <c r="AA30" s="96"/>
      <c r="AB30" s="97"/>
      <c r="AC30" s="96"/>
      <c r="AD30" s="97"/>
      <c r="AE30" s="96"/>
      <c r="AF30" s="97"/>
      <c r="AG30" s="96"/>
      <c r="AH30" s="97"/>
    </row>
    <row r="31" spans="1:35">
      <c r="C31" s="96"/>
      <c r="D31" s="97"/>
      <c r="E31" s="96"/>
      <c r="F31" s="97"/>
      <c r="G31" s="96"/>
      <c r="H31" s="97"/>
      <c r="I31" s="96"/>
      <c r="J31" s="97"/>
      <c r="K31" s="96"/>
      <c r="L31" s="97"/>
      <c r="M31" s="96"/>
      <c r="N31" s="97"/>
      <c r="O31" s="96"/>
      <c r="P31" s="97"/>
      <c r="Q31" s="96"/>
      <c r="R31" s="97"/>
      <c r="S31" s="96"/>
      <c r="T31" s="97"/>
      <c r="U31" s="96"/>
      <c r="V31" s="97"/>
      <c r="W31" s="96"/>
      <c r="X31" s="97"/>
      <c r="Y31" s="96"/>
      <c r="Z31" s="97"/>
      <c r="AA31" s="96"/>
      <c r="AB31" s="97"/>
      <c r="AC31" s="96"/>
      <c r="AD31" s="97"/>
      <c r="AE31" s="96"/>
      <c r="AF31" s="97"/>
      <c r="AG31" s="96"/>
      <c r="AH31" s="97"/>
    </row>
    <row r="32" spans="1:35">
      <c r="C32" s="96"/>
      <c r="D32" s="97"/>
      <c r="E32" s="96"/>
      <c r="F32" s="97"/>
      <c r="G32" s="96"/>
      <c r="H32" s="97"/>
      <c r="I32" s="96"/>
      <c r="J32" s="97"/>
      <c r="K32" s="96"/>
      <c r="L32" s="97"/>
      <c r="M32" s="96"/>
      <c r="N32" s="97"/>
      <c r="O32" s="96"/>
      <c r="P32" s="97"/>
      <c r="Q32" s="96"/>
      <c r="R32" s="97"/>
      <c r="S32" s="96"/>
      <c r="T32" s="97"/>
      <c r="U32" s="96"/>
      <c r="V32" s="97"/>
      <c r="W32" s="96"/>
      <c r="X32" s="97"/>
      <c r="Y32" s="96"/>
      <c r="Z32" s="97"/>
      <c r="AA32" s="96"/>
      <c r="AB32" s="97"/>
      <c r="AC32" s="96"/>
      <c r="AD32" s="97"/>
      <c r="AE32" s="96"/>
      <c r="AF32" s="97"/>
      <c r="AG32" s="96"/>
      <c r="AH32" s="97"/>
    </row>
    <row r="33" spans="1:36">
      <c r="C33" s="96"/>
      <c r="D33" s="97"/>
      <c r="E33" s="96"/>
      <c r="F33" s="97"/>
      <c r="G33" s="96"/>
      <c r="H33" s="97"/>
      <c r="I33" s="96"/>
      <c r="J33" s="97"/>
      <c r="K33" s="96"/>
      <c r="L33" s="97"/>
      <c r="M33" s="96"/>
      <c r="N33" s="97"/>
      <c r="O33" s="96"/>
      <c r="P33" s="97"/>
      <c r="Q33" s="96"/>
      <c r="R33" s="97"/>
      <c r="S33" s="96"/>
      <c r="T33" s="97"/>
      <c r="U33" s="96"/>
      <c r="V33" s="97"/>
      <c r="W33" s="96"/>
      <c r="X33" s="97"/>
      <c r="Y33" s="96"/>
      <c r="Z33" s="97"/>
      <c r="AA33" s="96"/>
      <c r="AB33" s="97"/>
      <c r="AC33" s="96"/>
      <c r="AD33" s="97"/>
      <c r="AE33" s="96"/>
      <c r="AF33" s="97"/>
      <c r="AG33" s="96"/>
      <c r="AH33" s="97"/>
    </row>
    <row r="34" spans="1:36">
      <c r="C34" s="96"/>
      <c r="D34" s="97"/>
      <c r="E34" s="96"/>
      <c r="F34" s="97"/>
      <c r="G34" s="96"/>
      <c r="H34" s="97"/>
      <c r="I34" s="96"/>
      <c r="J34" s="97"/>
      <c r="K34" s="96"/>
      <c r="L34" s="97"/>
      <c r="M34" s="96"/>
      <c r="N34" s="97"/>
      <c r="O34" s="96"/>
      <c r="P34" s="97"/>
      <c r="Q34" s="96"/>
      <c r="R34" s="97"/>
      <c r="S34" s="96"/>
      <c r="T34" s="97"/>
      <c r="U34" s="96"/>
      <c r="V34" s="97"/>
      <c r="W34" s="96"/>
      <c r="X34" s="97"/>
      <c r="Y34" s="96"/>
      <c r="Z34" s="97"/>
      <c r="AA34" s="96"/>
      <c r="AB34" s="97"/>
      <c r="AC34" s="96"/>
      <c r="AD34" s="97"/>
      <c r="AE34" s="96"/>
      <c r="AF34" s="97"/>
      <c r="AG34" s="96"/>
      <c r="AH34" s="97"/>
    </row>
    <row r="35" spans="1:36">
      <c r="C35" s="96"/>
      <c r="D35" s="97"/>
      <c r="E35" s="96"/>
      <c r="F35" s="97"/>
      <c r="G35" s="96"/>
      <c r="H35" s="97"/>
      <c r="I35" s="96"/>
      <c r="J35" s="97"/>
      <c r="K35" s="96"/>
      <c r="L35" s="97"/>
      <c r="M35" s="96"/>
      <c r="N35" s="97"/>
      <c r="O35" s="96"/>
      <c r="P35" s="97"/>
      <c r="Q35" s="96"/>
      <c r="R35" s="97"/>
      <c r="S35" s="96"/>
      <c r="T35" s="97"/>
      <c r="U35" s="96"/>
      <c r="V35" s="97"/>
      <c r="W35" s="96"/>
      <c r="X35" s="97"/>
      <c r="Y35" s="96"/>
      <c r="Z35" s="97"/>
      <c r="AA35" s="96"/>
      <c r="AB35" s="97"/>
      <c r="AC35" s="96"/>
      <c r="AD35" s="97"/>
      <c r="AE35" s="96"/>
      <c r="AF35" s="97"/>
      <c r="AG35" s="96"/>
      <c r="AH35" s="97"/>
    </row>
    <row r="36" spans="1:36">
      <c r="C36" s="96"/>
      <c r="D36" s="97"/>
      <c r="E36" s="96"/>
      <c r="F36" s="97"/>
      <c r="G36" s="96"/>
      <c r="H36" s="97"/>
      <c r="I36" s="96"/>
      <c r="J36" s="97"/>
      <c r="K36" s="96"/>
      <c r="L36" s="97"/>
      <c r="M36" s="96"/>
      <c r="N36" s="97"/>
      <c r="O36" s="96"/>
      <c r="P36" s="97"/>
      <c r="Q36" s="96"/>
      <c r="R36" s="97"/>
      <c r="S36" s="96"/>
      <c r="T36" s="97"/>
      <c r="U36" s="96"/>
      <c r="V36" s="97"/>
      <c r="W36" s="96"/>
      <c r="X36" s="97"/>
      <c r="Y36" s="96"/>
      <c r="Z36" s="97"/>
      <c r="AA36" s="96"/>
      <c r="AB36" s="97"/>
      <c r="AC36" s="96"/>
      <c r="AD36" s="97"/>
      <c r="AE36" s="96"/>
      <c r="AF36" s="97"/>
      <c r="AG36" s="96"/>
      <c r="AH36" s="97"/>
    </row>
    <row r="37" spans="1:36">
      <c r="C37" s="96"/>
      <c r="D37" s="97"/>
      <c r="E37" s="96"/>
      <c r="F37" s="97"/>
      <c r="G37" s="96"/>
      <c r="H37" s="97"/>
      <c r="I37" s="96"/>
      <c r="J37" s="97"/>
      <c r="K37" s="96"/>
      <c r="L37" s="97"/>
      <c r="M37" s="96"/>
      <c r="N37" s="97"/>
      <c r="O37" s="96"/>
      <c r="P37" s="97"/>
      <c r="Q37" s="96"/>
      <c r="R37" s="97"/>
      <c r="S37" s="96"/>
      <c r="T37" s="97"/>
      <c r="U37" s="96"/>
      <c r="V37" s="97"/>
      <c r="W37" s="96"/>
      <c r="X37" s="97"/>
      <c r="Y37" s="96"/>
      <c r="Z37" s="97"/>
      <c r="AA37" s="96"/>
      <c r="AB37" s="97"/>
      <c r="AC37" s="96"/>
      <c r="AD37" s="97"/>
      <c r="AE37" s="96"/>
      <c r="AF37" s="97"/>
      <c r="AG37" s="96"/>
      <c r="AH37" s="97"/>
    </row>
    <row r="38" spans="1:36">
      <c r="C38" s="96"/>
      <c r="D38" s="97"/>
      <c r="E38" s="96"/>
      <c r="F38" s="97"/>
      <c r="G38" s="96"/>
      <c r="H38" s="97"/>
      <c r="I38" s="96"/>
      <c r="J38" s="97"/>
      <c r="K38" s="96"/>
      <c r="L38" s="97"/>
      <c r="M38" s="96"/>
      <c r="N38" s="97"/>
      <c r="O38" s="96"/>
      <c r="P38" s="97"/>
      <c r="Q38" s="96"/>
      <c r="R38" s="97"/>
      <c r="S38" s="96"/>
      <c r="T38" s="97"/>
      <c r="U38" s="96"/>
      <c r="V38" s="97"/>
      <c r="W38" s="96"/>
      <c r="X38" s="97"/>
      <c r="Y38" s="96"/>
      <c r="Z38" s="97"/>
      <c r="AA38" s="96"/>
      <c r="AB38" s="97"/>
      <c r="AC38" s="96"/>
      <c r="AD38" s="97"/>
      <c r="AE38" s="96"/>
      <c r="AF38" s="97"/>
      <c r="AG38" s="96"/>
      <c r="AH38" s="97"/>
    </row>
    <row r="39" spans="1:36">
      <c r="C39" s="96"/>
      <c r="D39" s="97"/>
      <c r="E39" s="96"/>
      <c r="F39" s="97"/>
      <c r="G39" s="96"/>
      <c r="H39" s="97"/>
      <c r="I39" s="96"/>
      <c r="J39" s="97"/>
      <c r="K39" s="96"/>
      <c r="L39" s="97"/>
      <c r="M39" s="96"/>
      <c r="N39" s="97"/>
      <c r="O39" s="96"/>
      <c r="P39" s="97"/>
      <c r="Q39" s="96"/>
      <c r="R39" s="97"/>
      <c r="S39" s="96"/>
      <c r="T39" s="97"/>
      <c r="U39" s="96"/>
      <c r="V39" s="97"/>
      <c r="W39" s="96"/>
      <c r="X39" s="97"/>
      <c r="Y39" s="96"/>
      <c r="Z39" s="97"/>
      <c r="AA39" s="96"/>
      <c r="AB39" s="97"/>
      <c r="AC39" s="96"/>
      <c r="AD39" s="97"/>
      <c r="AE39" s="96"/>
      <c r="AF39" s="97"/>
      <c r="AG39" s="96"/>
      <c r="AH39" s="97"/>
    </row>
    <row r="40" spans="1:36">
      <c r="C40" s="96"/>
      <c r="D40" s="97"/>
      <c r="E40" s="96"/>
      <c r="F40" s="97"/>
      <c r="G40" s="96"/>
      <c r="H40" s="97"/>
      <c r="I40" s="96"/>
      <c r="J40" s="97"/>
      <c r="K40" s="96"/>
      <c r="L40" s="97"/>
      <c r="M40" s="96"/>
      <c r="N40" s="97"/>
      <c r="O40" s="96"/>
      <c r="P40" s="97"/>
      <c r="Q40" s="96"/>
      <c r="R40" s="97"/>
      <c r="S40" s="96"/>
      <c r="T40" s="97"/>
      <c r="U40" s="96"/>
      <c r="V40" s="97"/>
      <c r="W40" s="96"/>
      <c r="X40" s="97"/>
      <c r="Y40" s="96"/>
      <c r="Z40" s="97"/>
      <c r="AA40" s="96"/>
      <c r="AB40" s="97"/>
      <c r="AC40" s="96"/>
      <c r="AD40" s="97"/>
      <c r="AE40" s="96"/>
      <c r="AF40" s="97"/>
      <c r="AG40" s="96"/>
      <c r="AH40" s="97"/>
    </row>
    <row r="41" spans="1:36">
      <c r="A41" s="27"/>
      <c r="B41" s="64"/>
      <c r="C41" s="96"/>
      <c r="D41" s="97"/>
      <c r="E41" s="96"/>
      <c r="F41" s="97"/>
      <c r="G41" s="96"/>
      <c r="H41" s="97"/>
      <c r="I41" s="96"/>
      <c r="J41" s="97"/>
      <c r="K41" s="96"/>
      <c r="L41" s="97"/>
      <c r="M41" s="96"/>
      <c r="N41" s="97"/>
      <c r="O41" s="96"/>
      <c r="P41" s="97"/>
      <c r="Q41" s="96"/>
      <c r="R41" s="97"/>
      <c r="S41" s="96"/>
      <c r="T41" s="97"/>
      <c r="U41" s="96"/>
      <c r="V41" s="97"/>
      <c r="W41" s="96"/>
      <c r="X41" s="97"/>
      <c r="Y41" s="96"/>
      <c r="Z41" s="97"/>
      <c r="AA41" s="96"/>
      <c r="AB41" s="97"/>
      <c r="AC41" s="96"/>
      <c r="AD41" s="97"/>
      <c r="AE41" s="96"/>
      <c r="AF41" s="97"/>
      <c r="AG41" s="96"/>
      <c r="AH41" s="97"/>
      <c r="AI41" s="64"/>
      <c r="AJ41" s="64"/>
    </row>
    <row r="42" spans="1:36" s="72" customFormat="1" ht="12.75" customHeight="1">
      <c r="A42" s="98"/>
      <c r="B42" s="98"/>
      <c r="C42" s="96"/>
      <c r="D42" s="97"/>
      <c r="E42" s="96"/>
      <c r="F42" s="97"/>
      <c r="G42" s="96"/>
      <c r="H42" s="97"/>
      <c r="I42" s="96"/>
      <c r="J42" s="97"/>
      <c r="K42" s="96"/>
      <c r="L42" s="97"/>
      <c r="M42" s="96"/>
      <c r="N42" s="97"/>
      <c r="O42" s="96"/>
      <c r="P42" s="97"/>
      <c r="Q42" s="96"/>
      <c r="R42" s="97"/>
      <c r="S42" s="96"/>
      <c r="T42" s="97"/>
      <c r="U42" s="96"/>
      <c r="V42" s="97"/>
      <c r="W42" s="96"/>
      <c r="X42" s="97"/>
      <c r="Y42" s="96"/>
      <c r="Z42" s="97"/>
      <c r="AA42" s="96"/>
      <c r="AB42" s="97"/>
      <c r="AC42" s="96"/>
      <c r="AD42" s="97"/>
      <c r="AE42" s="96"/>
      <c r="AF42" s="97"/>
      <c r="AG42" s="96"/>
      <c r="AH42" s="97"/>
      <c r="AI42" s="98"/>
      <c r="AJ42" s="99"/>
    </row>
    <row r="43" spans="1:36" s="72" customFormat="1" ht="12.75" customHeight="1">
      <c r="A43" s="98"/>
      <c r="B43" s="98"/>
      <c r="C43" s="96"/>
      <c r="D43" s="97"/>
      <c r="E43" s="96"/>
      <c r="F43" s="97"/>
      <c r="G43" s="96"/>
      <c r="H43" s="97"/>
      <c r="I43" s="96"/>
      <c r="J43" s="97"/>
      <c r="K43" s="96"/>
      <c r="L43" s="97"/>
      <c r="M43" s="96"/>
      <c r="N43" s="97"/>
      <c r="O43" s="96"/>
      <c r="P43" s="97"/>
      <c r="Q43" s="96"/>
      <c r="R43" s="97"/>
      <c r="S43" s="96"/>
      <c r="T43" s="97"/>
      <c r="U43" s="96"/>
      <c r="V43" s="97"/>
      <c r="W43" s="96"/>
      <c r="X43" s="97"/>
      <c r="Y43" s="96"/>
      <c r="Z43" s="97"/>
      <c r="AA43" s="96"/>
      <c r="AB43" s="97"/>
      <c r="AC43" s="96"/>
      <c r="AD43" s="97"/>
      <c r="AE43" s="96"/>
      <c r="AF43" s="97"/>
      <c r="AG43" s="96"/>
      <c r="AH43" s="97"/>
      <c r="AI43" s="98"/>
      <c r="AJ43" s="99"/>
    </row>
    <row r="44" spans="1:36" s="63" customFormat="1" ht="13.5" thickBot="1">
      <c r="A44" s="27"/>
      <c r="B44" s="64"/>
      <c r="C44" s="100"/>
      <c r="D44" s="101"/>
      <c r="E44" s="100"/>
      <c r="F44" s="101"/>
      <c r="G44" s="100"/>
      <c r="H44" s="101"/>
      <c r="I44" s="100"/>
      <c r="J44" s="101"/>
      <c r="K44" s="100"/>
      <c r="L44" s="101"/>
      <c r="M44" s="100"/>
      <c r="N44" s="101"/>
      <c r="O44" s="100"/>
      <c r="P44" s="101"/>
      <c r="Q44" s="100"/>
      <c r="R44" s="101"/>
      <c r="S44" s="100"/>
      <c r="T44" s="101"/>
      <c r="U44" s="100"/>
      <c r="V44" s="101"/>
      <c r="W44" s="100"/>
      <c r="X44" s="101"/>
      <c r="Y44" s="100"/>
      <c r="Z44" s="101"/>
      <c r="AA44" s="100"/>
      <c r="AB44" s="101"/>
      <c r="AC44" s="100"/>
      <c r="AD44" s="101"/>
      <c r="AE44" s="100"/>
      <c r="AF44" s="101"/>
      <c r="AG44" s="100"/>
      <c r="AH44" s="101"/>
      <c r="AI44" s="98"/>
      <c r="AJ44" s="64"/>
    </row>
    <row r="45" spans="1:36" s="63" customFormat="1">
      <c r="A45" s="27"/>
      <c r="B45" s="64"/>
      <c r="C45" s="98"/>
      <c r="E45" s="98"/>
      <c r="F45" s="102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64"/>
    </row>
    <row r="46" spans="1:36" s="63" customFormat="1">
      <c r="A46" s="27"/>
      <c r="B46" s="64"/>
      <c r="C46" s="98"/>
      <c r="E46" s="98"/>
      <c r="F46" s="102"/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64"/>
    </row>
    <row r="47" spans="1:36" s="63" customFormat="1">
      <c r="A47" s="27"/>
      <c r="B47" s="64"/>
      <c r="C47" s="98"/>
      <c r="E47" s="98"/>
      <c r="F47" s="102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64"/>
    </row>
    <row r="48" spans="1:36" s="63" customFormat="1">
      <c r="A48" s="27"/>
      <c r="B48" s="64"/>
      <c r="C48" s="98"/>
      <c r="E48" s="98"/>
      <c r="F48" s="102"/>
      <c r="S48" s="98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64"/>
    </row>
    <row r="49" spans="1:36" s="63" customFormat="1">
      <c r="A49" s="27"/>
      <c r="B49" s="64"/>
      <c r="C49" s="98"/>
      <c r="E49" s="98"/>
      <c r="F49" s="102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64"/>
    </row>
    <row r="50" spans="1:36" s="63" customFormat="1">
      <c r="A50" s="27"/>
      <c r="B50" s="64"/>
      <c r="C50" s="98"/>
      <c r="E50" s="98"/>
      <c r="F50" s="102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64"/>
    </row>
    <row r="51" spans="1:36" s="63" customFormat="1">
      <c r="A51" s="5"/>
      <c r="C51" s="98"/>
      <c r="E51" s="98"/>
      <c r="F51" s="102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64"/>
    </row>
    <row r="52" spans="1:36" s="63" customFormat="1">
      <c r="A52" s="5"/>
      <c r="C52" s="98"/>
      <c r="E52" s="98"/>
      <c r="F52" s="102"/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64"/>
    </row>
    <row r="53" spans="1:36" s="63" customFormat="1">
      <c r="A53" s="5"/>
      <c r="C53" s="98"/>
      <c r="E53" s="98"/>
      <c r="F53" s="102"/>
      <c r="S53" s="98"/>
      <c r="T53" s="98"/>
      <c r="U53" s="98"/>
      <c r="V53" s="98"/>
      <c r="W53" s="98"/>
      <c r="X53" s="98"/>
      <c r="Y53" s="98"/>
      <c r="Z53" s="98"/>
      <c r="AA53" s="98"/>
      <c r="AB53" s="98"/>
      <c r="AC53" s="98"/>
      <c r="AD53" s="98"/>
      <c r="AE53" s="98"/>
      <c r="AF53" s="98"/>
      <c r="AG53" s="98"/>
      <c r="AH53" s="98"/>
      <c r="AI53" s="98"/>
      <c r="AJ53" s="64"/>
    </row>
    <row r="54" spans="1:36" s="63" customFormat="1">
      <c r="A54" s="5"/>
      <c r="C54" s="98"/>
      <c r="E54" s="98"/>
      <c r="F54" s="102"/>
      <c r="S54" s="98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64"/>
    </row>
    <row r="55" spans="1:36" s="63" customFormat="1">
      <c r="A55" s="5">
        <v>30</v>
      </c>
      <c r="B55" s="63">
        <v>1</v>
      </c>
      <c r="C55" s="63">
        <v>2</v>
      </c>
      <c r="D55" s="63">
        <v>3</v>
      </c>
      <c r="E55" s="63">
        <v>4</v>
      </c>
      <c r="F55" s="63">
        <v>5</v>
      </c>
      <c r="G55" s="63">
        <v>6</v>
      </c>
      <c r="H55" s="63">
        <v>7</v>
      </c>
      <c r="I55" s="63">
        <v>8</v>
      </c>
      <c r="J55" s="63">
        <v>9</v>
      </c>
      <c r="L55" s="63">
        <v>1</v>
      </c>
      <c r="M55" s="63">
        <v>2</v>
      </c>
      <c r="N55" s="63">
        <v>3</v>
      </c>
      <c r="O55" s="63">
        <v>4</v>
      </c>
      <c r="P55" s="63">
        <v>5</v>
      </c>
      <c r="Q55" s="63">
        <v>6</v>
      </c>
      <c r="R55" s="63">
        <v>7</v>
      </c>
      <c r="S55" s="63">
        <v>8</v>
      </c>
      <c r="T55" s="63">
        <v>9</v>
      </c>
      <c r="U55" s="63">
        <v>10</v>
      </c>
      <c r="V55" s="63">
        <v>11</v>
      </c>
      <c r="W55" s="63">
        <v>12</v>
      </c>
      <c r="X55" s="63">
        <v>13</v>
      </c>
      <c r="Y55" s="63">
        <v>14</v>
      </c>
      <c r="Z55" s="63">
        <v>15</v>
      </c>
      <c r="AA55" s="63">
        <v>16</v>
      </c>
      <c r="AB55" s="63">
        <v>17</v>
      </c>
      <c r="AC55" s="63">
        <v>18</v>
      </c>
      <c r="AD55" s="63">
        <v>19</v>
      </c>
      <c r="AE55" s="63">
        <v>20</v>
      </c>
    </row>
    <row r="56" spans="1:36" s="63" customFormat="1">
      <c r="A56" s="128" t="s">
        <v>91</v>
      </c>
      <c r="B56" s="63">
        <f>-B62/2</f>
        <v>-250</v>
      </c>
      <c r="C56" s="63">
        <f>B56+B62</f>
        <v>250</v>
      </c>
      <c r="D56" s="63">
        <f>C56</f>
        <v>250</v>
      </c>
      <c r="E56" s="63">
        <f>D56+300</f>
        <v>550</v>
      </c>
      <c r="F56" s="63">
        <f>E56</f>
        <v>550</v>
      </c>
      <c r="G56" s="63">
        <f>F56-600-B62</f>
        <v>-550</v>
      </c>
      <c r="H56" s="63">
        <f>G56</f>
        <v>-550</v>
      </c>
      <c r="I56" s="63">
        <f>H56+300</f>
        <v>-250</v>
      </c>
      <c r="J56" s="63">
        <f>I56</f>
        <v>-250</v>
      </c>
      <c r="K56" s="490" t="s">
        <v>103</v>
      </c>
      <c r="L56" s="63">
        <f>B56+A57</f>
        <v>-190</v>
      </c>
      <c r="M56" s="63">
        <f t="shared" ref="M56:AE56" si="0">IF(M55&gt;$J$58,$L$56,L56+$A$58)</f>
        <v>-114</v>
      </c>
      <c r="N56" s="63">
        <f t="shared" si="0"/>
        <v>-38</v>
      </c>
      <c r="O56" s="63">
        <f t="shared" si="0"/>
        <v>38</v>
      </c>
      <c r="P56" s="63">
        <f t="shared" si="0"/>
        <v>114</v>
      </c>
      <c r="Q56" s="63">
        <f t="shared" si="0"/>
        <v>190</v>
      </c>
      <c r="R56" s="63">
        <f t="shared" si="0"/>
        <v>-190</v>
      </c>
      <c r="S56" s="63">
        <f t="shared" si="0"/>
        <v>-190</v>
      </c>
      <c r="T56" s="63">
        <f t="shared" si="0"/>
        <v>-190</v>
      </c>
      <c r="U56" s="63">
        <f t="shared" si="0"/>
        <v>-190</v>
      </c>
      <c r="V56" s="63">
        <f t="shared" si="0"/>
        <v>-190</v>
      </c>
      <c r="W56" s="63">
        <f t="shared" si="0"/>
        <v>-190</v>
      </c>
      <c r="X56" s="63">
        <f t="shared" si="0"/>
        <v>-190</v>
      </c>
      <c r="Y56" s="63">
        <f t="shared" si="0"/>
        <v>-190</v>
      </c>
      <c r="Z56" s="63">
        <f t="shared" si="0"/>
        <v>-190</v>
      </c>
      <c r="AA56" s="63">
        <f t="shared" si="0"/>
        <v>-190</v>
      </c>
      <c r="AB56" s="63">
        <f t="shared" si="0"/>
        <v>-190</v>
      </c>
      <c r="AC56" s="63">
        <f t="shared" si="0"/>
        <v>-190</v>
      </c>
      <c r="AD56" s="63">
        <f t="shared" si="0"/>
        <v>-190</v>
      </c>
      <c r="AE56" s="63">
        <f t="shared" si="0"/>
        <v>-190</v>
      </c>
    </row>
    <row r="57" spans="1:36" s="63" customFormat="1">
      <c r="A57" s="128">
        <v>60</v>
      </c>
      <c r="B57" s="63">
        <f>-B61/2</f>
        <v>-550</v>
      </c>
      <c r="C57" s="63">
        <f>B57</f>
        <v>-550</v>
      </c>
      <c r="D57" s="63">
        <f>C57+B61-B7</f>
        <v>400</v>
      </c>
      <c r="E57" s="63">
        <f>D57</f>
        <v>400</v>
      </c>
      <c r="F57" s="63">
        <f>E57+B7</f>
        <v>550</v>
      </c>
      <c r="G57" s="63">
        <f>F57</f>
        <v>550</v>
      </c>
      <c r="H57" s="63">
        <f>G57-B7</f>
        <v>400</v>
      </c>
      <c r="I57" s="63">
        <f>H57</f>
        <v>400</v>
      </c>
      <c r="J57" s="63">
        <f>I57-B61+B7</f>
        <v>-550</v>
      </c>
      <c r="K57" s="490"/>
      <c r="L57" s="63">
        <f>F57-A57</f>
        <v>490</v>
      </c>
      <c r="M57" s="63">
        <f>L57</f>
        <v>490</v>
      </c>
      <c r="N57" s="63">
        <f t="shared" ref="N57:AE57" si="1">M57</f>
        <v>490</v>
      </c>
      <c r="O57" s="63">
        <f t="shared" si="1"/>
        <v>490</v>
      </c>
      <c r="P57" s="63">
        <f t="shared" si="1"/>
        <v>490</v>
      </c>
      <c r="Q57" s="63">
        <f t="shared" si="1"/>
        <v>490</v>
      </c>
      <c r="R57" s="63">
        <f t="shared" si="1"/>
        <v>490</v>
      </c>
      <c r="S57" s="63">
        <f t="shared" si="1"/>
        <v>490</v>
      </c>
      <c r="T57" s="63">
        <f t="shared" si="1"/>
        <v>490</v>
      </c>
      <c r="U57" s="63">
        <f t="shared" si="1"/>
        <v>490</v>
      </c>
      <c r="V57" s="63">
        <f t="shared" si="1"/>
        <v>490</v>
      </c>
      <c r="W57" s="63">
        <f t="shared" si="1"/>
        <v>490</v>
      </c>
      <c r="X57" s="63">
        <f t="shared" si="1"/>
        <v>490</v>
      </c>
      <c r="Y57" s="63">
        <f t="shared" si="1"/>
        <v>490</v>
      </c>
      <c r="Z57" s="63">
        <f t="shared" si="1"/>
        <v>490</v>
      </c>
      <c r="AA57" s="63">
        <f t="shared" si="1"/>
        <v>490</v>
      </c>
      <c r="AB57" s="63">
        <f t="shared" si="1"/>
        <v>490</v>
      </c>
      <c r="AC57" s="63">
        <f t="shared" si="1"/>
        <v>490</v>
      </c>
      <c r="AD57" s="63">
        <f t="shared" si="1"/>
        <v>490</v>
      </c>
      <c r="AE57" s="63">
        <f t="shared" si="1"/>
        <v>490</v>
      </c>
    </row>
    <row r="58" spans="1:36" s="63" customFormat="1">
      <c r="A58" s="5">
        <f>(B62-A57*2)/(J58-1)</f>
        <v>76</v>
      </c>
      <c r="B58" s="63">
        <f>B56+A55</f>
        <v>-220</v>
      </c>
      <c r="C58" s="63">
        <f>B58+B62-2*A55</f>
        <v>220</v>
      </c>
      <c r="D58" s="63">
        <f>C58</f>
        <v>220</v>
      </c>
      <c r="E58" s="63">
        <f>D58-B62+2*A55</f>
        <v>-220</v>
      </c>
      <c r="F58" s="63">
        <f>B58</f>
        <v>-220</v>
      </c>
      <c r="G58" s="63">
        <f>MAX(F56:F57)</f>
        <v>550</v>
      </c>
      <c r="H58" s="63">
        <f>-G58</f>
        <v>-550</v>
      </c>
      <c r="I58" s="63">
        <f>G58</f>
        <v>550</v>
      </c>
      <c r="J58" s="63">
        <f>VALUE(LEFT(B63,LEN(B63)-3))</f>
        <v>6</v>
      </c>
      <c r="K58" s="490" t="s">
        <v>104</v>
      </c>
      <c r="L58" s="63">
        <f>L56</f>
        <v>-190</v>
      </c>
      <c r="M58" s="63">
        <f t="shared" ref="M58:AE58" si="2">IF(M55&gt;$J$59,$L$56,L56+$A$58)</f>
        <v>-114</v>
      </c>
      <c r="N58" s="63">
        <f t="shared" si="2"/>
        <v>-38</v>
      </c>
      <c r="O58" s="63">
        <f t="shared" si="2"/>
        <v>38</v>
      </c>
      <c r="P58" s="63">
        <f t="shared" si="2"/>
        <v>114</v>
      </c>
      <c r="Q58" s="63">
        <f t="shared" si="2"/>
        <v>190</v>
      </c>
      <c r="R58" s="63">
        <f t="shared" si="2"/>
        <v>-190</v>
      </c>
      <c r="S58" s="63">
        <f t="shared" si="2"/>
        <v>-190</v>
      </c>
      <c r="T58" s="63">
        <f t="shared" si="2"/>
        <v>-190</v>
      </c>
      <c r="U58" s="63">
        <f t="shared" si="2"/>
        <v>-190</v>
      </c>
      <c r="V58" s="63">
        <f t="shared" si="2"/>
        <v>-190</v>
      </c>
      <c r="W58" s="63">
        <f t="shared" si="2"/>
        <v>-190</v>
      </c>
      <c r="X58" s="63">
        <f t="shared" si="2"/>
        <v>-190</v>
      </c>
      <c r="Y58" s="63">
        <f t="shared" si="2"/>
        <v>-190</v>
      </c>
      <c r="Z58" s="63">
        <f t="shared" si="2"/>
        <v>-190</v>
      </c>
      <c r="AA58" s="63">
        <f t="shared" si="2"/>
        <v>-190</v>
      </c>
      <c r="AB58" s="63">
        <f t="shared" si="2"/>
        <v>-190</v>
      </c>
      <c r="AC58" s="63">
        <f t="shared" si="2"/>
        <v>-190</v>
      </c>
      <c r="AD58" s="63">
        <f t="shared" si="2"/>
        <v>-190</v>
      </c>
      <c r="AE58" s="63">
        <f t="shared" si="2"/>
        <v>-190</v>
      </c>
    </row>
    <row r="59" spans="1:36" s="63" customFormat="1">
      <c r="A59" s="5">
        <f>(B62-A57*2)/(J59-1)</f>
        <v>76</v>
      </c>
      <c r="B59" s="63">
        <f>B57+A55</f>
        <v>-520</v>
      </c>
      <c r="C59" s="63">
        <f>B59</f>
        <v>-520</v>
      </c>
      <c r="D59" s="63">
        <f>C59+B61-2*A55</f>
        <v>520</v>
      </c>
      <c r="E59" s="63">
        <f>D59</f>
        <v>520</v>
      </c>
      <c r="F59" s="63">
        <f>B59</f>
        <v>-520</v>
      </c>
      <c r="G59" s="63">
        <f>ROUNDUP(MAX(B62+300*4,B61)/1000,0)*250</f>
        <v>500</v>
      </c>
      <c r="H59" s="63">
        <f>-G58</f>
        <v>-550</v>
      </c>
      <c r="I59" s="63">
        <f>G58</f>
        <v>550</v>
      </c>
      <c r="J59" s="63">
        <f>VALUE(LEFT(B64,LEN(B64)-3))</f>
        <v>6</v>
      </c>
      <c r="K59" s="490"/>
      <c r="L59" s="63">
        <f>B57+A57</f>
        <v>-490</v>
      </c>
      <c r="M59" s="63">
        <f>L59</f>
        <v>-490</v>
      </c>
      <c r="N59" s="63">
        <f t="shared" ref="N59:AE59" si="3">M59</f>
        <v>-490</v>
      </c>
      <c r="O59" s="63">
        <f t="shared" si="3"/>
        <v>-490</v>
      </c>
      <c r="P59" s="63">
        <f t="shared" si="3"/>
        <v>-490</v>
      </c>
      <c r="Q59" s="63">
        <f t="shared" si="3"/>
        <v>-490</v>
      </c>
      <c r="R59" s="63">
        <f t="shared" si="3"/>
        <v>-490</v>
      </c>
      <c r="S59" s="63">
        <f t="shared" si="3"/>
        <v>-490</v>
      </c>
      <c r="T59" s="63">
        <f t="shared" si="3"/>
        <v>-490</v>
      </c>
      <c r="U59" s="63">
        <f t="shared" si="3"/>
        <v>-490</v>
      </c>
      <c r="V59" s="63">
        <f t="shared" si="3"/>
        <v>-490</v>
      </c>
      <c r="W59" s="63">
        <f t="shared" si="3"/>
        <v>-490</v>
      </c>
      <c r="X59" s="63">
        <f t="shared" si="3"/>
        <v>-490</v>
      </c>
      <c r="Y59" s="63">
        <f t="shared" si="3"/>
        <v>-490</v>
      </c>
      <c r="Z59" s="63">
        <f t="shared" si="3"/>
        <v>-490</v>
      </c>
      <c r="AA59" s="63">
        <f t="shared" si="3"/>
        <v>-490</v>
      </c>
      <c r="AB59" s="63">
        <f t="shared" si="3"/>
        <v>-490</v>
      </c>
      <c r="AC59" s="63">
        <f t="shared" si="3"/>
        <v>-490</v>
      </c>
      <c r="AD59" s="63">
        <f t="shared" si="3"/>
        <v>-490</v>
      </c>
      <c r="AE59" s="63">
        <f t="shared" si="3"/>
        <v>-490</v>
      </c>
    </row>
    <row r="60" spans="1:36" s="63" customFormat="1">
      <c r="A60" s="5"/>
    </row>
    <row r="61" spans="1:36" s="63" customFormat="1">
      <c r="A61" s="128" t="s">
        <v>58</v>
      </c>
      <c r="B61" s="52">
        <v>1100</v>
      </c>
      <c r="E61" s="103" t="s">
        <v>90</v>
      </c>
      <c r="F61" s="104" t="s">
        <v>215</v>
      </c>
      <c r="G61" s="63">
        <f t="shared" ref="G61:G80" si="4">VALUE(IF(E61="Đai C",F61,LEFT(F61,FIND("-",F61)-1)))</f>
        <v>3</v>
      </c>
      <c r="H61" s="63">
        <f t="shared" ref="H61:H80" si="5">VALUE(RIGHT(F61,LEN(F61)-FIND("-",F61)))</f>
        <v>4</v>
      </c>
      <c r="I61" s="63">
        <f t="shared" ref="I61:I80" si="6">HLOOKUP(G61,$L$55:$AE$59,2,0)-$A$57/3</f>
        <v>-58</v>
      </c>
      <c r="J61" s="63">
        <f>I61</f>
        <v>-58</v>
      </c>
      <c r="K61" s="63">
        <f t="shared" ref="K61:K80" si="7">IF(E61="Đai C",J61,HLOOKUP(H61,$L$55:$AE$59,2,0)+$A$57/3)</f>
        <v>58</v>
      </c>
      <c r="L61" s="63">
        <f>K61</f>
        <v>58</v>
      </c>
      <c r="M61" s="63">
        <f t="shared" ref="M61:M80" si="8">IF(RIGHT(E61,1)="U",L61,I61)</f>
        <v>58</v>
      </c>
      <c r="N61" s="63">
        <f t="shared" ref="N61:N80" si="9">$O$57+$A$57/3</f>
        <v>510</v>
      </c>
      <c r="O61" s="63">
        <f t="shared" ref="O61:O80" si="10">IF(E61&lt;&gt;"",$M$59-$A$57/3,N61)</f>
        <v>-510</v>
      </c>
      <c r="P61" s="63">
        <f>O61</f>
        <v>-510</v>
      </c>
      <c r="Q61" s="63">
        <f>N61</f>
        <v>510</v>
      </c>
      <c r="R61" s="63">
        <f t="shared" ref="R61:R80" si="11">IF(RIGHT(E61,1)="U",Q61,N61)</f>
        <v>510</v>
      </c>
    </row>
    <row r="62" spans="1:36" s="63" customFormat="1">
      <c r="A62" s="128" t="s">
        <v>61</v>
      </c>
      <c r="B62" s="52">
        <f>B6</f>
        <v>500</v>
      </c>
      <c r="E62" s="103" t="s">
        <v>89</v>
      </c>
      <c r="F62" s="104" t="s">
        <v>152</v>
      </c>
      <c r="G62" s="63">
        <f t="shared" si="4"/>
        <v>2</v>
      </c>
      <c r="H62" s="63" t="e">
        <f t="shared" si="5"/>
        <v>#VALUE!</v>
      </c>
      <c r="I62" s="63">
        <f t="shared" si="6"/>
        <v>-134</v>
      </c>
      <c r="J62" s="63">
        <f>I62</f>
        <v>-134</v>
      </c>
      <c r="K62" s="63">
        <f t="shared" si="7"/>
        <v>-134</v>
      </c>
      <c r="L62" s="63">
        <f t="shared" ref="L62:L80" si="12">K62</f>
        <v>-134</v>
      </c>
      <c r="M62" s="63">
        <f t="shared" si="8"/>
        <v>-134</v>
      </c>
      <c r="N62" s="63">
        <f t="shared" si="9"/>
        <v>510</v>
      </c>
      <c r="O62" s="63">
        <f t="shared" si="10"/>
        <v>-510</v>
      </c>
      <c r="P62" s="63">
        <f t="shared" ref="P62:P80" si="13">O62</f>
        <v>-510</v>
      </c>
      <c r="Q62" s="63">
        <f t="shared" ref="Q62:Q80" si="14">N62</f>
        <v>510</v>
      </c>
      <c r="R62" s="63">
        <f t="shared" si="11"/>
        <v>510</v>
      </c>
    </row>
    <row r="63" spans="1:36" s="63" customFormat="1">
      <c r="A63" s="128" t="s">
        <v>78</v>
      </c>
      <c r="B63" s="52" t="s">
        <v>225</v>
      </c>
      <c r="E63" s="103" t="s">
        <v>89</v>
      </c>
      <c r="F63" s="104" t="s">
        <v>216</v>
      </c>
      <c r="G63" s="63">
        <f t="shared" si="4"/>
        <v>5</v>
      </c>
      <c r="H63" s="63" t="e">
        <f t="shared" si="5"/>
        <v>#VALUE!</v>
      </c>
      <c r="I63" s="63">
        <f t="shared" si="6"/>
        <v>94</v>
      </c>
      <c r="J63" s="63">
        <f t="shared" ref="J63:J80" si="15">I63</f>
        <v>94</v>
      </c>
      <c r="K63" s="63">
        <f t="shared" si="7"/>
        <v>94</v>
      </c>
      <c r="L63" s="63">
        <f>K63</f>
        <v>94</v>
      </c>
      <c r="M63" s="63">
        <f t="shared" si="8"/>
        <v>94</v>
      </c>
      <c r="N63" s="63">
        <f t="shared" si="9"/>
        <v>510</v>
      </c>
      <c r="O63" s="63">
        <f t="shared" si="10"/>
        <v>-510</v>
      </c>
      <c r="P63" s="63">
        <f t="shared" si="13"/>
        <v>-510</v>
      </c>
      <c r="Q63" s="63">
        <f t="shared" si="14"/>
        <v>510</v>
      </c>
      <c r="R63" s="63">
        <f t="shared" si="11"/>
        <v>510</v>
      </c>
    </row>
    <row r="64" spans="1:36" s="63" customFormat="1">
      <c r="A64" s="128" t="s">
        <v>79</v>
      </c>
      <c r="B64" s="52" t="s">
        <v>225</v>
      </c>
      <c r="E64" s="103"/>
      <c r="F64" s="104"/>
      <c r="G64" s="63" t="e">
        <f t="shared" si="4"/>
        <v>#VALUE!</v>
      </c>
      <c r="H64" s="63" t="e">
        <f t="shared" si="5"/>
        <v>#VALUE!</v>
      </c>
      <c r="I64" s="63" t="e">
        <f t="shared" si="6"/>
        <v>#VALUE!</v>
      </c>
      <c r="J64" s="63" t="e">
        <f t="shared" si="15"/>
        <v>#VALUE!</v>
      </c>
      <c r="K64" s="63" t="e">
        <f t="shared" si="7"/>
        <v>#VALUE!</v>
      </c>
      <c r="L64" s="63" t="e">
        <f t="shared" si="12"/>
        <v>#VALUE!</v>
      </c>
      <c r="M64" s="63" t="e">
        <f t="shared" si="8"/>
        <v>#VALUE!</v>
      </c>
      <c r="N64" s="63">
        <f t="shared" si="9"/>
        <v>510</v>
      </c>
      <c r="O64" s="63">
        <f t="shared" si="10"/>
        <v>510</v>
      </c>
      <c r="P64" s="63">
        <f t="shared" si="13"/>
        <v>510</v>
      </c>
      <c r="Q64" s="63">
        <f t="shared" si="14"/>
        <v>510</v>
      </c>
      <c r="R64" s="63">
        <f t="shared" si="11"/>
        <v>510</v>
      </c>
    </row>
    <row r="65" spans="1:18" s="63" customFormat="1">
      <c r="A65" s="5"/>
      <c r="E65" s="103"/>
      <c r="F65" s="104"/>
      <c r="G65" s="63" t="e">
        <f t="shared" si="4"/>
        <v>#VALUE!</v>
      </c>
      <c r="H65" s="63" t="e">
        <f t="shared" si="5"/>
        <v>#VALUE!</v>
      </c>
      <c r="I65" s="63" t="e">
        <f t="shared" si="6"/>
        <v>#VALUE!</v>
      </c>
      <c r="J65" s="63" t="e">
        <f t="shared" si="15"/>
        <v>#VALUE!</v>
      </c>
      <c r="K65" s="63" t="e">
        <f t="shared" si="7"/>
        <v>#VALUE!</v>
      </c>
      <c r="L65" s="63" t="e">
        <f t="shared" si="12"/>
        <v>#VALUE!</v>
      </c>
      <c r="M65" s="63" t="e">
        <f t="shared" si="8"/>
        <v>#VALUE!</v>
      </c>
      <c r="N65" s="63">
        <f t="shared" si="9"/>
        <v>510</v>
      </c>
      <c r="O65" s="63">
        <f t="shared" si="10"/>
        <v>510</v>
      </c>
      <c r="P65" s="63">
        <f t="shared" si="13"/>
        <v>510</v>
      </c>
      <c r="Q65" s="63">
        <f t="shared" si="14"/>
        <v>510</v>
      </c>
      <c r="R65" s="63">
        <f t="shared" si="11"/>
        <v>510</v>
      </c>
    </row>
    <row r="66" spans="1:18" s="63" customFormat="1">
      <c r="A66" s="5"/>
      <c r="E66" s="103"/>
      <c r="F66" s="104"/>
      <c r="G66" s="63" t="e">
        <f t="shared" si="4"/>
        <v>#VALUE!</v>
      </c>
      <c r="H66" s="63" t="e">
        <f t="shared" si="5"/>
        <v>#VALUE!</v>
      </c>
      <c r="I66" s="63" t="e">
        <f t="shared" si="6"/>
        <v>#VALUE!</v>
      </c>
      <c r="J66" s="63" t="e">
        <f t="shared" si="15"/>
        <v>#VALUE!</v>
      </c>
      <c r="K66" s="63" t="e">
        <f t="shared" si="7"/>
        <v>#VALUE!</v>
      </c>
      <c r="L66" s="63" t="e">
        <f t="shared" si="12"/>
        <v>#VALUE!</v>
      </c>
      <c r="M66" s="63" t="e">
        <f t="shared" si="8"/>
        <v>#VALUE!</v>
      </c>
      <c r="N66" s="63">
        <f t="shared" si="9"/>
        <v>510</v>
      </c>
      <c r="O66" s="63">
        <f t="shared" si="10"/>
        <v>510</v>
      </c>
      <c r="P66" s="63">
        <f t="shared" si="13"/>
        <v>510</v>
      </c>
      <c r="Q66" s="63">
        <f t="shared" si="14"/>
        <v>510</v>
      </c>
      <c r="R66" s="63">
        <f t="shared" si="11"/>
        <v>510</v>
      </c>
    </row>
    <row r="67" spans="1:18" s="63" customFormat="1">
      <c r="A67" s="5"/>
      <c r="E67" s="103"/>
      <c r="F67" s="104"/>
      <c r="G67" s="63" t="e">
        <f t="shared" si="4"/>
        <v>#VALUE!</v>
      </c>
      <c r="H67" s="63" t="e">
        <f t="shared" si="5"/>
        <v>#VALUE!</v>
      </c>
      <c r="I67" s="63" t="e">
        <f t="shared" si="6"/>
        <v>#VALUE!</v>
      </c>
      <c r="J67" s="63" t="e">
        <f t="shared" si="15"/>
        <v>#VALUE!</v>
      </c>
      <c r="K67" s="63" t="e">
        <f t="shared" si="7"/>
        <v>#VALUE!</v>
      </c>
      <c r="L67" s="63" t="e">
        <f t="shared" si="12"/>
        <v>#VALUE!</v>
      </c>
      <c r="M67" s="63" t="e">
        <f t="shared" si="8"/>
        <v>#VALUE!</v>
      </c>
      <c r="N67" s="63">
        <f t="shared" si="9"/>
        <v>510</v>
      </c>
      <c r="O67" s="63">
        <f t="shared" si="10"/>
        <v>510</v>
      </c>
      <c r="P67" s="63">
        <f t="shared" si="13"/>
        <v>510</v>
      </c>
      <c r="Q67" s="63">
        <f t="shared" si="14"/>
        <v>510</v>
      </c>
      <c r="R67" s="63">
        <f t="shared" si="11"/>
        <v>510</v>
      </c>
    </row>
    <row r="68" spans="1:18" s="63" customFormat="1">
      <c r="A68" s="5"/>
      <c r="E68" s="103"/>
      <c r="F68" s="104"/>
      <c r="G68" s="63" t="e">
        <f t="shared" si="4"/>
        <v>#VALUE!</v>
      </c>
      <c r="H68" s="63" t="e">
        <f t="shared" si="5"/>
        <v>#VALUE!</v>
      </c>
      <c r="I68" s="63" t="e">
        <f t="shared" si="6"/>
        <v>#VALUE!</v>
      </c>
      <c r="J68" s="63" t="e">
        <f t="shared" si="15"/>
        <v>#VALUE!</v>
      </c>
      <c r="K68" s="63" t="e">
        <f t="shared" si="7"/>
        <v>#VALUE!</v>
      </c>
      <c r="L68" s="63" t="e">
        <f t="shared" si="12"/>
        <v>#VALUE!</v>
      </c>
      <c r="M68" s="63" t="e">
        <f t="shared" si="8"/>
        <v>#VALUE!</v>
      </c>
      <c r="N68" s="63">
        <f t="shared" si="9"/>
        <v>510</v>
      </c>
      <c r="O68" s="63">
        <f t="shared" si="10"/>
        <v>510</v>
      </c>
      <c r="P68" s="63">
        <f t="shared" si="13"/>
        <v>510</v>
      </c>
      <c r="Q68" s="63">
        <f t="shared" si="14"/>
        <v>510</v>
      </c>
      <c r="R68" s="63">
        <f t="shared" si="11"/>
        <v>510</v>
      </c>
    </row>
    <row r="69" spans="1:18" s="63" customFormat="1">
      <c r="A69" s="5"/>
      <c r="E69" s="103"/>
      <c r="F69" s="104"/>
      <c r="G69" s="63" t="e">
        <f t="shared" si="4"/>
        <v>#VALUE!</v>
      </c>
      <c r="H69" s="63" t="e">
        <f t="shared" si="5"/>
        <v>#VALUE!</v>
      </c>
      <c r="I69" s="63" t="e">
        <f t="shared" si="6"/>
        <v>#VALUE!</v>
      </c>
      <c r="J69" s="63" t="e">
        <f t="shared" si="15"/>
        <v>#VALUE!</v>
      </c>
      <c r="K69" s="63" t="e">
        <f t="shared" si="7"/>
        <v>#VALUE!</v>
      </c>
      <c r="L69" s="63" t="e">
        <f t="shared" si="12"/>
        <v>#VALUE!</v>
      </c>
      <c r="M69" s="63" t="e">
        <f t="shared" si="8"/>
        <v>#VALUE!</v>
      </c>
      <c r="N69" s="63">
        <f t="shared" si="9"/>
        <v>510</v>
      </c>
      <c r="O69" s="63">
        <f t="shared" si="10"/>
        <v>510</v>
      </c>
      <c r="P69" s="63">
        <f t="shared" si="13"/>
        <v>510</v>
      </c>
      <c r="Q69" s="63">
        <f t="shared" si="14"/>
        <v>510</v>
      </c>
      <c r="R69" s="63">
        <f t="shared" si="11"/>
        <v>510</v>
      </c>
    </row>
    <row r="70" spans="1:18" s="63" customFormat="1">
      <c r="A70" s="5"/>
      <c r="E70" s="103"/>
      <c r="F70" s="104"/>
      <c r="G70" s="63" t="e">
        <f t="shared" si="4"/>
        <v>#VALUE!</v>
      </c>
      <c r="H70" s="63" t="e">
        <f t="shared" si="5"/>
        <v>#VALUE!</v>
      </c>
      <c r="I70" s="63" t="e">
        <f t="shared" si="6"/>
        <v>#VALUE!</v>
      </c>
      <c r="J70" s="63" t="e">
        <f t="shared" si="15"/>
        <v>#VALUE!</v>
      </c>
      <c r="K70" s="63" t="e">
        <f t="shared" si="7"/>
        <v>#VALUE!</v>
      </c>
      <c r="L70" s="63" t="e">
        <f t="shared" si="12"/>
        <v>#VALUE!</v>
      </c>
      <c r="M70" s="63" t="e">
        <f t="shared" si="8"/>
        <v>#VALUE!</v>
      </c>
      <c r="N70" s="63">
        <f t="shared" si="9"/>
        <v>510</v>
      </c>
      <c r="O70" s="63">
        <f t="shared" si="10"/>
        <v>510</v>
      </c>
      <c r="P70" s="63">
        <f t="shared" si="13"/>
        <v>510</v>
      </c>
      <c r="Q70" s="63">
        <f t="shared" si="14"/>
        <v>510</v>
      </c>
      <c r="R70" s="63">
        <f t="shared" si="11"/>
        <v>510</v>
      </c>
    </row>
    <row r="71" spans="1:18" s="63" customFormat="1">
      <c r="A71" s="5"/>
      <c r="E71" s="103"/>
      <c r="F71" s="104"/>
      <c r="G71" s="63" t="e">
        <f t="shared" si="4"/>
        <v>#VALUE!</v>
      </c>
      <c r="H71" s="63" t="e">
        <f t="shared" si="5"/>
        <v>#VALUE!</v>
      </c>
      <c r="I71" s="63" t="e">
        <f t="shared" si="6"/>
        <v>#VALUE!</v>
      </c>
      <c r="J71" s="63" t="e">
        <f t="shared" si="15"/>
        <v>#VALUE!</v>
      </c>
      <c r="K71" s="63" t="e">
        <f t="shared" si="7"/>
        <v>#VALUE!</v>
      </c>
      <c r="L71" s="63" t="e">
        <f t="shared" si="12"/>
        <v>#VALUE!</v>
      </c>
      <c r="M71" s="63" t="e">
        <f t="shared" si="8"/>
        <v>#VALUE!</v>
      </c>
      <c r="N71" s="63">
        <f t="shared" si="9"/>
        <v>510</v>
      </c>
      <c r="O71" s="63">
        <f t="shared" si="10"/>
        <v>510</v>
      </c>
      <c r="P71" s="63">
        <f t="shared" si="13"/>
        <v>510</v>
      </c>
      <c r="Q71" s="63">
        <f t="shared" si="14"/>
        <v>510</v>
      </c>
      <c r="R71" s="63">
        <f t="shared" si="11"/>
        <v>510</v>
      </c>
    </row>
    <row r="72" spans="1:18" s="63" customFormat="1">
      <c r="A72" s="5"/>
      <c r="E72" s="103"/>
      <c r="F72" s="104"/>
      <c r="G72" s="63" t="e">
        <f t="shared" si="4"/>
        <v>#VALUE!</v>
      </c>
      <c r="H72" s="63" t="e">
        <f t="shared" si="5"/>
        <v>#VALUE!</v>
      </c>
      <c r="I72" s="63" t="e">
        <f t="shared" si="6"/>
        <v>#VALUE!</v>
      </c>
      <c r="J72" s="63" t="e">
        <f t="shared" si="15"/>
        <v>#VALUE!</v>
      </c>
      <c r="K72" s="63" t="e">
        <f t="shared" si="7"/>
        <v>#VALUE!</v>
      </c>
      <c r="L72" s="63" t="e">
        <f t="shared" si="12"/>
        <v>#VALUE!</v>
      </c>
      <c r="M72" s="63" t="e">
        <f t="shared" si="8"/>
        <v>#VALUE!</v>
      </c>
      <c r="N72" s="63">
        <f t="shared" si="9"/>
        <v>510</v>
      </c>
      <c r="O72" s="63">
        <f t="shared" si="10"/>
        <v>510</v>
      </c>
      <c r="P72" s="63">
        <f t="shared" si="13"/>
        <v>510</v>
      </c>
      <c r="Q72" s="63">
        <f t="shared" si="14"/>
        <v>510</v>
      </c>
      <c r="R72" s="63">
        <f t="shared" si="11"/>
        <v>510</v>
      </c>
    </row>
    <row r="73" spans="1:18" s="63" customFormat="1">
      <c r="A73" s="5"/>
      <c r="E73" s="103"/>
      <c r="F73" s="104"/>
      <c r="G73" s="63" t="e">
        <f t="shared" si="4"/>
        <v>#VALUE!</v>
      </c>
      <c r="H73" s="63" t="e">
        <f t="shared" si="5"/>
        <v>#VALUE!</v>
      </c>
      <c r="I73" s="63" t="e">
        <f t="shared" si="6"/>
        <v>#VALUE!</v>
      </c>
      <c r="J73" s="63" t="e">
        <f t="shared" si="15"/>
        <v>#VALUE!</v>
      </c>
      <c r="K73" s="63" t="e">
        <f t="shared" si="7"/>
        <v>#VALUE!</v>
      </c>
      <c r="L73" s="63" t="e">
        <f t="shared" si="12"/>
        <v>#VALUE!</v>
      </c>
      <c r="M73" s="63" t="e">
        <f t="shared" si="8"/>
        <v>#VALUE!</v>
      </c>
      <c r="N73" s="63">
        <f t="shared" si="9"/>
        <v>510</v>
      </c>
      <c r="O73" s="63">
        <f t="shared" si="10"/>
        <v>510</v>
      </c>
      <c r="P73" s="63">
        <f t="shared" si="13"/>
        <v>510</v>
      </c>
      <c r="Q73" s="63">
        <f t="shared" si="14"/>
        <v>510</v>
      </c>
      <c r="R73" s="63">
        <f t="shared" si="11"/>
        <v>510</v>
      </c>
    </row>
    <row r="74" spans="1:18" s="63" customFormat="1">
      <c r="A74" s="5"/>
      <c r="E74" s="103"/>
      <c r="F74" s="104"/>
      <c r="G74" s="63" t="e">
        <f t="shared" si="4"/>
        <v>#VALUE!</v>
      </c>
      <c r="H74" s="63" t="e">
        <f t="shared" si="5"/>
        <v>#VALUE!</v>
      </c>
      <c r="I74" s="63" t="e">
        <f t="shared" si="6"/>
        <v>#VALUE!</v>
      </c>
      <c r="J74" s="63" t="e">
        <f t="shared" si="15"/>
        <v>#VALUE!</v>
      </c>
      <c r="K74" s="63" t="e">
        <f t="shared" si="7"/>
        <v>#VALUE!</v>
      </c>
      <c r="L74" s="63" t="e">
        <f t="shared" si="12"/>
        <v>#VALUE!</v>
      </c>
      <c r="M74" s="63" t="e">
        <f t="shared" si="8"/>
        <v>#VALUE!</v>
      </c>
      <c r="N74" s="63">
        <f t="shared" si="9"/>
        <v>510</v>
      </c>
      <c r="O74" s="63">
        <f t="shared" si="10"/>
        <v>510</v>
      </c>
      <c r="P74" s="63">
        <f t="shared" si="13"/>
        <v>510</v>
      </c>
      <c r="Q74" s="63">
        <f t="shared" si="14"/>
        <v>510</v>
      </c>
      <c r="R74" s="63">
        <f t="shared" si="11"/>
        <v>510</v>
      </c>
    </row>
    <row r="75" spans="1:18" s="63" customFormat="1">
      <c r="A75" s="5"/>
      <c r="E75" s="103"/>
      <c r="F75" s="104"/>
      <c r="G75" s="63" t="e">
        <f t="shared" si="4"/>
        <v>#VALUE!</v>
      </c>
      <c r="H75" s="63" t="e">
        <f t="shared" si="5"/>
        <v>#VALUE!</v>
      </c>
      <c r="I75" s="63" t="e">
        <f t="shared" si="6"/>
        <v>#VALUE!</v>
      </c>
      <c r="J75" s="63" t="e">
        <f t="shared" si="15"/>
        <v>#VALUE!</v>
      </c>
      <c r="K75" s="63" t="e">
        <f t="shared" si="7"/>
        <v>#VALUE!</v>
      </c>
      <c r="L75" s="63" t="e">
        <f t="shared" si="12"/>
        <v>#VALUE!</v>
      </c>
      <c r="M75" s="63" t="e">
        <f t="shared" si="8"/>
        <v>#VALUE!</v>
      </c>
      <c r="N75" s="63">
        <f t="shared" si="9"/>
        <v>510</v>
      </c>
      <c r="O75" s="63">
        <f t="shared" si="10"/>
        <v>510</v>
      </c>
      <c r="P75" s="63">
        <f t="shared" si="13"/>
        <v>510</v>
      </c>
      <c r="Q75" s="63">
        <f t="shared" si="14"/>
        <v>510</v>
      </c>
      <c r="R75" s="63">
        <f t="shared" si="11"/>
        <v>510</v>
      </c>
    </row>
    <row r="76" spans="1:18" s="63" customFormat="1">
      <c r="A76" s="5"/>
      <c r="E76" s="103"/>
      <c r="F76" s="104"/>
      <c r="G76" s="63" t="e">
        <f t="shared" si="4"/>
        <v>#VALUE!</v>
      </c>
      <c r="H76" s="63" t="e">
        <f t="shared" si="5"/>
        <v>#VALUE!</v>
      </c>
      <c r="I76" s="63" t="e">
        <f t="shared" si="6"/>
        <v>#VALUE!</v>
      </c>
      <c r="J76" s="63" t="e">
        <f t="shared" si="15"/>
        <v>#VALUE!</v>
      </c>
      <c r="K76" s="63" t="e">
        <f t="shared" si="7"/>
        <v>#VALUE!</v>
      </c>
      <c r="L76" s="63" t="e">
        <f t="shared" si="12"/>
        <v>#VALUE!</v>
      </c>
      <c r="M76" s="63" t="e">
        <f t="shared" si="8"/>
        <v>#VALUE!</v>
      </c>
      <c r="N76" s="63">
        <f t="shared" si="9"/>
        <v>510</v>
      </c>
      <c r="O76" s="63">
        <f t="shared" si="10"/>
        <v>510</v>
      </c>
      <c r="P76" s="63">
        <f t="shared" si="13"/>
        <v>510</v>
      </c>
      <c r="Q76" s="63">
        <f t="shared" si="14"/>
        <v>510</v>
      </c>
      <c r="R76" s="63">
        <f t="shared" si="11"/>
        <v>510</v>
      </c>
    </row>
    <row r="77" spans="1:18" s="63" customFormat="1">
      <c r="A77" s="5"/>
      <c r="E77" s="103"/>
      <c r="F77" s="104"/>
      <c r="G77" s="63" t="e">
        <f t="shared" si="4"/>
        <v>#VALUE!</v>
      </c>
      <c r="H77" s="63" t="e">
        <f t="shared" si="5"/>
        <v>#VALUE!</v>
      </c>
      <c r="I77" s="63" t="e">
        <f t="shared" si="6"/>
        <v>#VALUE!</v>
      </c>
      <c r="J77" s="63" t="e">
        <f t="shared" si="15"/>
        <v>#VALUE!</v>
      </c>
      <c r="K77" s="63" t="e">
        <f t="shared" si="7"/>
        <v>#VALUE!</v>
      </c>
      <c r="L77" s="63" t="e">
        <f t="shared" si="12"/>
        <v>#VALUE!</v>
      </c>
      <c r="M77" s="63" t="e">
        <f t="shared" si="8"/>
        <v>#VALUE!</v>
      </c>
      <c r="N77" s="63">
        <f t="shared" si="9"/>
        <v>510</v>
      </c>
      <c r="O77" s="63">
        <f t="shared" si="10"/>
        <v>510</v>
      </c>
      <c r="P77" s="63">
        <f t="shared" si="13"/>
        <v>510</v>
      </c>
      <c r="Q77" s="63">
        <f t="shared" si="14"/>
        <v>510</v>
      </c>
      <c r="R77" s="63">
        <f t="shared" si="11"/>
        <v>510</v>
      </c>
    </row>
    <row r="78" spans="1:18" s="63" customFormat="1">
      <c r="A78" s="5"/>
      <c r="E78" s="103"/>
      <c r="F78" s="104"/>
      <c r="G78" s="63" t="e">
        <f t="shared" si="4"/>
        <v>#VALUE!</v>
      </c>
      <c r="H78" s="63" t="e">
        <f t="shared" si="5"/>
        <v>#VALUE!</v>
      </c>
      <c r="I78" s="63" t="e">
        <f t="shared" si="6"/>
        <v>#VALUE!</v>
      </c>
      <c r="J78" s="63" t="e">
        <f t="shared" si="15"/>
        <v>#VALUE!</v>
      </c>
      <c r="K78" s="63" t="e">
        <f t="shared" si="7"/>
        <v>#VALUE!</v>
      </c>
      <c r="L78" s="63" t="e">
        <f t="shared" si="12"/>
        <v>#VALUE!</v>
      </c>
      <c r="M78" s="63" t="e">
        <f t="shared" si="8"/>
        <v>#VALUE!</v>
      </c>
      <c r="N78" s="63">
        <f t="shared" si="9"/>
        <v>510</v>
      </c>
      <c r="O78" s="63">
        <f t="shared" si="10"/>
        <v>510</v>
      </c>
      <c r="P78" s="63">
        <f t="shared" si="13"/>
        <v>510</v>
      </c>
      <c r="Q78" s="63">
        <f t="shared" si="14"/>
        <v>510</v>
      </c>
      <c r="R78" s="63">
        <f t="shared" si="11"/>
        <v>510</v>
      </c>
    </row>
    <row r="79" spans="1:18" s="63" customFormat="1">
      <c r="A79" s="5"/>
      <c r="E79" s="103"/>
      <c r="F79" s="104"/>
      <c r="G79" s="63" t="e">
        <f t="shared" si="4"/>
        <v>#VALUE!</v>
      </c>
      <c r="H79" s="63" t="e">
        <f t="shared" si="5"/>
        <v>#VALUE!</v>
      </c>
      <c r="I79" s="63" t="e">
        <f t="shared" si="6"/>
        <v>#VALUE!</v>
      </c>
      <c r="J79" s="63" t="e">
        <f t="shared" si="15"/>
        <v>#VALUE!</v>
      </c>
      <c r="K79" s="63" t="e">
        <f t="shared" si="7"/>
        <v>#VALUE!</v>
      </c>
      <c r="L79" s="63" t="e">
        <f t="shared" si="12"/>
        <v>#VALUE!</v>
      </c>
      <c r="M79" s="63" t="e">
        <f t="shared" si="8"/>
        <v>#VALUE!</v>
      </c>
      <c r="N79" s="63">
        <f t="shared" si="9"/>
        <v>510</v>
      </c>
      <c r="O79" s="63">
        <f t="shared" si="10"/>
        <v>510</v>
      </c>
      <c r="P79" s="63">
        <f t="shared" si="13"/>
        <v>510</v>
      </c>
      <c r="Q79" s="63">
        <f t="shared" si="14"/>
        <v>510</v>
      </c>
      <c r="R79" s="63">
        <f t="shared" si="11"/>
        <v>510</v>
      </c>
    </row>
    <row r="80" spans="1:18" s="63" customFormat="1">
      <c r="A80" s="5"/>
      <c r="E80" s="103"/>
      <c r="F80" s="104"/>
      <c r="G80" s="63" t="e">
        <f t="shared" si="4"/>
        <v>#VALUE!</v>
      </c>
      <c r="H80" s="63" t="e">
        <f t="shared" si="5"/>
        <v>#VALUE!</v>
      </c>
      <c r="I80" s="63" t="e">
        <f t="shared" si="6"/>
        <v>#VALUE!</v>
      </c>
      <c r="J80" s="63" t="e">
        <f t="shared" si="15"/>
        <v>#VALUE!</v>
      </c>
      <c r="K80" s="63" t="e">
        <f t="shared" si="7"/>
        <v>#VALUE!</v>
      </c>
      <c r="L80" s="63" t="e">
        <f t="shared" si="12"/>
        <v>#VALUE!</v>
      </c>
      <c r="M80" s="63" t="e">
        <f t="shared" si="8"/>
        <v>#VALUE!</v>
      </c>
      <c r="N80" s="63">
        <f t="shared" si="9"/>
        <v>510</v>
      </c>
      <c r="O80" s="63">
        <f t="shared" si="10"/>
        <v>510</v>
      </c>
      <c r="P80" s="63">
        <f t="shared" si="13"/>
        <v>510</v>
      </c>
      <c r="Q80" s="63">
        <f t="shared" si="14"/>
        <v>510</v>
      </c>
      <c r="R80" s="63">
        <f t="shared" si="11"/>
        <v>510</v>
      </c>
    </row>
  </sheetData>
  <sheetProtection selectLockedCells="1"/>
  <mergeCells count="12">
    <mergeCell ref="K58:K59"/>
    <mergeCell ref="A17:A18"/>
    <mergeCell ref="A19:B19"/>
    <mergeCell ref="A21:B21"/>
    <mergeCell ref="A22:B22"/>
    <mergeCell ref="A23:B23"/>
    <mergeCell ref="K56:K57"/>
    <mergeCell ref="A13:A14"/>
    <mergeCell ref="E2:F2"/>
    <mergeCell ref="E3:F3"/>
    <mergeCell ref="E7:E9"/>
    <mergeCell ref="H9:I9"/>
  </mergeCells>
  <dataValidations count="5">
    <dataValidation type="list" allowBlank="1" showInputMessage="1" showErrorMessage="1" sqref="I3" xr:uid="{00000000-0002-0000-0200-000000000000}">
      <formula1>$N$3:$N$5</formula1>
    </dataValidation>
    <dataValidation type="list" allowBlank="1" showInputMessage="1" showErrorMessage="1" sqref="B1" xr:uid="{00000000-0002-0000-0200-000001000000}">
      <formula1>$M$1:$Q$1</formula1>
    </dataValidation>
    <dataValidation type="list" allowBlank="1" showInputMessage="1" showErrorMessage="1" sqref="B2" xr:uid="{00000000-0002-0000-0200-000002000000}">
      <formula1>$N$2:$Q$2</formula1>
    </dataValidation>
    <dataValidation type="list" allowBlank="1" showInputMessage="1" showErrorMessage="1" sqref="E61:E80 C25:C44 E25:E44 G25:G44 I25:I44 K25:K44 M25:M44 O25:O44 Q25:Q44 S25:S44 U25:U44 W25:W44 Y25:Y44 AA25:AA44 AC25:AC44 AE25:AE44 AG25:AG44" xr:uid="{00000000-0002-0000-0200-000003000000}">
      <formula1>$A$25:$A$27</formula1>
    </dataValidation>
    <dataValidation type="list" allowBlank="1" showInputMessage="1" showErrorMessage="1" sqref="I5" xr:uid="{00000000-0002-0000-0200-000004000000}">
      <formula1>$N$3:$N$6</formula1>
    </dataValidation>
  </dataValidations>
  <pageMargins left="0.7" right="0.7" top="0.75" bottom="0.75" header="0.3" footer="0.3"/>
  <pageSetup paperSize="9"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 sizeWithCells="1">
                  <from>
                    <xdr:col>7</xdr:col>
                    <xdr:colOff>228600</xdr:colOff>
                    <xdr:row>0</xdr:row>
                    <xdr:rowOff>133350</xdr:rowOff>
                  </from>
                  <to>
                    <xdr:col>9</xdr:col>
                    <xdr:colOff>333375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Group Box 2">
              <controlPr defaultSize="0" autoFill="0" autoPict="0">
                <anchor moveWithCells="1" sizeWithCells="1">
                  <from>
                    <xdr:col>7</xdr:col>
                    <xdr:colOff>171450</xdr:colOff>
                    <xdr:row>0</xdr:row>
                    <xdr:rowOff>66675</xdr:rowOff>
                  </from>
                  <to>
                    <xdr:col>9</xdr:col>
                    <xdr:colOff>752475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Group Box 3">
              <controlPr defaultSize="0" autoFill="0" autoPict="0">
                <anchor moveWithCells="1" sizeWithCells="1">
                  <from>
                    <xdr:col>7</xdr:col>
                    <xdr:colOff>171450</xdr:colOff>
                    <xdr:row>3</xdr:row>
                    <xdr:rowOff>95250</xdr:rowOff>
                  </from>
                  <to>
                    <xdr:col>9</xdr:col>
                    <xdr:colOff>752475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Group Box 4">
              <controlPr defaultSize="0" autoFill="0" autoPict="0">
                <anchor moveWithCells="1" sizeWithCells="1">
                  <from>
                    <xdr:col>7</xdr:col>
                    <xdr:colOff>171450</xdr:colOff>
                    <xdr:row>5</xdr:row>
                    <xdr:rowOff>66675</xdr:rowOff>
                  </from>
                  <to>
                    <xdr:col>9</xdr:col>
                    <xdr:colOff>752475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Option Button 5">
              <controlPr defaultSize="0" autoFill="0" autoLine="0" autoPict="0">
                <anchor moveWithCells="1" sizeWithCells="1">
                  <from>
                    <xdr:col>7</xdr:col>
                    <xdr:colOff>228600</xdr:colOff>
                    <xdr:row>6</xdr:row>
                    <xdr:rowOff>142875</xdr:rowOff>
                  </from>
                  <to>
                    <xdr:col>9</xdr:col>
                    <xdr:colOff>57150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Option Button 6">
              <controlPr defaultSize="0" autoFill="0" autoLine="0" autoPict="0">
                <anchor moveWithCells="1" sizeWithCells="1">
                  <from>
                    <xdr:col>7</xdr:col>
                    <xdr:colOff>228600</xdr:colOff>
                    <xdr:row>5</xdr:row>
                    <xdr:rowOff>123825</xdr:rowOff>
                  </from>
                  <to>
                    <xdr:col>9</xdr:col>
                    <xdr:colOff>57150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Group Box 7">
              <controlPr defaultSize="0" autoFill="0" autoPict="0">
                <anchor moveWithCells="1">
                  <from>
                    <xdr:col>2</xdr:col>
                    <xdr:colOff>0</xdr:colOff>
                    <xdr:row>23</xdr:row>
                    <xdr:rowOff>0</xdr:rowOff>
                  </from>
                  <to>
                    <xdr:col>34</xdr:col>
                    <xdr:colOff>9525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Option Button 9">
              <controlPr defaultSize="0" autoFill="0" autoLine="0" autoPict="0" macro="[0]!Ve_dam.abc">
                <anchor moveWithCells="1" sizeWithCells="1">
                  <from>
                    <xdr:col>3</xdr:col>
                    <xdr:colOff>323850</xdr:colOff>
                    <xdr:row>23</xdr:row>
                    <xdr:rowOff>19050</xdr:rowOff>
                  </from>
                  <to>
                    <xdr:col>3</xdr:col>
                    <xdr:colOff>476250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Option Button 10">
              <controlPr defaultSize="0" autoFill="0" autoLine="0" autoPict="0" macro="[0]!Ve_dam.abc">
                <anchor moveWithCells="1" sizeWithCells="1">
                  <from>
                    <xdr:col>5</xdr:col>
                    <xdr:colOff>314325</xdr:colOff>
                    <xdr:row>23</xdr:row>
                    <xdr:rowOff>19050</xdr:rowOff>
                  </from>
                  <to>
                    <xdr:col>5</xdr:col>
                    <xdr:colOff>466725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Option Button 11">
              <controlPr defaultSize="0" autoFill="0" autoLine="0" autoPict="0" macro="[0]!Ve_dam.abc">
                <anchor moveWithCells="1" sizeWithCells="1">
                  <from>
                    <xdr:col>7</xdr:col>
                    <xdr:colOff>323850</xdr:colOff>
                    <xdr:row>23</xdr:row>
                    <xdr:rowOff>19050</xdr:rowOff>
                  </from>
                  <to>
                    <xdr:col>7</xdr:col>
                    <xdr:colOff>476250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Option Button 12">
              <controlPr defaultSize="0" autoFill="0" autoLine="0" autoPict="0" macro="[0]!Ve_dam.abc">
                <anchor moveWithCells="1" sizeWithCells="1">
                  <from>
                    <xdr:col>9</xdr:col>
                    <xdr:colOff>323850</xdr:colOff>
                    <xdr:row>23</xdr:row>
                    <xdr:rowOff>19050</xdr:rowOff>
                  </from>
                  <to>
                    <xdr:col>9</xdr:col>
                    <xdr:colOff>476250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Option Button 13">
              <controlPr defaultSize="0" autoFill="0" autoLine="0" autoPict="0" macro="[0]!Ve_dam.abc">
                <anchor moveWithCells="1" sizeWithCells="1">
                  <from>
                    <xdr:col>11</xdr:col>
                    <xdr:colOff>323850</xdr:colOff>
                    <xdr:row>23</xdr:row>
                    <xdr:rowOff>19050</xdr:rowOff>
                  </from>
                  <to>
                    <xdr:col>11</xdr:col>
                    <xdr:colOff>476250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Option Button 14">
              <controlPr defaultSize="0" autoFill="0" autoLine="0" autoPict="0" macro="[0]!Ve_dam.abc">
                <anchor moveWithCells="1" sizeWithCells="1">
                  <from>
                    <xdr:col>13</xdr:col>
                    <xdr:colOff>323850</xdr:colOff>
                    <xdr:row>23</xdr:row>
                    <xdr:rowOff>19050</xdr:rowOff>
                  </from>
                  <to>
                    <xdr:col>13</xdr:col>
                    <xdr:colOff>476250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Option Button 15">
              <controlPr defaultSize="0" autoFill="0" autoLine="0" autoPict="0" macro="[0]!Ve_dam.abc">
                <anchor moveWithCells="1" sizeWithCells="1">
                  <from>
                    <xdr:col>15</xdr:col>
                    <xdr:colOff>323850</xdr:colOff>
                    <xdr:row>23</xdr:row>
                    <xdr:rowOff>19050</xdr:rowOff>
                  </from>
                  <to>
                    <xdr:col>15</xdr:col>
                    <xdr:colOff>476250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8" name="Option Button 16">
              <controlPr defaultSize="0" autoFill="0" autoLine="0" autoPict="0" macro="[0]!Ve_dam.abc">
                <anchor moveWithCells="1" sizeWithCells="1">
                  <from>
                    <xdr:col>17</xdr:col>
                    <xdr:colOff>323850</xdr:colOff>
                    <xdr:row>23</xdr:row>
                    <xdr:rowOff>19050</xdr:rowOff>
                  </from>
                  <to>
                    <xdr:col>17</xdr:col>
                    <xdr:colOff>476250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9" name="Option Button 17">
              <controlPr defaultSize="0" autoFill="0" autoLine="0" autoPict="0" macro="[0]!Ve_dam.abc">
                <anchor moveWithCells="1" sizeWithCells="1">
                  <from>
                    <xdr:col>19</xdr:col>
                    <xdr:colOff>323850</xdr:colOff>
                    <xdr:row>23</xdr:row>
                    <xdr:rowOff>19050</xdr:rowOff>
                  </from>
                  <to>
                    <xdr:col>19</xdr:col>
                    <xdr:colOff>476250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0" name="Option Button 18">
              <controlPr defaultSize="0" autoFill="0" autoLine="0" autoPict="0" macro="[0]!Ve_dam.abc">
                <anchor moveWithCells="1" sizeWithCells="1">
                  <from>
                    <xdr:col>21</xdr:col>
                    <xdr:colOff>323850</xdr:colOff>
                    <xdr:row>23</xdr:row>
                    <xdr:rowOff>19050</xdr:rowOff>
                  </from>
                  <to>
                    <xdr:col>21</xdr:col>
                    <xdr:colOff>476250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1" name="Option Button 19">
              <controlPr defaultSize="0" autoFill="0" autoLine="0" autoPict="0" macro="[0]!Ve_dam.abc">
                <anchor moveWithCells="1" sizeWithCells="1">
                  <from>
                    <xdr:col>23</xdr:col>
                    <xdr:colOff>323850</xdr:colOff>
                    <xdr:row>23</xdr:row>
                    <xdr:rowOff>19050</xdr:rowOff>
                  </from>
                  <to>
                    <xdr:col>23</xdr:col>
                    <xdr:colOff>476250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2" name="Option Button 20">
              <controlPr defaultSize="0" autoFill="0" autoLine="0" autoPict="0" macro="[0]!Ve_dam.abc">
                <anchor moveWithCells="1" sizeWithCells="1">
                  <from>
                    <xdr:col>25</xdr:col>
                    <xdr:colOff>323850</xdr:colOff>
                    <xdr:row>23</xdr:row>
                    <xdr:rowOff>19050</xdr:rowOff>
                  </from>
                  <to>
                    <xdr:col>25</xdr:col>
                    <xdr:colOff>476250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3" name="Option Button 21">
              <controlPr defaultSize="0" autoFill="0" autoLine="0" autoPict="0" macro="[0]!Ve_dam.abc">
                <anchor moveWithCells="1" sizeWithCells="1">
                  <from>
                    <xdr:col>27</xdr:col>
                    <xdr:colOff>323850</xdr:colOff>
                    <xdr:row>23</xdr:row>
                    <xdr:rowOff>19050</xdr:rowOff>
                  </from>
                  <to>
                    <xdr:col>27</xdr:col>
                    <xdr:colOff>476250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4" name="Option Button 22">
              <controlPr defaultSize="0" autoFill="0" autoLine="0" autoPict="0" macro="[0]!Ve_dam.abc">
                <anchor moveWithCells="1" sizeWithCells="1">
                  <from>
                    <xdr:col>29</xdr:col>
                    <xdr:colOff>323850</xdr:colOff>
                    <xdr:row>23</xdr:row>
                    <xdr:rowOff>19050</xdr:rowOff>
                  </from>
                  <to>
                    <xdr:col>29</xdr:col>
                    <xdr:colOff>476250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5" name="Option Button 23">
              <controlPr defaultSize="0" autoFill="0" autoLine="0" autoPict="0" macro="[0]!Ve_dam.abc">
                <anchor moveWithCells="1" sizeWithCells="1">
                  <from>
                    <xdr:col>31</xdr:col>
                    <xdr:colOff>323850</xdr:colOff>
                    <xdr:row>23</xdr:row>
                    <xdr:rowOff>19050</xdr:rowOff>
                  </from>
                  <to>
                    <xdr:col>31</xdr:col>
                    <xdr:colOff>476250</xdr:colOff>
                    <xdr:row>23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6" name="Option Button 24">
              <controlPr defaultSize="0" autoFill="0" autoLine="0" autoPict="0" macro="[0]!Ve_dam.abc">
                <anchor moveWithCells="1" sizeWithCells="1">
                  <from>
                    <xdr:col>33</xdr:col>
                    <xdr:colOff>323850</xdr:colOff>
                    <xdr:row>23</xdr:row>
                    <xdr:rowOff>19050</xdr:rowOff>
                  </from>
                  <to>
                    <xdr:col>33</xdr:col>
                    <xdr:colOff>476250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FCBAF-C8F6-4273-816D-F2556488A5CF}">
  <sheetPr codeName="Sheet14"/>
  <dimension ref="A1:AR103"/>
  <sheetViews>
    <sheetView workbookViewId="0">
      <pane ySplit="3" topLeftCell="A4" activePane="bottomLeft" state="frozen"/>
      <selection pane="bottomLeft" activeCell="F24" sqref="F24"/>
    </sheetView>
  </sheetViews>
  <sheetFormatPr defaultRowHeight="12.75" outlineLevelCol="1"/>
  <cols>
    <col min="1" max="1" width="11" style="473" customWidth="1" outlineLevel="1"/>
    <col min="2" max="2" width="16" style="473" customWidth="1"/>
    <col min="3" max="5" width="9.7109375" style="473" customWidth="1"/>
    <col min="6" max="44" width="9.7109375" style="473" customWidth="1" outlineLevel="1"/>
    <col min="45" max="16384" width="9.140625" style="473"/>
  </cols>
  <sheetData>
    <row r="1" spans="1:44" ht="27.95" customHeight="1">
      <c r="A1" s="524" t="s">
        <v>439</v>
      </c>
      <c r="B1" s="524"/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524"/>
      <c r="O1" s="524"/>
      <c r="P1" s="524"/>
      <c r="Q1" s="524"/>
      <c r="R1" s="524"/>
      <c r="S1" s="524"/>
      <c r="T1" s="524"/>
      <c r="U1" s="524"/>
      <c r="V1" s="524"/>
      <c r="W1" s="524"/>
      <c r="X1" s="524"/>
      <c r="Y1" s="524"/>
      <c r="Z1" s="524"/>
      <c r="AA1" s="524"/>
      <c r="AB1" s="524"/>
      <c r="AC1" s="524"/>
      <c r="AD1" s="524"/>
      <c r="AE1" s="524"/>
      <c r="AF1" s="524"/>
      <c r="AG1" s="524"/>
      <c r="AH1" s="524"/>
      <c r="AI1" s="524"/>
      <c r="AJ1" s="524"/>
      <c r="AK1" s="524"/>
      <c r="AL1" s="524"/>
      <c r="AM1" s="524"/>
      <c r="AN1" s="524"/>
      <c r="AO1" s="524"/>
      <c r="AP1" s="524"/>
      <c r="AQ1" s="524"/>
      <c r="AR1" s="524"/>
    </row>
    <row r="2" spans="1:44" ht="24" customHeight="1">
      <c r="A2" s="525" t="s">
        <v>488</v>
      </c>
      <c r="B2" s="527" t="s">
        <v>440</v>
      </c>
      <c r="C2" s="527"/>
      <c r="D2" s="474"/>
      <c r="E2" s="474"/>
      <c r="F2" s="474" t="s">
        <v>441</v>
      </c>
      <c r="G2" s="474" t="s">
        <v>441</v>
      </c>
      <c r="H2" s="474" t="s">
        <v>441</v>
      </c>
      <c r="I2" s="474" t="s">
        <v>441</v>
      </c>
      <c r="J2" s="474" t="s">
        <v>441</v>
      </c>
      <c r="K2" s="474" t="s">
        <v>441</v>
      </c>
      <c r="L2" s="474" t="s">
        <v>441</v>
      </c>
      <c r="M2" s="474" t="s">
        <v>441</v>
      </c>
      <c r="N2" s="474" t="s">
        <v>441</v>
      </c>
      <c r="O2" s="474" t="s">
        <v>441</v>
      </c>
      <c r="P2" s="474" t="s">
        <v>441</v>
      </c>
      <c r="Q2" s="474" t="s">
        <v>441</v>
      </c>
      <c r="R2" s="474" t="s">
        <v>441</v>
      </c>
      <c r="S2" s="474" t="s">
        <v>441</v>
      </c>
      <c r="T2" s="474" t="s">
        <v>441</v>
      </c>
      <c r="U2" s="474" t="s">
        <v>441</v>
      </c>
      <c r="V2" s="474" t="s">
        <v>441</v>
      </c>
      <c r="W2" s="474" t="s">
        <v>441</v>
      </c>
      <c r="X2" s="474" t="s">
        <v>441</v>
      </c>
      <c r="Y2" s="474" t="s">
        <v>441</v>
      </c>
      <c r="Z2" s="474" t="s">
        <v>441</v>
      </c>
      <c r="AA2" s="474" t="s">
        <v>441</v>
      </c>
      <c r="AB2" s="474" t="s">
        <v>441</v>
      </c>
      <c r="AC2" s="474" t="s">
        <v>441</v>
      </c>
      <c r="AD2" s="474" t="s">
        <v>442</v>
      </c>
      <c r="AE2" s="474" t="s">
        <v>443</v>
      </c>
      <c r="AF2" s="474" t="s">
        <v>443</v>
      </c>
      <c r="AG2" s="474" t="s">
        <v>443</v>
      </c>
      <c r="AH2" s="474" t="s">
        <v>442</v>
      </c>
      <c r="AI2" s="474" t="s">
        <v>443</v>
      </c>
      <c r="AJ2" s="474" t="s">
        <v>443</v>
      </c>
      <c r="AK2" s="474" t="s">
        <v>443</v>
      </c>
      <c r="AL2" s="474" t="s">
        <v>444</v>
      </c>
      <c r="AM2" s="474" t="s">
        <v>445</v>
      </c>
      <c r="AN2" s="474" t="s">
        <v>446</v>
      </c>
      <c r="AO2" s="474" t="s">
        <v>447</v>
      </c>
      <c r="AP2" s="474" t="s">
        <v>448</v>
      </c>
      <c r="AQ2" s="474" t="s">
        <v>449</v>
      </c>
      <c r="AR2" s="474"/>
    </row>
    <row r="3" spans="1:44" ht="24" customHeight="1">
      <c r="A3" s="526"/>
      <c r="B3" s="475" t="s">
        <v>487</v>
      </c>
      <c r="C3" s="475" t="s">
        <v>486</v>
      </c>
      <c r="D3" s="475" t="s">
        <v>485</v>
      </c>
      <c r="E3" s="475" t="s">
        <v>484</v>
      </c>
      <c r="F3" s="475" t="s">
        <v>450</v>
      </c>
      <c r="G3" s="475" t="s">
        <v>451</v>
      </c>
      <c r="H3" s="475" t="s">
        <v>452</v>
      </c>
      <c r="I3" s="475" t="s">
        <v>453</v>
      </c>
      <c r="J3" s="475" t="s">
        <v>454</v>
      </c>
      <c r="K3" s="475" t="s">
        <v>455</v>
      </c>
      <c r="L3" s="475" t="s">
        <v>456</v>
      </c>
      <c r="M3" s="475" t="s">
        <v>457</v>
      </c>
      <c r="N3" s="475" t="s">
        <v>458</v>
      </c>
      <c r="O3" s="475" t="s">
        <v>459</v>
      </c>
      <c r="P3" s="475" t="s">
        <v>460</v>
      </c>
      <c r="Q3" s="475" t="s">
        <v>461</v>
      </c>
      <c r="R3" s="475" t="s">
        <v>462</v>
      </c>
      <c r="S3" s="475" t="s">
        <v>463</v>
      </c>
      <c r="T3" s="475" t="s">
        <v>464</v>
      </c>
      <c r="U3" s="475" t="s">
        <v>465</v>
      </c>
      <c r="V3" s="475" t="s">
        <v>466</v>
      </c>
      <c r="W3" s="475" t="s">
        <v>467</v>
      </c>
      <c r="X3" s="475" t="s">
        <v>468</v>
      </c>
      <c r="Y3" s="475" t="s">
        <v>469</v>
      </c>
      <c r="Z3" s="475" t="s">
        <v>470</v>
      </c>
      <c r="AA3" s="475" t="s">
        <v>471</v>
      </c>
      <c r="AB3" s="475" t="s">
        <v>472</v>
      </c>
      <c r="AC3" s="475" t="s">
        <v>473</v>
      </c>
      <c r="AD3" s="475" t="s">
        <v>474</v>
      </c>
      <c r="AE3" s="475" t="s">
        <v>25</v>
      </c>
      <c r="AF3" s="475" t="s">
        <v>32</v>
      </c>
      <c r="AG3" s="475" t="s">
        <v>475</v>
      </c>
      <c r="AH3" s="475" t="s">
        <v>476</v>
      </c>
      <c r="AI3" s="475" t="s">
        <v>477</v>
      </c>
      <c r="AJ3" s="475" t="s">
        <v>478</v>
      </c>
      <c r="AK3" s="475" t="s">
        <v>479</v>
      </c>
      <c r="AL3" s="475" t="s">
        <v>444</v>
      </c>
      <c r="AM3" s="475" t="s">
        <v>445</v>
      </c>
      <c r="AN3" s="475" t="s">
        <v>446</v>
      </c>
      <c r="AO3" s="475" t="s">
        <v>480</v>
      </c>
      <c r="AP3" s="475" t="s">
        <v>481</v>
      </c>
      <c r="AQ3" s="475" t="s">
        <v>482</v>
      </c>
      <c r="AR3" s="475" t="s">
        <v>483</v>
      </c>
    </row>
    <row r="4" spans="1:44">
      <c r="A4" s="479"/>
      <c r="B4" s="476"/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76"/>
      <c r="R4" s="476"/>
      <c r="S4" s="476"/>
      <c r="T4" s="476"/>
      <c r="U4" s="476"/>
      <c r="V4" s="476"/>
      <c r="W4" s="476"/>
      <c r="X4" s="476"/>
      <c r="Y4" s="476"/>
      <c r="Z4" s="476"/>
      <c r="AA4" s="476"/>
      <c r="AB4" s="476"/>
      <c r="AC4" s="476"/>
      <c r="AD4" s="476"/>
      <c r="AE4" s="476"/>
      <c r="AF4" s="476"/>
      <c r="AG4" s="476"/>
      <c r="AH4" s="476"/>
      <c r="AI4" s="476"/>
      <c r="AJ4" s="476"/>
      <c r="AK4" s="476"/>
      <c r="AL4" s="476"/>
      <c r="AM4" s="476"/>
      <c r="AN4" s="476"/>
      <c r="AO4" s="476"/>
      <c r="AP4" s="476"/>
      <c r="AQ4" s="476"/>
      <c r="AR4" s="476"/>
    </row>
    <row r="5" spans="1:44">
      <c r="A5" s="480"/>
      <c r="B5" s="476"/>
      <c r="C5" s="476"/>
      <c r="D5" s="476"/>
      <c r="E5" s="476"/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76"/>
      <c r="R5" s="476"/>
      <c r="S5" s="476"/>
      <c r="T5" s="476"/>
      <c r="U5" s="476"/>
      <c r="V5" s="476"/>
      <c r="W5" s="476"/>
      <c r="X5" s="476"/>
      <c r="Y5" s="476"/>
      <c r="Z5" s="476"/>
      <c r="AA5" s="476"/>
      <c r="AB5" s="476"/>
      <c r="AC5" s="476"/>
      <c r="AD5" s="476"/>
      <c r="AE5" s="476"/>
      <c r="AF5" s="476"/>
      <c r="AG5" s="476"/>
      <c r="AH5" s="476"/>
      <c r="AI5" s="476"/>
      <c r="AJ5" s="476"/>
      <c r="AK5" s="476"/>
      <c r="AL5" s="476"/>
      <c r="AM5" s="476"/>
      <c r="AN5" s="476"/>
      <c r="AO5" s="476"/>
      <c r="AP5" s="476"/>
      <c r="AQ5" s="476"/>
      <c r="AR5" s="476"/>
    </row>
    <row r="6" spans="1:44">
      <c r="A6" s="479"/>
      <c r="B6" s="476"/>
      <c r="C6" s="476"/>
      <c r="D6" s="476"/>
      <c r="E6" s="476"/>
      <c r="F6" s="476"/>
      <c r="G6" s="476"/>
      <c r="H6" s="476"/>
      <c r="I6" s="476"/>
      <c r="J6" s="476"/>
      <c r="K6" s="476"/>
      <c r="L6" s="476"/>
      <c r="M6" s="476"/>
      <c r="N6" s="476"/>
      <c r="O6" s="476"/>
      <c r="P6" s="476"/>
      <c r="Q6" s="476"/>
      <c r="R6" s="476"/>
      <c r="S6" s="476"/>
      <c r="T6" s="476"/>
      <c r="U6" s="476"/>
      <c r="V6" s="476"/>
      <c r="W6" s="476"/>
      <c r="X6" s="476"/>
      <c r="Y6" s="476"/>
      <c r="Z6" s="476"/>
      <c r="AA6" s="476"/>
      <c r="AB6" s="476"/>
      <c r="AC6" s="476"/>
      <c r="AD6" s="476"/>
      <c r="AE6" s="476"/>
      <c r="AF6" s="476"/>
      <c r="AG6" s="476"/>
      <c r="AH6" s="476"/>
      <c r="AI6" s="476"/>
      <c r="AJ6" s="476"/>
      <c r="AK6" s="476"/>
      <c r="AL6" s="476"/>
      <c r="AM6" s="476"/>
      <c r="AN6" s="476"/>
      <c r="AO6" s="476"/>
      <c r="AP6" s="476"/>
      <c r="AQ6" s="476"/>
      <c r="AR6" s="476"/>
    </row>
    <row r="7" spans="1:44">
      <c r="A7" s="480"/>
      <c r="B7" s="476"/>
      <c r="C7" s="476"/>
      <c r="D7" s="476"/>
      <c r="E7" s="476"/>
      <c r="F7" s="476"/>
      <c r="G7" s="476"/>
      <c r="H7" s="476"/>
      <c r="I7" s="476"/>
      <c r="J7" s="476"/>
      <c r="K7" s="476"/>
      <c r="L7" s="476"/>
      <c r="M7" s="476"/>
      <c r="N7" s="476"/>
      <c r="O7" s="476"/>
      <c r="P7" s="476"/>
      <c r="Q7" s="476"/>
      <c r="R7" s="476"/>
      <c r="S7" s="476"/>
      <c r="T7" s="476"/>
      <c r="U7" s="476"/>
      <c r="V7" s="476"/>
      <c r="W7" s="476"/>
      <c r="X7" s="476"/>
      <c r="Y7" s="476"/>
      <c r="Z7" s="476"/>
      <c r="AA7" s="476"/>
      <c r="AB7" s="476"/>
      <c r="AC7" s="476"/>
      <c r="AD7" s="476"/>
      <c r="AE7" s="476"/>
      <c r="AF7" s="476"/>
      <c r="AG7" s="476"/>
      <c r="AH7" s="476"/>
      <c r="AI7" s="476"/>
      <c r="AJ7" s="476"/>
      <c r="AK7" s="476"/>
      <c r="AL7" s="476"/>
      <c r="AM7" s="476"/>
      <c r="AN7" s="476"/>
      <c r="AO7" s="476"/>
      <c r="AP7" s="476"/>
      <c r="AQ7" s="476"/>
      <c r="AR7" s="476"/>
    </row>
    <row r="8" spans="1:44">
      <c r="A8" s="479"/>
      <c r="B8" s="476"/>
      <c r="C8" s="476"/>
      <c r="D8" s="476"/>
      <c r="E8" s="476"/>
      <c r="F8" s="476"/>
      <c r="G8" s="476"/>
      <c r="H8" s="476"/>
      <c r="I8" s="476"/>
      <c r="J8" s="476"/>
      <c r="K8" s="476"/>
      <c r="L8" s="476"/>
      <c r="M8" s="476"/>
      <c r="N8" s="476"/>
      <c r="O8" s="476"/>
      <c r="P8" s="476"/>
      <c r="Q8" s="476"/>
      <c r="R8" s="476"/>
      <c r="S8" s="476"/>
      <c r="T8" s="476"/>
      <c r="U8" s="476"/>
      <c r="V8" s="476"/>
      <c r="W8" s="476"/>
      <c r="X8" s="476"/>
      <c r="Y8" s="476"/>
      <c r="Z8" s="476"/>
      <c r="AA8" s="476"/>
      <c r="AB8" s="476"/>
      <c r="AC8" s="476"/>
      <c r="AD8" s="476"/>
      <c r="AE8" s="476"/>
      <c r="AF8" s="476"/>
      <c r="AG8" s="476"/>
      <c r="AH8" s="476"/>
      <c r="AI8" s="476"/>
      <c r="AJ8" s="476"/>
      <c r="AK8" s="476"/>
      <c r="AL8" s="476"/>
      <c r="AM8" s="476"/>
      <c r="AN8" s="476"/>
      <c r="AO8" s="476"/>
      <c r="AP8" s="476"/>
      <c r="AQ8" s="476"/>
      <c r="AR8" s="476"/>
    </row>
    <row r="9" spans="1:44">
      <c r="A9" s="480"/>
      <c r="B9" s="476"/>
      <c r="C9" s="476"/>
      <c r="D9" s="476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76"/>
      <c r="P9" s="476"/>
      <c r="Q9" s="476"/>
      <c r="R9" s="476"/>
      <c r="S9" s="476"/>
      <c r="T9" s="476"/>
      <c r="U9" s="476"/>
      <c r="V9" s="476"/>
      <c r="W9" s="476"/>
      <c r="X9" s="476"/>
      <c r="Y9" s="476"/>
      <c r="Z9" s="476"/>
      <c r="AA9" s="476"/>
      <c r="AB9" s="476"/>
      <c r="AC9" s="476"/>
      <c r="AD9" s="476"/>
      <c r="AE9" s="476"/>
      <c r="AF9" s="476"/>
      <c r="AG9" s="476"/>
      <c r="AH9" s="476"/>
      <c r="AI9" s="476"/>
      <c r="AJ9" s="476"/>
      <c r="AK9" s="476"/>
      <c r="AL9" s="476"/>
      <c r="AM9" s="476"/>
      <c r="AN9" s="476"/>
      <c r="AO9" s="476"/>
      <c r="AP9" s="476"/>
      <c r="AQ9" s="476"/>
      <c r="AR9" s="476"/>
    </row>
    <row r="10" spans="1:44">
      <c r="A10" s="479"/>
      <c r="B10" s="476"/>
      <c r="C10" s="476"/>
      <c r="D10" s="476"/>
      <c r="E10" s="476"/>
      <c r="F10" s="476"/>
      <c r="G10" s="476"/>
      <c r="H10" s="476"/>
      <c r="I10" s="476"/>
      <c r="J10" s="476"/>
      <c r="K10" s="476"/>
      <c r="L10" s="476"/>
      <c r="M10" s="476"/>
      <c r="N10" s="476"/>
      <c r="O10" s="476"/>
      <c r="P10" s="476"/>
      <c r="Q10" s="476"/>
      <c r="R10" s="476"/>
      <c r="S10" s="476"/>
      <c r="T10" s="476"/>
      <c r="U10" s="476"/>
      <c r="V10" s="476"/>
      <c r="W10" s="476"/>
      <c r="X10" s="476"/>
      <c r="Y10" s="476"/>
      <c r="Z10" s="476"/>
      <c r="AA10" s="476"/>
      <c r="AB10" s="476"/>
      <c r="AC10" s="476"/>
      <c r="AD10" s="476"/>
      <c r="AE10" s="476"/>
      <c r="AF10" s="476"/>
      <c r="AG10" s="476"/>
      <c r="AH10" s="476"/>
      <c r="AI10" s="476"/>
      <c r="AJ10" s="476"/>
      <c r="AK10" s="476"/>
      <c r="AL10" s="476"/>
      <c r="AM10" s="476"/>
      <c r="AN10" s="476"/>
      <c r="AO10" s="476"/>
      <c r="AP10" s="476"/>
      <c r="AQ10" s="476"/>
      <c r="AR10" s="476"/>
    </row>
    <row r="11" spans="1:44">
      <c r="A11" s="480"/>
      <c r="B11" s="476"/>
      <c r="C11" s="476"/>
      <c r="D11" s="476"/>
      <c r="E11" s="476"/>
      <c r="F11" s="476"/>
      <c r="G11" s="476"/>
      <c r="H11" s="476"/>
      <c r="I11" s="476"/>
      <c r="J11" s="476"/>
      <c r="K11" s="476"/>
      <c r="L11" s="476"/>
      <c r="M11" s="476"/>
      <c r="N11" s="476"/>
      <c r="O11" s="476"/>
      <c r="P11" s="476"/>
      <c r="Q11" s="476"/>
      <c r="R11" s="476"/>
      <c r="S11" s="476"/>
      <c r="T11" s="476"/>
      <c r="U11" s="476"/>
      <c r="V11" s="476"/>
      <c r="W11" s="476"/>
      <c r="X11" s="476"/>
      <c r="Y11" s="476"/>
      <c r="Z11" s="476"/>
      <c r="AA11" s="476"/>
      <c r="AB11" s="476"/>
      <c r="AC11" s="476"/>
      <c r="AE11" s="476"/>
      <c r="AF11" s="476"/>
      <c r="AG11" s="476"/>
      <c r="AH11" s="476"/>
      <c r="AI11" s="476"/>
      <c r="AJ11" s="476"/>
      <c r="AK11" s="476"/>
      <c r="AL11" s="476"/>
      <c r="AM11" s="476"/>
      <c r="AN11" s="476"/>
      <c r="AO11" s="476"/>
      <c r="AP11" s="476"/>
      <c r="AQ11" s="476"/>
      <c r="AR11" s="476"/>
    </row>
    <row r="12" spans="1:44">
      <c r="A12" s="479"/>
      <c r="B12" s="476"/>
      <c r="C12" s="476"/>
      <c r="D12" s="476"/>
      <c r="E12" s="476"/>
      <c r="F12" s="476"/>
      <c r="G12" s="476"/>
      <c r="H12" s="476"/>
      <c r="I12" s="476"/>
      <c r="J12" s="476"/>
      <c r="K12" s="476"/>
      <c r="L12" s="476"/>
      <c r="M12" s="476"/>
      <c r="N12" s="476"/>
      <c r="O12" s="476"/>
      <c r="P12" s="476"/>
      <c r="Q12" s="476"/>
      <c r="R12" s="476"/>
      <c r="S12" s="476"/>
      <c r="T12" s="476"/>
      <c r="U12" s="476"/>
      <c r="V12" s="476"/>
      <c r="W12" s="476"/>
      <c r="X12" s="476"/>
      <c r="Y12" s="476"/>
      <c r="Z12" s="476"/>
      <c r="AA12" s="476"/>
      <c r="AB12" s="476"/>
      <c r="AC12" s="476"/>
      <c r="AD12" s="476"/>
      <c r="AE12" s="476"/>
      <c r="AF12" s="476"/>
      <c r="AG12" s="476"/>
      <c r="AH12" s="476"/>
      <c r="AI12" s="476"/>
      <c r="AJ12" s="476"/>
      <c r="AK12" s="476"/>
      <c r="AL12" s="476"/>
      <c r="AM12" s="476"/>
      <c r="AN12" s="476"/>
      <c r="AO12" s="476"/>
      <c r="AP12" s="476"/>
      <c r="AQ12" s="476"/>
      <c r="AR12" s="476"/>
    </row>
    <row r="13" spans="1:44">
      <c r="A13" s="480"/>
      <c r="B13" s="476"/>
      <c r="C13" s="476"/>
      <c r="D13" s="476"/>
      <c r="E13" s="476"/>
      <c r="F13" s="476"/>
      <c r="G13" s="476"/>
      <c r="H13" s="476"/>
      <c r="I13" s="476"/>
      <c r="J13" s="476"/>
      <c r="K13" s="476"/>
      <c r="L13" s="476"/>
      <c r="M13" s="476"/>
      <c r="N13" s="476"/>
      <c r="O13" s="476"/>
      <c r="P13" s="476"/>
      <c r="Q13" s="476"/>
      <c r="R13" s="476"/>
      <c r="S13" s="476"/>
      <c r="T13" s="476"/>
      <c r="U13" s="476"/>
      <c r="V13" s="476"/>
      <c r="W13" s="476"/>
      <c r="X13" s="476"/>
      <c r="Y13" s="476"/>
      <c r="Z13" s="476"/>
      <c r="AA13" s="476"/>
      <c r="AB13" s="476"/>
      <c r="AC13" s="476"/>
      <c r="AD13" s="476"/>
      <c r="AE13" s="476"/>
      <c r="AF13" s="476"/>
      <c r="AG13" s="476"/>
      <c r="AH13" s="476"/>
      <c r="AI13" s="476"/>
      <c r="AJ13" s="476"/>
      <c r="AK13" s="476"/>
      <c r="AL13" s="476"/>
      <c r="AM13" s="476"/>
      <c r="AN13" s="476"/>
      <c r="AO13" s="476"/>
      <c r="AP13" s="476"/>
      <c r="AQ13" s="476"/>
      <c r="AR13" s="476"/>
    </row>
    <row r="14" spans="1:44">
      <c r="A14" s="479"/>
      <c r="B14" s="476"/>
      <c r="C14" s="476"/>
      <c r="D14" s="476"/>
      <c r="E14" s="476"/>
      <c r="F14" s="476"/>
      <c r="G14" s="476"/>
      <c r="H14" s="476"/>
      <c r="I14" s="476"/>
      <c r="J14" s="476"/>
      <c r="K14" s="476"/>
      <c r="L14" s="476"/>
      <c r="M14" s="476"/>
      <c r="N14" s="476"/>
      <c r="O14" s="476"/>
      <c r="P14" s="476"/>
      <c r="Q14" s="476"/>
      <c r="R14" s="476"/>
      <c r="S14" s="476"/>
      <c r="T14" s="476"/>
      <c r="U14" s="476"/>
      <c r="V14" s="476"/>
      <c r="W14" s="476"/>
      <c r="X14" s="476"/>
      <c r="Y14" s="476"/>
      <c r="Z14" s="476"/>
      <c r="AA14" s="476"/>
      <c r="AB14" s="476"/>
      <c r="AC14" s="476"/>
      <c r="AD14" s="476"/>
      <c r="AE14" s="476"/>
      <c r="AF14" s="476"/>
      <c r="AG14" s="476"/>
      <c r="AH14" s="476"/>
      <c r="AI14" s="476"/>
      <c r="AJ14" s="476"/>
      <c r="AK14" s="476"/>
      <c r="AL14" s="476"/>
      <c r="AM14" s="476"/>
      <c r="AN14" s="476"/>
      <c r="AO14" s="476"/>
      <c r="AP14" s="476"/>
      <c r="AQ14" s="476"/>
      <c r="AR14" s="476"/>
    </row>
    <row r="15" spans="1:44">
      <c r="A15" s="480"/>
      <c r="B15" s="476"/>
      <c r="C15" s="476"/>
      <c r="D15" s="476"/>
      <c r="E15" s="476"/>
      <c r="F15" s="476"/>
      <c r="G15" s="476"/>
      <c r="H15" s="476"/>
      <c r="I15" s="476"/>
      <c r="J15" s="476"/>
      <c r="K15" s="476"/>
      <c r="L15" s="476"/>
      <c r="M15" s="476"/>
      <c r="N15" s="476"/>
      <c r="O15" s="476"/>
      <c r="P15" s="476"/>
      <c r="Q15" s="476"/>
      <c r="R15" s="476"/>
      <c r="S15" s="476"/>
      <c r="T15" s="476"/>
      <c r="U15" s="476"/>
      <c r="V15" s="476"/>
      <c r="W15" s="476"/>
      <c r="X15" s="476"/>
      <c r="Y15" s="476"/>
      <c r="Z15" s="476"/>
      <c r="AA15" s="476"/>
      <c r="AB15" s="476"/>
      <c r="AC15" s="476"/>
      <c r="AD15" s="476"/>
      <c r="AE15" s="476"/>
      <c r="AF15" s="476"/>
      <c r="AG15" s="476"/>
      <c r="AH15" s="476"/>
      <c r="AI15" s="476"/>
      <c r="AJ15" s="476"/>
      <c r="AK15" s="476"/>
      <c r="AL15" s="476"/>
      <c r="AM15" s="476"/>
      <c r="AN15" s="476"/>
      <c r="AO15" s="476"/>
      <c r="AP15" s="476"/>
      <c r="AQ15" s="476"/>
      <c r="AR15" s="476"/>
    </row>
    <row r="16" spans="1:44">
      <c r="A16" s="479"/>
      <c r="B16" s="476"/>
      <c r="C16" s="476"/>
      <c r="D16" s="476"/>
      <c r="E16" s="476"/>
      <c r="F16" s="476"/>
      <c r="G16" s="476"/>
      <c r="H16" s="476"/>
      <c r="I16" s="476"/>
      <c r="J16" s="476"/>
      <c r="K16" s="476"/>
      <c r="L16" s="476"/>
      <c r="M16" s="476"/>
      <c r="N16" s="476"/>
      <c r="O16" s="476"/>
      <c r="P16" s="476"/>
      <c r="Q16" s="476"/>
      <c r="R16" s="476"/>
      <c r="S16" s="476"/>
      <c r="T16" s="476"/>
      <c r="U16" s="476"/>
      <c r="V16" s="476"/>
      <c r="W16" s="476"/>
      <c r="X16" s="476"/>
      <c r="Y16" s="476"/>
      <c r="Z16" s="476"/>
      <c r="AA16" s="476"/>
      <c r="AB16" s="476"/>
      <c r="AC16" s="476"/>
      <c r="AD16" s="476"/>
      <c r="AE16" s="476"/>
      <c r="AF16" s="476"/>
      <c r="AG16" s="476"/>
      <c r="AH16" s="476"/>
      <c r="AI16" s="476"/>
      <c r="AJ16" s="476"/>
      <c r="AK16" s="476"/>
      <c r="AL16" s="476"/>
      <c r="AM16" s="476"/>
      <c r="AN16" s="476"/>
      <c r="AO16" s="476"/>
      <c r="AP16" s="476"/>
      <c r="AQ16" s="476"/>
      <c r="AR16" s="476"/>
    </row>
    <row r="17" spans="1:44">
      <c r="A17" s="480"/>
      <c r="B17" s="476"/>
      <c r="C17" s="476"/>
      <c r="D17" s="476"/>
      <c r="E17" s="476"/>
      <c r="F17" s="476"/>
      <c r="G17" s="476"/>
      <c r="H17" s="476"/>
      <c r="I17" s="476"/>
      <c r="J17" s="476"/>
      <c r="K17" s="476"/>
      <c r="L17" s="476"/>
      <c r="M17" s="476"/>
      <c r="N17" s="476"/>
      <c r="O17" s="476"/>
      <c r="P17" s="476"/>
      <c r="Q17" s="476"/>
      <c r="R17" s="476"/>
      <c r="S17" s="476"/>
      <c r="T17" s="476"/>
      <c r="U17" s="476"/>
      <c r="V17" s="476"/>
      <c r="W17" s="476"/>
      <c r="X17" s="476"/>
      <c r="Y17" s="476"/>
      <c r="Z17" s="476"/>
      <c r="AA17" s="476"/>
      <c r="AB17" s="476"/>
      <c r="AC17" s="476"/>
      <c r="AD17" s="476"/>
      <c r="AE17" s="476"/>
      <c r="AF17" s="476"/>
      <c r="AG17" s="476"/>
      <c r="AH17" s="476"/>
      <c r="AI17" s="476"/>
      <c r="AJ17" s="476"/>
      <c r="AK17" s="476"/>
      <c r="AL17" s="476"/>
      <c r="AM17" s="476"/>
      <c r="AN17" s="476"/>
      <c r="AO17" s="476"/>
      <c r="AP17" s="476"/>
      <c r="AQ17" s="476"/>
      <c r="AR17" s="476"/>
    </row>
    <row r="18" spans="1:44">
      <c r="A18" s="479"/>
      <c r="B18" s="476"/>
      <c r="C18" s="476"/>
      <c r="D18" s="476"/>
      <c r="E18" s="476"/>
      <c r="F18" s="476"/>
      <c r="G18" s="476"/>
      <c r="H18" s="476"/>
      <c r="I18" s="476"/>
      <c r="J18" s="476"/>
      <c r="K18" s="476"/>
      <c r="L18" s="476"/>
      <c r="M18" s="476"/>
      <c r="N18" s="476"/>
      <c r="O18" s="476"/>
      <c r="P18" s="476"/>
      <c r="Q18" s="476"/>
      <c r="R18" s="476"/>
      <c r="S18" s="476"/>
      <c r="T18" s="476"/>
      <c r="U18" s="476"/>
      <c r="V18" s="476"/>
      <c r="W18" s="476"/>
      <c r="X18" s="476"/>
      <c r="Y18" s="476"/>
      <c r="Z18" s="476"/>
      <c r="AA18" s="476"/>
      <c r="AB18" s="476"/>
      <c r="AC18" s="476"/>
      <c r="AD18" s="476"/>
      <c r="AE18" s="476"/>
      <c r="AF18" s="476"/>
      <c r="AG18" s="476"/>
      <c r="AH18" s="476"/>
      <c r="AI18" s="476"/>
      <c r="AJ18" s="476"/>
      <c r="AK18" s="476"/>
      <c r="AL18" s="476"/>
      <c r="AM18" s="476"/>
      <c r="AN18" s="476"/>
      <c r="AO18" s="476"/>
      <c r="AP18" s="476"/>
      <c r="AQ18" s="476"/>
      <c r="AR18" s="476"/>
    </row>
    <row r="19" spans="1:44">
      <c r="A19" s="480"/>
      <c r="B19" s="476"/>
      <c r="C19" s="476"/>
      <c r="D19" s="476"/>
      <c r="E19" s="476"/>
      <c r="F19" s="476"/>
      <c r="G19" s="476"/>
      <c r="H19" s="476"/>
      <c r="I19" s="476"/>
      <c r="J19" s="476"/>
      <c r="K19" s="476"/>
      <c r="L19" s="476"/>
      <c r="M19" s="476"/>
      <c r="N19" s="476"/>
      <c r="O19" s="476"/>
      <c r="P19" s="476"/>
      <c r="Q19" s="476"/>
      <c r="R19" s="476"/>
      <c r="S19" s="476"/>
      <c r="T19" s="476"/>
      <c r="U19" s="476"/>
      <c r="V19" s="476"/>
      <c r="W19" s="476"/>
      <c r="X19" s="476"/>
      <c r="Y19" s="476"/>
      <c r="Z19" s="476"/>
      <c r="AA19" s="476"/>
      <c r="AB19" s="476"/>
      <c r="AC19" s="476"/>
      <c r="AD19" s="476"/>
      <c r="AE19" s="476"/>
      <c r="AF19" s="476"/>
      <c r="AG19" s="476"/>
      <c r="AH19" s="476"/>
      <c r="AI19" s="476"/>
      <c r="AJ19" s="476"/>
      <c r="AK19" s="476"/>
      <c r="AL19" s="476"/>
      <c r="AM19" s="476"/>
      <c r="AN19" s="476"/>
      <c r="AO19" s="476"/>
      <c r="AP19" s="476"/>
      <c r="AQ19" s="476"/>
      <c r="AR19" s="476"/>
    </row>
    <row r="20" spans="1:44">
      <c r="A20" s="479"/>
      <c r="B20" s="476"/>
      <c r="C20" s="476"/>
      <c r="D20" s="476"/>
      <c r="E20" s="476"/>
      <c r="F20" s="476"/>
      <c r="G20" s="476"/>
      <c r="H20" s="476"/>
      <c r="I20" s="476"/>
      <c r="J20" s="476"/>
      <c r="K20" s="476"/>
      <c r="L20" s="476"/>
      <c r="M20" s="476"/>
      <c r="N20" s="476"/>
      <c r="O20" s="476"/>
      <c r="P20" s="476"/>
      <c r="Q20" s="476"/>
      <c r="R20" s="476"/>
      <c r="S20" s="476"/>
      <c r="T20" s="476"/>
      <c r="U20" s="476"/>
      <c r="V20" s="476"/>
      <c r="W20" s="476"/>
      <c r="X20" s="476"/>
      <c r="Y20" s="476"/>
      <c r="Z20" s="476"/>
      <c r="AA20" s="476"/>
      <c r="AB20" s="476"/>
      <c r="AC20" s="476"/>
      <c r="AD20" s="476"/>
      <c r="AE20" s="476"/>
      <c r="AF20" s="476"/>
      <c r="AG20" s="476"/>
      <c r="AH20" s="476"/>
      <c r="AI20" s="476"/>
      <c r="AJ20" s="476"/>
      <c r="AK20" s="476"/>
      <c r="AL20" s="476"/>
      <c r="AM20" s="476"/>
      <c r="AN20" s="476"/>
      <c r="AO20" s="476"/>
      <c r="AP20" s="476"/>
      <c r="AQ20" s="476"/>
      <c r="AR20" s="476"/>
    </row>
    <row r="21" spans="1:44">
      <c r="A21" s="480"/>
      <c r="B21" s="476"/>
      <c r="C21" s="476"/>
      <c r="D21" s="476"/>
      <c r="E21" s="476"/>
      <c r="F21" s="476"/>
      <c r="G21" s="476"/>
      <c r="H21" s="476"/>
      <c r="I21" s="476"/>
      <c r="J21" s="476"/>
      <c r="K21" s="476"/>
      <c r="L21" s="476"/>
      <c r="M21" s="476"/>
      <c r="N21" s="476"/>
      <c r="O21" s="476"/>
      <c r="P21" s="476"/>
      <c r="Q21" s="476"/>
      <c r="R21" s="476"/>
      <c r="S21" s="476"/>
      <c r="T21" s="476"/>
      <c r="U21" s="476"/>
      <c r="V21" s="476"/>
      <c r="W21" s="476"/>
      <c r="X21" s="476"/>
      <c r="Y21" s="476"/>
      <c r="Z21" s="476"/>
      <c r="AA21" s="476"/>
      <c r="AB21" s="476"/>
      <c r="AC21" s="476"/>
      <c r="AD21" s="476"/>
      <c r="AE21" s="476"/>
      <c r="AF21" s="476"/>
      <c r="AG21" s="476"/>
      <c r="AH21" s="476"/>
      <c r="AI21" s="476"/>
      <c r="AJ21" s="476"/>
      <c r="AK21" s="476"/>
      <c r="AL21" s="476"/>
      <c r="AM21" s="476"/>
      <c r="AN21" s="476"/>
      <c r="AO21" s="476"/>
      <c r="AP21" s="476"/>
      <c r="AQ21" s="476"/>
      <c r="AR21" s="476"/>
    </row>
    <row r="22" spans="1:44">
      <c r="A22" s="479"/>
      <c r="B22" s="476"/>
      <c r="C22" s="476"/>
      <c r="D22" s="476"/>
      <c r="E22" s="476"/>
      <c r="F22" s="476"/>
      <c r="G22" s="476"/>
      <c r="H22" s="476"/>
      <c r="I22" s="476"/>
      <c r="J22" s="476"/>
      <c r="K22" s="476"/>
      <c r="L22" s="476"/>
      <c r="M22" s="476"/>
      <c r="N22" s="476"/>
      <c r="O22" s="476"/>
      <c r="P22" s="476"/>
      <c r="Q22" s="476"/>
      <c r="R22" s="476"/>
      <c r="S22" s="476"/>
      <c r="T22" s="476"/>
      <c r="U22" s="476"/>
      <c r="V22" s="476"/>
      <c r="W22" s="476"/>
      <c r="X22" s="476"/>
      <c r="Y22" s="476"/>
      <c r="Z22" s="476"/>
      <c r="AA22" s="476"/>
      <c r="AB22" s="476"/>
      <c r="AC22" s="476"/>
      <c r="AD22" s="476"/>
      <c r="AE22" s="476"/>
      <c r="AF22" s="476"/>
      <c r="AG22" s="476"/>
      <c r="AH22" s="476"/>
      <c r="AI22" s="476"/>
      <c r="AJ22" s="476"/>
      <c r="AK22" s="476"/>
      <c r="AL22" s="476"/>
      <c r="AM22" s="476"/>
      <c r="AN22" s="476"/>
      <c r="AO22" s="476"/>
      <c r="AP22" s="476"/>
      <c r="AQ22" s="476"/>
      <c r="AR22" s="476"/>
    </row>
    <row r="23" spans="1:44">
      <c r="A23" s="480"/>
      <c r="B23" s="476"/>
      <c r="C23" s="476"/>
      <c r="D23" s="476"/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  <c r="V23" s="476"/>
      <c r="W23" s="476"/>
      <c r="X23" s="476"/>
      <c r="Y23" s="476"/>
      <c r="Z23" s="476"/>
      <c r="AA23" s="476"/>
      <c r="AB23" s="476"/>
      <c r="AC23" s="476"/>
      <c r="AD23" s="476"/>
      <c r="AE23" s="476"/>
      <c r="AF23" s="476"/>
      <c r="AG23" s="476"/>
      <c r="AH23" s="476"/>
      <c r="AI23" s="476"/>
      <c r="AJ23" s="476"/>
      <c r="AK23" s="476"/>
      <c r="AL23" s="476"/>
      <c r="AM23" s="476"/>
      <c r="AN23" s="476"/>
      <c r="AO23" s="476"/>
      <c r="AP23" s="476"/>
      <c r="AQ23" s="476"/>
      <c r="AR23" s="476"/>
    </row>
    <row r="24" spans="1:44">
      <c r="A24" s="479"/>
      <c r="B24" s="476"/>
      <c r="C24" s="476"/>
      <c r="D24" s="476"/>
      <c r="E24" s="476"/>
      <c r="F24" s="476"/>
      <c r="G24" s="476"/>
      <c r="H24" s="476"/>
      <c r="I24" s="476"/>
      <c r="J24" s="476"/>
      <c r="K24" s="476"/>
      <c r="L24" s="476"/>
      <c r="M24" s="476"/>
      <c r="N24" s="476"/>
      <c r="O24" s="476"/>
      <c r="P24" s="476"/>
      <c r="Q24" s="476"/>
      <c r="R24" s="476"/>
      <c r="S24" s="476"/>
      <c r="T24" s="476"/>
      <c r="U24" s="476"/>
      <c r="V24" s="476"/>
      <c r="W24" s="476"/>
      <c r="X24" s="476"/>
      <c r="Y24" s="476"/>
      <c r="Z24" s="476"/>
      <c r="AA24" s="476"/>
      <c r="AB24" s="476"/>
      <c r="AC24" s="476"/>
      <c r="AD24" s="476"/>
      <c r="AE24" s="476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</row>
    <row r="25" spans="1:44">
      <c r="A25" s="480"/>
      <c r="B25" s="476"/>
      <c r="C25" s="476"/>
      <c r="D25" s="476"/>
      <c r="E25" s="476"/>
      <c r="F25" s="476"/>
      <c r="G25" s="476"/>
      <c r="H25" s="476"/>
      <c r="I25" s="476"/>
      <c r="J25" s="476"/>
      <c r="K25" s="476"/>
      <c r="L25" s="476"/>
      <c r="M25" s="476"/>
      <c r="N25" s="476"/>
      <c r="O25" s="476"/>
      <c r="P25" s="476"/>
      <c r="Q25" s="476"/>
      <c r="R25" s="476"/>
      <c r="S25" s="476"/>
      <c r="T25" s="476"/>
      <c r="U25" s="476"/>
      <c r="V25" s="476"/>
      <c r="W25" s="476"/>
      <c r="X25" s="476"/>
      <c r="Y25" s="476"/>
      <c r="Z25" s="476"/>
      <c r="AA25" s="476"/>
      <c r="AB25" s="476"/>
      <c r="AC25" s="476"/>
      <c r="AD25" s="476"/>
      <c r="AE25" s="476"/>
      <c r="AF25" s="476"/>
      <c r="AG25" s="476"/>
      <c r="AH25" s="476"/>
      <c r="AI25" s="476"/>
      <c r="AJ25" s="476"/>
      <c r="AK25" s="476"/>
      <c r="AL25" s="476"/>
      <c r="AM25" s="476"/>
      <c r="AN25" s="476"/>
      <c r="AO25" s="476"/>
      <c r="AP25" s="476"/>
      <c r="AQ25" s="476"/>
      <c r="AR25" s="476"/>
    </row>
    <row r="26" spans="1:44">
      <c r="A26" s="479"/>
      <c r="B26" s="476"/>
      <c r="C26" s="476"/>
      <c r="D26" s="476"/>
      <c r="E26" s="476"/>
      <c r="F26" s="476"/>
      <c r="G26" s="476"/>
      <c r="H26" s="476"/>
      <c r="I26" s="476"/>
      <c r="J26" s="476"/>
      <c r="K26" s="476"/>
      <c r="L26" s="476"/>
      <c r="M26" s="476"/>
      <c r="N26" s="476"/>
      <c r="O26" s="476"/>
      <c r="P26" s="476"/>
      <c r="Q26" s="476"/>
      <c r="R26" s="476"/>
      <c r="S26" s="476"/>
      <c r="T26" s="476"/>
      <c r="U26" s="476"/>
      <c r="V26" s="476"/>
      <c r="W26" s="476"/>
      <c r="X26" s="476"/>
      <c r="Y26" s="476"/>
      <c r="Z26" s="476"/>
      <c r="AA26" s="476"/>
      <c r="AB26" s="476"/>
      <c r="AC26" s="476"/>
      <c r="AD26" s="476"/>
      <c r="AE26" s="476"/>
      <c r="AF26" s="476"/>
      <c r="AG26" s="476"/>
      <c r="AH26" s="476"/>
      <c r="AI26" s="476"/>
      <c r="AJ26" s="476"/>
      <c r="AK26" s="476"/>
      <c r="AL26" s="476"/>
      <c r="AM26" s="476"/>
      <c r="AN26" s="476"/>
      <c r="AO26" s="476"/>
      <c r="AP26" s="476"/>
      <c r="AQ26" s="476"/>
      <c r="AR26" s="476"/>
    </row>
    <row r="27" spans="1:44">
      <c r="A27" s="480"/>
      <c r="B27" s="476"/>
      <c r="C27" s="476"/>
      <c r="D27" s="476"/>
      <c r="E27" s="476"/>
      <c r="F27" s="476"/>
      <c r="G27" s="476"/>
      <c r="H27" s="476"/>
      <c r="I27" s="476"/>
      <c r="J27" s="476"/>
      <c r="K27" s="476"/>
      <c r="L27" s="476"/>
      <c r="M27" s="476"/>
      <c r="N27" s="476"/>
      <c r="O27" s="476"/>
      <c r="P27" s="476"/>
      <c r="Q27" s="476"/>
      <c r="R27" s="476"/>
      <c r="S27" s="476"/>
      <c r="T27" s="476"/>
      <c r="U27" s="476"/>
      <c r="V27" s="476"/>
      <c r="W27" s="476"/>
      <c r="X27" s="476"/>
      <c r="Y27" s="476"/>
      <c r="Z27" s="476"/>
      <c r="AA27" s="476"/>
      <c r="AB27" s="476"/>
      <c r="AC27" s="476"/>
      <c r="AD27" s="476"/>
      <c r="AE27" s="476"/>
      <c r="AF27" s="476"/>
      <c r="AG27" s="476"/>
      <c r="AH27" s="476"/>
      <c r="AI27" s="476"/>
      <c r="AJ27" s="476"/>
      <c r="AK27" s="476"/>
      <c r="AL27" s="476"/>
      <c r="AM27" s="476"/>
      <c r="AN27" s="476"/>
      <c r="AO27" s="476"/>
      <c r="AP27" s="476"/>
      <c r="AQ27" s="476"/>
      <c r="AR27" s="476"/>
    </row>
    <row r="28" spans="1:44">
      <c r="A28" s="479"/>
      <c r="B28" s="476"/>
      <c r="C28" s="476"/>
      <c r="D28" s="476"/>
      <c r="E28" s="476"/>
      <c r="F28" s="476"/>
      <c r="G28" s="476"/>
      <c r="H28" s="476"/>
      <c r="I28" s="476"/>
      <c r="J28" s="476"/>
      <c r="K28" s="476"/>
      <c r="L28" s="476"/>
      <c r="M28" s="476"/>
      <c r="N28" s="476"/>
      <c r="O28" s="476"/>
      <c r="P28" s="476"/>
      <c r="Q28" s="476"/>
      <c r="R28" s="476"/>
      <c r="S28" s="476"/>
      <c r="T28" s="476"/>
      <c r="U28" s="476"/>
      <c r="V28" s="476"/>
      <c r="W28" s="476"/>
      <c r="X28" s="476"/>
      <c r="Y28" s="476"/>
      <c r="Z28" s="476"/>
      <c r="AA28" s="476"/>
      <c r="AB28" s="476"/>
      <c r="AC28" s="476"/>
      <c r="AD28" s="476"/>
      <c r="AE28" s="476"/>
      <c r="AF28" s="476"/>
      <c r="AG28" s="476"/>
      <c r="AH28" s="476"/>
      <c r="AI28" s="476"/>
      <c r="AJ28" s="476"/>
      <c r="AK28" s="476"/>
      <c r="AL28" s="476"/>
      <c r="AM28" s="476"/>
      <c r="AN28" s="476"/>
      <c r="AO28" s="476"/>
      <c r="AP28" s="476"/>
      <c r="AQ28" s="476"/>
      <c r="AR28" s="476"/>
    </row>
    <row r="29" spans="1:44">
      <c r="A29" s="477"/>
      <c r="B29" s="476"/>
      <c r="C29" s="476"/>
      <c r="D29" s="476"/>
      <c r="E29" s="476"/>
      <c r="F29" s="476"/>
      <c r="G29" s="476"/>
      <c r="H29" s="476"/>
      <c r="I29" s="476"/>
      <c r="J29" s="476"/>
      <c r="K29" s="476"/>
      <c r="L29" s="476"/>
      <c r="M29" s="476"/>
      <c r="N29" s="476"/>
      <c r="O29" s="476"/>
      <c r="P29" s="476"/>
      <c r="Q29" s="476"/>
      <c r="R29" s="476"/>
      <c r="S29" s="476"/>
      <c r="T29" s="476"/>
      <c r="U29" s="476"/>
      <c r="V29" s="476"/>
      <c r="W29" s="476"/>
      <c r="X29" s="476"/>
      <c r="Y29" s="476"/>
      <c r="Z29" s="476"/>
      <c r="AA29" s="476"/>
      <c r="AB29" s="476"/>
      <c r="AC29" s="476"/>
      <c r="AD29" s="476"/>
      <c r="AE29" s="476"/>
      <c r="AF29" s="476"/>
      <c r="AG29" s="476"/>
      <c r="AH29" s="476"/>
      <c r="AI29" s="476"/>
      <c r="AJ29" s="476"/>
      <c r="AK29" s="476"/>
      <c r="AL29" s="476"/>
      <c r="AM29" s="476"/>
      <c r="AN29" s="476"/>
      <c r="AO29" s="476"/>
      <c r="AP29" s="476"/>
      <c r="AQ29" s="476"/>
      <c r="AR29" s="476"/>
    </row>
    <row r="30" spans="1:44">
      <c r="A30" s="478"/>
      <c r="B30" s="476"/>
      <c r="C30" s="476"/>
      <c r="D30" s="476"/>
      <c r="E30" s="476"/>
      <c r="F30" s="476"/>
      <c r="G30" s="476"/>
      <c r="H30" s="476"/>
      <c r="I30" s="476"/>
      <c r="J30" s="476"/>
      <c r="K30" s="476"/>
      <c r="L30" s="476"/>
      <c r="M30" s="476"/>
      <c r="N30" s="476"/>
      <c r="O30" s="476"/>
      <c r="P30" s="476"/>
      <c r="Q30" s="476"/>
      <c r="R30" s="476"/>
      <c r="S30" s="476"/>
      <c r="T30" s="476"/>
      <c r="U30" s="476"/>
      <c r="V30" s="476"/>
      <c r="W30" s="476"/>
      <c r="X30" s="476"/>
      <c r="Y30" s="476"/>
      <c r="Z30" s="476"/>
      <c r="AA30" s="476"/>
      <c r="AB30" s="476"/>
      <c r="AC30" s="476"/>
      <c r="AD30" s="476"/>
      <c r="AE30" s="476"/>
      <c r="AF30" s="476"/>
      <c r="AG30" s="476"/>
      <c r="AH30" s="476"/>
      <c r="AI30" s="476"/>
      <c r="AJ30" s="476"/>
      <c r="AK30" s="476"/>
      <c r="AL30" s="476"/>
      <c r="AM30" s="476"/>
      <c r="AN30" s="476"/>
      <c r="AO30" s="476"/>
      <c r="AP30" s="476"/>
      <c r="AQ30" s="476"/>
      <c r="AR30" s="476"/>
    </row>
    <row r="31" spans="1:44">
      <c r="A31" s="477"/>
      <c r="B31" s="476"/>
      <c r="C31" s="476"/>
      <c r="D31" s="476"/>
      <c r="E31" s="476"/>
      <c r="F31" s="476"/>
      <c r="G31" s="476"/>
      <c r="H31" s="476"/>
      <c r="I31" s="476"/>
      <c r="J31" s="476"/>
      <c r="K31" s="476"/>
      <c r="L31" s="476"/>
      <c r="M31" s="476"/>
      <c r="N31" s="476"/>
      <c r="O31" s="476"/>
      <c r="P31" s="476"/>
      <c r="Q31" s="476"/>
      <c r="R31" s="476"/>
      <c r="S31" s="476"/>
      <c r="T31" s="476"/>
      <c r="U31" s="476"/>
      <c r="V31" s="476"/>
      <c r="W31" s="476"/>
      <c r="X31" s="476"/>
      <c r="Y31" s="476"/>
      <c r="Z31" s="476"/>
      <c r="AA31" s="476"/>
      <c r="AB31" s="476"/>
      <c r="AC31" s="476"/>
      <c r="AD31" s="476"/>
      <c r="AE31" s="476"/>
      <c r="AF31" s="476"/>
      <c r="AG31" s="476"/>
      <c r="AH31" s="476"/>
      <c r="AI31" s="476"/>
      <c r="AJ31" s="476"/>
      <c r="AK31" s="476"/>
      <c r="AL31" s="476"/>
      <c r="AM31" s="476"/>
      <c r="AN31" s="476"/>
      <c r="AO31" s="476"/>
      <c r="AP31" s="476"/>
      <c r="AQ31" s="476"/>
      <c r="AR31" s="476"/>
    </row>
    <row r="32" spans="1:44">
      <c r="A32" s="478"/>
      <c r="B32" s="476"/>
      <c r="C32" s="476"/>
      <c r="D32" s="476"/>
      <c r="E32" s="476"/>
      <c r="F32" s="476"/>
      <c r="G32" s="476"/>
      <c r="H32" s="476"/>
      <c r="I32" s="476"/>
      <c r="J32" s="476"/>
      <c r="K32" s="476"/>
      <c r="L32" s="476"/>
      <c r="M32" s="476"/>
      <c r="N32" s="476"/>
      <c r="O32" s="476"/>
      <c r="P32" s="476"/>
      <c r="Q32" s="476"/>
      <c r="R32" s="476"/>
      <c r="S32" s="476"/>
      <c r="T32" s="476"/>
      <c r="U32" s="476"/>
      <c r="V32" s="476"/>
      <c r="W32" s="476"/>
      <c r="X32" s="476"/>
      <c r="Y32" s="476"/>
      <c r="Z32" s="476"/>
      <c r="AA32" s="476"/>
      <c r="AB32" s="476"/>
      <c r="AC32" s="476"/>
      <c r="AD32" s="476"/>
      <c r="AE32" s="476"/>
      <c r="AF32" s="476"/>
      <c r="AG32" s="476"/>
      <c r="AH32" s="476"/>
      <c r="AI32" s="476"/>
      <c r="AJ32" s="476"/>
      <c r="AK32" s="476"/>
      <c r="AL32" s="476"/>
      <c r="AM32" s="476"/>
      <c r="AN32" s="476"/>
      <c r="AO32" s="476"/>
      <c r="AP32" s="476"/>
      <c r="AQ32" s="476"/>
      <c r="AR32" s="476"/>
    </row>
    <row r="33" spans="1:44">
      <c r="A33" s="477"/>
      <c r="B33" s="476"/>
      <c r="C33" s="476"/>
      <c r="D33" s="476"/>
      <c r="E33" s="476"/>
      <c r="F33" s="476"/>
      <c r="G33" s="476"/>
      <c r="H33" s="476"/>
      <c r="I33" s="476"/>
      <c r="J33" s="476"/>
      <c r="K33" s="476"/>
      <c r="L33" s="476"/>
      <c r="M33" s="476"/>
      <c r="N33" s="476"/>
      <c r="O33" s="476"/>
      <c r="P33" s="476"/>
      <c r="Q33" s="476"/>
      <c r="R33" s="476"/>
      <c r="S33" s="476"/>
      <c r="T33" s="476"/>
      <c r="U33" s="476"/>
      <c r="V33" s="476"/>
      <c r="W33" s="476"/>
      <c r="X33" s="476"/>
      <c r="Y33" s="476"/>
      <c r="Z33" s="476"/>
      <c r="AA33" s="476"/>
      <c r="AB33" s="476"/>
      <c r="AC33" s="476"/>
      <c r="AD33" s="476"/>
      <c r="AE33" s="476"/>
      <c r="AF33" s="476"/>
      <c r="AG33" s="476"/>
      <c r="AH33" s="476"/>
      <c r="AI33" s="476"/>
      <c r="AJ33" s="476"/>
      <c r="AK33" s="476"/>
      <c r="AL33" s="476"/>
      <c r="AM33" s="476"/>
      <c r="AN33" s="476"/>
      <c r="AO33" s="476"/>
      <c r="AP33" s="476"/>
      <c r="AQ33" s="476"/>
      <c r="AR33" s="476"/>
    </row>
    <row r="34" spans="1:44">
      <c r="A34" s="478"/>
      <c r="B34" s="476"/>
      <c r="C34" s="476"/>
      <c r="D34" s="476"/>
      <c r="E34" s="476"/>
      <c r="F34" s="476"/>
      <c r="G34" s="476"/>
      <c r="H34" s="476"/>
      <c r="I34" s="476"/>
      <c r="J34" s="476"/>
      <c r="K34" s="476"/>
      <c r="L34" s="476"/>
      <c r="M34" s="476"/>
      <c r="N34" s="476"/>
      <c r="O34" s="476"/>
      <c r="P34" s="476"/>
      <c r="Q34" s="476"/>
      <c r="R34" s="476"/>
      <c r="S34" s="476"/>
      <c r="T34" s="476"/>
      <c r="U34" s="476"/>
      <c r="V34" s="476"/>
      <c r="W34" s="476"/>
      <c r="X34" s="476"/>
      <c r="Y34" s="476"/>
      <c r="Z34" s="476"/>
      <c r="AA34" s="476"/>
      <c r="AB34" s="476"/>
      <c r="AC34" s="476"/>
      <c r="AD34" s="476"/>
      <c r="AE34" s="476"/>
      <c r="AF34" s="476"/>
      <c r="AG34" s="476"/>
      <c r="AH34" s="476"/>
      <c r="AI34" s="476"/>
      <c r="AJ34" s="476"/>
      <c r="AK34" s="476"/>
      <c r="AL34" s="476"/>
      <c r="AM34" s="476"/>
      <c r="AN34" s="476"/>
      <c r="AO34" s="476"/>
      <c r="AP34" s="476"/>
      <c r="AQ34" s="476"/>
      <c r="AR34" s="476"/>
    </row>
    <row r="35" spans="1:44">
      <c r="A35" s="477"/>
      <c r="B35" s="476"/>
      <c r="C35" s="476"/>
      <c r="D35" s="476"/>
      <c r="E35" s="476"/>
      <c r="F35" s="476"/>
      <c r="G35" s="476"/>
      <c r="H35" s="476"/>
      <c r="I35" s="476"/>
      <c r="J35" s="476"/>
      <c r="K35" s="476"/>
      <c r="L35" s="476"/>
      <c r="M35" s="476"/>
      <c r="N35" s="476"/>
      <c r="O35" s="476"/>
      <c r="P35" s="476"/>
      <c r="Q35" s="476"/>
      <c r="R35" s="476"/>
      <c r="S35" s="476"/>
      <c r="T35" s="476"/>
      <c r="U35" s="476"/>
      <c r="V35" s="476"/>
      <c r="W35" s="476"/>
      <c r="X35" s="476"/>
      <c r="Y35" s="476"/>
      <c r="Z35" s="476"/>
      <c r="AA35" s="476"/>
      <c r="AB35" s="476"/>
      <c r="AC35" s="476"/>
      <c r="AD35" s="476"/>
      <c r="AE35" s="476"/>
      <c r="AF35" s="476"/>
      <c r="AG35" s="476"/>
      <c r="AH35" s="476"/>
      <c r="AI35" s="476"/>
      <c r="AJ35" s="476"/>
      <c r="AK35" s="476"/>
      <c r="AL35" s="476"/>
      <c r="AM35" s="476"/>
      <c r="AN35" s="476"/>
      <c r="AO35" s="476"/>
      <c r="AP35" s="476"/>
      <c r="AQ35" s="476"/>
      <c r="AR35" s="476"/>
    </row>
    <row r="36" spans="1:44">
      <c r="A36" s="478"/>
      <c r="B36" s="476"/>
      <c r="C36" s="476"/>
      <c r="D36" s="476"/>
      <c r="E36" s="476"/>
      <c r="F36" s="476"/>
      <c r="G36" s="476"/>
      <c r="H36" s="476"/>
      <c r="I36" s="476"/>
      <c r="J36" s="476"/>
      <c r="K36" s="476"/>
      <c r="L36" s="476"/>
      <c r="M36" s="476"/>
      <c r="N36" s="476"/>
      <c r="O36" s="476"/>
      <c r="P36" s="476"/>
      <c r="Q36" s="476"/>
      <c r="R36" s="476"/>
      <c r="S36" s="476"/>
      <c r="T36" s="476"/>
      <c r="U36" s="476"/>
      <c r="V36" s="476"/>
      <c r="W36" s="476"/>
      <c r="X36" s="476"/>
      <c r="Y36" s="476"/>
      <c r="Z36" s="476"/>
      <c r="AA36" s="476"/>
      <c r="AB36" s="476"/>
      <c r="AC36" s="476"/>
      <c r="AD36" s="476"/>
      <c r="AE36" s="476"/>
      <c r="AF36" s="476"/>
      <c r="AG36" s="476"/>
      <c r="AH36" s="476"/>
      <c r="AI36" s="476"/>
      <c r="AJ36" s="476"/>
      <c r="AK36" s="476"/>
      <c r="AL36" s="476"/>
      <c r="AM36" s="476"/>
      <c r="AN36" s="476"/>
      <c r="AO36" s="476"/>
      <c r="AP36" s="476"/>
      <c r="AQ36" s="476"/>
      <c r="AR36" s="476"/>
    </row>
    <row r="37" spans="1:44">
      <c r="A37" s="477"/>
      <c r="B37" s="476"/>
      <c r="C37" s="476"/>
      <c r="D37" s="476"/>
      <c r="E37" s="476"/>
      <c r="F37" s="476"/>
      <c r="G37" s="476"/>
      <c r="H37" s="476"/>
      <c r="I37" s="476"/>
      <c r="J37" s="476"/>
      <c r="K37" s="476"/>
      <c r="L37" s="476"/>
      <c r="M37" s="476"/>
      <c r="N37" s="476"/>
      <c r="O37" s="476"/>
      <c r="P37" s="476"/>
      <c r="Q37" s="476"/>
      <c r="R37" s="476"/>
      <c r="S37" s="476"/>
      <c r="T37" s="476"/>
      <c r="U37" s="476"/>
      <c r="V37" s="476"/>
      <c r="W37" s="476"/>
      <c r="X37" s="476"/>
      <c r="Y37" s="476"/>
      <c r="Z37" s="476"/>
      <c r="AA37" s="476"/>
      <c r="AB37" s="476"/>
      <c r="AC37" s="476"/>
      <c r="AD37" s="476"/>
      <c r="AE37" s="476"/>
      <c r="AF37" s="476"/>
      <c r="AG37" s="476"/>
      <c r="AH37" s="476"/>
      <c r="AI37" s="476"/>
      <c r="AJ37" s="476"/>
      <c r="AK37" s="476"/>
      <c r="AL37" s="476"/>
      <c r="AM37" s="476"/>
      <c r="AN37" s="476"/>
      <c r="AO37" s="476"/>
      <c r="AP37" s="476"/>
      <c r="AQ37" s="476"/>
      <c r="AR37" s="476"/>
    </row>
    <row r="38" spans="1:44">
      <c r="A38" s="478"/>
      <c r="B38" s="476"/>
      <c r="C38" s="476"/>
      <c r="D38" s="476"/>
      <c r="E38" s="476"/>
      <c r="F38" s="476"/>
      <c r="G38" s="476"/>
      <c r="H38" s="476"/>
      <c r="I38" s="476"/>
      <c r="J38" s="476"/>
      <c r="K38" s="476"/>
      <c r="L38" s="476"/>
      <c r="M38" s="476"/>
      <c r="N38" s="476"/>
      <c r="O38" s="476"/>
      <c r="P38" s="476"/>
      <c r="Q38" s="476"/>
      <c r="R38" s="476"/>
      <c r="S38" s="476"/>
      <c r="T38" s="476"/>
      <c r="U38" s="476"/>
      <c r="V38" s="476"/>
      <c r="W38" s="476"/>
      <c r="X38" s="476"/>
      <c r="Y38" s="476"/>
      <c r="Z38" s="476"/>
      <c r="AA38" s="476"/>
      <c r="AB38" s="476"/>
      <c r="AC38" s="476"/>
      <c r="AD38" s="476"/>
      <c r="AE38" s="476"/>
      <c r="AF38" s="476"/>
      <c r="AG38" s="476"/>
      <c r="AH38" s="476"/>
      <c r="AI38" s="476"/>
      <c r="AJ38" s="476"/>
      <c r="AK38" s="476"/>
      <c r="AL38" s="476"/>
      <c r="AM38" s="476"/>
      <c r="AN38" s="476"/>
      <c r="AO38" s="476"/>
      <c r="AP38" s="476"/>
      <c r="AQ38" s="476"/>
      <c r="AR38" s="476"/>
    </row>
    <row r="39" spans="1:44">
      <c r="A39" s="477"/>
      <c r="B39" s="476"/>
      <c r="C39" s="476"/>
      <c r="D39" s="476"/>
      <c r="E39" s="476"/>
      <c r="F39" s="476"/>
      <c r="G39" s="476"/>
      <c r="H39" s="476"/>
      <c r="I39" s="476"/>
      <c r="J39" s="476"/>
      <c r="K39" s="476"/>
      <c r="L39" s="476"/>
      <c r="M39" s="476"/>
      <c r="N39" s="476"/>
      <c r="O39" s="476"/>
      <c r="P39" s="476"/>
      <c r="Q39" s="476"/>
      <c r="R39" s="476"/>
      <c r="S39" s="476"/>
      <c r="T39" s="476"/>
      <c r="U39" s="476"/>
      <c r="V39" s="476"/>
      <c r="W39" s="476"/>
      <c r="X39" s="476"/>
      <c r="Y39" s="476"/>
      <c r="Z39" s="476"/>
      <c r="AA39" s="476"/>
      <c r="AB39" s="476"/>
      <c r="AC39" s="476"/>
      <c r="AD39" s="476"/>
      <c r="AE39" s="476"/>
      <c r="AF39" s="476"/>
      <c r="AG39" s="476"/>
      <c r="AH39" s="476"/>
      <c r="AI39" s="476"/>
      <c r="AJ39" s="476"/>
      <c r="AK39" s="476"/>
      <c r="AL39" s="476"/>
      <c r="AM39" s="476"/>
      <c r="AN39" s="476"/>
      <c r="AO39" s="476"/>
      <c r="AP39" s="476"/>
      <c r="AQ39" s="476"/>
      <c r="AR39" s="476"/>
    </row>
    <row r="40" spans="1:44">
      <c r="A40" s="478"/>
      <c r="B40" s="476"/>
      <c r="C40" s="476"/>
      <c r="D40" s="476"/>
      <c r="E40" s="476"/>
      <c r="F40" s="476"/>
      <c r="G40" s="476"/>
      <c r="H40" s="476"/>
      <c r="I40" s="476"/>
      <c r="J40" s="476"/>
      <c r="K40" s="476"/>
      <c r="L40" s="476"/>
      <c r="M40" s="476"/>
      <c r="N40" s="476"/>
      <c r="O40" s="476"/>
      <c r="P40" s="476"/>
      <c r="Q40" s="476"/>
      <c r="R40" s="476"/>
      <c r="S40" s="476"/>
      <c r="T40" s="476"/>
      <c r="U40" s="476"/>
      <c r="V40" s="476"/>
      <c r="W40" s="476"/>
      <c r="X40" s="476"/>
      <c r="Y40" s="476"/>
      <c r="Z40" s="476"/>
      <c r="AA40" s="476"/>
      <c r="AB40" s="476"/>
      <c r="AC40" s="476"/>
      <c r="AD40" s="476"/>
      <c r="AE40" s="476"/>
      <c r="AF40" s="476"/>
      <c r="AG40" s="476"/>
      <c r="AH40" s="476"/>
      <c r="AI40" s="476"/>
      <c r="AJ40" s="476"/>
      <c r="AK40" s="476"/>
      <c r="AL40" s="476"/>
      <c r="AM40" s="476"/>
      <c r="AN40" s="476"/>
      <c r="AO40" s="476"/>
      <c r="AP40" s="476"/>
      <c r="AQ40" s="476"/>
      <c r="AR40" s="476"/>
    </row>
    <row r="41" spans="1:44">
      <c r="A41" s="477"/>
      <c r="B41" s="476"/>
      <c r="C41" s="476"/>
      <c r="D41" s="476"/>
      <c r="E41" s="476"/>
      <c r="F41" s="476"/>
      <c r="G41" s="476"/>
      <c r="H41" s="476"/>
      <c r="I41" s="476"/>
      <c r="J41" s="476"/>
      <c r="K41" s="476"/>
      <c r="L41" s="476"/>
      <c r="M41" s="476"/>
      <c r="N41" s="476"/>
      <c r="O41" s="476"/>
      <c r="P41" s="476"/>
      <c r="Q41" s="476"/>
      <c r="R41" s="476"/>
      <c r="S41" s="476"/>
      <c r="T41" s="476"/>
      <c r="U41" s="476"/>
      <c r="V41" s="476"/>
      <c r="W41" s="476"/>
      <c r="X41" s="476"/>
      <c r="Y41" s="476"/>
      <c r="Z41" s="476"/>
      <c r="AA41" s="476"/>
      <c r="AB41" s="476"/>
      <c r="AC41" s="476"/>
      <c r="AD41" s="476"/>
      <c r="AE41" s="476"/>
      <c r="AF41" s="476"/>
      <c r="AG41" s="476"/>
      <c r="AH41" s="476"/>
      <c r="AI41" s="476"/>
      <c r="AJ41" s="476"/>
      <c r="AK41" s="476"/>
      <c r="AL41" s="476"/>
      <c r="AM41" s="476"/>
      <c r="AN41" s="476"/>
      <c r="AO41" s="476"/>
      <c r="AP41" s="476"/>
      <c r="AQ41" s="476"/>
      <c r="AR41" s="476"/>
    </row>
    <row r="42" spans="1:44">
      <c r="A42" s="478"/>
      <c r="B42" s="476"/>
      <c r="C42" s="476"/>
      <c r="D42" s="476"/>
      <c r="E42" s="476"/>
      <c r="F42" s="476"/>
      <c r="G42" s="476"/>
      <c r="H42" s="476"/>
      <c r="I42" s="476"/>
      <c r="J42" s="476"/>
      <c r="K42" s="476"/>
      <c r="L42" s="476"/>
      <c r="M42" s="476"/>
      <c r="N42" s="476"/>
      <c r="O42" s="476"/>
      <c r="P42" s="476"/>
      <c r="Q42" s="476"/>
      <c r="R42" s="476"/>
      <c r="S42" s="476"/>
      <c r="T42" s="476"/>
      <c r="U42" s="476"/>
      <c r="V42" s="476"/>
      <c r="W42" s="476"/>
      <c r="X42" s="476"/>
      <c r="Y42" s="476"/>
      <c r="Z42" s="476"/>
      <c r="AA42" s="476"/>
      <c r="AB42" s="476"/>
      <c r="AC42" s="476"/>
      <c r="AD42" s="476"/>
      <c r="AE42" s="476"/>
      <c r="AF42" s="476"/>
      <c r="AG42" s="476"/>
      <c r="AH42" s="476"/>
      <c r="AI42" s="476"/>
      <c r="AJ42" s="476"/>
      <c r="AK42" s="476"/>
      <c r="AL42" s="476"/>
      <c r="AM42" s="476"/>
      <c r="AN42" s="476"/>
      <c r="AO42" s="476"/>
      <c r="AP42" s="476"/>
      <c r="AQ42" s="476"/>
      <c r="AR42" s="476"/>
    </row>
    <row r="43" spans="1:44">
      <c r="A43" s="477"/>
      <c r="B43" s="476"/>
      <c r="C43" s="476"/>
      <c r="D43" s="476"/>
      <c r="E43" s="476"/>
      <c r="F43" s="476"/>
      <c r="G43" s="476"/>
      <c r="H43" s="476"/>
      <c r="I43" s="476"/>
      <c r="J43" s="476"/>
      <c r="K43" s="476"/>
      <c r="L43" s="476"/>
      <c r="M43" s="476"/>
      <c r="N43" s="476"/>
      <c r="O43" s="476"/>
      <c r="P43" s="476"/>
      <c r="Q43" s="476"/>
      <c r="R43" s="476"/>
      <c r="S43" s="476"/>
      <c r="T43" s="476"/>
      <c r="U43" s="476"/>
      <c r="V43" s="476"/>
      <c r="W43" s="476"/>
      <c r="X43" s="476"/>
      <c r="Y43" s="476"/>
      <c r="Z43" s="476"/>
      <c r="AA43" s="476"/>
      <c r="AB43" s="476"/>
      <c r="AC43" s="476"/>
      <c r="AD43" s="476"/>
      <c r="AE43" s="476"/>
      <c r="AF43" s="476"/>
      <c r="AG43" s="476"/>
      <c r="AH43" s="476"/>
      <c r="AI43" s="476"/>
      <c r="AJ43" s="476"/>
      <c r="AK43" s="476"/>
      <c r="AL43" s="476"/>
      <c r="AM43" s="476"/>
      <c r="AN43" s="476"/>
      <c r="AO43" s="476"/>
      <c r="AP43" s="476"/>
      <c r="AQ43" s="476"/>
      <c r="AR43" s="476"/>
    </row>
    <row r="44" spans="1:44">
      <c r="A44" s="478"/>
      <c r="B44" s="476"/>
      <c r="C44" s="476"/>
      <c r="D44" s="476"/>
      <c r="E44" s="476"/>
      <c r="F44" s="476"/>
      <c r="G44" s="476"/>
      <c r="H44" s="476"/>
      <c r="I44" s="476"/>
      <c r="J44" s="476"/>
      <c r="K44" s="476"/>
      <c r="L44" s="476"/>
      <c r="M44" s="476"/>
      <c r="N44" s="476"/>
      <c r="O44" s="476"/>
      <c r="P44" s="476"/>
      <c r="Q44" s="476"/>
      <c r="R44" s="476"/>
      <c r="S44" s="476"/>
      <c r="T44" s="476"/>
      <c r="U44" s="476"/>
      <c r="V44" s="476"/>
      <c r="W44" s="476"/>
      <c r="X44" s="476"/>
      <c r="Y44" s="476"/>
      <c r="Z44" s="476"/>
      <c r="AA44" s="476"/>
      <c r="AB44" s="476"/>
      <c r="AC44" s="476"/>
      <c r="AD44" s="476"/>
      <c r="AE44" s="476"/>
      <c r="AF44" s="476"/>
      <c r="AG44" s="476"/>
      <c r="AH44" s="476"/>
      <c r="AI44" s="476"/>
      <c r="AJ44" s="476"/>
      <c r="AK44" s="476"/>
      <c r="AL44" s="476"/>
      <c r="AM44" s="476"/>
      <c r="AN44" s="476"/>
      <c r="AO44" s="476"/>
      <c r="AP44" s="476"/>
      <c r="AQ44" s="476"/>
      <c r="AR44" s="476"/>
    </row>
    <row r="45" spans="1:44">
      <c r="A45" s="477"/>
      <c r="B45" s="476"/>
      <c r="C45" s="476"/>
      <c r="D45" s="476"/>
      <c r="E45" s="476"/>
      <c r="F45" s="476"/>
      <c r="G45" s="476"/>
      <c r="H45" s="476"/>
      <c r="I45" s="476"/>
      <c r="J45" s="476"/>
      <c r="K45" s="476"/>
      <c r="L45" s="476"/>
      <c r="M45" s="476"/>
      <c r="N45" s="476"/>
      <c r="O45" s="476"/>
      <c r="P45" s="476"/>
      <c r="Q45" s="476"/>
      <c r="R45" s="476"/>
      <c r="S45" s="476"/>
      <c r="T45" s="476"/>
      <c r="U45" s="476"/>
      <c r="V45" s="476"/>
      <c r="W45" s="476"/>
      <c r="X45" s="476"/>
      <c r="Y45" s="476"/>
      <c r="Z45" s="476"/>
      <c r="AA45" s="476"/>
      <c r="AB45" s="476"/>
      <c r="AC45" s="476"/>
      <c r="AD45" s="476"/>
      <c r="AE45" s="476"/>
      <c r="AF45" s="476"/>
      <c r="AG45" s="476"/>
      <c r="AH45" s="476"/>
      <c r="AI45" s="476"/>
      <c r="AJ45" s="476"/>
      <c r="AK45" s="476"/>
      <c r="AL45" s="476"/>
      <c r="AM45" s="476"/>
      <c r="AN45" s="476"/>
      <c r="AO45" s="476"/>
      <c r="AP45" s="476"/>
      <c r="AQ45" s="476"/>
      <c r="AR45" s="476"/>
    </row>
    <row r="46" spans="1:44">
      <c r="A46" s="478"/>
      <c r="B46" s="476"/>
      <c r="C46" s="476"/>
      <c r="D46" s="476"/>
      <c r="E46" s="476"/>
      <c r="F46" s="476"/>
      <c r="G46" s="476"/>
      <c r="H46" s="476"/>
      <c r="I46" s="476"/>
      <c r="J46" s="476"/>
      <c r="K46" s="476"/>
      <c r="L46" s="476"/>
      <c r="M46" s="476"/>
      <c r="N46" s="476"/>
      <c r="O46" s="476"/>
      <c r="P46" s="476"/>
      <c r="Q46" s="476"/>
      <c r="R46" s="476"/>
      <c r="S46" s="476"/>
      <c r="T46" s="476"/>
      <c r="U46" s="476"/>
      <c r="V46" s="476"/>
      <c r="W46" s="476"/>
      <c r="X46" s="476"/>
      <c r="Y46" s="476"/>
      <c r="Z46" s="476"/>
      <c r="AA46" s="476"/>
      <c r="AB46" s="476"/>
      <c r="AC46" s="476"/>
      <c r="AD46" s="476"/>
      <c r="AE46" s="476"/>
      <c r="AF46" s="476"/>
      <c r="AG46" s="476"/>
      <c r="AH46" s="476"/>
      <c r="AI46" s="476"/>
      <c r="AJ46" s="476"/>
      <c r="AK46" s="476"/>
      <c r="AL46" s="476"/>
      <c r="AM46" s="476"/>
      <c r="AN46" s="476"/>
      <c r="AO46" s="476"/>
      <c r="AP46" s="476"/>
      <c r="AQ46" s="476"/>
      <c r="AR46" s="476"/>
    </row>
    <row r="47" spans="1:44">
      <c r="A47" s="477"/>
      <c r="B47" s="476"/>
      <c r="C47" s="476"/>
      <c r="D47" s="476"/>
      <c r="E47" s="476"/>
      <c r="F47" s="476"/>
      <c r="G47" s="476"/>
      <c r="H47" s="476"/>
      <c r="I47" s="476"/>
      <c r="J47" s="476"/>
      <c r="K47" s="476"/>
      <c r="L47" s="476"/>
      <c r="M47" s="476"/>
      <c r="N47" s="476"/>
      <c r="O47" s="476"/>
      <c r="P47" s="476"/>
      <c r="Q47" s="476"/>
      <c r="R47" s="476"/>
      <c r="S47" s="476"/>
      <c r="T47" s="476"/>
      <c r="U47" s="476"/>
      <c r="V47" s="476"/>
      <c r="W47" s="476"/>
      <c r="X47" s="476"/>
      <c r="Y47" s="476"/>
      <c r="Z47" s="476"/>
      <c r="AA47" s="476"/>
      <c r="AB47" s="476"/>
      <c r="AC47" s="476"/>
      <c r="AD47" s="476"/>
      <c r="AE47" s="476"/>
      <c r="AF47" s="476"/>
      <c r="AG47" s="476"/>
      <c r="AH47" s="476"/>
      <c r="AI47" s="476"/>
      <c r="AJ47" s="476"/>
      <c r="AK47" s="476"/>
      <c r="AL47" s="476"/>
      <c r="AM47" s="476"/>
      <c r="AN47" s="476"/>
      <c r="AO47" s="476"/>
      <c r="AP47" s="476"/>
      <c r="AQ47" s="476"/>
      <c r="AR47" s="476"/>
    </row>
    <row r="48" spans="1:44">
      <c r="A48" s="478"/>
      <c r="B48" s="476"/>
      <c r="C48" s="476"/>
      <c r="D48" s="476"/>
      <c r="E48" s="476"/>
      <c r="F48" s="476"/>
      <c r="G48" s="476"/>
      <c r="H48" s="476"/>
      <c r="I48" s="476"/>
      <c r="J48" s="476"/>
      <c r="K48" s="476"/>
      <c r="L48" s="476"/>
      <c r="M48" s="476"/>
      <c r="N48" s="476"/>
      <c r="O48" s="476"/>
      <c r="P48" s="476"/>
      <c r="Q48" s="476"/>
      <c r="R48" s="476"/>
      <c r="S48" s="476"/>
      <c r="T48" s="476"/>
      <c r="U48" s="476"/>
      <c r="V48" s="476"/>
      <c r="W48" s="476"/>
      <c r="X48" s="476"/>
      <c r="Y48" s="476"/>
      <c r="Z48" s="476"/>
      <c r="AA48" s="476"/>
      <c r="AB48" s="476"/>
      <c r="AC48" s="476"/>
      <c r="AD48" s="476"/>
      <c r="AE48" s="476"/>
      <c r="AF48" s="476"/>
      <c r="AG48" s="476"/>
      <c r="AH48" s="476"/>
      <c r="AI48" s="476"/>
      <c r="AJ48" s="476"/>
      <c r="AK48" s="476"/>
      <c r="AL48" s="476"/>
      <c r="AM48" s="476"/>
      <c r="AN48" s="476"/>
      <c r="AO48" s="476"/>
      <c r="AP48" s="476"/>
      <c r="AQ48" s="476"/>
      <c r="AR48" s="476"/>
    </row>
    <row r="49" spans="1:44">
      <c r="A49" s="477"/>
      <c r="B49" s="476"/>
      <c r="C49" s="476"/>
      <c r="D49" s="476"/>
      <c r="E49" s="476"/>
      <c r="F49" s="476"/>
      <c r="G49" s="476"/>
      <c r="H49" s="476"/>
      <c r="I49" s="476"/>
      <c r="J49" s="476"/>
      <c r="K49" s="476"/>
      <c r="L49" s="476"/>
      <c r="M49" s="476"/>
      <c r="N49" s="476"/>
      <c r="O49" s="476"/>
      <c r="P49" s="476"/>
      <c r="Q49" s="476"/>
      <c r="R49" s="476"/>
      <c r="S49" s="476"/>
      <c r="T49" s="476"/>
      <c r="U49" s="476"/>
      <c r="V49" s="476"/>
      <c r="W49" s="476"/>
      <c r="X49" s="476"/>
      <c r="Y49" s="476"/>
      <c r="Z49" s="476"/>
      <c r="AA49" s="476"/>
      <c r="AB49" s="476"/>
      <c r="AC49" s="476"/>
      <c r="AD49" s="476"/>
      <c r="AE49" s="476"/>
      <c r="AF49" s="476"/>
      <c r="AG49" s="476"/>
      <c r="AH49" s="476"/>
      <c r="AI49" s="476"/>
      <c r="AJ49" s="476"/>
      <c r="AK49" s="476"/>
      <c r="AL49" s="476"/>
      <c r="AM49" s="476"/>
      <c r="AN49" s="476"/>
      <c r="AO49" s="476"/>
      <c r="AP49" s="476"/>
      <c r="AQ49" s="476"/>
      <c r="AR49" s="476"/>
    </row>
    <row r="50" spans="1:44">
      <c r="A50" s="478"/>
      <c r="B50" s="476"/>
      <c r="C50" s="476"/>
      <c r="D50" s="476"/>
      <c r="E50" s="476"/>
      <c r="F50" s="476"/>
      <c r="G50" s="476"/>
      <c r="H50" s="476"/>
      <c r="I50" s="476"/>
      <c r="J50" s="476"/>
      <c r="K50" s="476"/>
      <c r="L50" s="476"/>
      <c r="M50" s="476"/>
      <c r="N50" s="476"/>
      <c r="O50" s="476"/>
      <c r="P50" s="476"/>
      <c r="Q50" s="476"/>
      <c r="R50" s="476"/>
      <c r="S50" s="476"/>
      <c r="T50" s="476"/>
      <c r="U50" s="476"/>
      <c r="V50" s="476"/>
      <c r="W50" s="476"/>
      <c r="X50" s="476"/>
      <c r="Y50" s="476"/>
      <c r="Z50" s="476"/>
      <c r="AA50" s="476"/>
      <c r="AB50" s="476"/>
      <c r="AC50" s="476"/>
      <c r="AD50" s="476"/>
      <c r="AE50" s="476"/>
      <c r="AF50" s="476"/>
      <c r="AG50" s="476"/>
      <c r="AH50" s="476"/>
      <c r="AI50" s="476"/>
      <c r="AJ50" s="476"/>
      <c r="AK50" s="476"/>
      <c r="AL50" s="476"/>
      <c r="AM50" s="476"/>
      <c r="AN50" s="476"/>
      <c r="AO50" s="476"/>
      <c r="AP50" s="476"/>
      <c r="AQ50" s="476"/>
      <c r="AR50" s="476"/>
    </row>
    <row r="51" spans="1:44">
      <c r="A51" s="477"/>
      <c r="B51" s="476"/>
      <c r="C51" s="476"/>
      <c r="D51" s="476"/>
      <c r="E51" s="476"/>
      <c r="F51" s="476"/>
      <c r="G51" s="476"/>
      <c r="H51" s="476"/>
      <c r="I51" s="476"/>
      <c r="J51" s="476"/>
      <c r="K51" s="476"/>
      <c r="L51" s="476"/>
      <c r="M51" s="476"/>
      <c r="N51" s="476"/>
      <c r="O51" s="476"/>
      <c r="P51" s="476"/>
      <c r="Q51" s="476"/>
      <c r="R51" s="476"/>
      <c r="S51" s="476"/>
      <c r="T51" s="476"/>
      <c r="U51" s="476"/>
      <c r="V51" s="476"/>
      <c r="W51" s="476"/>
      <c r="X51" s="476"/>
      <c r="Y51" s="476"/>
      <c r="Z51" s="476"/>
      <c r="AA51" s="476"/>
      <c r="AB51" s="476"/>
      <c r="AC51" s="476"/>
      <c r="AD51" s="476"/>
      <c r="AE51" s="476"/>
      <c r="AF51" s="476"/>
      <c r="AG51" s="476"/>
      <c r="AH51" s="476"/>
      <c r="AI51" s="476"/>
      <c r="AJ51" s="476"/>
      <c r="AK51" s="476"/>
      <c r="AL51" s="476"/>
      <c r="AM51" s="476"/>
      <c r="AN51" s="476"/>
      <c r="AO51" s="476"/>
      <c r="AP51" s="476"/>
      <c r="AQ51" s="476"/>
      <c r="AR51" s="476"/>
    </row>
    <row r="52" spans="1:44">
      <c r="A52" s="478"/>
      <c r="B52" s="476"/>
      <c r="C52" s="476"/>
      <c r="D52" s="476"/>
      <c r="E52" s="476"/>
      <c r="F52" s="476"/>
      <c r="G52" s="476"/>
      <c r="H52" s="476"/>
      <c r="I52" s="476"/>
      <c r="J52" s="476"/>
      <c r="K52" s="476"/>
      <c r="L52" s="476"/>
      <c r="M52" s="476"/>
      <c r="N52" s="476"/>
      <c r="O52" s="476"/>
      <c r="P52" s="476"/>
      <c r="Q52" s="476"/>
      <c r="R52" s="476"/>
      <c r="S52" s="476"/>
      <c r="T52" s="476"/>
      <c r="U52" s="476"/>
      <c r="V52" s="476"/>
      <c r="W52" s="476"/>
      <c r="X52" s="476"/>
      <c r="Y52" s="476"/>
      <c r="Z52" s="476"/>
      <c r="AA52" s="476"/>
      <c r="AB52" s="476"/>
      <c r="AC52" s="476"/>
      <c r="AD52" s="476"/>
      <c r="AE52" s="476"/>
      <c r="AF52" s="476"/>
      <c r="AG52" s="476"/>
      <c r="AH52" s="476"/>
      <c r="AI52" s="476"/>
      <c r="AJ52" s="476"/>
      <c r="AK52" s="476"/>
      <c r="AL52" s="476"/>
      <c r="AM52" s="476"/>
      <c r="AN52" s="476"/>
      <c r="AO52" s="476"/>
      <c r="AP52" s="476"/>
      <c r="AQ52" s="476"/>
      <c r="AR52" s="476"/>
    </row>
    <row r="53" spans="1:44">
      <c r="A53" s="477"/>
      <c r="B53" s="476"/>
      <c r="C53" s="476"/>
      <c r="D53" s="476"/>
      <c r="E53" s="476"/>
      <c r="F53" s="476"/>
      <c r="G53" s="476"/>
      <c r="H53" s="476"/>
      <c r="I53" s="476"/>
      <c r="J53" s="476"/>
      <c r="K53" s="476"/>
      <c r="L53" s="476"/>
      <c r="M53" s="476"/>
      <c r="N53" s="476"/>
      <c r="O53" s="476"/>
      <c r="P53" s="476"/>
      <c r="Q53" s="476"/>
      <c r="R53" s="476"/>
      <c r="S53" s="476"/>
      <c r="T53" s="476"/>
      <c r="U53" s="476"/>
      <c r="V53" s="476"/>
      <c r="W53" s="476"/>
      <c r="X53" s="476"/>
      <c r="Y53" s="476"/>
      <c r="Z53" s="476"/>
      <c r="AA53" s="476"/>
      <c r="AB53" s="476"/>
      <c r="AC53" s="476"/>
      <c r="AD53" s="476"/>
      <c r="AE53" s="476"/>
      <c r="AF53" s="476"/>
      <c r="AG53" s="476"/>
      <c r="AH53" s="476"/>
      <c r="AI53" s="476"/>
      <c r="AJ53" s="476"/>
      <c r="AK53" s="476"/>
      <c r="AL53" s="476"/>
      <c r="AM53" s="476"/>
      <c r="AN53" s="476"/>
      <c r="AO53" s="476"/>
      <c r="AP53" s="476"/>
      <c r="AQ53" s="476"/>
      <c r="AR53" s="476"/>
    </row>
    <row r="54" spans="1:44">
      <c r="A54" s="478"/>
      <c r="B54" s="476"/>
      <c r="C54" s="476"/>
      <c r="D54" s="476"/>
      <c r="E54" s="476"/>
      <c r="F54" s="476"/>
      <c r="G54" s="476"/>
      <c r="H54" s="476"/>
      <c r="I54" s="476"/>
      <c r="J54" s="476"/>
      <c r="K54" s="476"/>
      <c r="L54" s="476"/>
      <c r="M54" s="476"/>
      <c r="N54" s="476"/>
      <c r="O54" s="476"/>
      <c r="P54" s="476"/>
      <c r="Q54" s="476"/>
      <c r="R54" s="476"/>
      <c r="S54" s="476"/>
      <c r="T54" s="476"/>
      <c r="U54" s="476"/>
      <c r="V54" s="476"/>
      <c r="W54" s="476"/>
      <c r="X54" s="476"/>
      <c r="Y54" s="476"/>
      <c r="Z54" s="476"/>
      <c r="AA54" s="476"/>
      <c r="AB54" s="476"/>
      <c r="AC54" s="476"/>
      <c r="AD54" s="476"/>
      <c r="AE54" s="476"/>
      <c r="AF54" s="476"/>
      <c r="AG54" s="476"/>
      <c r="AH54" s="476"/>
      <c r="AI54" s="476"/>
      <c r="AJ54" s="476"/>
      <c r="AK54" s="476"/>
      <c r="AL54" s="476"/>
      <c r="AM54" s="476"/>
      <c r="AN54" s="476"/>
      <c r="AO54" s="476"/>
      <c r="AP54" s="476"/>
      <c r="AQ54" s="476"/>
      <c r="AR54" s="476"/>
    </row>
    <row r="55" spans="1:44">
      <c r="A55" s="477"/>
      <c r="B55" s="476"/>
      <c r="C55" s="476"/>
      <c r="D55" s="476"/>
      <c r="E55" s="476"/>
      <c r="F55" s="476"/>
      <c r="G55" s="476"/>
      <c r="H55" s="476"/>
      <c r="I55" s="476"/>
      <c r="J55" s="476"/>
      <c r="K55" s="476"/>
      <c r="L55" s="476"/>
      <c r="M55" s="476"/>
      <c r="N55" s="476"/>
      <c r="O55" s="476"/>
      <c r="P55" s="476"/>
      <c r="Q55" s="476"/>
      <c r="R55" s="476"/>
      <c r="S55" s="476"/>
      <c r="T55" s="476"/>
      <c r="U55" s="476"/>
      <c r="V55" s="476"/>
      <c r="W55" s="476"/>
      <c r="X55" s="476"/>
      <c r="Y55" s="476"/>
      <c r="Z55" s="476"/>
      <c r="AA55" s="476"/>
      <c r="AB55" s="476"/>
      <c r="AC55" s="476"/>
      <c r="AD55" s="476"/>
      <c r="AE55" s="476"/>
      <c r="AF55" s="476"/>
      <c r="AG55" s="476"/>
      <c r="AH55" s="476"/>
      <c r="AI55" s="476"/>
      <c r="AJ55" s="476"/>
      <c r="AK55" s="476"/>
      <c r="AL55" s="476"/>
      <c r="AM55" s="476"/>
      <c r="AN55" s="476"/>
      <c r="AO55" s="476"/>
      <c r="AP55" s="476"/>
      <c r="AQ55" s="476"/>
      <c r="AR55" s="476"/>
    </row>
    <row r="56" spans="1:44">
      <c r="A56" s="478"/>
      <c r="B56" s="476"/>
      <c r="C56" s="476"/>
      <c r="D56" s="476"/>
      <c r="E56" s="476"/>
      <c r="F56" s="476"/>
      <c r="G56" s="476"/>
      <c r="H56" s="476"/>
      <c r="I56" s="476"/>
      <c r="J56" s="476"/>
      <c r="K56" s="476"/>
      <c r="L56" s="476"/>
      <c r="M56" s="476"/>
      <c r="N56" s="476"/>
      <c r="O56" s="476"/>
      <c r="P56" s="476"/>
      <c r="Q56" s="476"/>
      <c r="R56" s="476"/>
      <c r="S56" s="476"/>
      <c r="T56" s="476"/>
      <c r="U56" s="476"/>
      <c r="V56" s="476"/>
      <c r="W56" s="476"/>
      <c r="X56" s="476"/>
      <c r="Y56" s="476"/>
      <c r="Z56" s="476"/>
      <c r="AA56" s="476"/>
      <c r="AB56" s="476"/>
      <c r="AC56" s="476"/>
      <c r="AD56" s="476"/>
      <c r="AE56" s="476"/>
      <c r="AF56" s="476"/>
      <c r="AG56" s="476"/>
      <c r="AH56" s="476"/>
      <c r="AI56" s="476"/>
      <c r="AJ56" s="476"/>
      <c r="AK56" s="476"/>
      <c r="AL56" s="476"/>
      <c r="AM56" s="476"/>
      <c r="AN56" s="476"/>
      <c r="AO56" s="476"/>
      <c r="AP56" s="476"/>
      <c r="AQ56" s="476"/>
      <c r="AR56" s="476"/>
    </row>
    <row r="57" spans="1:44">
      <c r="A57" s="477"/>
      <c r="B57" s="476"/>
      <c r="C57" s="476"/>
      <c r="D57" s="476"/>
      <c r="E57" s="476"/>
      <c r="F57" s="476"/>
      <c r="G57" s="476"/>
      <c r="H57" s="476"/>
      <c r="I57" s="476"/>
      <c r="J57" s="476"/>
      <c r="K57" s="476"/>
      <c r="L57" s="476"/>
      <c r="M57" s="476"/>
      <c r="N57" s="476"/>
      <c r="O57" s="476"/>
      <c r="P57" s="476"/>
      <c r="Q57" s="476"/>
      <c r="R57" s="476"/>
      <c r="S57" s="476"/>
      <c r="T57" s="476"/>
      <c r="U57" s="476"/>
      <c r="V57" s="476"/>
      <c r="W57" s="476"/>
      <c r="X57" s="476"/>
      <c r="Y57" s="476"/>
      <c r="Z57" s="476"/>
      <c r="AA57" s="476"/>
      <c r="AB57" s="476"/>
      <c r="AC57" s="476"/>
      <c r="AD57" s="476"/>
      <c r="AE57" s="476"/>
      <c r="AF57" s="476"/>
      <c r="AG57" s="476"/>
      <c r="AH57" s="476"/>
      <c r="AI57" s="476"/>
      <c r="AJ57" s="476"/>
      <c r="AK57" s="476"/>
      <c r="AL57" s="476"/>
      <c r="AM57" s="476"/>
      <c r="AN57" s="476"/>
      <c r="AO57" s="476"/>
      <c r="AP57" s="476"/>
      <c r="AQ57" s="476"/>
      <c r="AR57" s="476"/>
    </row>
    <row r="58" spans="1:44">
      <c r="A58" s="478"/>
      <c r="B58" s="476"/>
      <c r="C58" s="476"/>
      <c r="D58" s="476"/>
      <c r="E58" s="476"/>
      <c r="F58" s="476"/>
      <c r="G58" s="476"/>
      <c r="H58" s="476"/>
      <c r="I58" s="476"/>
      <c r="J58" s="476"/>
      <c r="K58" s="476"/>
      <c r="L58" s="476"/>
      <c r="M58" s="476"/>
      <c r="N58" s="476"/>
      <c r="O58" s="476"/>
      <c r="P58" s="476"/>
      <c r="Q58" s="476"/>
      <c r="R58" s="476"/>
      <c r="S58" s="476"/>
      <c r="T58" s="476"/>
      <c r="U58" s="476"/>
      <c r="V58" s="476"/>
      <c r="W58" s="476"/>
      <c r="X58" s="476"/>
      <c r="Y58" s="476"/>
      <c r="Z58" s="476"/>
      <c r="AA58" s="476"/>
      <c r="AB58" s="476"/>
      <c r="AC58" s="476"/>
      <c r="AD58" s="476"/>
      <c r="AE58" s="476"/>
      <c r="AF58" s="476"/>
      <c r="AG58" s="476"/>
      <c r="AH58" s="476"/>
      <c r="AI58" s="476"/>
      <c r="AJ58" s="476"/>
      <c r="AK58" s="476"/>
      <c r="AL58" s="476"/>
      <c r="AM58" s="476"/>
      <c r="AN58" s="476"/>
      <c r="AO58" s="476"/>
      <c r="AP58" s="476"/>
      <c r="AQ58" s="476"/>
      <c r="AR58" s="476"/>
    </row>
    <row r="59" spans="1:44">
      <c r="A59" s="477"/>
      <c r="B59" s="476"/>
      <c r="C59" s="476"/>
      <c r="D59" s="476"/>
      <c r="E59" s="476"/>
      <c r="F59" s="476"/>
      <c r="G59" s="476"/>
      <c r="H59" s="476"/>
      <c r="I59" s="476"/>
      <c r="J59" s="476"/>
      <c r="K59" s="476"/>
      <c r="L59" s="476"/>
      <c r="M59" s="476"/>
      <c r="N59" s="476"/>
      <c r="O59" s="476"/>
      <c r="P59" s="476"/>
      <c r="Q59" s="476"/>
      <c r="R59" s="476"/>
      <c r="S59" s="476"/>
      <c r="T59" s="476"/>
      <c r="U59" s="476"/>
      <c r="V59" s="476"/>
      <c r="W59" s="476"/>
      <c r="X59" s="476"/>
      <c r="Y59" s="476"/>
      <c r="Z59" s="476"/>
      <c r="AA59" s="476"/>
      <c r="AB59" s="476"/>
      <c r="AC59" s="476"/>
      <c r="AD59" s="476"/>
      <c r="AE59" s="476"/>
      <c r="AF59" s="476"/>
      <c r="AG59" s="476"/>
      <c r="AH59" s="476"/>
      <c r="AI59" s="476"/>
      <c r="AJ59" s="476"/>
      <c r="AK59" s="476"/>
      <c r="AL59" s="476"/>
      <c r="AM59" s="476"/>
      <c r="AN59" s="476"/>
      <c r="AO59" s="476"/>
      <c r="AP59" s="476"/>
      <c r="AQ59" s="476"/>
      <c r="AR59" s="476"/>
    </row>
    <row r="60" spans="1:44">
      <c r="A60" s="478"/>
      <c r="B60" s="476"/>
      <c r="C60" s="476"/>
      <c r="D60" s="476"/>
      <c r="E60" s="476"/>
      <c r="F60" s="476"/>
      <c r="G60" s="476"/>
      <c r="H60" s="476"/>
      <c r="I60" s="476"/>
      <c r="J60" s="476"/>
      <c r="K60" s="476"/>
      <c r="L60" s="476"/>
      <c r="M60" s="476"/>
      <c r="N60" s="476"/>
      <c r="O60" s="476"/>
      <c r="P60" s="476"/>
      <c r="Q60" s="476"/>
      <c r="R60" s="476"/>
      <c r="S60" s="476"/>
      <c r="T60" s="476"/>
      <c r="U60" s="476"/>
      <c r="V60" s="476"/>
      <c r="W60" s="476"/>
      <c r="X60" s="476"/>
      <c r="Y60" s="476"/>
      <c r="Z60" s="476"/>
      <c r="AA60" s="476"/>
      <c r="AB60" s="476"/>
      <c r="AC60" s="476"/>
      <c r="AD60" s="476"/>
      <c r="AE60" s="476"/>
      <c r="AF60" s="476"/>
      <c r="AG60" s="476"/>
      <c r="AH60" s="476"/>
      <c r="AI60" s="476"/>
      <c r="AJ60" s="476"/>
      <c r="AK60" s="476"/>
      <c r="AL60" s="476"/>
      <c r="AM60" s="476"/>
      <c r="AN60" s="476"/>
      <c r="AO60" s="476"/>
      <c r="AP60" s="476"/>
      <c r="AQ60" s="476"/>
      <c r="AR60" s="476"/>
    </row>
    <row r="61" spans="1:44">
      <c r="A61" s="477"/>
      <c r="B61" s="476"/>
      <c r="C61" s="476"/>
      <c r="D61" s="476"/>
      <c r="E61" s="476"/>
      <c r="F61" s="476"/>
      <c r="G61" s="476"/>
      <c r="H61" s="476"/>
      <c r="I61" s="476"/>
      <c r="J61" s="476"/>
      <c r="K61" s="476"/>
      <c r="L61" s="476"/>
      <c r="M61" s="476"/>
      <c r="N61" s="476"/>
      <c r="O61" s="476"/>
      <c r="P61" s="476"/>
      <c r="Q61" s="476"/>
      <c r="R61" s="476"/>
      <c r="S61" s="476"/>
      <c r="T61" s="476"/>
      <c r="U61" s="476"/>
      <c r="V61" s="476"/>
      <c r="W61" s="476"/>
      <c r="X61" s="476"/>
      <c r="Y61" s="476"/>
      <c r="Z61" s="476"/>
      <c r="AA61" s="476"/>
      <c r="AB61" s="476"/>
      <c r="AC61" s="476"/>
      <c r="AD61" s="476"/>
      <c r="AE61" s="476"/>
      <c r="AF61" s="476"/>
      <c r="AG61" s="476"/>
      <c r="AH61" s="476"/>
      <c r="AI61" s="476"/>
      <c r="AJ61" s="476"/>
      <c r="AK61" s="476"/>
      <c r="AL61" s="476"/>
      <c r="AM61" s="476"/>
      <c r="AN61" s="476"/>
      <c r="AO61" s="476"/>
      <c r="AP61" s="476"/>
      <c r="AQ61" s="476"/>
      <c r="AR61" s="476"/>
    </row>
    <row r="62" spans="1:44">
      <c r="A62" s="478"/>
      <c r="B62" s="476"/>
      <c r="C62" s="476"/>
      <c r="D62" s="476"/>
      <c r="E62" s="476"/>
      <c r="F62" s="476"/>
      <c r="G62" s="476"/>
      <c r="H62" s="476"/>
      <c r="I62" s="476"/>
      <c r="J62" s="476"/>
      <c r="K62" s="476"/>
      <c r="L62" s="476"/>
      <c r="M62" s="476"/>
      <c r="N62" s="476"/>
      <c r="O62" s="476"/>
      <c r="P62" s="476"/>
      <c r="Q62" s="476"/>
      <c r="R62" s="476"/>
      <c r="S62" s="476"/>
      <c r="T62" s="476"/>
      <c r="U62" s="476"/>
      <c r="V62" s="476"/>
      <c r="W62" s="476"/>
      <c r="X62" s="476"/>
      <c r="Y62" s="476"/>
      <c r="Z62" s="476"/>
      <c r="AA62" s="476"/>
      <c r="AB62" s="476"/>
      <c r="AC62" s="476"/>
      <c r="AD62" s="476"/>
      <c r="AE62" s="476"/>
      <c r="AF62" s="476"/>
      <c r="AG62" s="476"/>
      <c r="AH62" s="476"/>
      <c r="AI62" s="476"/>
      <c r="AJ62" s="476"/>
      <c r="AK62" s="476"/>
      <c r="AL62" s="476"/>
      <c r="AM62" s="476"/>
      <c r="AN62" s="476"/>
      <c r="AO62" s="476"/>
      <c r="AP62" s="476"/>
      <c r="AQ62" s="476"/>
      <c r="AR62" s="476"/>
    </row>
    <row r="63" spans="1:44">
      <c r="A63" s="477"/>
      <c r="B63" s="476"/>
      <c r="C63" s="476"/>
      <c r="D63" s="476"/>
      <c r="E63" s="476"/>
      <c r="F63" s="476"/>
      <c r="G63" s="476"/>
      <c r="H63" s="476"/>
      <c r="I63" s="476"/>
      <c r="J63" s="476"/>
      <c r="K63" s="476"/>
      <c r="L63" s="476"/>
      <c r="M63" s="476"/>
      <c r="N63" s="476"/>
      <c r="O63" s="476"/>
      <c r="P63" s="476"/>
      <c r="Q63" s="476"/>
      <c r="R63" s="476"/>
      <c r="S63" s="476"/>
      <c r="T63" s="476"/>
      <c r="U63" s="476"/>
      <c r="V63" s="476"/>
      <c r="W63" s="476"/>
      <c r="X63" s="476"/>
      <c r="Y63" s="476"/>
      <c r="Z63" s="476"/>
      <c r="AA63" s="476"/>
      <c r="AB63" s="476"/>
      <c r="AC63" s="476"/>
      <c r="AD63" s="476"/>
      <c r="AE63" s="476"/>
      <c r="AF63" s="476"/>
      <c r="AG63" s="476"/>
      <c r="AH63" s="476"/>
      <c r="AI63" s="476"/>
      <c r="AJ63" s="476"/>
      <c r="AK63" s="476"/>
      <c r="AL63" s="476"/>
      <c r="AM63" s="476"/>
      <c r="AN63" s="476"/>
      <c r="AO63" s="476"/>
      <c r="AP63" s="476"/>
      <c r="AQ63" s="476"/>
      <c r="AR63" s="476"/>
    </row>
    <row r="64" spans="1:44">
      <c r="A64" s="478"/>
      <c r="B64" s="476"/>
      <c r="C64" s="476"/>
      <c r="D64" s="476"/>
      <c r="E64" s="476"/>
      <c r="F64" s="476"/>
      <c r="G64" s="476"/>
      <c r="H64" s="476"/>
      <c r="I64" s="476"/>
      <c r="J64" s="476"/>
      <c r="K64" s="476"/>
      <c r="L64" s="476"/>
      <c r="M64" s="476"/>
      <c r="N64" s="476"/>
      <c r="O64" s="476"/>
      <c r="P64" s="476"/>
      <c r="Q64" s="476"/>
      <c r="R64" s="476"/>
      <c r="S64" s="476"/>
      <c r="T64" s="476"/>
      <c r="U64" s="476"/>
      <c r="V64" s="476"/>
      <c r="W64" s="476"/>
      <c r="X64" s="476"/>
      <c r="Y64" s="476"/>
      <c r="Z64" s="476"/>
      <c r="AA64" s="476"/>
      <c r="AB64" s="476"/>
      <c r="AC64" s="476"/>
      <c r="AD64" s="476"/>
      <c r="AE64" s="476"/>
      <c r="AF64" s="476"/>
      <c r="AG64" s="476"/>
      <c r="AH64" s="476"/>
      <c r="AI64" s="476"/>
      <c r="AJ64" s="476"/>
      <c r="AK64" s="476"/>
      <c r="AL64" s="476"/>
      <c r="AM64" s="476"/>
      <c r="AN64" s="476"/>
      <c r="AO64" s="476"/>
      <c r="AP64" s="476"/>
      <c r="AQ64" s="476"/>
      <c r="AR64" s="476"/>
    </row>
    <row r="65" spans="1:44">
      <c r="A65" s="477"/>
      <c r="B65" s="476"/>
      <c r="C65" s="476"/>
      <c r="D65" s="476"/>
      <c r="E65" s="476"/>
      <c r="F65" s="476"/>
      <c r="G65" s="476"/>
      <c r="H65" s="476"/>
      <c r="I65" s="476"/>
      <c r="J65" s="476"/>
      <c r="K65" s="476"/>
      <c r="L65" s="476"/>
      <c r="M65" s="476"/>
      <c r="N65" s="476"/>
      <c r="O65" s="476"/>
      <c r="P65" s="476"/>
      <c r="Q65" s="476"/>
      <c r="R65" s="476"/>
      <c r="S65" s="476"/>
      <c r="T65" s="476"/>
      <c r="U65" s="476"/>
      <c r="V65" s="476"/>
      <c r="W65" s="476"/>
      <c r="X65" s="476"/>
      <c r="Y65" s="476"/>
      <c r="Z65" s="476"/>
      <c r="AA65" s="476"/>
      <c r="AB65" s="476"/>
      <c r="AC65" s="476"/>
      <c r="AD65" s="476"/>
      <c r="AE65" s="476"/>
      <c r="AF65" s="476"/>
      <c r="AG65" s="476"/>
      <c r="AH65" s="476"/>
      <c r="AI65" s="476"/>
      <c r="AJ65" s="476"/>
      <c r="AK65" s="476"/>
      <c r="AL65" s="476"/>
      <c r="AM65" s="476"/>
      <c r="AN65" s="476"/>
      <c r="AO65" s="476"/>
      <c r="AP65" s="476"/>
      <c r="AQ65" s="476"/>
      <c r="AR65" s="476"/>
    </row>
    <row r="66" spans="1:44">
      <c r="A66" s="478"/>
      <c r="B66" s="476"/>
      <c r="C66" s="476"/>
      <c r="D66" s="476"/>
      <c r="E66" s="476"/>
      <c r="F66" s="476"/>
      <c r="G66" s="476"/>
      <c r="H66" s="476"/>
      <c r="I66" s="476"/>
      <c r="J66" s="476"/>
      <c r="K66" s="476"/>
      <c r="L66" s="476"/>
      <c r="M66" s="476"/>
      <c r="N66" s="476"/>
      <c r="O66" s="476"/>
      <c r="P66" s="476"/>
      <c r="Q66" s="476"/>
      <c r="R66" s="476"/>
      <c r="S66" s="476"/>
      <c r="T66" s="476"/>
      <c r="U66" s="476"/>
      <c r="V66" s="476"/>
      <c r="W66" s="476"/>
      <c r="X66" s="476"/>
      <c r="Y66" s="476"/>
      <c r="Z66" s="476"/>
      <c r="AA66" s="476"/>
      <c r="AB66" s="476"/>
      <c r="AC66" s="476"/>
      <c r="AD66" s="476"/>
      <c r="AE66" s="476"/>
      <c r="AF66" s="476"/>
      <c r="AG66" s="476"/>
      <c r="AH66" s="476"/>
      <c r="AI66" s="476"/>
      <c r="AJ66" s="476"/>
      <c r="AK66" s="476"/>
      <c r="AL66" s="476"/>
      <c r="AM66" s="476"/>
      <c r="AN66" s="476"/>
      <c r="AO66" s="476"/>
      <c r="AP66" s="476"/>
      <c r="AQ66" s="476"/>
      <c r="AR66" s="476"/>
    </row>
    <row r="67" spans="1:44">
      <c r="A67" s="477"/>
      <c r="B67" s="476"/>
      <c r="C67" s="476"/>
      <c r="D67" s="476"/>
      <c r="E67" s="476"/>
      <c r="F67" s="476"/>
      <c r="G67" s="476"/>
      <c r="H67" s="476"/>
      <c r="I67" s="476"/>
      <c r="J67" s="476"/>
      <c r="K67" s="476"/>
      <c r="L67" s="476"/>
      <c r="M67" s="476"/>
      <c r="N67" s="476"/>
      <c r="O67" s="476"/>
      <c r="P67" s="476"/>
      <c r="Q67" s="476"/>
      <c r="R67" s="476"/>
      <c r="S67" s="476"/>
      <c r="T67" s="476"/>
      <c r="U67" s="476"/>
      <c r="V67" s="476"/>
      <c r="W67" s="476"/>
      <c r="X67" s="476"/>
      <c r="Y67" s="476"/>
      <c r="Z67" s="476"/>
      <c r="AA67" s="476"/>
      <c r="AB67" s="476"/>
      <c r="AC67" s="476"/>
      <c r="AD67" s="476"/>
      <c r="AE67" s="476"/>
      <c r="AF67" s="476"/>
      <c r="AG67" s="476"/>
      <c r="AH67" s="476"/>
      <c r="AI67" s="476"/>
      <c r="AJ67" s="476"/>
      <c r="AK67" s="476"/>
      <c r="AL67" s="476"/>
      <c r="AM67" s="476"/>
      <c r="AN67" s="476"/>
      <c r="AO67" s="476"/>
      <c r="AP67" s="476"/>
      <c r="AQ67" s="476"/>
      <c r="AR67" s="476"/>
    </row>
    <row r="68" spans="1:44">
      <c r="A68" s="478"/>
      <c r="B68" s="476"/>
      <c r="C68" s="476"/>
      <c r="D68" s="476"/>
      <c r="E68" s="476"/>
      <c r="F68" s="476"/>
      <c r="G68" s="476"/>
      <c r="H68" s="476"/>
      <c r="I68" s="476"/>
      <c r="J68" s="476"/>
      <c r="K68" s="476"/>
      <c r="L68" s="476"/>
      <c r="M68" s="476"/>
      <c r="N68" s="476"/>
      <c r="O68" s="476"/>
      <c r="P68" s="476"/>
      <c r="Q68" s="476"/>
      <c r="R68" s="476"/>
      <c r="S68" s="476"/>
      <c r="T68" s="476"/>
      <c r="U68" s="476"/>
      <c r="V68" s="476"/>
      <c r="W68" s="476"/>
      <c r="X68" s="476"/>
      <c r="Y68" s="476"/>
      <c r="Z68" s="476"/>
      <c r="AA68" s="476"/>
      <c r="AB68" s="476"/>
      <c r="AC68" s="476"/>
      <c r="AD68" s="476"/>
      <c r="AE68" s="476"/>
      <c r="AF68" s="476"/>
      <c r="AG68" s="476"/>
      <c r="AH68" s="476"/>
      <c r="AI68" s="476"/>
      <c r="AJ68" s="476"/>
      <c r="AK68" s="476"/>
      <c r="AL68" s="476"/>
      <c r="AM68" s="476"/>
      <c r="AN68" s="476"/>
      <c r="AO68" s="476"/>
      <c r="AP68" s="476"/>
      <c r="AQ68" s="476"/>
      <c r="AR68" s="476"/>
    </row>
    <row r="69" spans="1:44">
      <c r="A69" s="477"/>
      <c r="B69" s="476"/>
      <c r="C69" s="476"/>
      <c r="D69" s="476"/>
      <c r="E69" s="476"/>
      <c r="F69" s="476"/>
      <c r="G69" s="476"/>
      <c r="H69" s="476"/>
      <c r="I69" s="476"/>
      <c r="J69" s="476"/>
      <c r="K69" s="476"/>
      <c r="L69" s="476"/>
      <c r="M69" s="476"/>
      <c r="N69" s="476"/>
      <c r="O69" s="476"/>
      <c r="P69" s="476"/>
      <c r="Q69" s="476"/>
      <c r="R69" s="476"/>
      <c r="S69" s="476"/>
      <c r="T69" s="476"/>
      <c r="U69" s="476"/>
      <c r="V69" s="476"/>
      <c r="W69" s="476"/>
      <c r="X69" s="476"/>
      <c r="Y69" s="476"/>
      <c r="Z69" s="476"/>
      <c r="AA69" s="476"/>
      <c r="AB69" s="476"/>
      <c r="AC69" s="476"/>
      <c r="AD69" s="476"/>
      <c r="AE69" s="476"/>
      <c r="AF69" s="476"/>
      <c r="AG69" s="476"/>
      <c r="AH69" s="476"/>
      <c r="AI69" s="476"/>
      <c r="AJ69" s="476"/>
      <c r="AK69" s="476"/>
      <c r="AL69" s="476"/>
      <c r="AM69" s="476"/>
      <c r="AN69" s="476"/>
      <c r="AO69" s="476"/>
      <c r="AP69" s="476"/>
      <c r="AQ69" s="476"/>
      <c r="AR69" s="476"/>
    </row>
    <row r="70" spans="1:44">
      <c r="A70" s="478"/>
      <c r="B70" s="476"/>
      <c r="C70" s="476"/>
      <c r="D70" s="476"/>
      <c r="E70" s="476"/>
      <c r="F70" s="476"/>
      <c r="G70" s="476"/>
      <c r="H70" s="476"/>
      <c r="I70" s="476"/>
      <c r="J70" s="476"/>
      <c r="K70" s="476"/>
      <c r="L70" s="476"/>
      <c r="M70" s="476"/>
      <c r="N70" s="476"/>
      <c r="O70" s="476"/>
      <c r="P70" s="476"/>
      <c r="Q70" s="476"/>
      <c r="R70" s="476"/>
      <c r="S70" s="476"/>
      <c r="T70" s="476"/>
      <c r="U70" s="476"/>
      <c r="V70" s="476"/>
      <c r="W70" s="476"/>
      <c r="X70" s="476"/>
      <c r="Y70" s="476"/>
      <c r="Z70" s="476"/>
      <c r="AA70" s="476"/>
      <c r="AB70" s="476"/>
      <c r="AC70" s="476"/>
      <c r="AD70" s="476"/>
      <c r="AE70" s="476"/>
      <c r="AF70" s="476"/>
      <c r="AG70" s="476"/>
      <c r="AH70" s="476"/>
      <c r="AI70" s="476"/>
      <c r="AJ70" s="476"/>
      <c r="AK70" s="476"/>
      <c r="AL70" s="476"/>
      <c r="AM70" s="476"/>
      <c r="AN70" s="476"/>
      <c r="AO70" s="476"/>
      <c r="AP70" s="476"/>
      <c r="AQ70" s="476"/>
      <c r="AR70" s="476"/>
    </row>
    <row r="71" spans="1:44">
      <c r="A71" s="477"/>
      <c r="B71" s="476"/>
      <c r="C71" s="476"/>
      <c r="D71" s="476"/>
      <c r="E71" s="476"/>
      <c r="F71" s="476"/>
      <c r="G71" s="476"/>
      <c r="H71" s="476"/>
      <c r="I71" s="476"/>
      <c r="J71" s="476"/>
      <c r="K71" s="476"/>
      <c r="L71" s="476"/>
      <c r="M71" s="476"/>
      <c r="N71" s="476"/>
      <c r="O71" s="476"/>
      <c r="P71" s="476"/>
      <c r="Q71" s="476"/>
      <c r="R71" s="476"/>
      <c r="S71" s="476"/>
      <c r="T71" s="476"/>
      <c r="U71" s="476"/>
      <c r="V71" s="476"/>
      <c r="W71" s="476"/>
      <c r="X71" s="476"/>
      <c r="Y71" s="476"/>
      <c r="Z71" s="476"/>
      <c r="AA71" s="476"/>
      <c r="AB71" s="476"/>
      <c r="AC71" s="476"/>
      <c r="AD71" s="476"/>
      <c r="AE71" s="476"/>
      <c r="AF71" s="476"/>
      <c r="AG71" s="476"/>
      <c r="AH71" s="476"/>
      <c r="AI71" s="476"/>
      <c r="AJ71" s="476"/>
      <c r="AK71" s="476"/>
      <c r="AL71" s="476"/>
      <c r="AM71" s="476"/>
      <c r="AN71" s="476"/>
      <c r="AO71" s="476"/>
      <c r="AP71" s="476"/>
      <c r="AQ71" s="476"/>
      <c r="AR71" s="476"/>
    </row>
    <row r="72" spans="1:44">
      <c r="A72" s="478"/>
      <c r="B72" s="476"/>
      <c r="C72" s="476"/>
      <c r="D72" s="476"/>
      <c r="E72" s="476"/>
      <c r="F72" s="476"/>
      <c r="G72" s="476"/>
      <c r="H72" s="476"/>
      <c r="I72" s="476"/>
      <c r="J72" s="476"/>
      <c r="K72" s="476"/>
      <c r="L72" s="476"/>
      <c r="M72" s="476"/>
      <c r="N72" s="476"/>
      <c r="O72" s="476"/>
      <c r="P72" s="476"/>
      <c r="Q72" s="476"/>
      <c r="R72" s="476"/>
      <c r="S72" s="476"/>
      <c r="T72" s="476"/>
      <c r="U72" s="476"/>
      <c r="V72" s="476"/>
      <c r="W72" s="476"/>
      <c r="X72" s="476"/>
      <c r="Y72" s="476"/>
      <c r="Z72" s="476"/>
      <c r="AA72" s="476"/>
      <c r="AB72" s="476"/>
      <c r="AC72" s="476"/>
      <c r="AD72" s="476"/>
      <c r="AE72" s="476"/>
      <c r="AF72" s="476"/>
      <c r="AG72" s="476"/>
      <c r="AH72" s="476"/>
      <c r="AI72" s="476"/>
      <c r="AJ72" s="476"/>
      <c r="AK72" s="476"/>
      <c r="AL72" s="476"/>
      <c r="AM72" s="476"/>
      <c r="AN72" s="476"/>
      <c r="AO72" s="476"/>
      <c r="AP72" s="476"/>
      <c r="AQ72" s="476"/>
      <c r="AR72" s="476"/>
    </row>
    <row r="73" spans="1:44">
      <c r="A73" s="477"/>
      <c r="B73" s="476"/>
      <c r="C73" s="476"/>
      <c r="D73" s="476"/>
      <c r="E73" s="476"/>
      <c r="F73" s="476"/>
      <c r="G73" s="476"/>
      <c r="H73" s="476"/>
      <c r="I73" s="476"/>
      <c r="J73" s="476"/>
      <c r="K73" s="476"/>
      <c r="L73" s="476"/>
      <c r="M73" s="476"/>
      <c r="N73" s="476"/>
      <c r="O73" s="476"/>
      <c r="P73" s="476"/>
      <c r="Q73" s="476"/>
      <c r="R73" s="476"/>
      <c r="S73" s="476"/>
      <c r="T73" s="476"/>
      <c r="U73" s="476"/>
      <c r="V73" s="476"/>
      <c r="W73" s="476"/>
      <c r="X73" s="476"/>
      <c r="Y73" s="476"/>
      <c r="Z73" s="476"/>
      <c r="AA73" s="476"/>
      <c r="AB73" s="476"/>
      <c r="AC73" s="476"/>
      <c r="AD73" s="476"/>
      <c r="AE73" s="476"/>
      <c r="AF73" s="476"/>
      <c r="AG73" s="476"/>
      <c r="AH73" s="476"/>
      <c r="AI73" s="476"/>
      <c r="AJ73" s="476"/>
      <c r="AK73" s="476"/>
      <c r="AL73" s="476"/>
      <c r="AM73" s="476"/>
      <c r="AN73" s="476"/>
      <c r="AO73" s="476"/>
      <c r="AP73" s="476"/>
      <c r="AQ73" s="476"/>
      <c r="AR73" s="476"/>
    </row>
    <row r="74" spans="1:44">
      <c r="A74" s="478"/>
      <c r="B74" s="476"/>
      <c r="C74" s="476"/>
      <c r="D74" s="476"/>
      <c r="E74" s="476"/>
      <c r="F74" s="476"/>
      <c r="G74" s="476"/>
      <c r="H74" s="476"/>
      <c r="I74" s="476"/>
      <c r="J74" s="476"/>
      <c r="K74" s="476"/>
      <c r="L74" s="476"/>
      <c r="M74" s="476"/>
      <c r="N74" s="476"/>
      <c r="O74" s="476"/>
      <c r="P74" s="476"/>
      <c r="Q74" s="476"/>
      <c r="R74" s="476"/>
      <c r="S74" s="476"/>
      <c r="T74" s="476"/>
      <c r="U74" s="476"/>
      <c r="V74" s="476"/>
      <c r="W74" s="476"/>
      <c r="X74" s="476"/>
      <c r="Y74" s="476"/>
      <c r="Z74" s="476"/>
      <c r="AA74" s="476"/>
      <c r="AB74" s="476"/>
      <c r="AC74" s="476"/>
      <c r="AD74" s="476"/>
      <c r="AE74" s="476"/>
      <c r="AF74" s="476"/>
      <c r="AG74" s="476"/>
      <c r="AH74" s="476"/>
      <c r="AI74" s="476"/>
      <c r="AJ74" s="476"/>
      <c r="AK74" s="476"/>
      <c r="AL74" s="476"/>
      <c r="AM74" s="476"/>
      <c r="AN74" s="476"/>
      <c r="AO74" s="476"/>
      <c r="AP74" s="476"/>
      <c r="AQ74" s="476"/>
      <c r="AR74" s="476"/>
    </row>
    <row r="75" spans="1:44">
      <c r="A75" s="477"/>
      <c r="B75" s="476"/>
      <c r="C75" s="476"/>
      <c r="D75" s="476"/>
      <c r="E75" s="476"/>
      <c r="F75" s="476"/>
      <c r="G75" s="476"/>
      <c r="H75" s="476"/>
      <c r="I75" s="476"/>
      <c r="J75" s="476"/>
      <c r="K75" s="476"/>
      <c r="L75" s="476"/>
      <c r="M75" s="476"/>
      <c r="N75" s="476"/>
      <c r="O75" s="476"/>
      <c r="P75" s="476"/>
      <c r="Q75" s="476"/>
      <c r="R75" s="476"/>
      <c r="S75" s="476"/>
      <c r="T75" s="476"/>
      <c r="U75" s="476"/>
      <c r="V75" s="476"/>
      <c r="W75" s="476"/>
      <c r="X75" s="476"/>
      <c r="Y75" s="476"/>
      <c r="Z75" s="476"/>
      <c r="AA75" s="476"/>
      <c r="AB75" s="476"/>
      <c r="AC75" s="476"/>
      <c r="AD75" s="476"/>
      <c r="AE75" s="476"/>
      <c r="AF75" s="476"/>
      <c r="AG75" s="476"/>
      <c r="AH75" s="476"/>
      <c r="AI75" s="476"/>
      <c r="AJ75" s="476"/>
      <c r="AK75" s="476"/>
      <c r="AL75" s="476"/>
      <c r="AM75" s="476"/>
      <c r="AN75" s="476"/>
      <c r="AO75" s="476"/>
      <c r="AP75" s="476"/>
      <c r="AQ75" s="476"/>
      <c r="AR75" s="476"/>
    </row>
    <row r="76" spans="1:44">
      <c r="A76" s="478"/>
      <c r="B76" s="476"/>
      <c r="C76" s="476"/>
      <c r="D76" s="476"/>
      <c r="E76" s="476"/>
      <c r="F76" s="476"/>
      <c r="G76" s="476"/>
      <c r="H76" s="476"/>
      <c r="I76" s="476"/>
      <c r="J76" s="476"/>
      <c r="K76" s="476"/>
      <c r="L76" s="476"/>
      <c r="M76" s="476"/>
      <c r="N76" s="476"/>
      <c r="O76" s="476"/>
      <c r="P76" s="476"/>
      <c r="Q76" s="476"/>
      <c r="R76" s="476"/>
      <c r="S76" s="476"/>
      <c r="T76" s="476"/>
      <c r="U76" s="476"/>
      <c r="V76" s="476"/>
      <c r="W76" s="476"/>
      <c r="X76" s="476"/>
      <c r="Y76" s="476"/>
      <c r="Z76" s="476"/>
      <c r="AA76" s="476"/>
      <c r="AB76" s="476"/>
      <c r="AC76" s="476"/>
      <c r="AD76" s="476"/>
      <c r="AE76" s="476"/>
      <c r="AF76" s="476"/>
      <c r="AG76" s="476"/>
      <c r="AH76" s="476"/>
      <c r="AI76" s="476"/>
      <c r="AJ76" s="476"/>
      <c r="AK76" s="476"/>
      <c r="AL76" s="476"/>
      <c r="AM76" s="476"/>
      <c r="AN76" s="476"/>
      <c r="AO76" s="476"/>
      <c r="AP76" s="476"/>
      <c r="AQ76" s="476"/>
      <c r="AR76" s="476"/>
    </row>
    <row r="77" spans="1:44">
      <c r="A77" s="477"/>
      <c r="B77" s="476"/>
      <c r="C77" s="476"/>
      <c r="D77" s="476"/>
      <c r="E77" s="476"/>
      <c r="F77" s="476"/>
      <c r="G77" s="476"/>
      <c r="H77" s="476"/>
      <c r="I77" s="476"/>
      <c r="J77" s="476"/>
      <c r="K77" s="476"/>
      <c r="L77" s="476"/>
      <c r="M77" s="476"/>
      <c r="N77" s="476"/>
      <c r="O77" s="476"/>
      <c r="P77" s="476"/>
      <c r="Q77" s="476"/>
      <c r="R77" s="476"/>
      <c r="S77" s="476"/>
      <c r="T77" s="476"/>
      <c r="U77" s="476"/>
      <c r="V77" s="476"/>
      <c r="W77" s="476"/>
      <c r="X77" s="476"/>
      <c r="Y77" s="476"/>
      <c r="Z77" s="476"/>
      <c r="AA77" s="476"/>
      <c r="AB77" s="476"/>
      <c r="AC77" s="476"/>
      <c r="AD77" s="476"/>
      <c r="AE77" s="476"/>
      <c r="AF77" s="476"/>
      <c r="AG77" s="476"/>
      <c r="AH77" s="476"/>
      <c r="AI77" s="476"/>
      <c r="AJ77" s="476"/>
      <c r="AK77" s="476"/>
      <c r="AL77" s="476"/>
      <c r="AM77" s="476"/>
      <c r="AN77" s="476"/>
      <c r="AO77" s="476"/>
      <c r="AP77" s="476"/>
      <c r="AQ77" s="476"/>
      <c r="AR77" s="476"/>
    </row>
    <row r="78" spans="1:44">
      <c r="A78" s="478"/>
      <c r="B78" s="476"/>
      <c r="C78" s="476"/>
      <c r="D78" s="476"/>
      <c r="E78" s="476"/>
      <c r="F78" s="476"/>
      <c r="G78" s="476"/>
      <c r="H78" s="476"/>
      <c r="I78" s="476"/>
      <c r="J78" s="476"/>
      <c r="K78" s="476"/>
      <c r="L78" s="476"/>
      <c r="M78" s="476"/>
      <c r="N78" s="476"/>
      <c r="O78" s="476"/>
      <c r="P78" s="476"/>
      <c r="Q78" s="476"/>
      <c r="R78" s="476"/>
      <c r="S78" s="476"/>
      <c r="T78" s="476"/>
      <c r="U78" s="476"/>
      <c r="V78" s="476"/>
      <c r="W78" s="476"/>
      <c r="X78" s="476"/>
      <c r="Y78" s="476"/>
      <c r="Z78" s="476"/>
      <c r="AA78" s="476"/>
      <c r="AB78" s="476"/>
      <c r="AC78" s="476"/>
      <c r="AD78" s="476"/>
      <c r="AE78" s="476"/>
      <c r="AF78" s="476"/>
      <c r="AG78" s="476"/>
      <c r="AH78" s="476"/>
      <c r="AI78" s="476"/>
      <c r="AJ78" s="476"/>
      <c r="AK78" s="476"/>
      <c r="AL78" s="476"/>
      <c r="AM78" s="476"/>
      <c r="AN78" s="476"/>
      <c r="AO78" s="476"/>
      <c r="AP78" s="476"/>
      <c r="AQ78" s="476"/>
      <c r="AR78" s="476"/>
    </row>
    <row r="79" spans="1:44">
      <c r="A79" s="477"/>
      <c r="B79" s="476"/>
      <c r="C79" s="476"/>
      <c r="D79" s="476"/>
      <c r="E79" s="476"/>
      <c r="F79" s="476"/>
      <c r="G79" s="476"/>
      <c r="H79" s="476"/>
      <c r="I79" s="476"/>
      <c r="J79" s="476"/>
      <c r="K79" s="476"/>
      <c r="L79" s="476"/>
      <c r="M79" s="476"/>
      <c r="N79" s="476"/>
      <c r="O79" s="476"/>
      <c r="P79" s="476"/>
      <c r="Q79" s="476"/>
      <c r="R79" s="476"/>
      <c r="S79" s="476"/>
      <c r="T79" s="476"/>
      <c r="U79" s="476"/>
      <c r="V79" s="476"/>
      <c r="W79" s="476"/>
      <c r="X79" s="476"/>
      <c r="Y79" s="476"/>
      <c r="Z79" s="476"/>
      <c r="AA79" s="476"/>
      <c r="AB79" s="476"/>
      <c r="AC79" s="476"/>
      <c r="AD79" s="476"/>
      <c r="AE79" s="476"/>
      <c r="AF79" s="476"/>
      <c r="AG79" s="476"/>
      <c r="AH79" s="476"/>
      <c r="AI79" s="476"/>
      <c r="AJ79" s="476"/>
      <c r="AK79" s="476"/>
      <c r="AL79" s="476"/>
      <c r="AM79" s="476"/>
      <c r="AN79" s="476"/>
      <c r="AO79" s="476"/>
      <c r="AP79" s="476"/>
      <c r="AQ79" s="476"/>
      <c r="AR79" s="476"/>
    </row>
    <row r="80" spans="1:44">
      <c r="A80" s="478"/>
      <c r="B80" s="476"/>
      <c r="C80" s="476"/>
      <c r="D80" s="476"/>
      <c r="E80" s="476"/>
      <c r="F80" s="476"/>
      <c r="G80" s="476"/>
      <c r="H80" s="476"/>
      <c r="I80" s="476"/>
      <c r="J80" s="476"/>
      <c r="K80" s="476"/>
      <c r="L80" s="476"/>
      <c r="M80" s="476"/>
      <c r="N80" s="476"/>
      <c r="O80" s="476"/>
      <c r="P80" s="476"/>
      <c r="Q80" s="476"/>
      <c r="R80" s="476"/>
      <c r="S80" s="476"/>
      <c r="T80" s="476"/>
      <c r="U80" s="476"/>
      <c r="V80" s="476"/>
      <c r="W80" s="476"/>
      <c r="X80" s="476"/>
      <c r="Y80" s="476"/>
      <c r="Z80" s="476"/>
      <c r="AA80" s="476"/>
      <c r="AB80" s="476"/>
      <c r="AC80" s="476"/>
      <c r="AD80" s="476"/>
      <c r="AE80" s="476"/>
      <c r="AF80" s="476"/>
      <c r="AG80" s="476"/>
      <c r="AH80" s="476"/>
      <c r="AI80" s="476"/>
      <c r="AJ80" s="476"/>
      <c r="AK80" s="476"/>
      <c r="AL80" s="476"/>
      <c r="AM80" s="476"/>
      <c r="AN80" s="476"/>
      <c r="AO80" s="476"/>
      <c r="AP80" s="476"/>
      <c r="AQ80" s="476"/>
      <c r="AR80" s="476"/>
    </row>
    <row r="81" spans="1:44">
      <c r="A81" s="477"/>
      <c r="B81" s="476"/>
      <c r="C81" s="476"/>
      <c r="D81" s="476"/>
      <c r="E81" s="476"/>
      <c r="F81" s="476"/>
      <c r="G81" s="476"/>
      <c r="H81" s="476"/>
      <c r="I81" s="476"/>
      <c r="J81" s="476"/>
      <c r="K81" s="476"/>
      <c r="L81" s="476"/>
      <c r="M81" s="476"/>
      <c r="N81" s="476"/>
      <c r="O81" s="476"/>
      <c r="P81" s="476"/>
      <c r="Q81" s="476"/>
      <c r="R81" s="476"/>
      <c r="S81" s="476"/>
      <c r="T81" s="476"/>
      <c r="U81" s="476"/>
      <c r="V81" s="476"/>
      <c r="W81" s="476"/>
      <c r="X81" s="476"/>
      <c r="Y81" s="476"/>
      <c r="Z81" s="476"/>
      <c r="AA81" s="476"/>
      <c r="AB81" s="476"/>
      <c r="AC81" s="476"/>
      <c r="AD81" s="476"/>
      <c r="AE81" s="476"/>
      <c r="AF81" s="476"/>
      <c r="AG81" s="476"/>
      <c r="AH81" s="476"/>
      <c r="AI81" s="476"/>
      <c r="AJ81" s="476"/>
      <c r="AK81" s="476"/>
      <c r="AL81" s="476"/>
      <c r="AM81" s="476"/>
      <c r="AN81" s="476"/>
      <c r="AO81" s="476"/>
      <c r="AP81" s="476"/>
      <c r="AQ81" s="476"/>
      <c r="AR81" s="476"/>
    </row>
    <row r="82" spans="1:44">
      <c r="A82" s="478"/>
      <c r="B82" s="476"/>
      <c r="C82" s="476"/>
      <c r="D82" s="476"/>
      <c r="E82" s="476"/>
      <c r="F82" s="476"/>
      <c r="G82" s="476"/>
      <c r="H82" s="476"/>
      <c r="I82" s="476"/>
      <c r="J82" s="476"/>
      <c r="K82" s="476"/>
      <c r="L82" s="476"/>
      <c r="M82" s="476"/>
      <c r="N82" s="476"/>
      <c r="O82" s="476"/>
      <c r="P82" s="476"/>
      <c r="Q82" s="476"/>
      <c r="R82" s="476"/>
      <c r="S82" s="476"/>
      <c r="T82" s="476"/>
      <c r="U82" s="476"/>
      <c r="V82" s="476"/>
      <c r="W82" s="476"/>
      <c r="X82" s="476"/>
      <c r="Y82" s="476"/>
      <c r="Z82" s="476"/>
      <c r="AA82" s="476"/>
      <c r="AB82" s="476"/>
      <c r="AC82" s="476"/>
      <c r="AD82" s="476"/>
      <c r="AE82" s="476"/>
      <c r="AF82" s="476"/>
      <c r="AG82" s="476"/>
      <c r="AH82" s="476"/>
      <c r="AI82" s="476"/>
      <c r="AJ82" s="476"/>
      <c r="AK82" s="476"/>
      <c r="AL82" s="476"/>
      <c r="AM82" s="476"/>
      <c r="AN82" s="476"/>
      <c r="AO82" s="476"/>
      <c r="AP82" s="476"/>
      <c r="AQ82" s="476"/>
      <c r="AR82" s="476"/>
    </row>
    <row r="83" spans="1:44">
      <c r="A83" s="477"/>
      <c r="B83" s="476"/>
      <c r="C83" s="476"/>
      <c r="D83" s="476"/>
      <c r="E83" s="476"/>
      <c r="F83" s="476"/>
      <c r="G83" s="476"/>
      <c r="H83" s="476"/>
      <c r="I83" s="476"/>
      <c r="J83" s="476"/>
      <c r="K83" s="476"/>
      <c r="L83" s="476"/>
      <c r="M83" s="476"/>
      <c r="N83" s="476"/>
      <c r="O83" s="476"/>
      <c r="P83" s="476"/>
      <c r="Q83" s="476"/>
      <c r="R83" s="476"/>
      <c r="S83" s="476"/>
      <c r="T83" s="476"/>
      <c r="U83" s="476"/>
      <c r="V83" s="476"/>
      <c r="W83" s="476"/>
      <c r="X83" s="476"/>
      <c r="Y83" s="476"/>
      <c r="Z83" s="476"/>
      <c r="AA83" s="476"/>
      <c r="AB83" s="476"/>
      <c r="AC83" s="476"/>
      <c r="AD83" s="476"/>
      <c r="AE83" s="476"/>
      <c r="AF83" s="476"/>
      <c r="AG83" s="476"/>
      <c r="AH83" s="476"/>
      <c r="AI83" s="476"/>
      <c r="AJ83" s="476"/>
      <c r="AK83" s="476"/>
      <c r="AL83" s="476"/>
      <c r="AM83" s="476"/>
      <c r="AN83" s="476"/>
      <c r="AO83" s="476"/>
      <c r="AP83" s="476"/>
      <c r="AQ83" s="476"/>
      <c r="AR83" s="476"/>
    </row>
    <row r="84" spans="1:44">
      <c r="A84" s="478"/>
      <c r="B84" s="476"/>
      <c r="C84" s="476"/>
      <c r="D84" s="476"/>
      <c r="E84" s="476"/>
      <c r="F84" s="476"/>
      <c r="G84" s="476"/>
      <c r="H84" s="476"/>
      <c r="I84" s="476"/>
      <c r="J84" s="476"/>
      <c r="K84" s="476"/>
      <c r="L84" s="476"/>
      <c r="M84" s="476"/>
      <c r="N84" s="476"/>
      <c r="O84" s="476"/>
      <c r="P84" s="476"/>
      <c r="Q84" s="476"/>
      <c r="R84" s="476"/>
      <c r="S84" s="476"/>
      <c r="T84" s="476"/>
      <c r="U84" s="476"/>
      <c r="V84" s="476"/>
      <c r="W84" s="476"/>
      <c r="X84" s="476"/>
      <c r="Y84" s="476"/>
      <c r="Z84" s="476"/>
      <c r="AA84" s="476"/>
      <c r="AB84" s="476"/>
      <c r="AC84" s="476"/>
      <c r="AD84" s="476"/>
      <c r="AE84" s="476"/>
      <c r="AF84" s="476"/>
      <c r="AG84" s="476"/>
      <c r="AH84" s="476"/>
      <c r="AI84" s="476"/>
      <c r="AJ84" s="476"/>
      <c r="AK84" s="476"/>
      <c r="AL84" s="476"/>
      <c r="AM84" s="476"/>
      <c r="AN84" s="476"/>
      <c r="AO84" s="476"/>
      <c r="AP84" s="476"/>
      <c r="AQ84" s="476"/>
      <c r="AR84" s="476"/>
    </row>
    <row r="85" spans="1:44">
      <c r="A85" s="477"/>
      <c r="B85" s="476"/>
      <c r="C85" s="476"/>
      <c r="D85" s="476"/>
      <c r="E85" s="476"/>
      <c r="F85" s="476"/>
      <c r="G85" s="476"/>
      <c r="H85" s="476"/>
      <c r="I85" s="476"/>
      <c r="J85" s="476"/>
      <c r="K85" s="476"/>
      <c r="L85" s="476"/>
      <c r="M85" s="476"/>
      <c r="N85" s="476"/>
      <c r="O85" s="476"/>
      <c r="P85" s="476"/>
      <c r="Q85" s="476"/>
      <c r="R85" s="476"/>
      <c r="S85" s="476"/>
      <c r="T85" s="476"/>
      <c r="U85" s="476"/>
      <c r="V85" s="476"/>
      <c r="W85" s="476"/>
      <c r="X85" s="476"/>
      <c r="Y85" s="476"/>
      <c r="Z85" s="476"/>
      <c r="AA85" s="476"/>
      <c r="AB85" s="476"/>
      <c r="AC85" s="476"/>
      <c r="AD85" s="476"/>
      <c r="AE85" s="476"/>
      <c r="AF85" s="476"/>
      <c r="AG85" s="476"/>
      <c r="AH85" s="476"/>
      <c r="AI85" s="476"/>
      <c r="AJ85" s="476"/>
      <c r="AK85" s="476"/>
      <c r="AL85" s="476"/>
      <c r="AM85" s="476"/>
      <c r="AN85" s="476"/>
      <c r="AO85" s="476"/>
      <c r="AP85" s="476"/>
      <c r="AQ85" s="476"/>
      <c r="AR85" s="476"/>
    </row>
    <row r="86" spans="1:44">
      <c r="A86" s="478"/>
      <c r="B86" s="476"/>
      <c r="C86" s="476"/>
      <c r="D86" s="476"/>
      <c r="E86" s="476"/>
      <c r="F86" s="476"/>
      <c r="G86" s="476"/>
      <c r="H86" s="476"/>
      <c r="I86" s="476"/>
      <c r="J86" s="476"/>
      <c r="K86" s="476"/>
      <c r="L86" s="476"/>
      <c r="M86" s="476"/>
      <c r="N86" s="476"/>
      <c r="O86" s="476"/>
      <c r="P86" s="476"/>
      <c r="Q86" s="476"/>
      <c r="R86" s="476"/>
      <c r="S86" s="476"/>
      <c r="T86" s="476"/>
      <c r="U86" s="476"/>
      <c r="V86" s="476"/>
      <c r="W86" s="476"/>
      <c r="X86" s="476"/>
      <c r="Y86" s="476"/>
      <c r="Z86" s="476"/>
      <c r="AA86" s="476"/>
      <c r="AB86" s="476"/>
      <c r="AC86" s="476"/>
      <c r="AD86" s="476"/>
      <c r="AE86" s="476"/>
      <c r="AF86" s="476"/>
      <c r="AG86" s="476"/>
      <c r="AH86" s="476"/>
      <c r="AI86" s="476"/>
      <c r="AJ86" s="476"/>
      <c r="AK86" s="476"/>
      <c r="AL86" s="476"/>
      <c r="AM86" s="476"/>
      <c r="AN86" s="476"/>
      <c r="AO86" s="476"/>
      <c r="AP86" s="476"/>
      <c r="AQ86" s="476"/>
      <c r="AR86" s="476"/>
    </row>
    <row r="87" spans="1:44">
      <c r="A87" s="477"/>
      <c r="B87" s="476"/>
      <c r="C87" s="476"/>
      <c r="D87" s="476"/>
      <c r="E87" s="476"/>
      <c r="F87" s="476"/>
      <c r="G87" s="476"/>
      <c r="H87" s="476"/>
      <c r="I87" s="476"/>
      <c r="J87" s="476"/>
      <c r="K87" s="476"/>
      <c r="L87" s="476"/>
      <c r="M87" s="476"/>
      <c r="N87" s="476"/>
      <c r="O87" s="476"/>
      <c r="P87" s="476"/>
      <c r="Q87" s="476"/>
      <c r="R87" s="476"/>
      <c r="S87" s="476"/>
      <c r="T87" s="476"/>
      <c r="U87" s="476"/>
      <c r="V87" s="476"/>
      <c r="W87" s="476"/>
      <c r="X87" s="476"/>
      <c r="Y87" s="476"/>
      <c r="Z87" s="476"/>
      <c r="AA87" s="476"/>
      <c r="AB87" s="476"/>
      <c r="AC87" s="476"/>
      <c r="AD87" s="476"/>
      <c r="AE87" s="476"/>
      <c r="AF87" s="476"/>
      <c r="AG87" s="476"/>
      <c r="AH87" s="476"/>
      <c r="AI87" s="476"/>
      <c r="AJ87" s="476"/>
      <c r="AK87" s="476"/>
      <c r="AL87" s="476"/>
      <c r="AM87" s="476"/>
      <c r="AN87" s="476"/>
      <c r="AO87" s="476"/>
      <c r="AP87" s="476"/>
      <c r="AQ87" s="476"/>
      <c r="AR87" s="476"/>
    </row>
    <row r="88" spans="1:44">
      <c r="A88" s="478"/>
      <c r="B88" s="476"/>
      <c r="C88" s="476"/>
      <c r="D88" s="476"/>
      <c r="E88" s="476"/>
      <c r="F88" s="476"/>
      <c r="G88" s="476"/>
      <c r="H88" s="476"/>
      <c r="I88" s="476"/>
      <c r="J88" s="476"/>
      <c r="K88" s="476"/>
      <c r="L88" s="476"/>
      <c r="M88" s="476"/>
      <c r="N88" s="476"/>
      <c r="O88" s="476"/>
      <c r="P88" s="476"/>
      <c r="Q88" s="476"/>
      <c r="R88" s="476"/>
      <c r="S88" s="476"/>
      <c r="T88" s="476"/>
      <c r="U88" s="476"/>
      <c r="V88" s="476"/>
      <c r="W88" s="476"/>
      <c r="X88" s="476"/>
      <c r="Y88" s="476"/>
      <c r="Z88" s="476"/>
      <c r="AA88" s="476"/>
      <c r="AB88" s="476"/>
      <c r="AC88" s="476"/>
      <c r="AD88" s="476"/>
      <c r="AE88" s="476"/>
      <c r="AF88" s="476"/>
      <c r="AG88" s="476"/>
      <c r="AH88" s="476"/>
      <c r="AI88" s="476"/>
      <c r="AJ88" s="476"/>
      <c r="AK88" s="476"/>
      <c r="AL88" s="476"/>
      <c r="AM88" s="476"/>
      <c r="AN88" s="476"/>
      <c r="AO88" s="476"/>
      <c r="AP88" s="476"/>
      <c r="AQ88" s="476"/>
      <c r="AR88" s="476"/>
    </row>
    <row r="89" spans="1:44">
      <c r="A89" s="477"/>
      <c r="B89" s="476"/>
      <c r="C89" s="476"/>
      <c r="D89" s="476"/>
      <c r="E89" s="476"/>
      <c r="F89" s="476"/>
      <c r="G89" s="476"/>
      <c r="H89" s="476"/>
      <c r="I89" s="476"/>
      <c r="J89" s="476"/>
      <c r="K89" s="476"/>
      <c r="L89" s="476"/>
      <c r="M89" s="476"/>
      <c r="N89" s="476"/>
      <c r="O89" s="476"/>
      <c r="P89" s="476"/>
      <c r="Q89" s="476"/>
      <c r="R89" s="476"/>
      <c r="S89" s="476"/>
      <c r="T89" s="476"/>
      <c r="U89" s="476"/>
      <c r="V89" s="476"/>
      <c r="W89" s="476"/>
      <c r="X89" s="476"/>
      <c r="Y89" s="476"/>
      <c r="Z89" s="476"/>
      <c r="AA89" s="476"/>
      <c r="AB89" s="476"/>
      <c r="AC89" s="476"/>
      <c r="AD89" s="476"/>
      <c r="AE89" s="476"/>
      <c r="AF89" s="476"/>
      <c r="AG89" s="476"/>
      <c r="AH89" s="476"/>
      <c r="AI89" s="476"/>
      <c r="AJ89" s="476"/>
      <c r="AK89" s="476"/>
      <c r="AL89" s="476"/>
      <c r="AM89" s="476"/>
      <c r="AN89" s="476"/>
      <c r="AO89" s="476"/>
      <c r="AP89" s="476"/>
      <c r="AQ89" s="476"/>
      <c r="AR89" s="476"/>
    </row>
    <row r="90" spans="1:44">
      <c r="A90" s="478"/>
      <c r="B90" s="476"/>
      <c r="C90" s="476"/>
      <c r="D90" s="476"/>
      <c r="E90" s="476"/>
      <c r="F90" s="476"/>
      <c r="G90" s="476"/>
      <c r="H90" s="476"/>
      <c r="I90" s="476"/>
      <c r="J90" s="476"/>
      <c r="K90" s="476"/>
      <c r="L90" s="476"/>
      <c r="M90" s="476"/>
      <c r="N90" s="476"/>
      <c r="O90" s="476"/>
      <c r="P90" s="476"/>
      <c r="Q90" s="476"/>
      <c r="R90" s="476"/>
      <c r="S90" s="476"/>
      <c r="T90" s="476"/>
      <c r="U90" s="476"/>
      <c r="V90" s="476"/>
      <c r="W90" s="476"/>
      <c r="X90" s="476"/>
      <c r="Y90" s="476"/>
      <c r="Z90" s="476"/>
      <c r="AA90" s="476"/>
      <c r="AB90" s="476"/>
      <c r="AC90" s="476"/>
      <c r="AD90" s="476"/>
      <c r="AE90" s="476"/>
      <c r="AF90" s="476"/>
      <c r="AG90" s="476"/>
      <c r="AH90" s="476"/>
      <c r="AI90" s="476"/>
      <c r="AJ90" s="476"/>
      <c r="AK90" s="476"/>
      <c r="AL90" s="476"/>
      <c r="AM90" s="476"/>
      <c r="AN90" s="476"/>
      <c r="AO90" s="476"/>
      <c r="AP90" s="476"/>
      <c r="AQ90" s="476"/>
      <c r="AR90" s="476"/>
    </row>
    <row r="91" spans="1:44">
      <c r="A91" s="477"/>
      <c r="B91" s="476"/>
      <c r="C91" s="476"/>
      <c r="D91" s="476"/>
      <c r="E91" s="476"/>
      <c r="F91" s="476"/>
      <c r="G91" s="476"/>
      <c r="H91" s="476"/>
      <c r="I91" s="476"/>
      <c r="J91" s="476"/>
      <c r="K91" s="476"/>
      <c r="L91" s="476"/>
      <c r="M91" s="476"/>
      <c r="N91" s="476"/>
      <c r="O91" s="476"/>
      <c r="P91" s="476"/>
      <c r="Q91" s="476"/>
      <c r="R91" s="476"/>
      <c r="S91" s="476"/>
      <c r="T91" s="476"/>
      <c r="U91" s="476"/>
      <c r="V91" s="476"/>
      <c r="W91" s="476"/>
      <c r="X91" s="476"/>
      <c r="Y91" s="476"/>
      <c r="Z91" s="476"/>
      <c r="AA91" s="476"/>
      <c r="AB91" s="476"/>
      <c r="AC91" s="476"/>
      <c r="AD91" s="476"/>
      <c r="AE91" s="476"/>
      <c r="AF91" s="476"/>
      <c r="AG91" s="476"/>
      <c r="AH91" s="476"/>
      <c r="AI91" s="476"/>
      <c r="AJ91" s="476"/>
      <c r="AK91" s="476"/>
      <c r="AL91" s="476"/>
      <c r="AM91" s="476"/>
      <c r="AN91" s="476"/>
      <c r="AO91" s="476"/>
      <c r="AP91" s="476"/>
      <c r="AQ91" s="476"/>
      <c r="AR91" s="476"/>
    </row>
    <row r="92" spans="1:44">
      <c r="A92" s="478"/>
      <c r="B92" s="476"/>
      <c r="C92" s="476"/>
      <c r="D92" s="476"/>
      <c r="E92" s="476"/>
      <c r="F92" s="476"/>
      <c r="G92" s="476"/>
      <c r="H92" s="476"/>
      <c r="I92" s="476"/>
      <c r="J92" s="476"/>
      <c r="K92" s="476"/>
      <c r="L92" s="476"/>
      <c r="M92" s="476"/>
      <c r="N92" s="476"/>
      <c r="O92" s="476"/>
      <c r="P92" s="476"/>
      <c r="Q92" s="476"/>
      <c r="R92" s="476"/>
      <c r="S92" s="476"/>
      <c r="T92" s="476"/>
      <c r="U92" s="476"/>
      <c r="V92" s="476"/>
      <c r="W92" s="476"/>
      <c r="X92" s="476"/>
      <c r="Y92" s="476"/>
      <c r="Z92" s="476"/>
      <c r="AA92" s="476"/>
      <c r="AB92" s="476"/>
      <c r="AC92" s="476"/>
      <c r="AD92" s="476"/>
      <c r="AE92" s="476"/>
      <c r="AF92" s="476"/>
      <c r="AG92" s="476"/>
      <c r="AH92" s="476"/>
      <c r="AI92" s="476"/>
      <c r="AJ92" s="476"/>
      <c r="AK92" s="476"/>
      <c r="AL92" s="476"/>
      <c r="AM92" s="476"/>
      <c r="AN92" s="476"/>
      <c r="AO92" s="476"/>
      <c r="AP92" s="476"/>
      <c r="AQ92" s="476"/>
      <c r="AR92" s="476"/>
    </row>
    <row r="93" spans="1:44">
      <c r="A93" s="477"/>
      <c r="B93" s="476"/>
      <c r="C93" s="476"/>
      <c r="D93" s="476"/>
      <c r="E93" s="476"/>
      <c r="F93" s="476"/>
      <c r="G93" s="476"/>
      <c r="H93" s="476"/>
      <c r="I93" s="476"/>
      <c r="J93" s="476"/>
      <c r="K93" s="476"/>
      <c r="L93" s="476"/>
      <c r="M93" s="476"/>
      <c r="N93" s="476"/>
      <c r="O93" s="476"/>
      <c r="P93" s="476"/>
      <c r="Q93" s="476"/>
      <c r="R93" s="476"/>
      <c r="S93" s="476"/>
      <c r="T93" s="476"/>
      <c r="U93" s="476"/>
      <c r="V93" s="476"/>
      <c r="W93" s="476"/>
      <c r="X93" s="476"/>
      <c r="Y93" s="476"/>
      <c r="Z93" s="476"/>
      <c r="AA93" s="476"/>
      <c r="AB93" s="476"/>
      <c r="AC93" s="476"/>
      <c r="AD93" s="476"/>
      <c r="AE93" s="476"/>
      <c r="AF93" s="476"/>
      <c r="AG93" s="476"/>
      <c r="AH93" s="476"/>
      <c r="AI93" s="476"/>
      <c r="AJ93" s="476"/>
      <c r="AK93" s="476"/>
      <c r="AL93" s="476"/>
      <c r="AM93" s="476"/>
      <c r="AN93" s="476"/>
      <c r="AO93" s="476"/>
      <c r="AP93" s="476"/>
      <c r="AQ93" s="476"/>
      <c r="AR93" s="476"/>
    </row>
    <row r="94" spans="1:44">
      <c r="A94" s="478"/>
      <c r="B94" s="476"/>
      <c r="C94" s="476"/>
      <c r="D94" s="476"/>
      <c r="E94" s="476"/>
      <c r="F94" s="476"/>
      <c r="G94" s="476"/>
      <c r="H94" s="476"/>
      <c r="I94" s="476"/>
      <c r="J94" s="476"/>
      <c r="K94" s="476"/>
      <c r="L94" s="476"/>
      <c r="M94" s="476"/>
      <c r="N94" s="476"/>
      <c r="O94" s="476"/>
      <c r="P94" s="476"/>
      <c r="Q94" s="476"/>
      <c r="R94" s="476"/>
      <c r="S94" s="476"/>
      <c r="T94" s="476"/>
      <c r="U94" s="476"/>
      <c r="V94" s="476"/>
      <c r="W94" s="476"/>
      <c r="X94" s="476"/>
      <c r="Y94" s="476"/>
      <c r="Z94" s="476"/>
      <c r="AA94" s="476"/>
      <c r="AB94" s="476"/>
      <c r="AC94" s="476"/>
      <c r="AD94" s="476"/>
      <c r="AE94" s="476"/>
      <c r="AF94" s="476"/>
      <c r="AG94" s="476"/>
      <c r="AH94" s="476"/>
      <c r="AI94" s="476"/>
      <c r="AJ94" s="476"/>
      <c r="AK94" s="476"/>
      <c r="AL94" s="476"/>
      <c r="AM94" s="476"/>
      <c r="AN94" s="476"/>
      <c r="AO94" s="476"/>
      <c r="AP94" s="476"/>
      <c r="AQ94" s="476"/>
      <c r="AR94" s="476"/>
    </row>
    <row r="95" spans="1:44">
      <c r="A95" s="477"/>
      <c r="B95" s="476"/>
      <c r="C95" s="476"/>
      <c r="D95" s="476"/>
      <c r="E95" s="476"/>
      <c r="F95" s="476"/>
      <c r="G95" s="476"/>
      <c r="H95" s="476"/>
      <c r="I95" s="476"/>
      <c r="J95" s="476"/>
      <c r="K95" s="476"/>
      <c r="L95" s="476"/>
      <c r="M95" s="476"/>
      <c r="N95" s="476"/>
      <c r="O95" s="476"/>
      <c r="P95" s="476"/>
      <c r="Q95" s="476"/>
      <c r="R95" s="476"/>
      <c r="S95" s="476"/>
      <c r="T95" s="476"/>
      <c r="U95" s="476"/>
      <c r="V95" s="476"/>
      <c r="W95" s="476"/>
      <c r="X95" s="476"/>
      <c r="Y95" s="476"/>
      <c r="Z95" s="476"/>
      <c r="AA95" s="476"/>
      <c r="AB95" s="476"/>
      <c r="AC95" s="476"/>
      <c r="AD95" s="476"/>
      <c r="AE95" s="476"/>
      <c r="AF95" s="476"/>
      <c r="AG95" s="476"/>
      <c r="AH95" s="476"/>
      <c r="AI95" s="476"/>
      <c r="AJ95" s="476"/>
      <c r="AK95" s="476"/>
      <c r="AL95" s="476"/>
      <c r="AM95" s="476"/>
      <c r="AN95" s="476"/>
      <c r="AO95" s="476"/>
      <c r="AP95" s="476"/>
      <c r="AQ95" s="476"/>
      <c r="AR95" s="476"/>
    </row>
    <row r="96" spans="1:44">
      <c r="A96" s="478"/>
      <c r="B96" s="476"/>
      <c r="C96" s="476"/>
      <c r="D96" s="476"/>
      <c r="E96" s="476"/>
      <c r="F96" s="476"/>
      <c r="G96" s="476"/>
      <c r="H96" s="476"/>
      <c r="I96" s="476"/>
      <c r="J96" s="476"/>
      <c r="K96" s="476"/>
      <c r="L96" s="476"/>
      <c r="M96" s="476"/>
      <c r="N96" s="476"/>
      <c r="O96" s="476"/>
      <c r="P96" s="476"/>
      <c r="Q96" s="476"/>
      <c r="R96" s="476"/>
      <c r="S96" s="476"/>
      <c r="T96" s="476"/>
      <c r="U96" s="476"/>
      <c r="V96" s="476"/>
      <c r="W96" s="476"/>
      <c r="X96" s="476"/>
      <c r="Y96" s="476"/>
      <c r="Z96" s="476"/>
      <c r="AA96" s="476"/>
      <c r="AB96" s="476"/>
      <c r="AC96" s="476"/>
      <c r="AD96" s="476"/>
      <c r="AE96" s="476"/>
      <c r="AF96" s="476"/>
      <c r="AG96" s="476"/>
      <c r="AH96" s="476"/>
      <c r="AI96" s="476"/>
      <c r="AJ96" s="476"/>
      <c r="AK96" s="476"/>
      <c r="AL96" s="476"/>
      <c r="AM96" s="476"/>
      <c r="AN96" s="476"/>
      <c r="AO96" s="476"/>
      <c r="AP96" s="476"/>
      <c r="AQ96" s="476"/>
      <c r="AR96" s="476"/>
    </row>
    <row r="97" spans="1:44">
      <c r="A97" s="477"/>
      <c r="B97" s="476"/>
      <c r="C97" s="476"/>
      <c r="D97" s="476"/>
      <c r="E97" s="476"/>
      <c r="F97" s="476"/>
      <c r="G97" s="476"/>
      <c r="H97" s="476"/>
      <c r="I97" s="476"/>
      <c r="J97" s="476"/>
      <c r="K97" s="476"/>
      <c r="L97" s="476"/>
      <c r="M97" s="476"/>
      <c r="N97" s="476"/>
      <c r="O97" s="476"/>
      <c r="P97" s="476"/>
      <c r="Q97" s="476"/>
      <c r="R97" s="476"/>
      <c r="S97" s="476"/>
      <c r="T97" s="476"/>
      <c r="U97" s="476"/>
      <c r="V97" s="476"/>
      <c r="W97" s="476"/>
      <c r="X97" s="476"/>
      <c r="Y97" s="476"/>
      <c r="Z97" s="476"/>
      <c r="AA97" s="476"/>
      <c r="AB97" s="476"/>
      <c r="AC97" s="476"/>
      <c r="AD97" s="476"/>
      <c r="AE97" s="476"/>
      <c r="AF97" s="476"/>
      <c r="AG97" s="476"/>
      <c r="AH97" s="476"/>
      <c r="AI97" s="476"/>
      <c r="AJ97" s="476"/>
      <c r="AK97" s="476"/>
      <c r="AL97" s="476"/>
      <c r="AM97" s="476"/>
      <c r="AN97" s="476"/>
      <c r="AO97" s="476"/>
      <c r="AP97" s="476"/>
      <c r="AQ97" s="476"/>
      <c r="AR97" s="476"/>
    </row>
    <row r="98" spans="1:44">
      <c r="A98" s="478"/>
      <c r="B98" s="476"/>
      <c r="C98" s="476"/>
      <c r="D98" s="476"/>
      <c r="E98" s="476"/>
      <c r="F98" s="476"/>
      <c r="G98" s="476"/>
      <c r="H98" s="476"/>
      <c r="I98" s="476"/>
      <c r="J98" s="476"/>
      <c r="K98" s="476"/>
      <c r="L98" s="476"/>
      <c r="M98" s="476"/>
      <c r="N98" s="476"/>
      <c r="O98" s="476"/>
      <c r="P98" s="476"/>
      <c r="Q98" s="476"/>
      <c r="R98" s="476"/>
      <c r="S98" s="476"/>
      <c r="T98" s="476"/>
      <c r="U98" s="476"/>
      <c r="V98" s="476"/>
      <c r="W98" s="476"/>
      <c r="X98" s="476"/>
      <c r="Y98" s="476"/>
      <c r="Z98" s="476"/>
      <c r="AA98" s="476"/>
      <c r="AB98" s="476"/>
      <c r="AC98" s="476"/>
      <c r="AD98" s="476"/>
      <c r="AE98" s="476"/>
      <c r="AF98" s="476"/>
      <c r="AG98" s="476"/>
      <c r="AH98" s="476"/>
      <c r="AI98" s="476"/>
      <c r="AJ98" s="476"/>
      <c r="AK98" s="476"/>
      <c r="AL98" s="476"/>
      <c r="AM98" s="476"/>
      <c r="AN98" s="476"/>
      <c r="AO98" s="476"/>
      <c r="AP98" s="476"/>
      <c r="AQ98" s="476"/>
      <c r="AR98" s="476"/>
    </row>
    <row r="99" spans="1:44">
      <c r="A99" s="477"/>
      <c r="B99" s="476"/>
      <c r="C99" s="476"/>
      <c r="D99" s="476"/>
      <c r="E99" s="476"/>
      <c r="F99" s="476"/>
      <c r="G99" s="476"/>
      <c r="H99" s="476"/>
      <c r="I99" s="476"/>
      <c r="J99" s="476"/>
      <c r="K99" s="476"/>
      <c r="L99" s="476"/>
      <c r="M99" s="476"/>
      <c r="N99" s="476"/>
      <c r="O99" s="476"/>
      <c r="P99" s="476"/>
      <c r="Q99" s="476"/>
      <c r="R99" s="476"/>
      <c r="S99" s="476"/>
      <c r="T99" s="476"/>
      <c r="U99" s="476"/>
      <c r="V99" s="476"/>
      <c r="W99" s="476"/>
      <c r="X99" s="476"/>
      <c r="Y99" s="476"/>
      <c r="Z99" s="476"/>
      <c r="AA99" s="476"/>
      <c r="AB99" s="476"/>
      <c r="AC99" s="476"/>
      <c r="AD99" s="476"/>
      <c r="AE99" s="476"/>
      <c r="AF99" s="476"/>
      <c r="AG99" s="476"/>
      <c r="AH99" s="476"/>
      <c r="AI99" s="476"/>
      <c r="AJ99" s="476"/>
      <c r="AK99" s="476"/>
      <c r="AL99" s="476"/>
      <c r="AM99" s="476"/>
      <c r="AN99" s="476"/>
      <c r="AO99" s="476"/>
      <c r="AP99" s="476"/>
      <c r="AQ99" s="476"/>
      <c r="AR99" s="476"/>
    </row>
    <row r="100" spans="1:44">
      <c r="A100" s="478"/>
      <c r="B100" s="476"/>
      <c r="C100" s="476"/>
      <c r="D100" s="476"/>
      <c r="E100" s="476"/>
      <c r="F100" s="476"/>
      <c r="G100" s="476"/>
      <c r="H100" s="476"/>
      <c r="I100" s="476"/>
      <c r="J100" s="476"/>
      <c r="K100" s="476"/>
      <c r="L100" s="476"/>
      <c r="M100" s="476"/>
      <c r="N100" s="476"/>
      <c r="O100" s="476"/>
      <c r="P100" s="476"/>
      <c r="Q100" s="476"/>
      <c r="R100" s="476"/>
      <c r="S100" s="476"/>
      <c r="T100" s="476"/>
      <c r="U100" s="476"/>
      <c r="V100" s="476"/>
      <c r="W100" s="476"/>
      <c r="X100" s="476"/>
      <c r="Y100" s="476"/>
      <c r="Z100" s="476"/>
      <c r="AA100" s="476"/>
      <c r="AB100" s="476"/>
      <c r="AC100" s="476"/>
      <c r="AD100" s="476"/>
      <c r="AE100" s="476"/>
      <c r="AF100" s="476"/>
      <c r="AG100" s="476"/>
      <c r="AH100" s="476"/>
      <c r="AI100" s="476"/>
      <c r="AJ100" s="476"/>
      <c r="AK100" s="476"/>
      <c r="AL100" s="476"/>
      <c r="AM100" s="476"/>
      <c r="AN100" s="476"/>
      <c r="AO100" s="476"/>
      <c r="AP100" s="476"/>
      <c r="AQ100" s="476"/>
      <c r="AR100" s="476"/>
    </row>
    <row r="101" spans="1:44">
      <c r="A101" s="477"/>
      <c r="B101" s="476"/>
      <c r="C101" s="476"/>
      <c r="D101" s="476"/>
      <c r="E101" s="476"/>
      <c r="F101" s="476"/>
      <c r="G101" s="476"/>
      <c r="H101" s="476"/>
      <c r="I101" s="476"/>
      <c r="J101" s="476"/>
      <c r="K101" s="476"/>
      <c r="L101" s="476"/>
      <c r="M101" s="476"/>
      <c r="N101" s="476"/>
      <c r="O101" s="476"/>
      <c r="P101" s="476"/>
      <c r="Q101" s="476"/>
      <c r="R101" s="476"/>
      <c r="S101" s="476"/>
      <c r="T101" s="476"/>
      <c r="U101" s="476"/>
      <c r="V101" s="476"/>
      <c r="W101" s="476"/>
      <c r="X101" s="476"/>
      <c r="Y101" s="476"/>
      <c r="Z101" s="476"/>
      <c r="AA101" s="476"/>
      <c r="AB101" s="476"/>
      <c r="AC101" s="476"/>
      <c r="AD101" s="476"/>
      <c r="AE101" s="476"/>
      <c r="AF101" s="476"/>
      <c r="AG101" s="476"/>
      <c r="AH101" s="476"/>
      <c r="AI101" s="476"/>
      <c r="AJ101" s="476"/>
      <c r="AK101" s="476"/>
      <c r="AL101" s="476"/>
      <c r="AM101" s="476"/>
      <c r="AN101" s="476"/>
      <c r="AO101" s="476"/>
      <c r="AP101" s="476"/>
      <c r="AQ101" s="476"/>
      <c r="AR101" s="476"/>
    </row>
    <row r="102" spans="1:44">
      <c r="A102" s="478"/>
      <c r="B102" s="476"/>
      <c r="C102" s="476"/>
      <c r="D102" s="476"/>
      <c r="E102" s="476"/>
      <c r="F102" s="476"/>
      <c r="G102" s="476"/>
      <c r="H102" s="476"/>
      <c r="I102" s="476"/>
      <c r="J102" s="476"/>
      <c r="K102" s="476"/>
      <c r="L102" s="476"/>
      <c r="M102" s="476"/>
      <c r="N102" s="476"/>
      <c r="O102" s="476"/>
      <c r="P102" s="476"/>
      <c r="Q102" s="476"/>
      <c r="R102" s="476"/>
      <c r="S102" s="476"/>
      <c r="T102" s="476"/>
      <c r="U102" s="476"/>
      <c r="V102" s="476"/>
      <c r="W102" s="476"/>
      <c r="X102" s="476"/>
      <c r="Y102" s="476"/>
      <c r="Z102" s="476"/>
      <c r="AA102" s="476"/>
      <c r="AB102" s="476"/>
      <c r="AC102" s="476"/>
      <c r="AD102" s="476"/>
      <c r="AE102" s="476"/>
      <c r="AF102" s="476"/>
      <c r="AG102" s="476"/>
      <c r="AH102" s="476"/>
      <c r="AI102" s="476"/>
      <c r="AJ102" s="476"/>
      <c r="AK102" s="476"/>
      <c r="AL102" s="476"/>
      <c r="AM102" s="476"/>
      <c r="AN102" s="476"/>
      <c r="AO102" s="476"/>
      <c r="AP102" s="476"/>
      <c r="AQ102" s="476"/>
      <c r="AR102" s="476"/>
    </row>
    <row r="103" spans="1:44">
      <c r="A103" s="477"/>
      <c r="B103" s="476"/>
      <c r="C103" s="476"/>
      <c r="D103" s="476"/>
      <c r="E103" s="476"/>
      <c r="F103" s="476"/>
      <c r="G103" s="476"/>
      <c r="H103" s="476"/>
      <c r="I103" s="476"/>
      <c r="J103" s="476"/>
      <c r="K103" s="476"/>
      <c r="L103" s="476"/>
      <c r="M103" s="476"/>
      <c r="N103" s="476"/>
      <c r="O103" s="476"/>
      <c r="P103" s="476"/>
      <c r="Q103" s="476"/>
      <c r="R103" s="476"/>
      <c r="S103" s="476"/>
      <c r="T103" s="476"/>
      <c r="U103" s="476"/>
      <c r="V103" s="476"/>
      <c r="W103" s="476"/>
      <c r="X103" s="476"/>
      <c r="Y103" s="476"/>
      <c r="Z103" s="476"/>
      <c r="AA103" s="476"/>
      <c r="AB103" s="476"/>
      <c r="AC103" s="476"/>
      <c r="AD103" s="476"/>
      <c r="AE103" s="476"/>
      <c r="AF103" s="476"/>
      <c r="AG103" s="476"/>
      <c r="AH103" s="476"/>
      <c r="AI103" s="476"/>
      <c r="AJ103" s="476"/>
      <c r="AK103" s="476"/>
      <c r="AL103" s="476"/>
      <c r="AM103" s="476"/>
      <c r="AN103" s="476"/>
      <c r="AO103" s="476"/>
      <c r="AP103" s="476"/>
      <c r="AQ103" s="476"/>
      <c r="AR103" s="476"/>
    </row>
  </sheetData>
  <mergeCells count="3">
    <mergeCell ref="A1:AR1"/>
    <mergeCell ref="A2:A3"/>
    <mergeCell ref="B2:C2"/>
  </mergeCell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workbookViewId="0">
      <selection activeCell="R31" sqref="R31"/>
    </sheetView>
  </sheetViews>
  <sheetFormatPr defaultColWidth="9.140625" defaultRowHeight="14.25"/>
  <cols>
    <col min="1" max="16384" width="9.140625" style="65"/>
  </cols>
  <sheetData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XEK12"/>
  <sheetViews>
    <sheetView workbookViewId="0">
      <selection activeCell="V13" sqref="V13"/>
    </sheetView>
  </sheetViews>
  <sheetFormatPr defaultColWidth="0" defaultRowHeight="27" customHeight="1" outlineLevelCol="1"/>
  <cols>
    <col min="1" max="1" width="11" style="138" customWidth="1"/>
    <col min="2" max="2" width="7.140625" style="138" customWidth="1"/>
    <col min="3" max="3" width="16.85546875" style="143" customWidth="1"/>
    <col min="4" max="9" width="9.140625" style="144" hidden="1" customWidth="1" outlineLevel="1"/>
    <col min="10" max="10" width="19.28515625" style="145" hidden="1" customWidth="1" outlineLevel="1"/>
    <col min="11" max="11" width="7.42578125" style="144" customWidth="1" collapsed="1"/>
    <col min="12" max="12" width="12.140625" style="144" hidden="1" customWidth="1" outlineLevel="1"/>
    <col min="13" max="13" width="11.140625" style="144" bestFit="1" customWidth="1" collapsed="1"/>
    <col min="14" max="15" width="9.140625" style="144" customWidth="1"/>
    <col min="16" max="16" width="10.42578125" style="144" bestFit="1" customWidth="1"/>
    <col min="17" max="17" width="11.140625" style="146" bestFit="1" customWidth="1"/>
    <col min="18" max="19" width="17.28515625" style="146" bestFit="1" customWidth="1"/>
    <col min="20" max="20" width="9.140625" style="131" customWidth="1"/>
    <col min="21" max="21" width="18.140625" style="466" bestFit="1" customWidth="1"/>
    <col min="22" max="22" width="10.7109375" style="466" customWidth="1"/>
    <col min="23" max="24" width="10.7109375" style="465" customWidth="1"/>
    <col min="25" max="26" width="10.7109375" style="456" customWidth="1"/>
    <col min="27" max="27" width="10.7109375" style="465" customWidth="1"/>
    <col min="28" max="37" width="10.7109375" style="131" customWidth="1"/>
    <col min="38" max="38" width="9.140625" style="131" customWidth="1"/>
    <col min="39" max="42" width="0" style="131" hidden="1"/>
    <col min="43" max="16365" width="9.140625" style="131" hidden="1"/>
    <col min="16366" max="16384" width="0" style="131" hidden="1"/>
  </cols>
  <sheetData>
    <row r="1" spans="1:37" ht="27" customHeight="1">
      <c r="A1" s="528" t="s">
        <v>138</v>
      </c>
      <c r="B1" s="529"/>
      <c r="C1" s="529"/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30"/>
      <c r="S1" s="152"/>
      <c r="U1" s="531" t="s">
        <v>139</v>
      </c>
      <c r="V1" s="532"/>
      <c r="W1" s="532"/>
      <c r="X1" s="532"/>
      <c r="Y1" s="532"/>
      <c r="Z1" s="532"/>
      <c r="AA1" s="532"/>
      <c r="AB1" s="532"/>
      <c r="AC1" s="532"/>
      <c r="AD1" s="532"/>
      <c r="AE1" s="532"/>
      <c r="AF1" s="532"/>
      <c r="AG1" s="532"/>
      <c r="AH1" s="532"/>
      <c r="AI1" s="532"/>
      <c r="AJ1" s="532"/>
      <c r="AK1" s="533"/>
    </row>
    <row r="2" spans="1:37" s="134" customFormat="1" ht="27" customHeight="1">
      <c r="A2" s="534" t="s">
        <v>118</v>
      </c>
      <c r="B2" s="534" t="s">
        <v>119</v>
      </c>
      <c r="C2" s="534" t="s">
        <v>120</v>
      </c>
      <c r="D2" s="534"/>
      <c r="E2" s="534"/>
      <c r="F2" s="534"/>
      <c r="G2" s="534"/>
      <c r="H2" s="534"/>
      <c r="I2" s="534"/>
      <c r="J2" s="534"/>
      <c r="K2" s="534" t="s">
        <v>121</v>
      </c>
      <c r="L2" s="535" t="s">
        <v>145</v>
      </c>
      <c r="M2" s="132" t="s">
        <v>127</v>
      </c>
      <c r="N2" s="534" t="s">
        <v>122</v>
      </c>
      <c r="O2" s="534" t="s">
        <v>123</v>
      </c>
      <c r="P2" s="534"/>
      <c r="Q2" s="133" t="s">
        <v>126</v>
      </c>
      <c r="R2" s="133" t="s">
        <v>126</v>
      </c>
      <c r="S2" s="133" t="s">
        <v>178</v>
      </c>
      <c r="U2" s="460" t="s">
        <v>140</v>
      </c>
      <c r="V2" s="470">
        <f>SMALL_kata($K5:$K2000,1)</f>
        <v>0</v>
      </c>
      <c r="W2" s="457">
        <f>SMALL_kata($K5:$K2000,2)</f>
        <v>0</v>
      </c>
      <c r="X2" s="461">
        <f>SMALL_kata($K5:$K2000,3)</f>
        <v>0</v>
      </c>
      <c r="Y2" s="467">
        <f>SMALL_kata($K5:$K2000,4)</f>
        <v>0</v>
      </c>
      <c r="Z2" s="467">
        <f>SMALL_kata($K5:$K2000,5)</f>
        <v>0</v>
      </c>
      <c r="AA2" s="461">
        <f>SMALL_kata($K5:$K2000,6)</f>
        <v>0</v>
      </c>
      <c r="AB2" s="457">
        <f>SMALL_kata($K5:$K2000,7)</f>
        <v>0</v>
      </c>
      <c r="AC2" s="136">
        <f>SMALL_kata($K5:$K2000,8)</f>
        <v>0</v>
      </c>
      <c r="AD2" s="136">
        <f>SMALL_kata($K5:$K2000,9)</f>
        <v>0</v>
      </c>
      <c r="AE2" s="136">
        <f>SMALL_kata($K5:$K2000,10)</f>
        <v>0</v>
      </c>
      <c r="AF2" s="136">
        <f>SMALL_kata($K5:$K2000,11)</f>
        <v>0</v>
      </c>
      <c r="AG2" s="136">
        <f>SMALL_kata($K5:$K2000,12)</f>
        <v>0</v>
      </c>
      <c r="AH2" s="136">
        <f>SMALL_kata($K5:$K2000,13)</f>
        <v>0</v>
      </c>
      <c r="AI2" s="136">
        <f>SMALL_kata($K5:$K2000,14)</f>
        <v>0</v>
      </c>
      <c r="AJ2" s="136">
        <f>SMALL_kata($K5:$K2000,15)</f>
        <v>0</v>
      </c>
      <c r="AK2" s="136">
        <f>SMALL_kata($K5:$K2000,16)</f>
        <v>0</v>
      </c>
    </row>
    <row r="3" spans="1:37" s="134" customFormat="1" ht="27" customHeight="1">
      <c r="A3" s="534"/>
      <c r="B3" s="534"/>
      <c r="C3" s="534"/>
      <c r="D3" s="534"/>
      <c r="E3" s="534"/>
      <c r="F3" s="534"/>
      <c r="G3" s="534"/>
      <c r="H3" s="534"/>
      <c r="I3" s="534"/>
      <c r="J3" s="534"/>
      <c r="K3" s="534"/>
      <c r="L3" s="536"/>
      <c r="M3" s="132" t="s">
        <v>131</v>
      </c>
      <c r="N3" s="534"/>
      <c r="O3" s="534" t="s">
        <v>124</v>
      </c>
      <c r="P3" s="534" t="s">
        <v>125</v>
      </c>
      <c r="Q3" s="133" t="s">
        <v>127</v>
      </c>
      <c r="R3" s="133" t="s">
        <v>128</v>
      </c>
      <c r="S3" s="133" t="s">
        <v>128</v>
      </c>
      <c r="U3" s="460" t="s">
        <v>141</v>
      </c>
      <c r="V3" s="471">
        <f t="shared" ref="V3:AK3" si="0">SUMIF($K:$K,V2,$Q:$Q)</f>
        <v>0</v>
      </c>
      <c r="W3" s="458">
        <f t="shared" si="0"/>
        <v>0</v>
      </c>
      <c r="X3" s="462">
        <f t="shared" si="0"/>
        <v>0</v>
      </c>
      <c r="Y3" s="468">
        <f t="shared" si="0"/>
        <v>0</v>
      </c>
      <c r="Z3" s="468">
        <f t="shared" si="0"/>
        <v>0</v>
      </c>
      <c r="AA3" s="462">
        <f t="shared" si="0"/>
        <v>0</v>
      </c>
      <c r="AB3" s="458">
        <f t="shared" si="0"/>
        <v>0</v>
      </c>
      <c r="AC3" s="170">
        <f t="shared" si="0"/>
        <v>0</v>
      </c>
      <c r="AD3" s="170">
        <f t="shared" si="0"/>
        <v>0</v>
      </c>
      <c r="AE3" s="170">
        <f t="shared" si="0"/>
        <v>0</v>
      </c>
      <c r="AF3" s="170">
        <f t="shared" si="0"/>
        <v>0</v>
      </c>
      <c r="AG3" s="170">
        <f t="shared" si="0"/>
        <v>0</v>
      </c>
      <c r="AH3" s="170">
        <f t="shared" si="0"/>
        <v>0</v>
      </c>
      <c r="AI3" s="170">
        <f t="shared" si="0"/>
        <v>0</v>
      </c>
      <c r="AJ3" s="170">
        <f t="shared" si="0"/>
        <v>0</v>
      </c>
      <c r="AK3" s="170">
        <f t="shared" si="0"/>
        <v>0</v>
      </c>
    </row>
    <row r="4" spans="1:37" s="140" customFormat="1" ht="27" customHeight="1">
      <c r="A4" s="534"/>
      <c r="B4" s="534"/>
      <c r="C4" s="137" t="s">
        <v>146</v>
      </c>
      <c r="D4" s="138" t="s">
        <v>133</v>
      </c>
      <c r="E4" s="138" t="s">
        <v>134</v>
      </c>
      <c r="F4" s="138" t="s">
        <v>135</v>
      </c>
      <c r="G4" s="138" t="s">
        <v>136</v>
      </c>
      <c r="H4" s="138" t="s">
        <v>137</v>
      </c>
      <c r="I4" s="138" t="s">
        <v>147</v>
      </c>
      <c r="J4" s="138" t="s">
        <v>153</v>
      </c>
      <c r="K4" s="534"/>
      <c r="L4" s="537"/>
      <c r="M4" s="132" t="s">
        <v>132</v>
      </c>
      <c r="N4" s="534"/>
      <c r="O4" s="534"/>
      <c r="P4" s="534"/>
      <c r="Q4" s="139" t="s">
        <v>129</v>
      </c>
      <c r="R4" s="139" t="s">
        <v>130</v>
      </c>
      <c r="S4" s="139" t="s">
        <v>130</v>
      </c>
      <c r="U4" s="463" t="s">
        <v>128</v>
      </c>
      <c r="V4" s="472">
        <f>V3*tra_bang_kl(V2)</f>
        <v>0</v>
      </c>
      <c r="W4" s="459">
        <f t="shared" ref="W4:AK4" si="1">W3*tra_bang_kl(W2)</f>
        <v>0</v>
      </c>
      <c r="X4" s="464">
        <f t="shared" si="1"/>
        <v>0</v>
      </c>
      <c r="Y4" s="469">
        <f t="shared" si="1"/>
        <v>0</v>
      </c>
      <c r="Z4" s="469">
        <f t="shared" si="1"/>
        <v>0</v>
      </c>
      <c r="AA4" s="464">
        <f t="shared" si="1"/>
        <v>0</v>
      </c>
      <c r="AB4" s="459">
        <f t="shared" si="1"/>
        <v>0</v>
      </c>
      <c r="AC4" s="142">
        <f t="shared" si="1"/>
        <v>0</v>
      </c>
      <c r="AD4" s="142">
        <f t="shared" si="1"/>
        <v>0</v>
      </c>
      <c r="AE4" s="142">
        <f t="shared" si="1"/>
        <v>0</v>
      </c>
      <c r="AF4" s="142">
        <f t="shared" si="1"/>
        <v>0</v>
      </c>
      <c r="AG4" s="142">
        <f t="shared" si="1"/>
        <v>0</v>
      </c>
      <c r="AH4" s="142">
        <f t="shared" si="1"/>
        <v>0</v>
      </c>
      <c r="AI4" s="142">
        <f t="shared" si="1"/>
        <v>0</v>
      </c>
      <c r="AJ4" s="142">
        <f t="shared" si="1"/>
        <v>0</v>
      </c>
      <c r="AK4" s="142">
        <f t="shared" si="1"/>
        <v>0</v>
      </c>
    </row>
    <row r="5" spans="1:37" ht="27" customHeight="1">
      <c r="U5" s="463" t="s">
        <v>142</v>
      </c>
      <c r="V5" s="472">
        <f>SUMIF(V2:AK2,"&lt;=10",V4:AK4)</f>
        <v>0</v>
      </c>
      <c r="W5" s="131"/>
      <c r="X5" s="131"/>
      <c r="Y5" s="131"/>
      <c r="Z5" s="131"/>
      <c r="AA5" s="131"/>
    </row>
    <row r="6" spans="1:37" ht="27" customHeight="1">
      <c r="U6" s="463" t="s">
        <v>143</v>
      </c>
      <c r="V6" s="472">
        <f>SUM(V4:AK4)-V5-V7</f>
        <v>0</v>
      </c>
      <c r="W6" s="131"/>
      <c r="X6" s="131"/>
      <c r="Y6" s="131"/>
      <c r="Z6" s="131"/>
      <c r="AA6" s="131"/>
    </row>
    <row r="7" spans="1:37" ht="27" customHeight="1">
      <c r="U7" s="463" t="s">
        <v>144</v>
      </c>
      <c r="V7" s="472">
        <f>SUMIF(V2:AK2,"&gt;18",V4:AK4)</f>
        <v>0</v>
      </c>
      <c r="W7" s="131"/>
      <c r="X7" s="131"/>
      <c r="Y7" s="131"/>
      <c r="Z7" s="131"/>
      <c r="AA7" s="131"/>
    </row>
    <row r="8" spans="1:37" ht="27" customHeight="1">
      <c r="U8" s="140"/>
      <c r="V8" s="140"/>
      <c r="W8" s="131"/>
      <c r="X8" s="131"/>
      <c r="Y8" s="131"/>
      <c r="Z8" s="131"/>
      <c r="AA8" s="131"/>
    </row>
    <row r="9" spans="1:37" ht="27" customHeight="1">
      <c r="U9" s="538" t="s">
        <v>436</v>
      </c>
      <c r="V9" s="538"/>
      <c r="W9" s="538"/>
      <c r="X9" s="538"/>
      <c r="Y9" s="538"/>
      <c r="Z9" s="538"/>
      <c r="AA9" s="538"/>
    </row>
    <row r="10" spans="1:37" ht="27" customHeight="1">
      <c r="U10" s="539" t="s">
        <v>118</v>
      </c>
      <c r="V10" s="539" t="s">
        <v>437</v>
      </c>
      <c r="W10" s="539" t="s">
        <v>121</v>
      </c>
      <c r="X10" s="534" t="s">
        <v>122</v>
      </c>
      <c r="Y10" s="534" t="s">
        <v>123</v>
      </c>
      <c r="Z10" s="534"/>
      <c r="AA10" s="534" t="s">
        <v>438</v>
      </c>
    </row>
    <row r="11" spans="1:37" ht="27" customHeight="1">
      <c r="U11" s="539"/>
      <c r="V11" s="539"/>
      <c r="W11" s="539"/>
      <c r="X11" s="534"/>
      <c r="Y11" s="534" t="s">
        <v>124</v>
      </c>
      <c r="Z11" s="540" t="s">
        <v>125</v>
      </c>
      <c r="AA11" s="534"/>
    </row>
    <row r="12" spans="1:37" ht="27" customHeight="1">
      <c r="U12" s="539"/>
      <c r="V12" s="539"/>
      <c r="W12" s="539"/>
      <c r="X12" s="534"/>
      <c r="Y12" s="534"/>
      <c r="Z12" s="540"/>
      <c r="AA12" s="534"/>
    </row>
  </sheetData>
  <mergeCells count="20">
    <mergeCell ref="U9:AA9"/>
    <mergeCell ref="AA10:AA12"/>
    <mergeCell ref="U10:U12"/>
    <mergeCell ref="V10:V12"/>
    <mergeCell ref="W10:W12"/>
    <mergeCell ref="Y11:Y12"/>
    <mergeCell ref="X10:X12"/>
    <mergeCell ref="Y10:Z10"/>
    <mergeCell ref="Z11:Z12"/>
    <mergeCell ref="A1:R1"/>
    <mergeCell ref="U1:AK1"/>
    <mergeCell ref="O2:P2"/>
    <mergeCell ref="A2:A4"/>
    <mergeCell ref="B2:B4"/>
    <mergeCell ref="K2:K4"/>
    <mergeCell ref="N2:N4"/>
    <mergeCell ref="O3:O4"/>
    <mergeCell ref="P3:P4"/>
    <mergeCell ref="C2:J3"/>
    <mergeCell ref="L2:L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C03D5-1F60-4984-BAB4-F6A8E4BD280F}">
  <sheetPr codeName="Sheet13"/>
  <dimension ref="A1:AT10"/>
  <sheetViews>
    <sheetView view="pageBreakPreview" zoomScale="115" zoomScaleNormal="100" zoomScaleSheetLayoutView="115" workbookViewId="0">
      <pane ySplit="7" topLeftCell="A8" activePane="bottomLeft" state="frozen"/>
      <selection pane="bottomLeft" activeCell="N12" sqref="N12"/>
    </sheetView>
  </sheetViews>
  <sheetFormatPr defaultColWidth="0" defaultRowHeight="27" customHeight="1" outlineLevelRow="1" outlineLevelCol="1"/>
  <cols>
    <col min="1" max="1" width="8.7109375" style="361" customWidth="1"/>
    <col min="2" max="2" width="6.7109375" style="138" customWidth="1"/>
    <col min="3" max="3" width="26.7109375" style="364" customWidth="1"/>
    <col min="4" max="9" width="9.140625" style="144" hidden="1" customWidth="1" outlineLevel="1"/>
    <col min="10" max="10" width="19.28515625" style="145" hidden="1" customWidth="1" outlineLevel="1"/>
    <col min="11" max="11" width="6.7109375" style="144" customWidth="1" collapsed="1"/>
    <col min="12" max="12" width="12.140625" style="144" hidden="1" customWidth="1" outlineLevel="1"/>
    <col min="13" max="13" width="8.7109375" style="144" customWidth="1" collapsed="1"/>
    <col min="14" max="16" width="8.7109375" style="144" customWidth="1"/>
    <col min="17" max="18" width="8.7109375" style="146" customWidth="1"/>
    <col min="19" max="21" width="9.7109375" style="146" customWidth="1"/>
    <col min="22" max="22" width="22.5703125" style="146" customWidth="1"/>
    <col min="23" max="23" width="9.42578125" style="27" hidden="1" customWidth="1" outlineLevel="1"/>
    <col min="24" max="24" width="18.140625" style="27" hidden="1" customWidth="1" outlineLevel="1"/>
    <col min="25" max="40" width="9.140625" style="27" hidden="1" customWidth="1" outlineLevel="1"/>
    <col min="41" max="41" width="5.7109375" style="131" customWidth="1" collapsed="1"/>
    <col min="42" max="46" width="0" style="131" hidden="1" customWidth="1"/>
    <col min="47" max="16384" width="9.140625" style="131" hidden="1"/>
  </cols>
  <sheetData>
    <row r="1" spans="1:40" ht="14.25" hidden="1" outlineLevel="1">
      <c r="A1" s="359"/>
      <c r="B1" s="350" t="s">
        <v>384</v>
      </c>
      <c r="C1" s="362"/>
      <c r="D1" s="131"/>
      <c r="E1" s="131"/>
      <c r="F1" s="131"/>
      <c r="G1" s="131"/>
      <c r="H1" s="131"/>
      <c r="I1" s="131"/>
      <c r="J1" s="351"/>
      <c r="K1" s="131"/>
      <c r="L1" s="131"/>
      <c r="M1" s="131"/>
      <c r="N1" s="131"/>
      <c r="O1" s="131"/>
      <c r="P1" s="131"/>
      <c r="Q1" s="352"/>
      <c r="R1" s="352"/>
      <c r="S1" s="352"/>
      <c r="T1" s="352"/>
      <c r="U1" s="352"/>
      <c r="V1" s="352"/>
    </row>
    <row r="2" spans="1:40" ht="27" hidden="1" customHeight="1" outlineLevel="1">
      <c r="A2" s="359"/>
      <c r="B2" s="353" t="s">
        <v>385</v>
      </c>
      <c r="C2" s="362"/>
      <c r="D2" s="131"/>
      <c r="E2" s="131"/>
      <c r="F2" s="131"/>
      <c r="G2" s="131"/>
      <c r="H2" s="131"/>
      <c r="I2" s="131"/>
      <c r="J2" s="351"/>
      <c r="K2" s="131"/>
      <c r="L2" s="131"/>
      <c r="M2" s="131"/>
      <c r="N2" s="131"/>
      <c r="O2" s="131"/>
      <c r="P2" s="131"/>
      <c r="Q2" s="352"/>
      <c r="R2" s="352"/>
      <c r="S2" s="352"/>
      <c r="T2" s="352"/>
      <c r="U2" s="352"/>
      <c r="V2" s="352"/>
    </row>
    <row r="3" spans="1:40" ht="27" hidden="1" customHeight="1" outlineLevel="1">
      <c r="A3" s="360"/>
      <c r="B3" s="354"/>
      <c r="C3" s="363"/>
      <c r="D3" s="355"/>
      <c r="E3" s="355"/>
      <c r="F3" s="355"/>
      <c r="G3" s="355"/>
      <c r="H3" s="355"/>
      <c r="I3" s="355"/>
      <c r="J3" s="356"/>
      <c r="K3" s="355"/>
      <c r="L3" s="355"/>
      <c r="M3" s="355"/>
      <c r="N3" s="355"/>
      <c r="O3" s="355"/>
      <c r="P3" s="355"/>
      <c r="Q3" s="357"/>
      <c r="R3" s="357"/>
      <c r="S3" s="357"/>
      <c r="T3" s="357"/>
      <c r="U3" s="358"/>
      <c r="V3" s="352"/>
    </row>
    <row r="4" spans="1:40" ht="27" customHeight="1" collapsed="1" thickBot="1">
      <c r="A4" s="541" t="s">
        <v>138</v>
      </c>
      <c r="B4" s="542"/>
      <c r="C4" s="542"/>
      <c r="D4" s="542"/>
      <c r="E4" s="542"/>
      <c r="F4" s="542"/>
      <c r="G4" s="542"/>
      <c r="H4" s="542"/>
      <c r="I4" s="542"/>
      <c r="J4" s="542"/>
      <c r="K4" s="542"/>
      <c r="L4" s="542"/>
      <c r="M4" s="542"/>
      <c r="N4" s="542"/>
      <c r="O4" s="542"/>
      <c r="P4" s="542"/>
      <c r="Q4" s="542"/>
      <c r="R4" s="542"/>
      <c r="S4" s="542"/>
      <c r="T4" s="542"/>
      <c r="U4" s="543"/>
      <c r="V4" s="152"/>
      <c r="X4" s="544" t="s">
        <v>139</v>
      </c>
      <c r="Y4" s="544"/>
      <c r="Z4" s="544"/>
      <c r="AA4" s="544"/>
      <c r="AB4" s="544"/>
      <c r="AC4" s="544"/>
      <c r="AD4" s="544"/>
      <c r="AE4" s="544"/>
      <c r="AF4" s="544"/>
      <c r="AG4" s="544"/>
      <c r="AH4" s="544"/>
      <c r="AI4" s="544"/>
      <c r="AJ4" s="544"/>
      <c r="AK4" s="544"/>
      <c r="AL4" s="544"/>
      <c r="AM4" s="544"/>
      <c r="AN4" s="544"/>
    </row>
    <row r="5" spans="1:40" s="134" customFormat="1" ht="27" customHeight="1">
      <c r="A5" s="545" t="s">
        <v>155</v>
      </c>
      <c r="B5" s="548" t="s">
        <v>156</v>
      </c>
      <c r="C5" s="548" t="s">
        <v>386</v>
      </c>
      <c r="D5" s="548"/>
      <c r="E5" s="548"/>
      <c r="F5" s="548"/>
      <c r="G5" s="548"/>
      <c r="H5" s="548"/>
      <c r="I5" s="548"/>
      <c r="J5" s="548"/>
      <c r="K5" s="550" t="s">
        <v>48</v>
      </c>
      <c r="L5" s="550" t="s">
        <v>145</v>
      </c>
      <c r="M5" s="550" t="s">
        <v>387</v>
      </c>
      <c r="N5" s="548" t="s">
        <v>19</v>
      </c>
      <c r="O5" s="548" t="s">
        <v>388</v>
      </c>
      <c r="P5" s="548"/>
      <c r="Q5" s="552" t="s">
        <v>389</v>
      </c>
      <c r="R5" s="554" t="s">
        <v>390</v>
      </c>
      <c r="S5" s="555"/>
      <c r="T5" s="555"/>
      <c r="U5" s="556"/>
      <c r="V5" s="557" t="s">
        <v>153</v>
      </c>
      <c r="W5" s="27"/>
      <c r="X5" s="135" t="s">
        <v>140</v>
      </c>
      <c r="Y5" s="136"/>
      <c r="Z5" s="136"/>
      <c r="AA5" s="136"/>
      <c r="AB5" s="136"/>
      <c r="AC5" s="136"/>
      <c r="AD5" s="136"/>
      <c r="AE5" s="136"/>
      <c r="AF5" s="136"/>
      <c r="AG5" s="136"/>
      <c r="AH5" s="136"/>
      <c r="AI5" s="136"/>
      <c r="AJ5" s="136"/>
      <c r="AK5" s="136"/>
      <c r="AL5" s="136"/>
      <c r="AM5" s="136"/>
      <c r="AN5" s="136"/>
    </row>
    <row r="6" spans="1:40" s="134" customFormat="1" ht="27" customHeight="1">
      <c r="A6" s="546"/>
      <c r="B6" s="534"/>
      <c r="C6" s="534"/>
      <c r="D6" s="534"/>
      <c r="E6" s="534"/>
      <c r="F6" s="534"/>
      <c r="G6" s="534"/>
      <c r="H6" s="534"/>
      <c r="I6" s="534"/>
      <c r="J6" s="534"/>
      <c r="K6" s="537"/>
      <c r="L6" s="536"/>
      <c r="M6" s="537"/>
      <c r="N6" s="534"/>
      <c r="O6" s="534" t="s">
        <v>391</v>
      </c>
      <c r="P6" s="534" t="s">
        <v>392</v>
      </c>
      <c r="Q6" s="553"/>
      <c r="R6" s="133" t="s">
        <v>393</v>
      </c>
      <c r="S6" s="133" t="s">
        <v>394</v>
      </c>
      <c r="T6" s="133" t="s">
        <v>395</v>
      </c>
      <c r="U6" s="371" t="s">
        <v>396</v>
      </c>
      <c r="V6" s="558"/>
      <c r="W6" s="27"/>
      <c r="X6" s="135" t="s">
        <v>141</v>
      </c>
      <c r="Y6" s="170">
        <f>SUMIF($K:$K,Y5,$Q:$Q)</f>
        <v>0</v>
      </c>
      <c r="Z6" s="170">
        <f t="shared" ref="Z6:AN6" si="0">SUMIF($K:$K,Z5,$Q:$Q)</f>
        <v>0</v>
      </c>
      <c r="AA6" s="170">
        <f t="shared" si="0"/>
        <v>0</v>
      </c>
      <c r="AB6" s="170">
        <f t="shared" si="0"/>
        <v>0</v>
      </c>
      <c r="AC6" s="170">
        <f t="shared" si="0"/>
        <v>0</v>
      </c>
      <c r="AD6" s="170">
        <f t="shared" si="0"/>
        <v>0</v>
      </c>
      <c r="AE6" s="170">
        <f t="shared" si="0"/>
        <v>0</v>
      </c>
      <c r="AF6" s="170">
        <f t="shared" si="0"/>
        <v>0</v>
      </c>
      <c r="AG6" s="170">
        <f t="shared" si="0"/>
        <v>0</v>
      </c>
      <c r="AH6" s="170">
        <f t="shared" si="0"/>
        <v>0</v>
      </c>
      <c r="AI6" s="170">
        <f t="shared" si="0"/>
        <v>0</v>
      </c>
      <c r="AJ6" s="170">
        <f t="shared" si="0"/>
        <v>0</v>
      </c>
      <c r="AK6" s="170">
        <f t="shared" si="0"/>
        <v>0</v>
      </c>
      <c r="AL6" s="170">
        <f t="shared" si="0"/>
        <v>0</v>
      </c>
      <c r="AM6" s="170">
        <f t="shared" si="0"/>
        <v>0</v>
      </c>
      <c r="AN6" s="170">
        <f t="shared" si="0"/>
        <v>0</v>
      </c>
    </row>
    <row r="7" spans="1:40" s="140" customFormat="1" ht="27" customHeight="1" thickBot="1">
      <c r="A7" s="547"/>
      <c r="B7" s="549"/>
      <c r="C7" s="373" t="s">
        <v>132</v>
      </c>
      <c r="D7" s="374" t="s">
        <v>133</v>
      </c>
      <c r="E7" s="374" t="s">
        <v>134</v>
      </c>
      <c r="F7" s="374" t="s">
        <v>135</v>
      </c>
      <c r="G7" s="374" t="s">
        <v>136</v>
      </c>
      <c r="H7" s="374" t="s">
        <v>137</v>
      </c>
      <c r="I7" s="374" t="s">
        <v>147</v>
      </c>
      <c r="J7" s="374" t="s">
        <v>153</v>
      </c>
      <c r="K7" s="372" t="s">
        <v>132</v>
      </c>
      <c r="L7" s="551"/>
      <c r="M7" s="372" t="s">
        <v>132</v>
      </c>
      <c r="N7" s="549"/>
      <c r="O7" s="549"/>
      <c r="P7" s="549"/>
      <c r="Q7" s="375" t="s">
        <v>129</v>
      </c>
      <c r="R7" s="375" t="s">
        <v>130</v>
      </c>
      <c r="S7" s="375" t="s">
        <v>130</v>
      </c>
      <c r="T7" s="375" t="s">
        <v>130</v>
      </c>
      <c r="U7" s="376" t="s">
        <v>130</v>
      </c>
      <c r="V7" s="559"/>
      <c r="W7" s="27"/>
      <c r="X7" s="141" t="s">
        <v>128</v>
      </c>
      <c r="Y7" s="142">
        <f>Y6*tra_bang_kl(Y5)</f>
        <v>0</v>
      </c>
      <c r="Z7" s="142">
        <f t="shared" ref="Z7:AN7" si="1">Z6*tra_bang_kl(Z5)</f>
        <v>0</v>
      </c>
      <c r="AA7" s="142">
        <f t="shared" si="1"/>
        <v>0</v>
      </c>
      <c r="AB7" s="142">
        <f>AB6*tra_bang_kl(AB5)</f>
        <v>0</v>
      </c>
      <c r="AC7" s="142">
        <f t="shared" si="1"/>
        <v>0</v>
      </c>
      <c r="AD7" s="142">
        <f t="shared" si="1"/>
        <v>0</v>
      </c>
      <c r="AE7" s="142">
        <f t="shared" si="1"/>
        <v>0</v>
      </c>
      <c r="AF7" s="142">
        <f t="shared" si="1"/>
        <v>0</v>
      </c>
      <c r="AG7" s="142">
        <f t="shared" si="1"/>
        <v>0</v>
      </c>
      <c r="AH7" s="142">
        <f t="shared" si="1"/>
        <v>0</v>
      </c>
      <c r="AI7" s="142">
        <f t="shared" si="1"/>
        <v>0</v>
      </c>
      <c r="AJ7" s="142">
        <f t="shared" si="1"/>
        <v>0</v>
      </c>
      <c r="AK7" s="142">
        <f t="shared" si="1"/>
        <v>0</v>
      </c>
      <c r="AL7" s="142">
        <f t="shared" si="1"/>
        <v>0</v>
      </c>
      <c r="AM7" s="142">
        <f t="shared" si="1"/>
        <v>0</v>
      </c>
      <c r="AN7" s="142">
        <f t="shared" si="1"/>
        <v>0</v>
      </c>
    </row>
    <row r="8" spans="1:40" ht="27" customHeight="1">
      <c r="A8" s="365"/>
      <c r="B8" s="366"/>
      <c r="C8" s="367"/>
      <c r="D8" s="368"/>
      <c r="E8" s="368"/>
      <c r="F8" s="368"/>
      <c r="G8" s="368"/>
      <c r="H8" s="368"/>
      <c r="I8" s="368"/>
      <c r="J8" s="369"/>
      <c r="K8" s="368"/>
      <c r="L8" s="368">
        <f>IF(ABS(D8-11700)&lt;=10,11700,D8)</f>
        <v>0</v>
      </c>
      <c r="M8" s="368"/>
      <c r="N8" s="368"/>
      <c r="O8" s="368"/>
      <c r="P8" s="368"/>
      <c r="Q8" s="370"/>
      <c r="R8" s="370"/>
      <c r="S8" s="370"/>
      <c r="T8" s="370"/>
      <c r="U8" s="370"/>
      <c r="X8" s="141" t="s">
        <v>142</v>
      </c>
      <c r="Y8" s="147">
        <f>SUMIF(Y5:AN5,"&lt;=10",Y7:AN7)</f>
        <v>0</v>
      </c>
      <c r="Z8" s="131"/>
      <c r="AA8" s="131"/>
      <c r="AB8" s="131"/>
      <c r="AC8" s="131"/>
      <c r="AD8" s="131"/>
      <c r="AE8" s="131"/>
      <c r="AF8" s="131"/>
      <c r="AG8" s="131"/>
      <c r="AH8" s="131"/>
      <c r="AI8" s="131"/>
      <c r="AJ8" s="131"/>
      <c r="AK8" s="131"/>
      <c r="AL8" s="131"/>
      <c r="AM8" s="131"/>
      <c r="AN8" s="131"/>
    </row>
    <row r="9" spans="1:40" ht="27" customHeight="1">
      <c r="X9" s="141" t="s">
        <v>143</v>
      </c>
      <c r="Y9" s="147">
        <f>SUM(Y7:AN7)-Y8-Y10</f>
        <v>0</v>
      </c>
      <c r="Z9" s="131"/>
      <c r="AA9" s="131"/>
      <c r="AB9" s="131"/>
      <c r="AC9" s="131"/>
      <c r="AD9" s="131"/>
      <c r="AE9" s="131"/>
      <c r="AF9" s="131"/>
      <c r="AG9" s="131"/>
      <c r="AH9" s="131"/>
      <c r="AI9" s="131"/>
      <c r="AJ9" s="131"/>
      <c r="AK9" s="131"/>
      <c r="AL9" s="131"/>
      <c r="AM9" s="131"/>
      <c r="AN9" s="131"/>
    </row>
    <row r="10" spans="1:40" ht="27" customHeight="1">
      <c r="X10" s="141" t="s">
        <v>144</v>
      </c>
      <c r="Y10" s="147">
        <f>SUMIF(Y5:AN5,"&gt;18",Y7:AN7)</f>
        <v>0</v>
      </c>
      <c r="Z10" s="131"/>
      <c r="AA10" s="131"/>
      <c r="AB10" s="131"/>
      <c r="AC10" s="131"/>
      <c r="AD10" s="131"/>
      <c r="AE10" s="131"/>
      <c r="AF10" s="131"/>
      <c r="AG10" s="131"/>
      <c r="AH10" s="131"/>
      <c r="AI10" s="131"/>
      <c r="AJ10" s="131"/>
      <c r="AK10" s="131"/>
      <c r="AL10" s="131"/>
      <c r="AM10" s="131"/>
      <c r="AN10" s="131"/>
    </row>
  </sheetData>
  <mergeCells count="15">
    <mergeCell ref="A4:U4"/>
    <mergeCell ref="X4:AN4"/>
    <mergeCell ref="A5:A7"/>
    <mergeCell ref="B5:B7"/>
    <mergeCell ref="C5:J6"/>
    <mergeCell ref="K5:K6"/>
    <mergeCell ref="L5:L7"/>
    <mergeCell ref="M5:M6"/>
    <mergeCell ref="N5:N7"/>
    <mergeCell ref="O5:P5"/>
    <mergeCell ref="Q5:Q6"/>
    <mergeCell ref="R5:U5"/>
    <mergeCell ref="V5:V7"/>
    <mergeCell ref="O6:O7"/>
    <mergeCell ref="P6:P7"/>
  </mergeCells>
  <pageMargins left="0.7" right="0.7" top="0.75" bottom="0.25" header="0.3" footer="0.3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XEJ38"/>
  <sheetViews>
    <sheetView workbookViewId="0">
      <selection activeCell="O43" sqref="O43"/>
    </sheetView>
  </sheetViews>
  <sheetFormatPr defaultColWidth="0" defaultRowHeight="14.1" customHeight="1" outlineLevelCol="1"/>
  <cols>
    <col min="1" max="1" width="6.7109375" style="148" bestFit="1" customWidth="1"/>
    <col min="2" max="2" width="6.7109375" style="144" customWidth="1"/>
    <col min="3" max="3" width="11.140625" style="144" bestFit="1" customWidth="1"/>
    <col min="4" max="4" width="10.5703125" style="144" bestFit="1" customWidth="1"/>
    <col min="5" max="5" width="39" style="138" customWidth="1"/>
    <col min="6" max="6" width="4.28515625" style="140" customWidth="1"/>
    <col min="7" max="7" width="17" style="148" hidden="1" customWidth="1" outlineLevel="1"/>
    <col min="8" max="8" width="4.5703125" style="131" customWidth="1" collapsed="1"/>
    <col min="9" max="9" width="17.85546875" style="141" hidden="1" customWidth="1"/>
    <col min="10" max="10" width="8.7109375" style="141" hidden="1" customWidth="1"/>
    <col min="11" max="11" width="6.7109375" style="144" hidden="1" customWidth="1"/>
    <col min="12" max="12" width="11.140625" style="144" hidden="1" customWidth="1"/>
    <col min="13" max="13" width="28" style="144" hidden="1" customWidth="1"/>
    <col min="14" max="14" width="17" style="131" customWidth="1"/>
    <col min="15" max="15" width="10.5703125" style="131" customWidth="1" outlineLevel="1"/>
    <col min="16" max="16" width="9.140625" style="131" customWidth="1" outlineLevel="1"/>
    <col min="17" max="17" width="6.7109375" style="144" customWidth="1" outlineLevel="1"/>
    <col min="18" max="18" width="10.5703125" style="144" customWidth="1" outlineLevel="1"/>
    <col min="19" max="19" width="10.5703125" style="138" customWidth="1" outlineLevel="1"/>
    <col min="20" max="20" width="26.85546875" style="172" customWidth="1" outlineLevel="1"/>
    <col min="21" max="21" width="11.5703125" style="144" customWidth="1" outlineLevel="1"/>
    <col min="22" max="22" width="6.7109375" style="131" customWidth="1" outlineLevel="1"/>
    <col min="23" max="23" width="6.7109375" style="144" customWidth="1" outlineLevel="1"/>
    <col min="24" max="24" width="10.5703125" style="144" customWidth="1" outlineLevel="1"/>
    <col min="25" max="25" width="10.5703125" style="138" customWidth="1" outlineLevel="1"/>
    <col min="26" max="26" width="9.140625" style="131" customWidth="1"/>
    <col min="27" max="39" width="0" style="131" hidden="1"/>
    <col min="40" max="16364" width="9.140625" style="131" hidden="1"/>
    <col min="16365" max="16384" width="0" style="131" hidden="1"/>
  </cols>
  <sheetData>
    <row r="1" spans="1:25" ht="30" customHeight="1">
      <c r="A1" s="562" t="s">
        <v>198</v>
      </c>
      <c r="B1" s="528" t="s">
        <v>158</v>
      </c>
      <c r="C1" s="529"/>
      <c r="D1" s="529"/>
      <c r="E1" s="530"/>
      <c r="F1" s="152"/>
      <c r="G1" s="152"/>
      <c r="I1" s="561" t="s">
        <v>157</v>
      </c>
      <c r="J1" s="561"/>
      <c r="K1" s="561"/>
      <c r="L1" s="561"/>
      <c r="M1" s="561"/>
      <c r="N1" s="152"/>
      <c r="O1" s="152"/>
      <c r="Q1" s="561" t="s">
        <v>199</v>
      </c>
      <c r="R1" s="561"/>
      <c r="S1" s="561"/>
      <c r="T1" s="561"/>
      <c r="U1" s="561"/>
      <c r="W1" s="561" t="s">
        <v>200</v>
      </c>
      <c r="X1" s="561"/>
      <c r="Y1" s="561"/>
    </row>
    <row r="2" spans="1:25" s="134" customFormat="1" ht="20.100000000000001" customHeight="1">
      <c r="A2" s="562"/>
      <c r="B2" s="150" t="s">
        <v>48</v>
      </c>
      <c r="C2" s="151" t="s">
        <v>150</v>
      </c>
      <c r="D2" s="151" t="s">
        <v>112</v>
      </c>
      <c r="E2" s="151" t="s">
        <v>154</v>
      </c>
      <c r="F2" s="149"/>
      <c r="G2" s="152"/>
      <c r="H2" s="149"/>
      <c r="I2" s="151" t="s">
        <v>155</v>
      </c>
      <c r="J2" s="151" t="s">
        <v>156</v>
      </c>
      <c r="K2" s="151" t="s">
        <v>48</v>
      </c>
      <c r="L2" s="151" t="s">
        <v>150</v>
      </c>
      <c r="M2" s="151" t="s">
        <v>112</v>
      </c>
      <c r="N2" s="149"/>
      <c r="O2" s="149"/>
      <c r="P2" s="131"/>
      <c r="Q2" s="150" t="s">
        <v>48</v>
      </c>
      <c r="R2" s="150" t="s">
        <v>150</v>
      </c>
      <c r="S2" s="150" t="s">
        <v>112</v>
      </c>
      <c r="T2" s="171" t="s">
        <v>154</v>
      </c>
      <c r="U2" s="150" t="s">
        <v>198</v>
      </c>
      <c r="W2" s="150" t="s">
        <v>48</v>
      </c>
      <c r="X2" s="150" t="s">
        <v>150</v>
      </c>
      <c r="Y2" s="150" t="s">
        <v>112</v>
      </c>
    </row>
    <row r="3" spans="1:25" ht="14.1" customHeight="1">
      <c r="A3" s="173"/>
      <c r="B3" s="174"/>
      <c r="C3" s="174"/>
      <c r="D3" s="174"/>
      <c r="G3" s="560"/>
    </row>
    <row r="4" spans="1:25" ht="14.1" customHeight="1">
      <c r="A4" s="173"/>
      <c r="B4" s="174"/>
      <c r="C4" s="174"/>
      <c r="D4" s="174"/>
      <c r="G4" s="560"/>
    </row>
    <row r="5" spans="1:25" ht="14.1" customHeight="1">
      <c r="A5" s="173"/>
      <c r="B5" s="174"/>
      <c r="C5" s="174"/>
      <c r="D5" s="174"/>
      <c r="G5" s="560"/>
    </row>
    <row r="6" spans="1:25" ht="14.1" customHeight="1">
      <c r="A6" s="173"/>
      <c r="B6" s="174"/>
      <c r="C6" s="174"/>
      <c r="D6" s="174"/>
      <c r="G6" s="560"/>
    </row>
    <row r="7" spans="1:25" ht="14.1" customHeight="1">
      <c r="A7" s="173"/>
      <c r="B7" s="174"/>
      <c r="C7" s="174"/>
      <c r="D7" s="174"/>
      <c r="G7" s="560"/>
    </row>
    <row r="8" spans="1:25" ht="14.1" customHeight="1">
      <c r="A8" s="173"/>
      <c r="B8" s="174"/>
      <c r="C8" s="174"/>
      <c r="D8" s="174"/>
      <c r="G8" s="560"/>
    </row>
    <row r="9" spans="1:25" ht="14.1" customHeight="1">
      <c r="A9" s="173"/>
      <c r="B9" s="174"/>
      <c r="C9" s="174"/>
      <c r="D9" s="174"/>
      <c r="G9" s="560"/>
    </row>
    <row r="10" spans="1:25" ht="14.1" customHeight="1">
      <c r="A10" s="173"/>
      <c r="B10" s="174"/>
      <c r="C10" s="174"/>
      <c r="D10" s="174"/>
      <c r="G10" s="560"/>
    </row>
    <row r="11" spans="1:25" ht="14.1" customHeight="1">
      <c r="A11" s="173"/>
      <c r="B11" s="174"/>
      <c r="C11" s="174"/>
      <c r="D11" s="174"/>
    </row>
    <row r="12" spans="1:25" ht="14.1" customHeight="1">
      <c r="A12" s="173"/>
      <c r="B12" s="174"/>
      <c r="C12" s="174"/>
      <c r="D12" s="174"/>
      <c r="G12" s="560"/>
    </row>
    <row r="13" spans="1:25" ht="14.1" customHeight="1">
      <c r="A13" s="173"/>
      <c r="B13" s="174"/>
      <c r="C13" s="174"/>
      <c r="D13" s="174"/>
      <c r="G13" s="560"/>
    </row>
    <row r="14" spans="1:25" ht="14.1" customHeight="1">
      <c r="A14" s="173"/>
      <c r="B14" s="174"/>
      <c r="C14" s="174"/>
      <c r="D14" s="174"/>
      <c r="G14" s="560"/>
    </row>
    <row r="15" spans="1:25" ht="14.1" customHeight="1">
      <c r="A15" s="173"/>
      <c r="B15" s="174"/>
      <c r="C15" s="174"/>
      <c r="D15" s="174"/>
      <c r="G15" s="560"/>
    </row>
    <row r="16" spans="1:25" ht="14.1" customHeight="1">
      <c r="A16" s="173"/>
      <c r="B16" s="174"/>
      <c r="C16" s="174"/>
      <c r="D16" s="174"/>
      <c r="G16" s="560"/>
    </row>
    <row r="17" spans="1:7" ht="14.1" customHeight="1">
      <c r="A17" s="173"/>
      <c r="B17" s="174"/>
      <c r="C17" s="174"/>
      <c r="D17" s="174"/>
      <c r="G17" s="560"/>
    </row>
    <row r="18" spans="1:7" ht="14.1" customHeight="1">
      <c r="A18" s="173"/>
      <c r="B18" s="174"/>
      <c r="C18" s="174"/>
      <c r="D18" s="174"/>
      <c r="G18" s="560"/>
    </row>
    <row r="19" spans="1:7" ht="14.1" customHeight="1">
      <c r="A19" s="173"/>
      <c r="B19" s="174"/>
      <c r="C19" s="174"/>
      <c r="D19" s="174"/>
      <c r="G19" s="560"/>
    </row>
    <row r="20" spans="1:7" ht="14.1" customHeight="1">
      <c r="A20" s="173"/>
      <c r="B20" s="174"/>
      <c r="C20" s="174"/>
      <c r="D20" s="174"/>
      <c r="G20" s="560"/>
    </row>
    <row r="21" spans="1:7" ht="14.1" customHeight="1">
      <c r="A21" s="173"/>
      <c r="B21" s="174"/>
      <c r="C21" s="174"/>
      <c r="D21" s="174"/>
      <c r="G21" s="560"/>
    </row>
    <row r="22" spans="1:7" ht="14.1" customHeight="1">
      <c r="A22" s="173"/>
      <c r="B22" s="174"/>
      <c r="C22" s="174"/>
      <c r="D22" s="174"/>
      <c r="G22" s="560"/>
    </row>
    <row r="23" spans="1:7" ht="14.1" customHeight="1">
      <c r="A23" s="173"/>
      <c r="B23" s="174"/>
      <c r="C23" s="174"/>
      <c r="D23" s="174"/>
      <c r="G23" s="560"/>
    </row>
    <row r="24" spans="1:7" ht="14.1" customHeight="1">
      <c r="A24" s="173"/>
      <c r="B24" s="174"/>
      <c r="C24" s="174"/>
      <c r="D24" s="174"/>
    </row>
    <row r="25" spans="1:7" ht="14.1" customHeight="1">
      <c r="A25" s="173"/>
      <c r="B25" s="174"/>
      <c r="C25" s="174"/>
      <c r="D25" s="174"/>
      <c r="G25" s="560"/>
    </row>
    <row r="26" spans="1:7" ht="14.1" customHeight="1">
      <c r="A26" s="173"/>
      <c r="B26" s="174"/>
      <c r="C26" s="174"/>
      <c r="D26" s="174"/>
      <c r="G26" s="560"/>
    </row>
    <row r="27" spans="1:7" ht="14.1" customHeight="1">
      <c r="A27" s="173"/>
      <c r="B27" s="174"/>
      <c r="C27" s="174"/>
      <c r="D27" s="174"/>
      <c r="G27" s="560"/>
    </row>
    <row r="28" spans="1:7" ht="14.1" customHeight="1">
      <c r="A28" s="173"/>
      <c r="B28" s="174"/>
      <c r="C28" s="174"/>
      <c r="D28" s="174"/>
      <c r="G28" s="560"/>
    </row>
    <row r="29" spans="1:7" ht="14.1" customHeight="1">
      <c r="A29" s="173"/>
      <c r="B29" s="174"/>
      <c r="C29" s="174"/>
      <c r="D29" s="174"/>
      <c r="G29" s="560"/>
    </row>
    <row r="30" spans="1:7" ht="14.1" customHeight="1">
      <c r="A30" s="173"/>
      <c r="B30" s="174"/>
      <c r="C30" s="174"/>
      <c r="D30" s="174"/>
      <c r="G30" s="560"/>
    </row>
    <row r="31" spans="1:7" ht="14.1" customHeight="1">
      <c r="A31" s="173"/>
      <c r="B31" s="174"/>
      <c r="C31" s="174"/>
      <c r="D31" s="174"/>
      <c r="G31" s="560"/>
    </row>
    <row r="32" spans="1:7" ht="14.1" customHeight="1">
      <c r="A32" s="173"/>
      <c r="B32" s="174"/>
      <c r="C32" s="174"/>
      <c r="D32" s="174"/>
      <c r="G32" s="560"/>
    </row>
    <row r="33" spans="1:7" ht="14.1" customHeight="1">
      <c r="A33" s="173"/>
      <c r="B33" s="174"/>
      <c r="C33" s="174"/>
      <c r="D33" s="174"/>
      <c r="G33" s="560"/>
    </row>
    <row r="34" spans="1:7" ht="14.1" customHeight="1">
      <c r="A34" s="173"/>
      <c r="B34" s="174"/>
      <c r="C34" s="174"/>
      <c r="D34" s="174"/>
      <c r="G34" s="560"/>
    </row>
    <row r="35" spans="1:7" ht="14.1" customHeight="1">
      <c r="A35" s="173"/>
      <c r="B35" s="174"/>
      <c r="C35" s="174"/>
      <c r="D35" s="174"/>
    </row>
    <row r="36" spans="1:7" ht="14.1" customHeight="1">
      <c r="A36" s="173"/>
      <c r="B36" s="174"/>
      <c r="C36" s="174"/>
      <c r="D36" s="174"/>
    </row>
    <row r="37" spans="1:7" ht="14.1" customHeight="1">
      <c r="A37" s="173"/>
      <c r="B37" s="174"/>
      <c r="C37" s="174"/>
      <c r="D37" s="174"/>
    </row>
    <row r="38" spans="1:7" ht="14.1" customHeight="1">
      <c r="A38" s="173"/>
      <c r="B38" s="174"/>
      <c r="C38" s="174"/>
      <c r="D38" s="174"/>
    </row>
  </sheetData>
  <mergeCells count="14">
    <mergeCell ref="G30:G34"/>
    <mergeCell ref="G15:G16"/>
    <mergeCell ref="G17:G20"/>
    <mergeCell ref="W1:Y1"/>
    <mergeCell ref="A1:A2"/>
    <mergeCell ref="G12:G14"/>
    <mergeCell ref="B1:E1"/>
    <mergeCell ref="G21:G23"/>
    <mergeCell ref="G25:G29"/>
    <mergeCell ref="Q1:U1"/>
    <mergeCell ref="I1:M1"/>
    <mergeCell ref="G5:G6"/>
    <mergeCell ref="G7:G10"/>
    <mergeCell ref="G3:G4"/>
  </mergeCells>
  <pageMargins left="0.7" right="0.56999999999999995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09FC9-D3C9-4E62-B467-EED306D378A5}">
  <sheetPr codeName="Sheet6"/>
  <dimension ref="A1:J14"/>
  <sheetViews>
    <sheetView topLeftCell="A267" workbookViewId="0">
      <selection activeCell="J5" sqref="J5"/>
    </sheetView>
  </sheetViews>
  <sheetFormatPr defaultRowHeight="15"/>
  <cols>
    <col min="1" max="1" width="9" style="175"/>
    <col min="2" max="2" width="15.5703125" style="175" customWidth="1"/>
    <col min="3" max="3" width="10.7109375" style="175" bestFit="1" customWidth="1"/>
    <col min="5" max="5" width="9" style="175" customWidth="1"/>
    <col min="6" max="6" width="18.140625" style="175" customWidth="1"/>
    <col min="7" max="7" width="11" style="175" customWidth="1"/>
    <col min="9" max="9" width="13.7109375" customWidth="1"/>
    <col min="10" max="10" width="14.28515625" customWidth="1"/>
  </cols>
  <sheetData>
    <row r="1" spans="1:10" ht="25.5" customHeight="1">
      <c r="A1" s="563" t="s">
        <v>226</v>
      </c>
      <c r="B1" s="563"/>
      <c r="C1" s="563"/>
      <c r="E1" s="563" t="s">
        <v>227</v>
      </c>
      <c r="F1" s="563"/>
      <c r="G1" s="563"/>
    </row>
    <row r="2" spans="1:10" s="177" customFormat="1">
      <c r="A2" s="150" t="s">
        <v>48</v>
      </c>
      <c r="B2" s="176" t="s">
        <v>127</v>
      </c>
      <c r="C2" s="176" t="s">
        <v>228</v>
      </c>
      <c r="E2" s="150" t="s">
        <v>48</v>
      </c>
      <c r="F2" s="176" t="s">
        <v>127</v>
      </c>
      <c r="G2" s="176" t="s">
        <v>228</v>
      </c>
      <c r="I2" s="176" t="s">
        <v>229</v>
      </c>
      <c r="J2" s="178">
        <v>0</v>
      </c>
    </row>
    <row r="3" spans="1:10">
      <c r="E3" s="175">
        <v>12</v>
      </c>
      <c r="F3" s="175">
        <v>11700</v>
      </c>
      <c r="G3" s="175">
        <v>-57</v>
      </c>
      <c r="I3" s="176" t="s">
        <v>230</v>
      </c>
      <c r="J3" s="179">
        <v>0</v>
      </c>
    </row>
    <row r="4" spans="1:10">
      <c r="E4" s="175">
        <v>12</v>
      </c>
      <c r="F4" s="175">
        <v>60</v>
      </c>
      <c r="G4" s="175">
        <v>4</v>
      </c>
    </row>
    <row r="5" spans="1:10">
      <c r="E5" s="175">
        <v>12</v>
      </c>
      <c r="F5" s="175">
        <v>80</v>
      </c>
      <c r="G5" s="175">
        <v>8</v>
      </c>
    </row>
    <row r="6" spans="1:10">
      <c r="E6" s="175">
        <v>12</v>
      </c>
      <c r="F6" s="175">
        <v>330</v>
      </c>
      <c r="G6" s="175">
        <v>28</v>
      </c>
    </row>
    <row r="7" spans="1:10">
      <c r="E7" s="175">
        <v>12</v>
      </c>
      <c r="F7" s="175">
        <v>670</v>
      </c>
      <c r="G7" s="175">
        <v>1</v>
      </c>
    </row>
    <row r="8" spans="1:10">
      <c r="E8" s="175">
        <v>12</v>
      </c>
      <c r="F8" s="175">
        <v>1110</v>
      </c>
      <c r="G8" s="175">
        <v>3</v>
      </c>
    </row>
    <row r="9" spans="1:10">
      <c r="E9" s="175">
        <v>12</v>
      </c>
      <c r="F9" s="175">
        <v>2140</v>
      </c>
      <c r="G9" s="175">
        <v>1</v>
      </c>
    </row>
    <row r="10" spans="1:10">
      <c r="E10" s="175">
        <v>14</v>
      </c>
      <c r="F10" s="175">
        <v>11700</v>
      </c>
      <c r="G10" s="175">
        <v>-8</v>
      </c>
    </row>
    <row r="11" spans="1:10">
      <c r="E11" s="175">
        <v>14</v>
      </c>
      <c r="F11" s="175">
        <v>100</v>
      </c>
      <c r="G11" s="175">
        <v>8</v>
      </c>
    </row>
    <row r="12" spans="1:10">
      <c r="E12" s="175">
        <v>16</v>
      </c>
      <c r="F12" s="175">
        <v>11700</v>
      </c>
      <c r="G12" s="175">
        <v>-13</v>
      </c>
    </row>
    <row r="13" spans="1:10">
      <c r="E13" s="175">
        <v>16</v>
      </c>
      <c r="F13" s="175">
        <v>750</v>
      </c>
      <c r="G13" s="175">
        <v>12</v>
      </c>
    </row>
    <row r="14" spans="1:10">
      <c r="E14" s="175">
        <v>16</v>
      </c>
      <c r="F14" s="175">
        <v>2940</v>
      </c>
      <c r="G14" s="175">
        <v>1</v>
      </c>
    </row>
  </sheetData>
  <mergeCells count="2">
    <mergeCell ref="A1:C1"/>
    <mergeCell ref="E1:G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J2"/>
  <sheetViews>
    <sheetView workbookViewId="0">
      <selection activeCell="G37" sqref="G37"/>
    </sheetView>
  </sheetViews>
  <sheetFormatPr defaultColWidth="9.140625" defaultRowHeight="12"/>
  <cols>
    <col min="1" max="1" width="8.28515625" style="165" customWidth="1"/>
    <col min="2" max="2" width="9.5703125" style="165" bestFit="1" customWidth="1"/>
    <col min="3" max="3" width="9.140625" style="165" bestFit="1" customWidth="1"/>
    <col min="4" max="4" width="13.5703125" style="169" bestFit="1" customWidth="1"/>
    <col min="5" max="5" width="13.140625" style="169" customWidth="1"/>
    <col min="6" max="6" width="13.28515625" style="169" bestFit="1" customWidth="1"/>
    <col min="7" max="7" width="13.5703125" style="169" bestFit="1" customWidth="1"/>
    <col min="8" max="8" width="13.85546875" style="169" bestFit="1" customWidth="1"/>
    <col min="9" max="9" width="12.85546875" style="169" bestFit="1" customWidth="1"/>
    <col min="10" max="10" width="14.140625" style="169" bestFit="1" customWidth="1"/>
    <col min="11" max="16384" width="9.140625" style="165"/>
  </cols>
  <sheetData>
    <row r="1" spans="1:10" ht="24">
      <c r="A1" s="163" t="s">
        <v>179</v>
      </c>
      <c r="B1" s="163" t="s">
        <v>180</v>
      </c>
      <c r="C1" s="163" t="s">
        <v>112</v>
      </c>
      <c r="D1" s="164" t="s">
        <v>181</v>
      </c>
      <c r="E1" s="164" t="s">
        <v>182</v>
      </c>
      <c r="F1" s="164" t="s">
        <v>183</v>
      </c>
      <c r="G1" s="164" t="s">
        <v>184</v>
      </c>
      <c r="H1" s="164" t="s">
        <v>185</v>
      </c>
      <c r="I1" s="164" t="s">
        <v>186</v>
      </c>
      <c r="J1" s="164" t="s">
        <v>187</v>
      </c>
    </row>
    <row r="2" spans="1:10" s="168" customFormat="1">
      <c r="A2" s="166" t="s">
        <v>188</v>
      </c>
      <c r="B2" s="167" t="s">
        <v>189</v>
      </c>
      <c r="C2" s="167" t="s">
        <v>190</v>
      </c>
      <c r="D2" s="167" t="s">
        <v>191</v>
      </c>
      <c r="E2" s="167" t="s">
        <v>192</v>
      </c>
      <c r="F2" s="167" t="s">
        <v>193</v>
      </c>
      <c r="G2" s="167" t="s">
        <v>194</v>
      </c>
      <c r="H2" s="167" t="s">
        <v>195</v>
      </c>
      <c r="I2" s="167" t="s">
        <v>196</v>
      </c>
      <c r="J2" s="167" t="s">
        <v>197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6BEE1-A9E3-493F-84CB-5CAF5B7F464B}">
  <sheetPr codeName="Sheet10">
    <tabColor rgb="FFFF0000"/>
  </sheetPr>
  <dimension ref="B1:CP16"/>
  <sheetViews>
    <sheetView topLeftCell="A8" zoomScaleNormal="100" workbookViewId="0">
      <pane ySplit="9" topLeftCell="A17" activePane="bottomLeft" state="frozen"/>
      <selection activeCell="A8" sqref="A8"/>
      <selection pane="bottomLeft" activeCell="X12" sqref="X12:Y12"/>
    </sheetView>
  </sheetViews>
  <sheetFormatPr defaultColWidth="9.140625" defaultRowHeight="14.45" customHeight="1" outlineLevelCol="1"/>
  <cols>
    <col min="1" max="1" width="6.7109375" style="189" customWidth="1"/>
    <col min="2" max="2" width="8.140625" style="299" customWidth="1"/>
    <col min="3" max="4" width="5.28515625" style="300" customWidth="1"/>
    <col min="5" max="6" width="5.28515625" style="299" customWidth="1"/>
    <col min="7" max="7" width="7.28515625" style="301" customWidth="1"/>
    <col min="8" max="8" width="4.28515625" style="302" customWidth="1"/>
    <col min="9" max="9" width="5.28515625" style="303" hidden="1" customWidth="1" outlineLevel="1"/>
    <col min="10" max="10" width="5.28515625" style="304" hidden="1" customWidth="1" outlineLevel="1"/>
    <col min="11" max="11" width="5.28515625" style="301" customWidth="1" collapsed="1"/>
    <col min="12" max="12" width="5.28515625" style="305" customWidth="1"/>
    <col min="13" max="14" width="5.7109375" style="306" customWidth="1"/>
    <col min="15" max="15" width="5.7109375" style="307" hidden="1" customWidth="1" outlineLevel="1"/>
    <col min="16" max="16" width="5.28515625" style="308" hidden="1" customWidth="1" outlineLevel="1"/>
    <col min="17" max="17" width="4.28515625" style="306" customWidth="1" collapsed="1"/>
    <col min="18" max="18" width="6.28515625" style="301" customWidth="1"/>
    <col min="19" max="19" width="4.28515625" style="302" customWidth="1"/>
    <col min="20" max="20" width="5.28515625" style="303" hidden="1" customWidth="1" outlineLevel="1"/>
    <col min="21" max="21" width="5.28515625" style="304" hidden="1" customWidth="1" outlineLevel="1"/>
    <col min="22" max="22" width="5.28515625" style="301" customWidth="1" collapsed="1"/>
    <col min="23" max="23" width="5.28515625" style="306" customWidth="1"/>
    <col min="24" max="25" width="5.7109375" style="306" customWidth="1"/>
    <col min="26" max="26" width="5.28515625" style="307" hidden="1" customWidth="1" outlineLevel="1"/>
    <col min="27" max="27" width="5.28515625" style="308" hidden="1" customWidth="1" outlineLevel="1"/>
    <col min="28" max="28" width="4.28515625" style="306" customWidth="1" collapsed="1"/>
    <col min="29" max="29" width="6.28515625" style="301" customWidth="1"/>
    <col min="30" max="30" width="7.5703125" style="309" customWidth="1"/>
    <col min="31" max="31" width="5.5703125" style="299" customWidth="1"/>
    <col min="32" max="32" width="6.42578125" style="306" hidden="1" customWidth="1" outlineLevel="1"/>
    <col min="33" max="33" width="5.28515625" style="306" customWidth="1" collapsed="1"/>
    <col min="34" max="34" width="6.140625" style="310" customWidth="1"/>
    <col min="35" max="35" width="5.140625" style="189" customWidth="1"/>
    <col min="36" max="36" width="8.7109375" style="189" customWidth="1"/>
    <col min="37" max="37" width="7.42578125" style="189" customWidth="1"/>
    <col min="38" max="38" width="8.42578125" style="189" customWidth="1"/>
    <col min="39" max="39" width="7.5703125" style="189" customWidth="1"/>
    <col min="40" max="40" width="7.42578125" style="189" customWidth="1"/>
    <col min="41" max="41" width="7.28515625" style="189" customWidth="1"/>
    <col min="42" max="42" width="5.85546875" style="189" customWidth="1"/>
    <col min="43" max="43" width="7.42578125" style="189" customWidth="1"/>
    <col min="44" max="44" width="8" style="189" customWidth="1"/>
    <col min="45" max="45" width="10.7109375" style="189" customWidth="1"/>
    <col min="46" max="46" width="10.140625" style="189" customWidth="1"/>
    <col min="47" max="47" width="8.7109375" style="189" customWidth="1"/>
    <col min="48" max="48" width="7.5703125" style="189" customWidth="1"/>
    <col min="49" max="49" width="7.140625" style="189" customWidth="1"/>
    <col min="50" max="50" width="7.7109375" style="189" customWidth="1"/>
    <col min="51" max="51" width="7.85546875" style="189" customWidth="1"/>
    <col min="52" max="52" width="7.7109375" style="189" customWidth="1"/>
    <col min="53" max="53" width="8.140625" style="189" customWidth="1"/>
    <col min="54" max="54" width="11.85546875" style="189" customWidth="1"/>
    <col min="55" max="55" width="10.5703125" style="189" bestFit="1" customWidth="1"/>
    <col min="56" max="56" width="9.140625" style="187" hidden="1" customWidth="1"/>
    <col min="57" max="73" width="9.140625" style="188" hidden="1" customWidth="1"/>
    <col min="74" max="74" width="7" style="188" hidden="1" customWidth="1"/>
    <col min="75" max="75" width="9.28515625" style="188" hidden="1" customWidth="1"/>
    <col min="76" max="76" width="9.140625" style="188" hidden="1" customWidth="1"/>
    <col min="77" max="90" width="9.140625" style="187" hidden="1" customWidth="1"/>
    <col min="91" max="92" width="9.140625" style="187" customWidth="1"/>
    <col min="93" max="93" width="20.140625" style="187" customWidth="1"/>
    <col min="94" max="94" width="9.140625" style="187"/>
    <col min="95" max="16384" width="9.140625" style="189"/>
  </cols>
  <sheetData>
    <row r="1" spans="2:94" ht="20.100000000000001" customHeight="1">
      <c r="B1" s="183"/>
      <c r="C1" s="184"/>
      <c r="D1" s="594" t="s">
        <v>232</v>
      </c>
      <c r="E1" s="594"/>
      <c r="F1" s="594"/>
      <c r="G1" s="594"/>
      <c r="H1" s="594"/>
      <c r="I1" s="594"/>
      <c r="J1" s="594"/>
      <c r="K1" s="594"/>
      <c r="L1" s="594"/>
      <c r="M1" s="594"/>
      <c r="N1" s="594"/>
      <c r="O1" s="594"/>
      <c r="P1" s="594"/>
      <c r="Q1" s="594"/>
      <c r="R1" s="594"/>
      <c r="S1" s="594"/>
      <c r="T1" s="594"/>
      <c r="U1" s="594"/>
      <c r="V1" s="594"/>
      <c r="W1" s="594"/>
      <c r="X1" s="594"/>
      <c r="Y1" s="594"/>
      <c r="Z1" s="594"/>
      <c r="AA1" s="594"/>
      <c r="AB1" s="594"/>
      <c r="AC1" s="594"/>
      <c r="AD1" s="594"/>
      <c r="AE1" s="594"/>
      <c r="AF1" s="594"/>
      <c r="AG1" s="594"/>
      <c r="AH1" s="185"/>
      <c r="AI1" s="186"/>
      <c r="AJ1" s="186"/>
      <c r="AK1" s="186"/>
      <c r="AL1" s="186"/>
      <c r="AM1" s="186"/>
      <c r="AN1" s="186"/>
      <c r="AO1" s="186"/>
      <c r="AP1" s="186"/>
      <c r="AQ1" s="186"/>
      <c r="AR1" s="186"/>
      <c r="AS1" s="186"/>
      <c r="AT1" s="186"/>
      <c r="AU1" s="186"/>
      <c r="AV1" s="186"/>
      <c r="AW1" s="186"/>
      <c r="AX1" s="186"/>
      <c r="AY1" s="186"/>
      <c r="AZ1" s="186"/>
      <c r="BA1" s="186"/>
      <c r="BB1" s="186"/>
      <c r="BC1" s="186"/>
    </row>
    <row r="2" spans="2:94" ht="24.95" customHeight="1">
      <c r="B2" s="190"/>
      <c r="C2" s="184"/>
      <c r="D2" s="594"/>
      <c r="E2" s="594"/>
      <c r="F2" s="594"/>
      <c r="G2" s="594"/>
      <c r="H2" s="594"/>
      <c r="I2" s="594"/>
      <c r="J2" s="594"/>
      <c r="K2" s="594"/>
      <c r="L2" s="594"/>
      <c r="M2" s="594"/>
      <c r="N2" s="594"/>
      <c r="O2" s="594"/>
      <c r="P2" s="594"/>
      <c r="Q2" s="594"/>
      <c r="R2" s="594"/>
      <c r="S2" s="594"/>
      <c r="T2" s="594"/>
      <c r="U2" s="594"/>
      <c r="V2" s="594"/>
      <c r="W2" s="594"/>
      <c r="X2" s="594"/>
      <c r="Y2" s="594"/>
      <c r="Z2" s="594"/>
      <c r="AA2" s="594"/>
      <c r="AB2" s="594"/>
      <c r="AC2" s="594"/>
      <c r="AD2" s="594"/>
      <c r="AE2" s="594"/>
      <c r="AF2" s="594"/>
      <c r="AG2" s="594"/>
      <c r="AH2" s="185"/>
      <c r="AI2" s="191"/>
      <c r="AJ2" s="191"/>
      <c r="AK2" s="191"/>
      <c r="AL2" s="191"/>
      <c r="AM2" s="191"/>
      <c r="AN2" s="191"/>
      <c r="AO2" s="191"/>
      <c r="AP2" s="191"/>
      <c r="AQ2" s="191"/>
      <c r="AR2" s="191"/>
      <c r="AS2" s="191"/>
      <c r="AT2" s="191"/>
      <c r="AU2" s="191"/>
      <c r="AV2" s="191"/>
      <c r="AW2" s="191"/>
      <c r="AX2" s="191"/>
      <c r="AY2" s="191"/>
      <c r="AZ2" s="191"/>
      <c r="BA2" s="191"/>
      <c r="BB2" s="191"/>
      <c r="BC2" s="191"/>
    </row>
    <row r="3" spans="2:94" ht="35.1" customHeight="1" thickBot="1">
      <c r="B3" s="192"/>
      <c r="C3" s="184"/>
      <c r="D3" s="594"/>
      <c r="E3" s="594"/>
      <c r="F3" s="594"/>
      <c r="G3" s="594"/>
      <c r="H3" s="594"/>
      <c r="I3" s="594"/>
      <c r="J3" s="594"/>
      <c r="K3" s="594"/>
      <c r="L3" s="594"/>
      <c r="M3" s="594"/>
      <c r="N3" s="594"/>
      <c r="O3" s="594"/>
      <c r="P3" s="594"/>
      <c r="Q3" s="594"/>
      <c r="R3" s="594"/>
      <c r="S3" s="594"/>
      <c r="T3" s="594"/>
      <c r="U3" s="594"/>
      <c r="V3" s="594"/>
      <c r="W3" s="594"/>
      <c r="X3" s="594"/>
      <c r="Y3" s="594"/>
      <c r="Z3" s="594"/>
      <c r="AA3" s="594"/>
      <c r="AB3" s="594"/>
      <c r="AC3" s="594"/>
      <c r="AD3" s="594"/>
      <c r="AE3" s="594"/>
      <c r="AF3" s="594"/>
      <c r="AG3" s="594"/>
      <c r="AH3" s="185"/>
      <c r="AI3" s="191"/>
      <c r="BA3" s="191"/>
      <c r="BB3" s="191"/>
      <c r="BC3" s="191"/>
      <c r="CN3" s="189"/>
      <c r="CO3" s="189"/>
      <c r="CP3" s="189"/>
    </row>
    <row r="4" spans="2:94" ht="15" customHeight="1">
      <c r="B4" s="183"/>
      <c r="C4" s="193" t="s">
        <v>233</v>
      </c>
      <c r="D4" s="194"/>
      <c r="E4" s="195"/>
      <c r="F4" s="196"/>
      <c r="G4" s="197"/>
      <c r="H4" s="198"/>
      <c r="I4" s="199"/>
      <c r="J4" s="200"/>
      <c r="K4" s="201"/>
      <c r="L4" s="202"/>
      <c r="M4" s="203"/>
      <c r="N4" s="203"/>
      <c r="O4" s="203"/>
      <c r="P4" s="203"/>
      <c r="Q4" s="203"/>
      <c r="R4" s="204" t="s">
        <v>234</v>
      </c>
      <c r="S4" s="198"/>
      <c r="T4" s="200"/>
      <c r="U4" s="205"/>
      <c r="V4" s="197" t="s">
        <v>235</v>
      </c>
      <c r="W4" s="206"/>
      <c r="X4" s="203"/>
      <c r="Y4" s="203"/>
      <c r="Z4" s="203"/>
      <c r="AA4" s="203"/>
      <c r="AB4" s="203"/>
      <c r="AC4" s="201"/>
      <c r="AD4" s="207"/>
      <c r="AE4" s="208"/>
      <c r="AF4" s="209"/>
      <c r="AG4" s="210"/>
      <c r="AH4" s="211"/>
      <c r="AI4" s="188"/>
      <c r="BD4" s="189"/>
      <c r="BE4" s="189"/>
      <c r="BF4" s="189"/>
      <c r="BG4" s="189"/>
      <c r="BH4" s="189"/>
      <c r="BI4" s="189"/>
      <c r="BJ4" s="189"/>
      <c r="BK4" s="189"/>
      <c r="BL4" s="189"/>
      <c r="BM4" s="189"/>
      <c r="BN4" s="189"/>
      <c r="BO4" s="189"/>
      <c r="BP4" s="189"/>
      <c r="BQ4" s="189"/>
      <c r="BR4" s="189"/>
      <c r="BS4" s="189"/>
      <c r="BT4" s="189"/>
      <c r="BU4" s="189"/>
      <c r="BV4" s="189"/>
      <c r="BW4" s="189"/>
      <c r="BX4" s="189"/>
      <c r="BY4" s="189"/>
      <c r="BZ4" s="189"/>
      <c r="CA4" s="189"/>
      <c r="CB4" s="189"/>
      <c r="CC4" s="189"/>
      <c r="CD4" s="189"/>
      <c r="CE4" s="189"/>
      <c r="CF4" s="189"/>
      <c r="CG4" s="189"/>
      <c r="CH4" s="189"/>
      <c r="CI4" s="189"/>
      <c r="CJ4" s="189"/>
      <c r="CK4" s="189"/>
      <c r="CL4" s="189"/>
      <c r="CM4" s="189"/>
      <c r="CN4" s="189"/>
      <c r="CO4" s="189"/>
      <c r="CP4" s="189"/>
    </row>
    <row r="5" spans="2:94" ht="15" customHeight="1">
      <c r="B5" s="183"/>
      <c r="C5" s="212" t="s">
        <v>236</v>
      </c>
      <c r="D5" s="213"/>
      <c r="E5" s="214"/>
      <c r="F5" s="215"/>
      <c r="G5" s="216"/>
      <c r="H5" s="217"/>
      <c r="I5" s="218"/>
      <c r="J5" s="219"/>
      <c r="K5" s="220"/>
      <c r="L5" s="221"/>
      <c r="M5" s="210"/>
      <c r="N5" s="210"/>
      <c r="O5" s="210"/>
      <c r="P5" s="210"/>
      <c r="Q5" s="210"/>
      <c r="R5" s="222" t="s">
        <v>237</v>
      </c>
      <c r="S5" s="223"/>
      <c r="T5" s="219"/>
      <c r="U5" s="224"/>
      <c r="V5" s="225" t="s">
        <v>238</v>
      </c>
      <c r="W5" s="226"/>
      <c r="X5" s="210"/>
      <c r="Y5" s="210"/>
      <c r="Z5" s="210"/>
      <c r="AA5" s="210"/>
      <c r="AB5" s="210"/>
      <c r="AC5" s="220"/>
      <c r="AD5" s="227"/>
      <c r="AE5" s="228"/>
      <c r="AF5" s="229"/>
      <c r="AG5" s="210"/>
      <c r="AH5" s="211"/>
      <c r="AI5" s="188"/>
      <c r="BD5" s="189"/>
      <c r="BE5" s="189"/>
      <c r="BF5" s="189"/>
      <c r="BG5" s="189"/>
      <c r="BH5" s="189"/>
      <c r="BI5" s="189"/>
      <c r="BJ5" s="189"/>
      <c r="BK5" s="189"/>
      <c r="BL5" s="189"/>
      <c r="BM5" s="189"/>
      <c r="BN5" s="189"/>
      <c r="BO5" s="189"/>
      <c r="BP5" s="189"/>
      <c r="BQ5" s="189"/>
      <c r="BR5" s="189"/>
      <c r="BS5" s="189"/>
      <c r="BT5" s="189"/>
      <c r="BU5" s="189"/>
      <c r="BV5" s="189"/>
      <c r="BW5" s="189"/>
      <c r="BX5" s="189"/>
      <c r="BY5" s="189"/>
      <c r="BZ5" s="189"/>
      <c r="CA5" s="189"/>
      <c r="CB5" s="189"/>
      <c r="CC5" s="189"/>
      <c r="CD5" s="189"/>
      <c r="CE5" s="189"/>
      <c r="CF5" s="189"/>
      <c r="CG5" s="189"/>
      <c r="CH5" s="189"/>
      <c r="CI5" s="189"/>
      <c r="CJ5" s="189"/>
      <c r="CK5" s="189"/>
      <c r="CL5" s="189"/>
      <c r="CM5" s="189"/>
      <c r="CN5" s="189"/>
      <c r="CO5" s="189"/>
      <c r="CP5" s="189"/>
    </row>
    <row r="6" spans="2:94" ht="15" customHeight="1">
      <c r="B6" s="183"/>
      <c r="C6" s="212" t="s">
        <v>239</v>
      </c>
      <c r="D6" s="213"/>
      <c r="E6" s="214"/>
      <c r="F6" s="215"/>
      <c r="G6" s="216"/>
      <c r="H6" s="217"/>
      <c r="I6" s="218"/>
      <c r="J6" s="219"/>
      <c r="K6" s="220"/>
      <c r="L6" s="221"/>
      <c r="M6" s="210"/>
      <c r="N6" s="210"/>
      <c r="O6" s="210"/>
      <c r="P6" s="210"/>
      <c r="Q6" s="210"/>
      <c r="R6" s="222" t="s">
        <v>240</v>
      </c>
      <c r="S6" s="230"/>
      <c r="T6" s="219"/>
      <c r="U6" s="231"/>
      <c r="V6" s="595">
        <f ca="1">NOW()</f>
        <v>46313.620805439816</v>
      </c>
      <c r="W6" s="595"/>
      <c r="X6" s="210"/>
      <c r="Y6" s="210"/>
      <c r="Z6" s="210"/>
      <c r="AA6" s="210"/>
      <c r="AB6" s="210"/>
      <c r="AC6" s="220"/>
      <c r="AD6" s="227"/>
      <c r="AE6" s="228"/>
      <c r="AF6" s="229"/>
      <c r="AG6" s="210"/>
      <c r="AH6" s="211"/>
      <c r="AI6" s="188"/>
      <c r="BD6" s="189"/>
      <c r="BE6" s="189"/>
      <c r="BF6" s="189"/>
      <c r="BG6" s="189"/>
      <c r="BH6" s="189"/>
      <c r="BI6" s="189"/>
      <c r="BJ6" s="189"/>
      <c r="BK6" s="189"/>
      <c r="BL6" s="189"/>
      <c r="BM6" s="189"/>
      <c r="BN6" s="189"/>
      <c r="BO6" s="189"/>
      <c r="BP6" s="189"/>
      <c r="BQ6" s="189"/>
      <c r="BR6" s="189"/>
      <c r="BS6" s="189"/>
      <c r="BT6" s="189"/>
      <c r="BU6" s="189"/>
      <c r="BV6" s="189"/>
      <c r="BW6" s="189"/>
      <c r="BX6" s="189"/>
      <c r="BY6" s="189"/>
      <c r="BZ6" s="189"/>
      <c r="CA6" s="189"/>
      <c r="CB6" s="189"/>
      <c r="CC6" s="189"/>
      <c r="CD6" s="189"/>
      <c r="CE6" s="189"/>
      <c r="CF6" s="189"/>
      <c r="CG6" s="189"/>
      <c r="CH6" s="189"/>
      <c r="CI6" s="189"/>
      <c r="CJ6" s="189"/>
      <c r="CK6" s="189"/>
      <c r="CL6" s="189"/>
      <c r="CM6" s="189"/>
      <c r="CN6" s="189"/>
      <c r="CO6" s="189"/>
      <c r="CP6" s="189"/>
    </row>
    <row r="7" spans="2:94" ht="15" customHeight="1" thickBot="1">
      <c r="B7" s="183"/>
      <c r="C7" s="232" t="s">
        <v>241</v>
      </c>
      <c r="D7" s="233"/>
      <c r="E7" s="234"/>
      <c r="F7" s="235"/>
      <c r="G7" s="236"/>
      <c r="H7" s="237"/>
      <c r="I7" s="238"/>
      <c r="J7" s="239"/>
      <c r="K7" s="240"/>
      <c r="L7" s="241"/>
      <c r="M7" s="242"/>
      <c r="N7" s="242"/>
      <c r="O7" s="242"/>
      <c r="P7" s="242"/>
      <c r="Q7" s="242"/>
      <c r="R7" s="243" t="s">
        <v>242</v>
      </c>
      <c r="S7" s="244"/>
      <c r="T7" s="239"/>
      <c r="U7" s="245"/>
      <c r="V7" s="246" t="s">
        <v>238</v>
      </c>
      <c r="W7" s="247"/>
      <c r="X7" s="242"/>
      <c r="Y7" s="242"/>
      <c r="Z7" s="242"/>
      <c r="AA7" s="242"/>
      <c r="AB7" s="242"/>
      <c r="AC7" s="240"/>
      <c r="AD7" s="248"/>
      <c r="AE7" s="249"/>
      <c r="AF7" s="250"/>
      <c r="AG7" s="210"/>
      <c r="AH7" s="211"/>
      <c r="AI7" s="188"/>
      <c r="BD7" s="189"/>
      <c r="BE7" s="189"/>
      <c r="BF7" s="189"/>
      <c r="BG7" s="189"/>
      <c r="BH7" s="189"/>
      <c r="BI7" s="189"/>
      <c r="BJ7" s="189"/>
      <c r="BK7" s="189"/>
      <c r="BL7" s="189"/>
      <c r="BM7" s="189"/>
      <c r="BN7" s="189"/>
      <c r="BO7" s="189"/>
      <c r="BP7" s="189"/>
      <c r="BQ7" s="189"/>
      <c r="BR7" s="189"/>
      <c r="BS7" s="189"/>
      <c r="BT7" s="189"/>
      <c r="BU7" s="189"/>
      <c r="BV7" s="189"/>
      <c r="BW7" s="189"/>
      <c r="BX7" s="189"/>
      <c r="BY7" s="189"/>
      <c r="BZ7" s="189"/>
      <c r="CA7" s="189"/>
      <c r="CB7" s="189"/>
      <c r="CC7" s="189"/>
      <c r="CD7" s="189"/>
      <c r="CE7" s="189"/>
      <c r="CF7" s="189"/>
      <c r="CG7" s="189"/>
      <c r="CH7" s="189"/>
      <c r="CI7" s="189"/>
      <c r="CJ7" s="189"/>
      <c r="CK7" s="189"/>
      <c r="CL7" s="189"/>
      <c r="CM7" s="189"/>
      <c r="CN7" s="189"/>
      <c r="CO7" s="189"/>
      <c r="CP7" s="189"/>
    </row>
    <row r="8" spans="2:94" s="267" customFormat="1" ht="14.45" customHeight="1">
      <c r="B8" s="251"/>
      <c r="C8" s="252"/>
      <c r="D8" s="253"/>
      <c r="E8" s="253"/>
      <c r="F8" s="253"/>
      <c r="G8" s="254"/>
      <c r="H8" s="253"/>
      <c r="I8" s="255"/>
      <c r="J8" s="256"/>
      <c r="K8" s="257"/>
      <c r="L8" s="258"/>
      <c r="M8" s="259"/>
      <c r="N8" s="259"/>
      <c r="O8" s="259"/>
      <c r="P8" s="259"/>
      <c r="Q8" s="259"/>
      <c r="R8" s="260"/>
      <c r="S8" s="261"/>
      <c r="T8" s="262"/>
      <c r="U8" s="262"/>
      <c r="V8" s="260"/>
      <c r="W8" s="261"/>
      <c r="X8" s="261"/>
      <c r="Y8" s="251"/>
      <c r="Z8" s="263"/>
      <c r="AA8" s="263"/>
      <c r="AB8" s="263"/>
      <c r="AC8" s="264"/>
      <c r="AD8" s="261"/>
      <c r="AE8" s="251"/>
      <c r="AF8" s="259"/>
      <c r="AG8" s="259"/>
      <c r="AH8" s="251"/>
      <c r="AI8" s="265"/>
      <c r="AJ8" s="189"/>
      <c r="AK8" s="189"/>
      <c r="AL8" s="189"/>
      <c r="AM8" s="189"/>
      <c r="AN8" s="189"/>
      <c r="AO8" s="189"/>
      <c r="AP8" s="189"/>
      <c r="AQ8" s="189"/>
      <c r="AR8" s="189"/>
      <c r="AS8" s="189"/>
      <c r="AT8" s="189"/>
      <c r="AU8" s="189"/>
      <c r="AV8" s="189"/>
      <c r="AW8" s="189"/>
      <c r="AX8" s="189"/>
      <c r="AY8" s="189"/>
      <c r="AZ8" s="189"/>
      <c r="BA8" s="265"/>
      <c r="BB8" s="266"/>
      <c r="BC8" s="265"/>
      <c r="BE8" s="268"/>
      <c r="BF8" s="268"/>
      <c r="BG8" s="268"/>
      <c r="BH8" s="268"/>
      <c r="BI8" s="268"/>
      <c r="BJ8" s="268"/>
      <c r="BK8" s="268"/>
      <c r="BL8" s="268"/>
      <c r="BM8" s="268"/>
      <c r="BN8" s="268"/>
      <c r="BO8" s="268"/>
      <c r="BP8" s="268"/>
      <c r="BQ8" s="268"/>
      <c r="BR8" s="268"/>
      <c r="BS8" s="268"/>
      <c r="BT8" s="268"/>
      <c r="BU8" s="268"/>
      <c r="BV8" s="268"/>
      <c r="BW8" s="268"/>
      <c r="BX8" s="268"/>
    </row>
    <row r="9" spans="2:94" ht="20.100000000000001" customHeight="1">
      <c r="B9" s="183"/>
      <c r="C9" s="583" t="s">
        <v>250</v>
      </c>
      <c r="D9" s="583"/>
      <c r="E9" s="583"/>
      <c r="F9" s="583" t="s">
        <v>251</v>
      </c>
      <c r="G9" s="583"/>
      <c r="H9" s="583"/>
      <c r="I9" s="583"/>
      <c r="J9" s="583"/>
      <c r="K9" s="583"/>
      <c r="L9" s="583"/>
      <c r="M9" s="583"/>
      <c r="N9" s="583"/>
      <c r="O9" s="583"/>
      <c r="P9" s="583"/>
      <c r="Q9" s="583"/>
      <c r="R9" s="596" t="s">
        <v>252</v>
      </c>
      <c r="S9" s="596"/>
      <c r="T9" s="596"/>
      <c r="U9" s="596"/>
      <c r="V9" s="596"/>
      <c r="W9" s="596" t="s">
        <v>253</v>
      </c>
      <c r="X9" s="596"/>
      <c r="Y9" s="596"/>
      <c r="Z9" s="210"/>
      <c r="AA9" s="210"/>
      <c r="AB9" s="210"/>
      <c r="AC9" s="220"/>
      <c r="AD9" s="269"/>
      <c r="AE9" s="183"/>
      <c r="AF9" s="210"/>
      <c r="AG9" s="270"/>
      <c r="AH9" s="211"/>
      <c r="AI9" s="188"/>
      <c r="BD9" s="189"/>
      <c r="BE9" s="189"/>
      <c r="BF9" s="189"/>
      <c r="BG9" s="189"/>
      <c r="BH9" s="189"/>
      <c r="BI9" s="189"/>
      <c r="BJ9" s="189"/>
      <c r="BK9" s="189"/>
      <c r="BL9" s="189"/>
      <c r="BM9" s="189"/>
      <c r="BN9" s="189"/>
      <c r="BO9" s="189"/>
      <c r="BP9" s="189"/>
      <c r="BQ9" s="189"/>
      <c r="BR9" s="189"/>
      <c r="BS9" s="189"/>
      <c r="BT9" s="189"/>
      <c r="BU9" s="189"/>
      <c r="BV9" s="189"/>
      <c r="BW9" s="189"/>
      <c r="BX9" s="189"/>
      <c r="BY9" s="189"/>
      <c r="BZ9" s="189"/>
      <c r="CA9" s="189"/>
      <c r="CB9" s="189"/>
      <c r="CC9" s="189"/>
      <c r="CD9" s="189"/>
      <c r="CE9" s="189"/>
      <c r="CF9" s="189"/>
      <c r="CG9" s="189"/>
      <c r="CH9" s="189"/>
      <c r="CI9" s="189"/>
      <c r="CJ9" s="189"/>
      <c r="CK9" s="189"/>
      <c r="CL9" s="189"/>
      <c r="CM9" s="189"/>
      <c r="CN9" s="189"/>
      <c r="CO9" s="189"/>
      <c r="CP9" s="189"/>
    </row>
    <row r="10" spans="2:94" ht="26.1" customHeight="1">
      <c r="B10" s="183"/>
      <c r="C10" s="586" t="s">
        <v>254</v>
      </c>
      <c r="D10" s="586"/>
      <c r="E10" s="586"/>
      <c r="F10" s="584" t="s">
        <v>244</v>
      </c>
      <c r="G10" s="584"/>
      <c r="H10" s="348" t="s">
        <v>255</v>
      </c>
      <c r="I10" s="585">
        <f>HLOOKUP($F$10,Data!$D$2:$S$14,6,0)</f>
        <v>11.5</v>
      </c>
      <c r="J10" s="585"/>
      <c r="K10" s="585"/>
      <c r="L10" s="585"/>
      <c r="M10" s="348" t="s">
        <v>256</v>
      </c>
      <c r="N10" s="585">
        <f>HLOOKUP($F$10,Data!$D$2:$S$14,7,0)</f>
        <v>0.9</v>
      </c>
      <c r="O10" s="585"/>
      <c r="P10" s="585"/>
      <c r="Q10" s="585"/>
      <c r="R10" s="271" t="s">
        <v>257</v>
      </c>
      <c r="S10" s="581">
        <f>S11*(1-0.5*S11)</f>
        <v>0.43962443123976869</v>
      </c>
      <c r="T10" s="581"/>
      <c r="U10" s="581"/>
      <c r="V10" s="581"/>
      <c r="W10" s="272" t="s">
        <v>268</v>
      </c>
      <c r="X10" s="582">
        <f>HLOOKUP($F$10,Data!$D$2:$S$14,8,0)</f>
        <v>27000</v>
      </c>
      <c r="Y10" s="582"/>
      <c r="Z10" s="210"/>
      <c r="AA10" s="210"/>
      <c r="AB10" s="210"/>
      <c r="AC10" s="220"/>
      <c r="AD10" s="269"/>
      <c r="AE10" s="183"/>
      <c r="AF10" s="210"/>
      <c r="AG10" s="270"/>
      <c r="AH10" s="211"/>
      <c r="AI10" s="188"/>
      <c r="BD10" s="189"/>
      <c r="BE10" s="189"/>
      <c r="BF10" s="189"/>
      <c r="BG10" s="189"/>
      <c r="BH10" s="189"/>
      <c r="BI10" s="189"/>
      <c r="BJ10" s="189"/>
      <c r="BK10" s="189"/>
      <c r="BL10" s="189"/>
      <c r="BM10" s="189"/>
      <c r="BN10" s="189"/>
      <c r="BO10" s="189"/>
      <c r="BP10" s="189"/>
      <c r="BQ10" s="189"/>
      <c r="BR10" s="189"/>
      <c r="BS10" s="189"/>
      <c r="BT10" s="189"/>
      <c r="BU10" s="189"/>
      <c r="BV10" s="189"/>
      <c r="BW10" s="189"/>
      <c r="BX10" s="189"/>
      <c r="BY10" s="189"/>
      <c r="BZ10" s="189"/>
      <c r="CA10" s="189"/>
      <c r="CB10" s="189"/>
      <c r="CC10" s="189"/>
      <c r="CD10" s="189"/>
      <c r="CE10" s="189"/>
      <c r="CF10" s="189"/>
      <c r="CG10" s="189"/>
      <c r="CH10" s="189"/>
      <c r="CI10" s="189"/>
      <c r="CJ10" s="189"/>
      <c r="CK10" s="189"/>
      <c r="CL10" s="189"/>
      <c r="CM10" s="189"/>
      <c r="CN10" s="189"/>
      <c r="CO10" s="189"/>
      <c r="CP10" s="189"/>
    </row>
    <row r="11" spans="2:94" ht="15" customHeight="1">
      <c r="B11" s="183"/>
      <c r="C11" s="583" t="s">
        <v>259</v>
      </c>
      <c r="D11" s="583"/>
      <c r="E11" s="583"/>
      <c r="F11" s="593" t="s">
        <v>350</v>
      </c>
      <c r="G11" s="593"/>
      <c r="H11" s="348" t="s">
        <v>260</v>
      </c>
      <c r="I11" s="579">
        <f>HLOOKUP($F$11,Data!$D$17:$N$24,5,0)</f>
        <v>260</v>
      </c>
      <c r="J11" s="579"/>
      <c r="K11" s="579"/>
      <c r="L11" s="579"/>
      <c r="M11" s="348" t="s">
        <v>261</v>
      </c>
      <c r="N11" s="579">
        <f>HLOOKUP($F$11,Data!$D$17:$N$24,6,0)</f>
        <v>260</v>
      </c>
      <c r="O11" s="579"/>
      <c r="P11" s="579"/>
      <c r="Q11" s="579"/>
      <c r="R11" s="271" t="s">
        <v>262</v>
      </c>
      <c r="S11" s="587">
        <f>(0.85-0.008*I10)/(1+I11/500*(1-(0.85-0.008*I10)/1.1))</f>
        <v>0.65250735616352595</v>
      </c>
      <c r="T11" s="587"/>
      <c r="U11" s="587"/>
      <c r="V11" s="587"/>
      <c r="W11" s="273" t="s">
        <v>263</v>
      </c>
      <c r="X11" s="588">
        <f>1-0.01*I10</f>
        <v>0.88500000000000001</v>
      </c>
      <c r="Y11" s="588"/>
      <c r="Z11" s="210"/>
      <c r="AA11" s="210"/>
      <c r="AB11" s="210"/>
      <c r="AC11" s="220"/>
      <c r="AD11" s="269"/>
      <c r="AE11" s="183"/>
      <c r="AF11" s="210"/>
      <c r="AG11" s="270"/>
      <c r="AH11" s="211"/>
      <c r="AI11" s="188"/>
      <c r="BD11" s="189"/>
      <c r="BE11" s="189"/>
      <c r="BF11" s="189"/>
      <c r="BG11" s="189"/>
      <c r="BH11" s="189"/>
      <c r="BI11" s="189"/>
      <c r="BJ11" s="189"/>
      <c r="BK11" s="189"/>
      <c r="BL11" s="189"/>
      <c r="BM11" s="189"/>
      <c r="BN11" s="189"/>
      <c r="BO11" s="189"/>
      <c r="BP11" s="189"/>
      <c r="BQ11" s="189"/>
      <c r="BR11" s="189"/>
      <c r="BS11" s="189"/>
      <c r="BT11" s="189"/>
      <c r="BU11" s="189"/>
      <c r="BV11" s="189"/>
      <c r="BW11" s="189"/>
      <c r="BX11" s="189"/>
      <c r="BY11" s="189"/>
      <c r="BZ11" s="189"/>
      <c r="CA11" s="189"/>
      <c r="CB11" s="189"/>
      <c r="CC11" s="189"/>
      <c r="CD11" s="189"/>
      <c r="CE11" s="189"/>
      <c r="CF11" s="189"/>
      <c r="CG11" s="189"/>
      <c r="CH11" s="189"/>
      <c r="CI11" s="189"/>
      <c r="CJ11" s="189"/>
      <c r="CK11" s="189"/>
      <c r="CL11" s="189"/>
      <c r="CM11" s="189"/>
      <c r="CN11" s="189"/>
      <c r="CO11" s="189"/>
      <c r="CP11" s="189"/>
    </row>
    <row r="12" spans="2:94" ht="15" customHeight="1">
      <c r="B12" s="183"/>
      <c r="C12" s="583" t="s">
        <v>264</v>
      </c>
      <c r="D12" s="583"/>
      <c r="E12" s="583"/>
      <c r="F12" s="584" t="s">
        <v>348</v>
      </c>
      <c r="G12" s="584"/>
      <c r="H12" s="348" t="s">
        <v>265</v>
      </c>
      <c r="I12" s="579">
        <f>HLOOKUP($F$12,Data!$D$17:$N$24,7,0)</f>
        <v>170</v>
      </c>
      <c r="J12" s="579"/>
      <c r="K12" s="579"/>
      <c r="L12" s="579"/>
      <c r="M12" s="348" t="s">
        <v>266</v>
      </c>
      <c r="N12" s="580">
        <v>30</v>
      </c>
      <c r="O12" s="580"/>
      <c r="P12" s="580"/>
      <c r="Q12" s="580"/>
      <c r="R12" s="274" t="s">
        <v>267</v>
      </c>
      <c r="S12" s="581">
        <f>X12/X10</f>
        <v>7.4074074074074074</v>
      </c>
      <c r="T12" s="581"/>
      <c r="U12" s="581"/>
      <c r="V12" s="581"/>
      <c r="W12" s="272" t="s">
        <v>258</v>
      </c>
      <c r="X12" s="582">
        <f>HLOOKUP($F$11,Data!$D$17:$N$24,8,0)</f>
        <v>200000</v>
      </c>
      <c r="Y12" s="582"/>
      <c r="Z12" s="210"/>
      <c r="AA12" s="210"/>
      <c r="AB12" s="210"/>
      <c r="AC12" s="220"/>
      <c r="AD12" s="269"/>
      <c r="AE12" s="183"/>
      <c r="AF12" s="210"/>
      <c r="AG12" s="270"/>
      <c r="AH12" s="211"/>
      <c r="AI12" s="188"/>
      <c r="BD12" s="189"/>
      <c r="BE12" s="189"/>
      <c r="BF12" s="189"/>
      <c r="BG12" s="189"/>
      <c r="BH12" s="189"/>
      <c r="BI12" s="189"/>
      <c r="BJ12" s="189"/>
      <c r="BK12" s="189"/>
      <c r="BL12" s="189"/>
      <c r="BM12" s="189"/>
      <c r="BN12" s="189"/>
      <c r="BO12" s="189"/>
      <c r="BP12" s="189"/>
      <c r="BQ12" s="189"/>
      <c r="BR12" s="189"/>
      <c r="BS12" s="189"/>
      <c r="BT12" s="189"/>
      <c r="BU12" s="189"/>
      <c r="BV12" s="189"/>
      <c r="BW12" s="189"/>
      <c r="BX12" s="189"/>
      <c r="BY12" s="189"/>
      <c r="BZ12" s="189"/>
      <c r="CA12" s="189"/>
      <c r="CB12" s="189"/>
      <c r="CC12" s="189"/>
      <c r="CD12" s="189"/>
      <c r="CE12" s="189"/>
      <c r="CF12" s="189"/>
      <c r="CG12" s="189"/>
      <c r="CH12" s="189"/>
      <c r="CI12" s="189"/>
      <c r="CJ12" s="189"/>
      <c r="CK12" s="189"/>
      <c r="CL12" s="189"/>
      <c r="CM12" s="189"/>
      <c r="CN12" s="189"/>
      <c r="CO12" s="189"/>
      <c r="CP12" s="189"/>
    </row>
    <row r="13" spans="2:94" ht="26.1" customHeight="1">
      <c r="B13" s="275" t="s">
        <v>269</v>
      </c>
      <c r="C13" s="275"/>
      <c r="D13" s="183"/>
      <c r="E13" s="183"/>
      <c r="F13" s="183"/>
      <c r="G13" s="276"/>
      <c r="H13" s="183"/>
      <c r="I13" s="277"/>
      <c r="J13" s="277"/>
      <c r="K13" s="276"/>
      <c r="L13" s="278"/>
      <c r="M13" s="183"/>
      <c r="N13" s="183"/>
      <c r="O13" s="183"/>
      <c r="P13" s="183"/>
      <c r="Q13" s="278"/>
      <c r="R13" s="276"/>
      <c r="S13" s="279"/>
      <c r="T13" s="280"/>
      <c r="U13" s="280"/>
      <c r="V13" s="281"/>
      <c r="W13" s="279"/>
      <c r="X13" s="279"/>
      <c r="Y13" s="279"/>
      <c r="Z13" s="183"/>
      <c r="AA13" s="183"/>
      <c r="AB13" s="183"/>
      <c r="AC13" s="276"/>
      <c r="AD13" s="269"/>
      <c r="AE13" s="183"/>
      <c r="AF13" s="183"/>
      <c r="AG13" s="183"/>
      <c r="AH13" s="183"/>
      <c r="AI13" s="282"/>
      <c r="BA13" s="282"/>
      <c r="BB13" s="283"/>
      <c r="BC13" s="282"/>
      <c r="CN13" s="189"/>
      <c r="CO13" s="189"/>
      <c r="CP13" s="189"/>
    </row>
    <row r="14" spans="2:94" ht="20.100000000000001" customHeight="1">
      <c r="B14" s="589" t="s">
        <v>270</v>
      </c>
      <c r="C14" s="589" t="s">
        <v>271</v>
      </c>
      <c r="D14" s="591" t="s">
        <v>272</v>
      </c>
      <c r="E14" s="592" t="s">
        <v>273</v>
      </c>
      <c r="F14" s="589" t="s">
        <v>274</v>
      </c>
      <c r="G14" s="576" t="s">
        <v>275</v>
      </c>
      <c r="H14" s="576"/>
      <c r="I14" s="576"/>
      <c r="J14" s="576"/>
      <c r="K14" s="576"/>
      <c r="L14" s="576"/>
      <c r="M14" s="576"/>
      <c r="N14" s="576"/>
      <c r="O14" s="576"/>
      <c r="P14" s="577"/>
      <c r="Q14" s="577"/>
      <c r="R14" s="576" t="s">
        <v>276</v>
      </c>
      <c r="S14" s="576"/>
      <c r="T14" s="576"/>
      <c r="U14" s="576"/>
      <c r="V14" s="576"/>
      <c r="W14" s="576"/>
      <c r="X14" s="576"/>
      <c r="Y14" s="576"/>
      <c r="Z14" s="576"/>
      <c r="AA14" s="576"/>
      <c r="AB14" s="576"/>
      <c r="AC14" s="576" t="s">
        <v>277</v>
      </c>
      <c r="AD14" s="576"/>
      <c r="AE14" s="576"/>
      <c r="AF14" s="576"/>
      <c r="AG14" s="576"/>
      <c r="AH14" s="564" t="s">
        <v>278</v>
      </c>
      <c r="AI14" s="282"/>
      <c r="BA14" s="282"/>
      <c r="BB14" s="283"/>
      <c r="BC14" s="282"/>
      <c r="CN14" s="189"/>
      <c r="CO14" s="189"/>
      <c r="CP14" s="189"/>
    </row>
    <row r="15" spans="2:94" ht="20.100000000000001" customHeight="1">
      <c r="B15" s="589"/>
      <c r="C15" s="589"/>
      <c r="D15" s="591"/>
      <c r="E15" s="592"/>
      <c r="F15" s="589"/>
      <c r="G15" s="284" t="s">
        <v>279</v>
      </c>
      <c r="H15" s="285" t="s">
        <v>280</v>
      </c>
      <c r="I15" s="566" t="s">
        <v>281</v>
      </c>
      <c r="J15" s="566"/>
      <c r="K15" s="284" t="s">
        <v>282</v>
      </c>
      <c r="L15" s="567" t="s">
        <v>283</v>
      </c>
      <c r="M15" s="569" t="s">
        <v>284</v>
      </c>
      <c r="N15" s="570"/>
      <c r="O15" s="571"/>
      <c r="P15" s="286" t="s">
        <v>285</v>
      </c>
      <c r="Q15" s="572" t="s">
        <v>286</v>
      </c>
      <c r="R15" s="284" t="s">
        <v>279</v>
      </c>
      <c r="S15" s="285" t="s">
        <v>287</v>
      </c>
      <c r="T15" s="578" t="s">
        <v>281</v>
      </c>
      <c r="U15" s="578"/>
      <c r="V15" s="284" t="s">
        <v>282</v>
      </c>
      <c r="W15" s="567" t="s">
        <v>283</v>
      </c>
      <c r="X15" s="569" t="s">
        <v>284</v>
      </c>
      <c r="Y15" s="570"/>
      <c r="Z15" s="571"/>
      <c r="AA15" s="286" t="s">
        <v>285</v>
      </c>
      <c r="AB15" s="572" t="s">
        <v>286</v>
      </c>
      <c r="AC15" s="284" t="s">
        <v>288</v>
      </c>
      <c r="AD15" s="574" t="s">
        <v>289</v>
      </c>
      <c r="AE15" s="574" t="s">
        <v>290</v>
      </c>
      <c r="AF15" s="287" t="s">
        <v>291</v>
      </c>
      <c r="AG15" s="288" t="s">
        <v>292</v>
      </c>
      <c r="AH15" s="564"/>
      <c r="CN15" s="189"/>
      <c r="CO15" s="189"/>
      <c r="CP15" s="189"/>
    </row>
    <row r="16" spans="2:94" ht="20.100000000000001" customHeight="1">
      <c r="B16" s="590"/>
      <c r="C16" s="590"/>
      <c r="D16" s="289" t="s">
        <v>293</v>
      </c>
      <c r="E16" s="289" t="s">
        <v>293</v>
      </c>
      <c r="F16" s="590"/>
      <c r="G16" s="290" t="s">
        <v>294</v>
      </c>
      <c r="H16" s="291" t="s">
        <v>293</v>
      </c>
      <c r="I16" s="292" t="s">
        <v>295</v>
      </c>
      <c r="J16" s="293" t="s">
        <v>296</v>
      </c>
      <c r="K16" s="290" t="s">
        <v>297</v>
      </c>
      <c r="L16" s="568"/>
      <c r="M16" s="294" t="s">
        <v>17</v>
      </c>
      <c r="N16" s="295" t="s">
        <v>18</v>
      </c>
      <c r="O16" s="294" t="s">
        <v>298</v>
      </c>
      <c r="P16" s="296" t="s">
        <v>297</v>
      </c>
      <c r="Q16" s="573"/>
      <c r="R16" s="290" t="s">
        <v>294</v>
      </c>
      <c r="S16" s="291" t="s">
        <v>293</v>
      </c>
      <c r="T16" s="292" t="s">
        <v>295</v>
      </c>
      <c r="U16" s="293" t="s">
        <v>296</v>
      </c>
      <c r="V16" s="290" t="s">
        <v>297</v>
      </c>
      <c r="W16" s="568"/>
      <c r="X16" s="294" t="s">
        <v>17</v>
      </c>
      <c r="Y16" s="295" t="s">
        <v>18</v>
      </c>
      <c r="Z16" s="294" t="s">
        <v>298</v>
      </c>
      <c r="AA16" s="296" t="s">
        <v>299</v>
      </c>
      <c r="AB16" s="573"/>
      <c r="AC16" s="290" t="s">
        <v>300</v>
      </c>
      <c r="AD16" s="575"/>
      <c r="AE16" s="575"/>
      <c r="AF16" s="297" t="s">
        <v>301</v>
      </c>
      <c r="AG16" s="298" t="s">
        <v>300</v>
      </c>
      <c r="AH16" s="565"/>
      <c r="CN16" s="189"/>
      <c r="CO16" s="189"/>
      <c r="CP16" s="189"/>
    </row>
  </sheetData>
  <sheetProtection deleteColumns="0" deleteRows="0" selectLockedCells="1" selectUnlockedCells="1"/>
  <mergeCells count="45">
    <mergeCell ref="C11:E11"/>
    <mergeCell ref="F11:G11"/>
    <mergeCell ref="D1:AG3"/>
    <mergeCell ref="V6:W6"/>
    <mergeCell ref="R9:V9"/>
    <mergeCell ref="W9:Y9"/>
    <mergeCell ref="C9:E9"/>
    <mergeCell ref="F9:Q9"/>
    <mergeCell ref="B14:B16"/>
    <mergeCell ref="C14:C16"/>
    <mergeCell ref="D14:D15"/>
    <mergeCell ref="E14:E15"/>
    <mergeCell ref="F14:F16"/>
    <mergeCell ref="I12:L12"/>
    <mergeCell ref="N12:Q12"/>
    <mergeCell ref="S12:V12"/>
    <mergeCell ref="X10:Y10"/>
    <mergeCell ref="C12:E12"/>
    <mergeCell ref="F12:G12"/>
    <mergeCell ref="I10:L10"/>
    <mergeCell ref="N10:Q10"/>
    <mergeCell ref="S10:V10"/>
    <mergeCell ref="X12:Y12"/>
    <mergeCell ref="C10:E10"/>
    <mergeCell ref="F10:G10"/>
    <mergeCell ref="I11:L11"/>
    <mergeCell ref="N11:Q11"/>
    <mergeCell ref="S11:V11"/>
    <mergeCell ref="X11:Y11"/>
    <mergeCell ref="AH14:AH16"/>
    <mergeCell ref="I15:J15"/>
    <mergeCell ref="L15:L16"/>
    <mergeCell ref="M15:O15"/>
    <mergeCell ref="Q15:Q16"/>
    <mergeCell ref="AE15:AE16"/>
    <mergeCell ref="G14:O14"/>
    <mergeCell ref="P14:Q14"/>
    <mergeCell ref="R14:Z14"/>
    <mergeCell ref="AA14:AB14"/>
    <mergeCell ref="AC14:AG14"/>
    <mergeCell ref="T15:U15"/>
    <mergeCell ref="W15:W16"/>
    <mergeCell ref="X15:Z15"/>
    <mergeCell ref="AB15:AB16"/>
    <mergeCell ref="AD15:AD16"/>
  </mergeCells>
  <pageMargins left="0.65" right="0.4" top="0.81" bottom="0.19" header="0.51" footer="0.19"/>
  <pageSetup paperSize="9" orientation="landscape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76270E-C511-41AF-BFE3-10BB4EA8F381}">
          <x14:formula1>
            <xm:f>Data!$D$2:$S$2</xm:f>
          </x14:formula1>
          <xm:sqref>F10</xm:sqref>
        </x14:dataValidation>
        <x14:dataValidation type="list" allowBlank="1" showInputMessage="1" showErrorMessage="1" xr:uid="{1DEF6B74-E193-4F8F-BF01-7A5701CE05B3}">
          <x14:formula1>
            <xm:f>Data!$D$17:$N$17</xm:f>
          </x14:formula1>
          <xm:sqref>F11:F12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D9FB6-906A-4F9F-842C-8881A262F7E4}">
  <sheetPr codeName="Sheet15"/>
  <dimension ref="B1:T29"/>
  <sheetViews>
    <sheetView showGridLines="0" workbookViewId="0">
      <selection activeCell="Q14" sqref="Q14"/>
    </sheetView>
  </sheetViews>
  <sheetFormatPr defaultColWidth="9.140625" defaultRowHeight="14.25" outlineLevelCol="1"/>
  <cols>
    <col min="1" max="1" width="3.85546875" style="386" customWidth="1"/>
    <col min="2" max="2" width="2" style="386" customWidth="1"/>
    <col min="3" max="3" width="9.7109375" style="386" customWidth="1"/>
    <col min="4" max="5" width="10.7109375" style="386" customWidth="1"/>
    <col min="6" max="6" width="7.7109375" style="386" customWidth="1"/>
    <col min="7" max="8" width="8.7109375" style="386" customWidth="1"/>
    <col min="9" max="10" width="9.7109375" style="386" customWidth="1"/>
    <col min="11" max="11" width="9.7109375" style="386" customWidth="1" outlineLevel="1"/>
    <col min="12" max="12" width="9.7109375" style="386" customWidth="1"/>
    <col min="13" max="13" width="7.42578125" style="386" customWidth="1"/>
    <col min="14" max="14" width="6.140625" style="386" customWidth="1"/>
    <col min="15" max="18" width="7.7109375" style="386" customWidth="1"/>
    <col min="19" max="19" width="7.85546875" style="386" customWidth="1"/>
    <col min="20" max="16384" width="9.140625" style="386"/>
  </cols>
  <sheetData>
    <row r="1" spans="2:12" ht="57.75" customHeight="1">
      <c r="B1" s="65"/>
      <c r="C1" s="384"/>
      <c r="D1" s="600"/>
      <c r="E1" s="600"/>
      <c r="F1" s="600"/>
      <c r="G1" s="600"/>
      <c r="H1" s="600"/>
      <c r="I1" s="600"/>
      <c r="J1" s="600"/>
      <c r="K1" s="600"/>
      <c r="L1" s="385"/>
    </row>
    <row r="2" spans="2:12" ht="9" customHeight="1" thickBot="1">
      <c r="B2" s="65"/>
      <c r="C2" s="387"/>
      <c r="D2" s="387"/>
      <c r="E2" s="387"/>
      <c r="F2" s="387"/>
      <c r="G2" s="387"/>
      <c r="H2" s="387"/>
      <c r="I2" s="387"/>
      <c r="J2" s="387"/>
      <c r="K2" s="387"/>
      <c r="L2" s="65"/>
    </row>
    <row r="3" spans="2:12">
      <c r="B3" s="65"/>
      <c r="C3" s="388" t="s">
        <v>397</v>
      </c>
      <c r="D3" s="389"/>
      <c r="E3" s="389"/>
      <c r="F3" s="390"/>
      <c r="G3" s="388" t="s">
        <v>398</v>
      </c>
      <c r="H3" s="389" t="s">
        <v>427</v>
      </c>
      <c r="I3" s="391"/>
      <c r="J3" s="391"/>
      <c r="K3" s="392"/>
      <c r="L3" s="390"/>
    </row>
    <row r="4" spans="2:12">
      <c r="B4" s="65"/>
      <c r="C4" s="393" t="s">
        <v>399</v>
      </c>
      <c r="D4" s="394"/>
      <c r="E4" s="394"/>
      <c r="F4" s="395"/>
      <c r="G4" s="393" t="s">
        <v>400</v>
      </c>
      <c r="H4" s="394" t="s">
        <v>401</v>
      </c>
      <c r="I4" s="65"/>
      <c r="J4" s="65"/>
      <c r="K4" s="396"/>
      <c r="L4" s="395"/>
    </row>
    <row r="5" spans="2:12">
      <c r="B5" s="65"/>
      <c r="C5" s="393" t="s">
        <v>402</v>
      </c>
      <c r="D5" s="394"/>
      <c r="E5" s="394"/>
      <c r="F5" s="395"/>
      <c r="G5" s="393" t="s">
        <v>403</v>
      </c>
      <c r="H5" s="397">
        <f ca="1">NOW()</f>
        <v>46313.620805439816</v>
      </c>
      <c r="I5" s="65"/>
      <c r="J5" s="65"/>
      <c r="K5" s="396"/>
      <c r="L5" s="395"/>
    </row>
    <row r="6" spans="2:12" ht="15" thickBot="1">
      <c r="B6" s="65"/>
      <c r="C6" s="398" t="s">
        <v>404</v>
      </c>
      <c r="D6" s="399"/>
      <c r="E6" s="399"/>
      <c r="F6" s="400"/>
      <c r="G6" s="398" t="s">
        <v>405</v>
      </c>
      <c r="H6" s="399" t="s">
        <v>401</v>
      </c>
      <c r="I6" s="401"/>
      <c r="J6" s="401"/>
      <c r="K6" s="402"/>
      <c r="L6" s="400"/>
    </row>
    <row r="7" spans="2:12" ht="7.5" customHeight="1"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</row>
    <row r="8" spans="2:12">
      <c r="B8" s="65"/>
      <c r="C8" s="403" t="s">
        <v>406</v>
      </c>
      <c r="D8" s="65"/>
      <c r="E8" s="65"/>
      <c r="F8" s="65"/>
      <c r="G8" s="65"/>
      <c r="H8" s="65"/>
      <c r="I8" s="65"/>
      <c r="J8" s="65"/>
      <c r="K8" s="65"/>
      <c r="L8" s="65"/>
    </row>
    <row r="9" spans="2:12" ht="15.95" customHeight="1">
      <c r="B9" s="65"/>
      <c r="C9" s="601" t="s">
        <v>407</v>
      </c>
      <c r="D9" s="601"/>
      <c r="E9" s="445" t="s">
        <v>248</v>
      </c>
      <c r="F9" s="404" t="s">
        <v>434</v>
      </c>
      <c r="G9" s="405">
        <f>HLOOKUP($E$9,Data!$D$2:$S$14,6,0)</f>
        <v>22</v>
      </c>
      <c r="H9" s="406" t="s">
        <v>408</v>
      </c>
      <c r="I9" s="404"/>
      <c r="J9" s="404"/>
      <c r="K9" s="404"/>
      <c r="L9" s="406"/>
    </row>
    <row r="10" spans="2:12" ht="15.75" customHeight="1">
      <c r="B10" s="65"/>
      <c r="C10" s="407"/>
      <c r="D10" s="408"/>
      <c r="E10" s="409"/>
      <c r="F10" s="404" t="s">
        <v>409</v>
      </c>
      <c r="G10" s="405">
        <f>HLOOKUP($E$9,Data!$D$2:$S$14,8,0)</f>
        <v>36000</v>
      </c>
      <c r="H10" s="406" t="s">
        <v>408</v>
      </c>
      <c r="I10" s="65"/>
      <c r="J10" s="65"/>
      <c r="K10" s="65"/>
      <c r="L10" s="65"/>
    </row>
    <row r="11" spans="2:12" ht="15.75">
      <c r="B11" s="65"/>
      <c r="C11" s="601" t="s">
        <v>410</v>
      </c>
      <c r="D11" s="601"/>
      <c r="E11" s="446" t="s">
        <v>350</v>
      </c>
      <c r="F11" s="404" t="s">
        <v>411</v>
      </c>
      <c r="G11" s="405">
        <f>HLOOKUP($E$11,Data!$D$17:$N$24,5,0)</f>
        <v>260</v>
      </c>
      <c r="H11" s="406" t="s">
        <v>408</v>
      </c>
      <c r="I11" s="65"/>
      <c r="J11" s="65"/>
      <c r="K11" s="411">
        <v>7</v>
      </c>
      <c r="L11" s="65"/>
    </row>
    <row r="12" spans="2:12" ht="15.75">
      <c r="B12" s="65"/>
      <c r="C12" s="407"/>
      <c r="D12" s="412"/>
      <c r="E12" s="409"/>
      <c r="F12" s="413" t="s">
        <v>412</v>
      </c>
      <c r="G12" s="405">
        <f>HLOOKUP($E$11,Data!$D$17:$N$24,8,0)</f>
        <v>200000</v>
      </c>
      <c r="H12" s="406" t="s">
        <v>408</v>
      </c>
      <c r="I12" s="65"/>
      <c r="J12" s="65"/>
      <c r="K12" s="65"/>
      <c r="L12" s="65"/>
    </row>
    <row r="13" spans="2:12">
      <c r="B13" s="65"/>
      <c r="C13" s="403" t="s">
        <v>413</v>
      </c>
      <c r="D13" s="412"/>
      <c r="E13" s="406"/>
      <c r="F13" s="410"/>
      <c r="G13" s="407"/>
      <c r="H13" s="414"/>
      <c r="I13" s="65"/>
      <c r="J13" s="65"/>
      <c r="K13" s="65"/>
      <c r="L13" s="65"/>
    </row>
    <row r="14" spans="2:12" ht="7.5" customHeight="1" thickBot="1">
      <c r="B14" s="65"/>
      <c r="C14" s="403"/>
      <c r="D14" s="412"/>
      <c r="E14" s="406"/>
      <c r="F14" s="410"/>
      <c r="G14" s="407"/>
      <c r="H14" s="414"/>
      <c r="I14" s="65"/>
      <c r="J14" s="65"/>
      <c r="K14" s="65"/>
      <c r="L14" s="65"/>
    </row>
    <row r="15" spans="2:12" ht="16.5" customHeight="1">
      <c r="B15" s="65"/>
      <c r="C15" s="415" t="s">
        <v>414</v>
      </c>
      <c r="D15" s="416"/>
      <c r="E15" s="416"/>
      <c r="F15" s="416"/>
      <c r="G15" s="416"/>
      <c r="H15" s="416"/>
      <c r="I15" s="416"/>
      <c r="J15" s="416"/>
      <c r="K15" s="416"/>
      <c r="L15" s="453"/>
    </row>
    <row r="16" spans="2:12" ht="16.5" customHeight="1">
      <c r="B16" s="65"/>
      <c r="C16" s="417"/>
      <c r="D16" s="452"/>
      <c r="E16" s="452"/>
      <c r="F16" s="452"/>
      <c r="G16" s="452"/>
      <c r="H16" s="452"/>
      <c r="I16" s="452"/>
      <c r="J16" s="452"/>
      <c r="K16" s="452"/>
      <c r="L16" s="454"/>
    </row>
    <row r="17" spans="2:20" ht="16.5" customHeight="1">
      <c r="B17" s="65"/>
      <c r="C17" s="417"/>
      <c r="D17" s="452"/>
      <c r="E17" s="452"/>
      <c r="F17" s="452"/>
      <c r="G17" s="452"/>
      <c r="H17" s="452"/>
      <c r="I17" s="452"/>
      <c r="J17" s="452"/>
      <c r="K17" s="452"/>
      <c r="L17" s="454"/>
    </row>
    <row r="18" spans="2:20" ht="16.5" customHeight="1">
      <c r="B18" s="65"/>
      <c r="C18" s="417"/>
      <c r="D18" s="452"/>
      <c r="E18" s="452"/>
      <c r="F18" s="452"/>
      <c r="G18" s="452"/>
      <c r="H18" s="452"/>
      <c r="I18" s="452"/>
      <c r="J18" s="452"/>
      <c r="K18" s="452"/>
      <c r="L18" s="454"/>
    </row>
    <row r="19" spans="2:20" ht="16.5" customHeight="1" thickBot="1">
      <c r="B19" s="65"/>
      <c r="C19" s="418"/>
      <c r="D19" s="419"/>
      <c r="E19" s="419"/>
      <c r="F19" s="419"/>
      <c r="G19" s="419"/>
      <c r="H19" s="419"/>
      <c r="I19" s="419"/>
      <c r="J19" s="419"/>
      <c r="K19" s="419"/>
      <c r="L19" s="455"/>
    </row>
    <row r="20" spans="2:20" ht="16.5" customHeight="1" thickBot="1">
      <c r="B20" s="65"/>
      <c r="C20" s="602" t="s">
        <v>435</v>
      </c>
      <c r="D20" s="603"/>
      <c r="E20" s="603"/>
      <c r="F20" s="603"/>
      <c r="G20" s="603"/>
      <c r="H20" s="603"/>
      <c r="I20" s="603"/>
      <c r="J20" s="603"/>
      <c r="K20" s="603"/>
      <c r="L20" s="604"/>
    </row>
    <row r="21" spans="2:20" ht="16.5" customHeight="1" thickBot="1">
      <c r="B21" s="65"/>
      <c r="C21" s="605" t="s">
        <v>415</v>
      </c>
      <c r="D21" s="606"/>
      <c r="E21" s="606"/>
      <c r="F21" s="606"/>
      <c r="G21" s="606"/>
      <c r="H21" s="606"/>
      <c r="I21" s="606"/>
      <c r="J21" s="606"/>
      <c r="K21" s="606"/>
      <c r="L21" s="607"/>
    </row>
    <row r="22" spans="2:20" ht="16.5" customHeight="1">
      <c r="B22" s="65"/>
      <c r="C22" s="608" t="s">
        <v>428</v>
      </c>
      <c r="D22" s="420" t="s">
        <v>416</v>
      </c>
      <c r="E22" s="610" t="s">
        <v>429</v>
      </c>
      <c r="F22" s="610" t="s">
        <v>417</v>
      </c>
      <c r="G22" s="420" t="s">
        <v>418</v>
      </c>
      <c r="H22" s="420" t="s">
        <v>419</v>
      </c>
      <c r="I22" s="612" t="s">
        <v>420</v>
      </c>
      <c r="J22" s="612"/>
      <c r="K22" s="420" t="s">
        <v>421</v>
      </c>
      <c r="L22" s="613" t="s">
        <v>278</v>
      </c>
    </row>
    <row r="23" spans="2:20" ht="16.5" customHeight="1" thickBot="1">
      <c r="B23" s="65"/>
      <c r="C23" s="609"/>
      <c r="D23" s="421" t="s">
        <v>422</v>
      </c>
      <c r="E23" s="611"/>
      <c r="F23" s="611"/>
      <c r="G23" s="421" t="s">
        <v>423</v>
      </c>
      <c r="H23" s="421" t="s">
        <v>424</v>
      </c>
      <c r="I23" s="421" t="s">
        <v>17</v>
      </c>
      <c r="J23" s="421" t="s">
        <v>18</v>
      </c>
      <c r="K23" s="421" t="s">
        <v>424</v>
      </c>
      <c r="L23" s="614"/>
      <c r="N23" s="422" t="s">
        <v>425</v>
      </c>
      <c r="O23" s="422" t="s">
        <v>287</v>
      </c>
      <c r="P23" s="422" t="s">
        <v>425</v>
      </c>
      <c r="Q23" s="422" t="s">
        <v>287</v>
      </c>
      <c r="R23" s="423" t="s">
        <v>295</v>
      </c>
      <c r="S23" s="386" t="s">
        <v>296</v>
      </c>
    </row>
    <row r="24" spans="2:20" ht="23.25" customHeight="1">
      <c r="B24" s="65"/>
      <c r="C24" s="424" t="s">
        <v>430</v>
      </c>
      <c r="D24" s="425">
        <v>250</v>
      </c>
      <c r="E24" s="426">
        <v>1000</v>
      </c>
      <c r="F24" s="449">
        <v>100</v>
      </c>
      <c r="G24" s="426">
        <f>E24-F24</f>
        <v>900</v>
      </c>
      <c r="H24" s="427">
        <f>S24*$G$9/$G$11*G24*10^3</f>
        <v>1075.9773073442318</v>
      </c>
      <c r="I24" s="428" t="str">
        <f>CONCATENATE("F",FIXED(N24,0,0),$O$23,FIXED(O24,0,0))</f>
        <v>F16a200</v>
      </c>
      <c r="J24" s="435" t="str">
        <f t="shared" ref="J24" si="0">IF(Q24&lt;&gt;"",CONCATENATE("F",FIXED(P24,0,0),$Q$23,FIXED(Q24,0,0)),"")</f>
        <v>F14a200</v>
      </c>
      <c r="K24" s="434">
        <f t="shared" ref="K24" si="1">1000/O24*PI()*N24^2/4+IF(Q24&gt;0,1000/Q24*PI()*P24^2/4)</f>
        <v>1774.9998492782331</v>
      </c>
      <c r="L24" s="429" t="str">
        <f>IF(K24&gt;=H24,"OK","False")</f>
        <v>OK</v>
      </c>
      <c r="N24" s="447">
        <v>16</v>
      </c>
      <c r="O24" s="447">
        <v>200</v>
      </c>
      <c r="P24" s="447">
        <v>14</v>
      </c>
      <c r="Q24" s="447">
        <v>200</v>
      </c>
      <c r="R24" s="386">
        <f>ABS(D24)/$G$9/G24^2*10^3</f>
        <v>1.4029180695847363E-2</v>
      </c>
      <c r="S24" s="386">
        <f>1-SQRT(1-2*R24)</f>
        <v>1.4128994944924256E-2</v>
      </c>
      <c r="T24" s="386" t="str">
        <f>IF(E24=E27,"ok")</f>
        <v>ok</v>
      </c>
    </row>
    <row r="25" spans="2:20" ht="16.5" customHeight="1">
      <c r="B25" s="65"/>
      <c r="C25" s="430" t="s">
        <v>433</v>
      </c>
      <c r="D25" s="431">
        <v>200</v>
      </c>
      <c r="E25" s="432">
        <v>1000</v>
      </c>
      <c r="F25" s="450">
        <v>115</v>
      </c>
      <c r="G25" s="433">
        <f>E25-F25</f>
        <v>885</v>
      </c>
      <c r="H25" s="434">
        <f>S25*$G$9/$G$11*G25*10^3</f>
        <v>874.29106085042315</v>
      </c>
      <c r="I25" s="435" t="str">
        <f>CONCATENATE("F",FIXED(N25,0,0),$O$23,FIXED(O25,0,0))</f>
        <v>F16a200</v>
      </c>
      <c r="J25" s="435" t="str">
        <f t="shared" ref="J25" si="2">IF(Q25&lt;&gt;"",CONCATENATE("F",FIXED(P25,0,0),$Q$23,FIXED(Q25,0,0)),"")</f>
        <v/>
      </c>
      <c r="K25" s="434">
        <f t="shared" ref="K25" si="3">1000/O25*PI()*N25^2/4+IF(Q25&gt;0,1000/Q25*PI()*P25^2/4)</f>
        <v>1005.3096491487338</v>
      </c>
      <c r="L25" s="436" t="str">
        <f>IF(K25&gt;=H25,"OK","False")</f>
        <v>OK</v>
      </c>
      <c r="N25" s="447">
        <v>16</v>
      </c>
      <c r="O25" s="447">
        <v>200</v>
      </c>
      <c r="P25" s="447"/>
      <c r="Q25" s="447"/>
      <c r="R25" s="386">
        <f t="shared" ref="R25" si="4">ABS(D25)/$G$9/G25^2*10^3</f>
        <v>1.1607021087055561E-2</v>
      </c>
      <c r="S25" s="386">
        <f>1-SQRT(1-2*R25)</f>
        <v>1.1675175953832051E-2</v>
      </c>
      <c r="T25" s="386" t="str">
        <f>IF(E25=E28,"ok")</f>
        <v>ok</v>
      </c>
    </row>
    <row r="26" spans="2:20" ht="16.5" customHeight="1" thickBot="1">
      <c r="B26" s="437"/>
      <c r="C26" s="597" t="s">
        <v>426</v>
      </c>
      <c r="D26" s="598"/>
      <c r="E26" s="598"/>
      <c r="F26" s="598"/>
      <c r="G26" s="598"/>
      <c r="H26" s="598"/>
      <c r="I26" s="598"/>
      <c r="J26" s="598"/>
      <c r="K26" s="598"/>
      <c r="L26" s="599"/>
      <c r="N26" s="448"/>
      <c r="O26" s="448"/>
      <c r="P26" s="448"/>
      <c r="Q26" s="448"/>
    </row>
    <row r="27" spans="2:20" ht="16.5" customHeight="1">
      <c r="B27" s="65"/>
      <c r="C27" s="424" t="s">
        <v>432</v>
      </c>
      <c r="D27" s="425">
        <v>-150</v>
      </c>
      <c r="E27" s="426">
        <v>1000</v>
      </c>
      <c r="F27" s="449">
        <v>60</v>
      </c>
      <c r="G27" s="426">
        <f>E27-F27</f>
        <v>940</v>
      </c>
      <c r="H27" s="427">
        <f>S27*$G$9/$G$11*G27*10^3</f>
        <v>616.13435653759325</v>
      </c>
      <c r="I27" s="428" t="str">
        <f>CONCATENATE("F",FIXED(N27,0,0),$O$23,FIXED(O27,0,0))</f>
        <v>F14a200</v>
      </c>
      <c r="J27" s="428" t="str">
        <f t="shared" ref="J27:J28" si="5">IF(Q27&lt;&gt;"",CONCATENATE("F",FIXED(P27,0,0),$Q$23,FIXED(Q27,0,0)),"")</f>
        <v/>
      </c>
      <c r="K27" s="427">
        <f>1000/O27*PI()*N27^2/4+IF(Q27&gt;0,1000/Q27*PI()*P27^2/4)</f>
        <v>769.69020012949932</v>
      </c>
      <c r="L27" s="429" t="str">
        <f>IF(K27&gt;=H27,"OK","False")</f>
        <v>OK</v>
      </c>
      <c r="N27" s="447">
        <v>14</v>
      </c>
      <c r="O27" s="447">
        <v>200</v>
      </c>
      <c r="P27" s="447"/>
      <c r="Q27" s="447"/>
      <c r="R27" s="386">
        <f>ABS(D27)/$G$9/G27^2*10^3</f>
        <v>7.7163669286801923E-3</v>
      </c>
      <c r="S27" s="386">
        <f>1-SQRT(1-2*R27)</f>
        <v>7.7463700531805735E-3</v>
      </c>
    </row>
    <row r="28" spans="2:20" ht="16.5" customHeight="1" thickBot="1">
      <c r="B28" s="65"/>
      <c r="C28" s="438" t="s">
        <v>431</v>
      </c>
      <c r="D28" s="439">
        <v>-140</v>
      </c>
      <c r="E28" s="440">
        <v>1000</v>
      </c>
      <c r="F28" s="451">
        <v>75</v>
      </c>
      <c r="G28" s="440">
        <f>E28-F28</f>
        <v>925</v>
      </c>
      <c r="H28" s="441">
        <f>S28*$G$9/$G$11*G28*10^3</f>
        <v>584.30156895363712</v>
      </c>
      <c r="I28" s="442" t="str">
        <f>CONCATENATE("F",FIXED(N28,0,0),$O$23,FIXED(O28,0,0))</f>
        <v>F14a200</v>
      </c>
      <c r="J28" s="442" t="str">
        <f t="shared" si="5"/>
        <v/>
      </c>
      <c r="K28" s="443">
        <f t="shared" ref="K28" si="6">1000/O28*PI()*N28^2/4+IF(Q28&gt;0,1000/Q28*PI()*P28^2/4)</f>
        <v>769.69020012949932</v>
      </c>
      <c r="L28" s="444" t="str">
        <f>IF(K28&gt;=H28,"OK","False")</f>
        <v>OK</v>
      </c>
      <c r="N28" s="447">
        <v>14</v>
      </c>
      <c r="O28" s="447">
        <v>200</v>
      </c>
      <c r="P28" s="447"/>
      <c r="Q28" s="447"/>
      <c r="R28" s="386">
        <f t="shared" ref="R28" si="7">ABS(D28)/$G$9/G28^2*10^3</f>
        <v>7.4374128428182484E-3</v>
      </c>
      <c r="S28" s="386">
        <f>1-SQRT(1-2*R28)</f>
        <v>7.4652780308572808E-3</v>
      </c>
    </row>
    <row r="29" spans="2:20">
      <c r="B29" s="437"/>
      <c r="C29" s="396"/>
      <c r="D29" s="65"/>
      <c r="E29" s="65"/>
      <c r="F29" s="65"/>
      <c r="G29" s="65"/>
      <c r="H29" s="65"/>
      <c r="I29" s="65"/>
      <c r="J29" s="65"/>
      <c r="K29" s="65"/>
      <c r="L29" s="65"/>
    </row>
  </sheetData>
  <autoFilter ref="C21:L28" xr:uid="{00000000-0009-0000-0000-000001000000}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</autoFilter>
  <dataConsolidate>
    <dataRefs count="1">
      <dataRef ref="L11:L13" sheet="DAI DON 4-5 C0C" r:id="rId1"/>
    </dataRefs>
  </dataConsolidate>
  <mergeCells count="11">
    <mergeCell ref="C26:L26"/>
    <mergeCell ref="D1:K1"/>
    <mergeCell ref="C9:D9"/>
    <mergeCell ref="C11:D11"/>
    <mergeCell ref="C20:L20"/>
    <mergeCell ref="C21:L21"/>
    <mergeCell ref="C22:C23"/>
    <mergeCell ref="E22:E23"/>
    <mergeCell ref="F22:F23"/>
    <mergeCell ref="I22:J22"/>
    <mergeCell ref="L22:L23"/>
  </mergeCells>
  <pageMargins left="0.35" right="0.28000000000000003" top="0.71" bottom="0.9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Equation.DSMT4" shapeId="18435" r:id="rId5">
          <objectPr defaultSize="0" autoPict="0" r:id="rId6">
            <anchor moveWithCells="1" sizeWithCells="1">
              <from>
                <xdr:col>3</xdr:col>
                <xdr:colOff>457200</xdr:colOff>
                <xdr:row>14</xdr:row>
                <xdr:rowOff>28575</xdr:rowOff>
              </from>
              <to>
                <xdr:col>4</xdr:col>
                <xdr:colOff>561975</xdr:colOff>
                <xdr:row>16</xdr:row>
                <xdr:rowOff>123825</xdr:rowOff>
              </to>
            </anchor>
          </objectPr>
        </oleObject>
      </mc:Choice>
      <mc:Fallback>
        <oleObject progId="Equation.DSMT4" shapeId="18435" r:id="rId5"/>
      </mc:Fallback>
    </mc:AlternateContent>
    <mc:AlternateContent xmlns:mc="http://schemas.openxmlformats.org/markup-compatibility/2006">
      <mc:Choice Requires="x14">
        <oleObject progId="Equation.DSMT4" shapeId="18436" r:id="rId7">
          <objectPr defaultSize="0" autoPict="0" r:id="rId8">
            <anchor moveWithCells="1" sizeWithCells="1">
              <from>
                <xdr:col>5</xdr:col>
                <xdr:colOff>180975</xdr:colOff>
                <xdr:row>14</xdr:row>
                <xdr:rowOff>19050</xdr:rowOff>
              </from>
              <to>
                <xdr:col>7</xdr:col>
                <xdr:colOff>466725</xdr:colOff>
                <xdr:row>16</xdr:row>
                <xdr:rowOff>38100</xdr:rowOff>
              </to>
            </anchor>
          </objectPr>
        </oleObject>
      </mc:Choice>
      <mc:Fallback>
        <oleObject progId="Equation.DSMT4" shapeId="18436" r:id="rId7"/>
      </mc:Fallback>
    </mc:AlternateContent>
    <mc:AlternateContent xmlns:mc="http://schemas.openxmlformats.org/markup-compatibility/2006">
      <mc:Choice Requires="x14">
        <oleObject progId="Equation.DSMT4" shapeId="18437" r:id="rId9">
          <objectPr defaultSize="0" autoPict="0" r:id="rId10">
            <anchor moveWithCells="1" sizeWithCells="1">
              <from>
                <xdr:col>3</xdr:col>
                <xdr:colOff>485775</xdr:colOff>
                <xdr:row>16</xdr:row>
                <xdr:rowOff>104775</xdr:rowOff>
              </from>
              <to>
                <xdr:col>4</xdr:col>
                <xdr:colOff>723900</xdr:colOff>
                <xdr:row>18</xdr:row>
                <xdr:rowOff>200025</xdr:rowOff>
              </to>
            </anchor>
          </objectPr>
        </oleObject>
      </mc:Choice>
      <mc:Fallback>
        <oleObject progId="Equation.DSMT4" shapeId="18437" r:id="rId9"/>
      </mc:Fallback>
    </mc:AlternateContent>
  </oleObjec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0752A29-42F8-4252-B4E8-CCBEF1374715}">
          <x14:formula1>
            <xm:f>Data!$D$2:$S$2</xm:f>
          </x14:formula1>
          <xm:sqref>E9</xm:sqref>
        </x14:dataValidation>
        <x14:dataValidation type="list" allowBlank="1" showInputMessage="1" showErrorMessage="1" xr:uid="{DD10C268-EB0F-4CAE-B1B3-B4C3EFDD7C26}">
          <x14:formula1>
            <xm:f>Data!$D$17:$N$17</xm:f>
          </x14:formula1>
          <xm:sqref>E11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42C90-18D2-4CB9-AFDF-38D0FE0122D9}">
  <sheetPr codeName="Sheet11"/>
  <dimension ref="A1:P889"/>
  <sheetViews>
    <sheetView zoomScale="85" zoomScaleNormal="85" workbookViewId="0">
      <selection activeCell="K18" sqref="K18"/>
    </sheetView>
  </sheetViews>
  <sheetFormatPr defaultRowHeight="15"/>
  <cols>
    <col min="1" max="1" width="14.85546875" customWidth="1"/>
    <col min="2" max="2" width="5.42578125" customWidth="1"/>
    <col min="3" max="3" width="13.7109375" customWidth="1"/>
    <col min="4" max="4" width="5.140625" customWidth="1"/>
    <col min="5" max="5" width="8.85546875" customWidth="1"/>
    <col min="6" max="6" width="6.28515625" customWidth="1"/>
    <col min="11" max="11" width="14.85546875" customWidth="1"/>
    <col min="12" max="12" width="5.42578125" customWidth="1"/>
    <col min="13" max="13" width="13.7109375" customWidth="1"/>
    <col min="14" max="14" width="5.140625" customWidth="1"/>
    <col min="15" max="15" width="8.85546875" customWidth="1"/>
    <col min="16" max="16" width="6.28515625" customWidth="1"/>
  </cols>
  <sheetData>
    <row r="1" spans="1:16" ht="18.75">
      <c r="A1" s="616" t="s">
        <v>382</v>
      </c>
      <c r="B1" s="616"/>
      <c r="C1" s="616"/>
      <c r="D1" s="616"/>
      <c r="E1" s="616"/>
      <c r="F1" s="616"/>
      <c r="K1" s="380"/>
      <c r="L1" s="380"/>
      <c r="M1" s="380"/>
      <c r="N1" s="380"/>
      <c r="O1" s="380"/>
      <c r="P1" s="380"/>
    </row>
    <row r="2" spans="1:16" ht="18.75">
      <c r="A2" s="616" t="s">
        <v>381</v>
      </c>
      <c r="B2" s="616"/>
      <c r="C2" s="616"/>
      <c r="D2" s="616"/>
      <c r="E2" s="616"/>
      <c r="F2" s="616"/>
      <c r="K2" s="380"/>
      <c r="L2" s="380"/>
      <c r="M2" s="380"/>
      <c r="N2" s="380"/>
      <c r="O2" s="380"/>
      <c r="P2" s="380"/>
    </row>
    <row r="3" spans="1:16" ht="18.75" customHeight="1">
      <c r="A3" s="616" t="s">
        <v>380</v>
      </c>
      <c r="B3" s="616"/>
      <c r="C3" s="616"/>
      <c r="D3" s="616"/>
      <c r="E3" s="616"/>
      <c r="F3" s="616"/>
      <c r="K3" s="380"/>
      <c r="L3" s="380"/>
      <c r="M3" s="380"/>
      <c r="N3" s="380"/>
      <c r="O3" s="380"/>
      <c r="P3" s="380"/>
    </row>
    <row r="4" spans="1:16" ht="18.75" customHeight="1">
      <c r="A4" s="622" t="s">
        <v>379</v>
      </c>
      <c r="B4" s="623"/>
      <c r="C4" s="623"/>
      <c r="D4" s="623"/>
      <c r="E4" s="623"/>
      <c r="F4" s="624"/>
      <c r="K4" s="380"/>
      <c r="L4" s="380"/>
      <c r="M4" s="380"/>
      <c r="N4" s="380"/>
      <c r="O4" s="380"/>
      <c r="P4" s="380"/>
    </row>
    <row r="5" spans="1:16" ht="18.75" customHeight="1">
      <c r="A5" s="622" t="s">
        <v>383</v>
      </c>
      <c r="B5" s="623"/>
      <c r="C5" s="623"/>
      <c r="D5" s="623"/>
      <c r="E5" s="623"/>
      <c r="F5" s="624"/>
      <c r="K5" s="380"/>
      <c r="L5" s="380"/>
      <c r="M5" s="380"/>
      <c r="N5" s="380"/>
      <c r="O5" s="380"/>
      <c r="P5" s="380"/>
    </row>
    <row r="6" spans="1:16" ht="18.75" customHeight="1">
      <c r="A6" s="625"/>
      <c r="B6" s="626"/>
      <c r="C6" s="626"/>
      <c r="D6" s="615"/>
      <c r="E6" s="615"/>
      <c r="F6" s="379"/>
      <c r="K6" s="377"/>
      <c r="L6" s="377"/>
      <c r="M6" s="377"/>
      <c r="N6" s="378"/>
      <c r="O6" s="378"/>
      <c r="P6" s="381"/>
    </row>
    <row r="7" spans="1:16" ht="18.75" customHeight="1">
      <c r="A7" s="625"/>
      <c r="B7" s="626"/>
      <c r="C7" s="626"/>
      <c r="D7" s="615"/>
      <c r="E7" s="615"/>
      <c r="F7" s="379"/>
      <c r="K7" s="377"/>
      <c r="L7" s="377"/>
      <c r="M7" s="377"/>
      <c r="N7" s="378"/>
      <c r="O7" s="378"/>
      <c r="P7" s="381"/>
    </row>
    <row r="8" spans="1:16" ht="18.75" customHeight="1">
      <c r="A8" s="625"/>
      <c r="B8" s="626"/>
      <c r="C8" s="626"/>
      <c r="D8" s="615"/>
      <c r="E8" s="615"/>
      <c r="F8" s="349"/>
      <c r="K8" s="377"/>
      <c r="L8" s="377"/>
      <c r="M8" s="377"/>
      <c r="N8" s="378"/>
      <c r="O8" s="378"/>
      <c r="P8" s="378"/>
    </row>
    <row r="9" spans="1:16" ht="18.75" customHeight="1">
      <c r="A9" s="625"/>
      <c r="B9" s="626"/>
      <c r="C9" s="626"/>
      <c r="D9" s="615"/>
      <c r="E9" s="615"/>
      <c r="F9" s="349" t="s">
        <v>377</v>
      </c>
      <c r="K9" s="377"/>
      <c r="L9" s="377"/>
      <c r="M9" s="377"/>
      <c r="N9" s="378"/>
      <c r="O9" s="378"/>
      <c r="P9" s="378"/>
    </row>
    <row r="10" spans="1:16" ht="18.75" customHeight="1">
      <c r="A10" s="625"/>
      <c r="B10" s="626"/>
      <c r="C10" s="626"/>
      <c r="D10" s="615"/>
      <c r="E10" s="615"/>
      <c r="F10" s="349"/>
      <c r="K10" s="377"/>
      <c r="L10" s="377"/>
      <c r="M10" s="377"/>
      <c r="N10" s="378"/>
      <c r="O10" s="378"/>
      <c r="P10" s="378"/>
    </row>
    <row r="11" spans="1:16" ht="18.75" customHeight="1">
      <c r="A11" s="625"/>
      <c r="B11" s="626"/>
      <c r="C11" s="626"/>
      <c r="D11" s="615"/>
      <c r="E11" s="615"/>
      <c r="F11" s="349" t="s">
        <v>35</v>
      </c>
      <c r="K11" s="377"/>
      <c r="L11" s="377"/>
      <c r="M11" s="377"/>
      <c r="N11" s="378"/>
      <c r="O11" s="378"/>
      <c r="P11" s="378"/>
    </row>
    <row r="12" spans="1:16" ht="18.75" customHeight="1">
      <c r="A12" s="625"/>
      <c r="B12" s="626"/>
      <c r="C12" s="626"/>
      <c r="D12" s="615"/>
      <c r="E12" s="615"/>
      <c r="F12" s="349" t="s">
        <v>378</v>
      </c>
      <c r="K12" s="377"/>
      <c r="L12" s="377"/>
      <c r="M12" s="377"/>
      <c r="N12" s="378"/>
      <c r="O12" s="378"/>
      <c r="P12" s="378"/>
    </row>
    <row r="13" spans="1:16" ht="76.5" customHeight="1">
      <c r="A13" s="618"/>
      <c r="B13" s="619"/>
      <c r="C13" s="619"/>
      <c r="D13" s="619"/>
      <c r="E13" s="620"/>
      <c r="F13" s="621"/>
      <c r="K13" s="382"/>
      <c r="L13" s="382"/>
      <c r="M13" s="382"/>
      <c r="N13" s="382"/>
      <c r="O13" s="383"/>
      <c r="P13" s="383"/>
    </row>
    <row r="14" spans="1:16" ht="18.75">
      <c r="A14" s="616"/>
      <c r="B14" s="616"/>
      <c r="C14" s="616"/>
      <c r="D14" s="616"/>
      <c r="E14" s="616"/>
      <c r="F14" s="616"/>
      <c r="K14" s="380"/>
      <c r="L14" s="380"/>
      <c r="M14" s="380"/>
      <c r="N14" s="380"/>
      <c r="O14" s="380"/>
      <c r="P14" s="380"/>
    </row>
    <row r="15" spans="1:16" ht="18.75">
      <c r="A15" s="617"/>
      <c r="B15" s="617"/>
      <c r="C15" s="617"/>
      <c r="D15" s="617"/>
      <c r="E15" s="617"/>
      <c r="F15" s="617"/>
      <c r="K15" s="380"/>
      <c r="L15" s="380"/>
      <c r="M15" s="380"/>
      <c r="N15" s="380"/>
      <c r="O15" s="380"/>
      <c r="P15" s="380"/>
    </row>
    <row r="16" spans="1:16" ht="18.75" customHeight="1">
      <c r="A16" s="617"/>
      <c r="B16" s="617"/>
      <c r="C16" s="617"/>
      <c r="D16" s="617"/>
      <c r="E16" s="617"/>
      <c r="F16" s="617"/>
      <c r="K16" s="380"/>
      <c r="L16" s="380"/>
      <c r="M16" s="380"/>
      <c r="N16" s="380"/>
      <c r="O16" s="380"/>
      <c r="P16" s="380"/>
    </row>
    <row r="17" spans="1:16" ht="18.75" customHeight="1">
      <c r="A17" s="617"/>
      <c r="B17" s="617"/>
      <c r="C17" s="617"/>
      <c r="D17" s="617"/>
      <c r="E17" s="617"/>
      <c r="F17" s="617"/>
      <c r="K17" s="380"/>
      <c r="L17" s="380"/>
      <c r="M17" s="380"/>
      <c r="N17" s="380"/>
      <c r="O17" s="380"/>
      <c r="P17" s="380"/>
    </row>
    <row r="18" spans="1:16" ht="18.75" customHeight="1">
      <c r="A18" s="617"/>
      <c r="B18" s="617"/>
      <c r="C18" s="617"/>
      <c r="D18" s="617"/>
      <c r="E18" s="617"/>
      <c r="F18" s="617"/>
      <c r="K18" s="380"/>
      <c r="L18" s="380"/>
      <c r="M18" s="380"/>
      <c r="N18" s="380"/>
      <c r="O18" s="380"/>
      <c r="P18" s="380"/>
    </row>
    <row r="19" spans="1:16" ht="18.75" customHeight="1">
      <c r="A19" s="626"/>
      <c r="B19" s="626"/>
      <c r="C19" s="626"/>
      <c r="D19" s="615"/>
      <c r="E19" s="615"/>
      <c r="F19" s="381"/>
      <c r="K19" s="377"/>
      <c r="L19" s="377"/>
      <c r="M19" s="377"/>
      <c r="N19" s="378"/>
      <c r="O19" s="378"/>
      <c r="P19" s="381"/>
    </row>
    <row r="20" spans="1:16" ht="18.75" customHeight="1">
      <c r="A20" s="626"/>
      <c r="B20" s="626"/>
      <c r="C20" s="626"/>
      <c r="D20" s="615"/>
      <c r="E20" s="615"/>
      <c r="F20" s="381"/>
      <c r="K20" s="377"/>
      <c r="L20" s="377"/>
      <c r="M20" s="377"/>
      <c r="N20" s="378"/>
      <c r="O20" s="378"/>
      <c r="P20" s="381"/>
    </row>
    <row r="21" spans="1:16" ht="18.75" customHeight="1">
      <c r="A21" s="626"/>
      <c r="B21" s="626"/>
      <c r="C21" s="626"/>
      <c r="D21" s="615"/>
      <c r="E21" s="615"/>
      <c r="F21" s="378"/>
      <c r="K21" s="377"/>
      <c r="L21" s="377"/>
      <c r="M21" s="377"/>
      <c r="N21" s="378"/>
      <c r="O21" s="378"/>
      <c r="P21" s="378"/>
    </row>
    <row r="22" spans="1:16" ht="18.75" customHeight="1">
      <c r="A22" s="626"/>
      <c r="B22" s="626"/>
      <c r="C22" s="626"/>
      <c r="D22" s="615"/>
      <c r="E22" s="615"/>
      <c r="F22" s="378"/>
      <c r="K22" s="377"/>
      <c r="L22" s="377"/>
      <c r="M22" s="377"/>
      <c r="N22" s="378"/>
      <c r="O22" s="378"/>
      <c r="P22" s="378"/>
    </row>
    <row r="23" spans="1:16" ht="18.75" customHeight="1">
      <c r="A23" s="626"/>
      <c r="B23" s="626"/>
      <c r="C23" s="626"/>
      <c r="D23" s="615"/>
      <c r="E23" s="615"/>
      <c r="F23" s="378"/>
      <c r="K23" s="377"/>
      <c r="L23" s="377"/>
      <c r="M23" s="377"/>
      <c r="N23" s="378"/>
      <c r="O23" s="378"/>
      <c r="P23" s="378"/>
    </row>
    <row r="24" spans="1:16" ht="18.75" customHeight="1">
      <c r="A24" s="626"/>
      <c r="B24" s="626"/>
      <c r="C24" s="626"/>
      <c r="D24" s="615"/>
      <c r="E24" s="615"/>
      <c r="F24" s="378"/>
      <c r="K24" s="377"/>
      <c r="L24" s="377"/>
      <c r="M24" s="377"/>
      <c r="N24" s="378"/>
      <c r="O24" s="378"/>
      <c r="P24" s="378"/>
    </row>
    <row r="25" spans="1:16" ht="18.75" customHeight="1">
      <c r="A25" s="626"/>
      <c r="B25" s="626"/>
      <c r="C25" s="626"/>
      <c r="D25" s="615"/>
      <c r="E25" s="615"/>
      <c r="F25" s="378"/>
      <c r="K25" s="377"/>
      <c r="L25" s="377"/>
      <c r="M25" s="377"/>
      <c r="N25" s="378"/>
      <c r="O25" s="378"/>
      <c r="P25" s="378"/>
    </row>
    <row r="26" spans="1:16" ht="76.5" customHeight="1">
      <c r="A26" s="627"/>
      <c r="B26" s="627"/>
      <c r="C26" s="627"/>
      <c r="D26" s="627"/>
      <c r="E26" s="628"/>
      <c r="F26" s="628"/>
      <c r="K26" s="382"/>
      <c r="L26" s="382"/>
      <c r="M26" s="382"/>
      <c r="N26" s="382"/>
      <c r="O26" s="383"/>
      <c r="P26" s="383"/>
    </row>
    <row r="27" spans="1:16" ht="18.75">
      <c r="A27" s="617"/>
      <c r="B27" s="617"/>
      <c r="C27" s="617"/>
      <c r="D27" s="617"/>
      <c r="E27" s="617"/>
      <c r="F27" s="617"/>
      <c r="K27" s="380"/>
      <c r="L27" s="380"/>
      <c r="M27" s="380"/>
      <c r="N27" s="380"/>
      <c r="O27" s="380"/>
      <c r="P27" s="380"/>
    </row>
    <row r="28" spans="1:16" ht="18.75">
      <c r="A28" s="617"/>
      <c r="B28" s="617"/>
      <c r="C28" s="617"/>
      <c r="D28" s="617"/>
      <c r="E28" s="617"/>
      <c r="F28" s="617"/>
      <c r="K28" s="380"/>
      <c r="L28" s="380"/>
      <c r="M28" s="380"/>
      <c r="N28" s="380"/>
      <c r="O28" s="380"/>
      <c r="P28" s="380"/>
    </row>
    <row r="29" spans="1:16" ht="18.75" customHeight="1">
      <c r="A29" s="617"/>
      <c r="B29" s="617"/>
      <c r="C29" s="617"/>
      <c r="D29" s="617"/>
      <c r="E29" s="617"/>
      <c r="F29" s="617"/>
      <c r="K29" s="380"/>
      <c r="L29" s="380"/>
      <c r="M29" s="380"/>
      <c r="N29" s="380"/>
      <c r="O29" s="380"/>
      <c r="P29" s="380"/>
    </row>
    <row r="30" spans="1:16" ht="18.75" customHeight="1">
      <c r="A30" s="617"/>
      <c r="B30" s="617"/>
      <c r="C30" s="617"/>
      <c r="D30" s="617"/>
      <c r="E30" s="617"/>
      <c r="F30" s="617"/>
      <c r="K30" s="380"/>
      <c r="L30" s="380"/>
      <c r="M30" s="380"/>
      <c r="N30" s="380"/>
      <c r="O30" s="380"/>
      <c r="P30" s="380"/>
    </row>
    <row r="31" spans="1:16" ht="18.75" customHeight="1">
      <c r="A31" s="617"/>
      <c r="B31" s="617"/>
      <c r="C31" s="617"/>
      <c r="D31" s="617"/>
      <c r="E31" s="617"/>
      <c r="F31" s="617"/>
      <c r="K31" s="380"/>
      <c r="L31" s="380"/>
      <c r="M31" s="380"/>
      <c r="N31" s="380"/>
      <c r="O31" s="380"/>
      <c r="P31" s="380"/>
    </row>
    <row r="32" spans="1:16" ht="18.75" customHeight="1">
      <c r="A32" s="626"/>
      <c r="B32" s="626"/>
      <c r="C32" s="626"/>
      <c r="D32" s="615"/>
      <c r="E32" s="615"/>
      <c r="F32" s="381"/>
      <c r="K32" s="377"/>
      <c r="L32" s="377"/>
      <c r="M32" s="377"/>
      <c r="N32" s="378"/>
      <c r="O32" s="378"/>
      <c r="P32" s="381"/>
    </row>
    <row r="33" spans="1:16" ht="18.75" customHeight="1">
      <c r="A33" s="626"/>
      <c r="B33" s="626"/>
      <c r="C33" s="626"/>
      <c r="D33" s="615"/>
      <c r="E33" s="615"/>
      <c r="F33" s="381"/>
      <c r="K33" s="377"/>
      <c r="L33" s="377"/>
      <c r="M33" s="377"/>
      <c r="N33" s="378"/>
      <c r="O33" s="378"/>
      <c r="P33" s="381"/>
    </row>
    <row r="34" spans="1:16" ht="18.75" customHeight="1">
      <c r="A34" s="626"/>
      <c r="B34" s="626"/>
      <c r="C34" s="626"/>
      <c r="D34" s="615"/>
      <c r="E34" s="615"/>
      <c r="F34" s="378"/>
      <c r="K34" s="377"/>
      <c r="L34" s="377"/>
      <c r="M34" s="377"/>
      <c r="N34" s="378"/>
      <c r="O34" s="378"/>
      <c r="P34" s="378"/>
    </row>
    <row r="35" spans="1:16" ht="18.75" customHeight="1">
      <c r="A35" s="626"/>
      <c r="B35" s="626"/>
      <c r="C35" s="626"/>
      <c r="D35" s="615"/>
      <c r="E35" s="615"/>
      <c r="F35" s="378"/>
      <c r="K35" s="377"/>
      <c r="L35" s="377"/>
      <c r="M35" s="377"/>
      <c r="N35" s="378"/>
      <c r="O35" s="378"/>
      <c r="P35" s="378"/>
    </row>
    <row r="36" spans="1:16" ht="18.75" customHeight="1">
      <c r="A36" s="626"/>
      <c r="B36" s="626"/>
      <c r="C36" s="626"/>
      <c r="D36" s="615"/>
      <c r="E36" s="615"/>
      <c r="F36" s="378"/>
      <c r="K36" s="377"/>
      <c r="L36" s="377"/>
      <c r="M36" s="377"/>
      <c r="N36" s="378"/>
      <c r="O36" s="378"/>
      <c r="P36" s="378"/>
    </row>
    <row r="37" spans="1:16" ht="18.75" customHeight="1">
      <c r="A37" s="626"/>
      <c r="B37" s="626"/>
      <c r="C37" s="626"/>
      <c r="D37" s="615"/>
      <c r="E37" s="615"/>
      <c r="F37" s="378"/>
      <c r="K37" s="377"/>
      <c r="L37" s="377"/>
      <c r="M37" s="377"/>
      <c r="N37" s="378"/>
      <c r="O37" s="378"/>
      <c r="P37" s="378"/>
    </row>
    <row r="38" spans="1:16" ht="18.75" customHeight="1">
      <c r="A38" s="626"/>
      <c r="B38" s="626"/>
      <c r="C38" s="626"/>
      <c r="D38" s="615"/>
      <c r="E38" s="615"/>
      <c r="F38" s="378"/>
      <c r="K38" s="377"/>
      <c r="L38" s="377"/>
      <c r="M38" s="377"/>
      <c r="N38" s="378"/>
      <c r="O38" s="378"/>
      <c r="P38" s="378"/>
    </row>
    <row r="39" spans="1:16" ht="76.5" customHeight="1">
      <c r="A39" s="627"/>
      <c r="B39" s="627"/>
      <c r="C39" s="627"/>
      <c r="D39" s="627"/>
      <c r="E39" s="628"/>
      <c r="F39" s="628"/>
      <c r="K39" s="382"/>
      <c r="L39" s="382"/>
      <c r="M39" s="382"/>
      <c r="N39" s="382"/>
      <c r="O39" s="383"/>
      <c r="P39" s="383"/>
    </row>
    <row r="40" spans="1:16" ht="18.75">
      <c r="A40" s="617"/>
      <c r="B40" s="617"/>
      <c r="C40" s="617"/>
      <c r="D40" s="617"/>
      <c r="E40" s="617"/>
      <c r="F40" s="617"/>
      <c r="K40" s="380"/>
      <c r="L40" s="380"/>
      <c r="M40" s="380"/>
      <c r="N40" s="380"/>
      <c r="O40" s="380"/>
      <c r="P40" s="380"/>
    </row>
    <row r="41" spans="1:16" ht="18.75">
      <c r="A41" s="617"/>
      <c r="B41" s="617"/>
      <c r="C41" s="617"/>
      <c r="D41" s="617"/>
      <c r="E41" s="617"/>
      <c r="F41" s="617"/>
      <c r="K41" s="380"/>
      <c r="L41" s="380"/>
      <c r="M41" s="380"/>
      <c r="N41" s="380"/>
      <c r="O41" s="380"/>
      <c r="P41" s="380"/>
    </row>
    <row r="42" spans="1:16" ht="18.75" customHeight="1">
      <c r="A42" s="617"/>
      <c r="B42" s="617"/>
      <c r="C42" s="617"/>
      <c r="D42" s="617"/>
      <c r="E42" s="617"/>
      <c r="F42" s="617"/>
      <c r="K42" s="380"/>
      <c r="L42" s="380"/>
      <c r="M42" s="380"/>
      <c r="N42" s="380"/>
      <c r="O42" s="380"/>
      <c r="P42" s="380"/>
    </row>
    <row r="43" spans="1:16" ht="18.75" customHeight="1">
      <c r="A43" s="617"/>
      <c r="B43" s="617"/>
      <c r="C43" s="617"/>
      <c r="D43" s="617"/>
      <c r="E43" s="617"/>
      <c r="F43" s="617"/>
      <c r="K43" s="380"/>
      <c r="L43" s="380"/>
      <c r="M43" s="380"/>
      <c r="N43" s="380"/>
      <c r="O43" s="380"/>
      <c r="P43" s="380"/>
    </row>
    <row r="44" spans="1:16" ht="18.75" customHeight="1">
      <c r="A44" s="617"/>
      <c r="B44" s="617"/>
      <c r="C44" s="617"/>
      <c r="D44" s="617"/>
      <c r="E44" s="617"/>
      <c r="F44" s="617"/>
      <c r="K44" s="380"/>
      <c r="L44" s="380"/>
      <c r="M44" s="380"/>
      <c r="N44" s="380"/>
      <c r="O44" s="380"/>
      <c r="P44" s="380"/>
    </row>
    <row r="45" spans="1:16" ht="18.75" customHeight="1">
      <c r="A45" s="626"/>
      <c r="B45" s="626"/>
      <c r="C45" s="626"/>
      <c r="D45" s="615"/>
      <c r="E45" s="615"/>
      <c r="F45" s="381"/>
      <c r="K45" s="377"/>
      <c r="L45" s="377"/>
      <c r="M45" s="377"/>
      <c r="N45" s="378"/>
      <c r="O45" s="378"/>
      <c r="P45" s="381"/>
    </row>
    <row r="46" spans="1:16" ht="18.75" customHeight="1">
      <c r="A46" s="626"/>
      <c r="B46" s="626"/>
      <c r="C46" s="626"/>
      <c r="D46" s="615"/>
      <c r="E46" s="615"/>
      <c r="F46" s="381"/>
      <c r="K46" s="377"/>
      <c r="L46" s="377"/>
      <c r="M46" s="377"/>
      <c r="N46" s="378"/>
      <c r="O46" s="378"/>
      <c r="P46" s="381"/>
    </row>
    <row r="47" spans="1:16" ht="18.75" customHeight="1">
      <c r="A47" s="626"/>
      <c r="B47" s="626"/>
      <c r="C47" s="626"/>
      <c r="D47" s="615"/>
      <c r="E47" s="615"/>
      <c r="F47" s="378"/>
      <c r="K47" s="377"/>
      <c r="L47" s="377"/>
      <c r="M47" s="377"/>
      <c r="N47" s="378"/>
      <c r="O47" s="378"/>
      <c r="P47" s="378"/>
    </row>
    <row r="48" spans="1:16" ht="18.75" customHeight="1">
      <c r="A48" s="626"/>
      <c r="B48" s="626"/>
      <c r="C48" s="626"/>
      <c r="D48" s="615"/>
      <c r="E48" s="615"/>
      <c r="F48" s="378"/>
      <c r="K48" s="377"/>
      <c r="L48" s="377"/>
      <c r="M48" s="377"/>
      <c r="N48" s="378"/>
      <c r="O48" s="378"/>
      <c r="P48" s="378"/>
    </row>
    <row r="49" spans="1:16" ht="18.75" customHeight="1">
      <c r="A49" s="626"/>
      <c r="B49" s="626"/>
      <c r="C49" s="626"/>
      <c r="D49" s="615"/>
      <c r="E49" s="615"/>
      <c r="F49" s="378"/>
      <c r="K49" s="377"/>
      <c r="L49" s="377"/>
      <c r="M49" s="377"/>
      <c r="N49" s="378"/>
      <c r="O49" s="378"/>
      <c r="P49" s="378"/>
    </row>
    <row r="50" spans="1:16" ht="18.75" customHeight="1">
      <c r="A50" s="626"/>
      <c r="B50" s="626"/>
      <c r="C50" s="626"/>
      <c r="D50" s="615"/>
      <c r="E50" s="615"/>
      <c r="F50" s="378"/>
      <c r="K50" s="377"/>
      <c r="L50" s="377"/>
      <c r="M50" s="377"/>
      <c r="N50" s="378"/>
      <c r="O50" s="378"/>
      <c r="P50" s="378"/>
    </row>
    <row r="51" spans="1:16" ht="18.75" customHeight="1">
      <c r="A51" s="626"/>
      <c r="B51" s="626"/>
      <c r="C51" s="626"/>
      <c r="D51" s="615"/>
      <c r="E51" s="615"/>
      <c r="F51" s="378"/>
      <c r="K51" s="377"/>
      <c r="L51" s="377"/>
      <c r="M51" s="377"/>
      <c r="N51" s="378"/>
      <c r="O51" s="378"/>
      <c r="P51" s="378"/>
    </row>
    <row r="52" spans="1:16" ht="76.5" customHeight="1">
      <c r="A52" s="627"/>
      <c r="B52" s="627"/>
      <c r="C52" s="627"/>
      <c r="D52" s="627"/>
      <c r="E52" s="628"/>
      <c r="F52" s="628"/>
      <c r="K52" s="382"/>
      <c r="L52" s="382"/>
      <c r="M52" s="382"/>
      <c r="N52" s="382"/>
      <c r="O52" s="383"/>
      <c r="P52" s="383"/>
    </row>
    <row r="53" spans="1:16" ht="18.75">
      <c r="A53" s="617"/>
      <c r="B53" s="617"/>
      <c r="C53" s="617"/>
      <c r="D53" s="617"/>
      <c r="E53" s="617"/>
      <c r="F53" s="617"/>
      <c r="K53" s="380"/>
      <c r="L53" s="380"/>
      <c r="M53" s="380"/>
      <c r="N53" s="380"/>
      <c r="O53" s="380"/>
      <c r="P53" s="380"/>
    </row>
    <row r="54" spans="1:16" ht="18.75">
      <c r="A54" s="617"/>
      <c r="B54" s="617"/>
      <c r="C54" s="617"/>
      <c r="D54" s="617"/>
      <c r="E54" s="617"/>
      <c r="F54" s="617"/>
      <c r="K54" s="380"/>
      <c r="L54" s="380"/>
      <c r="M54" s="380"/>
      <c r="N54" s="380"/>
      <c r="O54" s="380"/>
      <c r="P54" s="380"/>
    </row>
    <row r="55" spans="1:16" ht="18.75" customHeight="1">
      <c r="A55" s="617"/>
      <c r="B55" s="617"/>
      <c r="C55" s="617"/>
      <c r="D55" s="617"/>
      <c r="E55" s="617"/>
      <c r="F55" s="617"/>
      <c r="K55" s="380"/>
      <c r="L55" s="380"/>
      <c r="M55" s="380"/>
      <c r="N55" s="380"/>
      <c r="O55" s="380"/>
      <c r="P55" s="380"/>
    </row>
    <row r="56" spans="1:16" ht="18.75" customHeight="1">
      <c r="A56" s="617"/>
      <c r="B56" s="617"/>
      <c r="C56" s="617"/>
      <c r="D56" s="617"/>
      <c r="E56" s="617"/>
      <c r="F56" s="617"/>
      <c r="K56" s="380"/>
      <c r="L56" s="380"/>
      <c r="M56" s="380"/>
      <c r="N56" s="380"/>
      <c r="O56" s="380"/>
      <c r="P56" s="380"/>
    </row>
    <row r="57" spans="1:16" ht="18.75" customHeight="1">
      <c r="A57" s="617"/>
      <c r="B57" s="617"/>
      <c r="C57" s="617"/>
      <c r="D57" s="617"/>
      <c r="E57" s="617"/>
      <c r="F57" s="617"/>
      <c r="K57" s="380"/>
      <c r="L57" s="380"/>
      <c r="M57" s="380"/>
      <c r="N57" s="380"/>
      <c r="O57" s="380"/>
      <c r="P57" s="380"/>
    </row>
    <row r="58" spans="1:16" ht="18.75" customHeight="1">
      <c r="A58" s="626"/>
      <c r="B58" s="626"/>
      <c r="C58" s="626"/>
      <c r="D58" s="615"/>
      <c r="E58" s="615"/>
      <c r="F58" s="381"/>
      <c r="K58" s="377"/>
      <c r="L58" s="377"/>
      <c r="M58" s="377"/>
      <c r="N58" s="378"/>
      <c r="O58" s="378"/>
      <c r="P58" s="381"/>
    </row>
    <row r="59" spans="1:16" ht="18.75" customHeight="1">
      <c r="A59" s="626"/>
      <c r="B59" s="626"/>
      <c r="C59" s="626"/>
      <c r="D59" s="615"/>
      <c r="E59" s="615"/>
      <c r="F59" s="381"/>
      <c r="K59" s="377"/>
      <c r="L59" s="377"/>
      <c r="M59" s="377"/>
      <c r="N59" s="378"/>
      <c r="O59" s="378"/>
      <c r="P59" s="381"/>
    </row>
    <row r="60" spans="1:16" ht="18.75" customHeight="1">
      <c r="A60" s="626"/>
      <c r="B60" s="626"/>
      <c r="C60" s="626"/>
      <c r="D60" s="615"/>
      <c r="E60" s="615"/>
      <c r="F60" s="378"/>
      <c r="K60" s="377"/>
      <c r="L60" s="377"/>
      <c r="M60" s="377"/>
      <c r="N60" s="378"/>
      <c r="O60" s="378"/>
      <c r="P60" s="378"/>
    </row>
    <row r="61" spans="1:16" ht="18.75" customHeight="1">
      <c r="A61" s="626"/>
      <c r="B61" s="626"/>
      <c r="C61" s="626"/>
      <c r="D61" s="615"/>
      <c r="E61" s="615"/>
      <c r="F61" s="378"/>
      <c r="K61" s="377"/>
      <c r="L61" s="377"/>
      <c r="M61" s="377"/>
      <c r="N61" s="378"/>
      <c r="O61" s="378"/>
      <c r="P61" s="378"/>
    </row>
    <row r="62" spans="1:16" ht="18.75" customHeight="1">
      <c r="A62" s="626"/>
      <c r="B62" s="626"/>
      <c r="C62" s="626"/>
      <c r="D62" s="615"/>
      <c r="E62" s="615"/>
      <c r="F62" s="378"/>
      <c r="K62" s="377"/>
      <c r="L62" s="377"/>
      <c r="M62" s="377"/>
      <c r="N62" s="378"/>
      <c r="O62" s="378"/>
      <c r="P62" s="378"/>
    </row>
    <row r="63" spans="1:16" ht="18.75" customHeight="1">
      <c r="A63" s="626"/>
      <c r="B63" s="626"/>
      <c r="C63" s="626"/>
      <c r="D63" s="615"/>
      <c r="E63" s="615"/>
      <c r="F63" s="378"/>
      <c r="K63" s="377"/>
      <c r="L63" s="377"/>
      <c r="M63" s="377"/>
      <c r="N63" s="378"/>
      <c r="O63" s="378"/>
      <c r="P63" s="378"/>
    </row>
    <row r="64" spans="1:16" ht="18.75" customHeight="1">
      <c r="A64" s="626"/>
      <c r="B64" s="626"/>
      <c r="C64" s="626"/>
      <c r="D64" s="615"/>
      <c r="E64" s="615"/>
      <c r="F64" s="378"/>
      <c r="K64" s="377"/>
      <c r="L64" s="377"/>
      <c r="M64" s="377"/>
      <c r="N64" s="378"/>
      <c r="O64" s="378"/>
      <c r="P64" s="378"/>
    </row>
    <row r="65" spans="1:16" ht="76.5" customHeight="1">
      <c r="A65" s="627"/>
      <c r="B65" s="627"/>
      <c r="C65" s="627"/>
      <c r="D65" s="627"/>
      <c r="E65" s="628"/>
      <c r="F65" s="628"/>
      <c r="K65" s="382"/>
      <c r="L65" s="382"/>
      <c r="M65" s="382"/>
      <c r="N65" s="382"/>
      <c r="O65" s="383"/>
      <c r="P65" s="383"/>
    </row>
    <row r="66" spans="1:16" ht="18.75">
      <c r="A66" s="617"/>
      <c r="B66" s="617"/>
      <c r="C66" s="617"/>
      <c r="D66" s="617"/>
      <c r="E66" s="617"/>
      <c r="F66" s="617"/>
      <c r="K66" s="380"/>
      <c r="L66" s="380"/>
      <c r="M66" s="380"/>
      <c r="N66" s="380"/>
      <c r="O66" s="380"/>
      <c r="P66" s="380"/>
    </row>
    <row r="67" spans="1:16" ht="18.75">
      <c r="A67" s="617"/>
      <c r="B67" s="617"/>
      <c r="C67" s="617"/>
      <c r="D67" s="617"/>
      <c r="E67" s="617"/>
      <c r="F67" s="617"/>
      <c r="K67" s="380"/>
      <c r="L67" s="380"/>
      <c r="M67" s="380"/>
      <c r="N67" s="380"/>
      <c r="O67" s="380"/>
      <c r="P67" s="380"/>
    </row>
    <row r="68" spans="1:16" ht="18.75" customHeight="1">
      <c r="A68" s="617"/>
      <c r="B68" s="617"/>
      <c r="C68" s="617"/>
      <c r="D68" s="617"/>
      <c r="E68" s="617"/>
      <c r="F68" s="617"/>
      <c r="K68" s="380"/>
      <c r="L68" s="380"/>
      <c r="M68" s="380"/>
      <c r="N68" s="380"/>
      <c r="O68" s="380"/>
      <c r="P68" s="380"/>
    </row>
    <row r="69" spans="1:16" ht="18.75" customHeight="1">
      <c r="A69" s="617"/>
      <c r="B69" s="617"/>
      <c r="C69" s="617"/>
      <c r="D69" s="617"/>
      <c r="E69" s="617"/>
      <c r="F69" s="617"/>
      <c r="K69" s="380"/>
      <c r="L69" s="380"/>
      <c r="M69" s="380"/>
      <c r="N69" s="380"/>
      <c r="O69" s="380"/>
      <c r="P69" s="380"/>
    </row>
    <row r="70" spans="1:16" ht="18.75" customHeight="1">
      <c r="A70" s="617"/>
      <c r="B70" s="617"/>
      <c r="C70" s="617"/>
      <c r="D70" s="617"/>
      <c r="E70" s="617"/>
      <c r="F70" s="617"/>
      <c r="K70" s="380"/>
      <c r="L70" s="380"/>
      <c r="M70" s="380"/>
      <c r="N70" s="380"/>
      <c r="O70" s="380"/>
      <c r="P70" s="380"/>
    </row>
    <row r="71" spans="1:16" ht="18.75" customHeight="1">
      <c r="A71" s="626"/>
      <c r="B71" s="626"/>
      <c r="C71" s="626"/>
      <c r="D71" s="615"/>
      <c r="E71" s="615"/>
      <c r="F71" s="381"/>
      <c r="K71" s="377"/>
      <c r="L71" s="377"/>
      <c r="M71" s="377"/>
      <c r="N71" s="378"/>
      <c r="O71" s="378"/>
      <c r="P71" s="381"/>
    </row>
    <row r="72" spans="1:16" ht="18.75" customHeight="1">
      <c r="A72" s="626"/>
      <c r="B72" s="626"/>
      <c r="C72" s="626"/>
      <c r="D72" s="615"/>
      <c r="E72" s="615"/>
      <c r="F72" s="381"/>
      <c r="K72" s="377"/>
      <c r="L72" s="377"/>
      <c r="M72" s="377"/>
      <c r="N72" s="378"/>
      <c r="O72" s="378"/>
      <c r="P72" s="381"/>
    </row>
    <row r="73" spans="1:16" ht="18.75" customHeight="1">
      <c r="A73" s="626"/>
      <c r="B73" s="626"/>
      <c r="C73" s="626"/>
      <c r="D73" s="615"/>
      <c r="E73" s="615"/>
      <c r="F73" s="378"/>
      <c r="K73" s="377"/>
      <c r="L73" s="377"/>
      <c r="M73" s="377"/>
      <c r="N73" s="378"/>
      <c r="O73" s="378"/>
      <c r="P73" s="378"/>
    </row>
    <row r="74" spans="1:16" ht="18.75" customHeight="1">
      <c r="A74" s="626"/>
      <c r="B74" s="626"/>
      <c r="C74" s="626"/>
      <c r="D74" s="615"/>
      <c r="E74" s="615"/>
      <c r="F74" s="378"/>
      <c r="K74" s="377"/>
      <c r="L74" s="377"/>
      <c r="M74" s="377"/>
      <c r="N74" s="378"/>
      <c r="O74" s="378"/>
      <c r="P74" s="378"/>
    </row>
    <row r="75" spans="1:16" ht="18.75" customHeight="1">
      <c r="A75" s="626"/>
      <c r="B75" s="626"/>
      <c r="C75" s="626"/>
      <c r="D75" s="615"/>
      <c r="E75" s="615"/>
      <c r="F75" s="378"/>
      <c r="K75" s="377"/>
      <c r="L75" s="377"/>
      <c r="M75" s="377"/>
      <c r="N75" s="378"/>
      <c r="O75" s="378"/>
      <c r="P75" s="378"/>
    </row>
    <row r="76" spans="1:16" ht="18.75" customHeight="1">
      <c r="A76" s="626"/>
      <c r="B76" s="626"/>
      <c r="C76" s="626"/>
      <c r="D76" s="615"/>
      <c r="E76" s="615"/>
      <c r="F76" s="378"/>
      <c r="K76" s="377"/>
      <c r="L76" s="377"/>
      <c r="M76" s="377"/>
      <c r="N76" s="378"/>
      <c r="O76" s="378"/>
      <c r="P76" s="378"/>
    </row>
    <row r="77" spans="1:16" ht="18.75" customHeight="1">
      <c r="A77" s="626"/>
      <c r="B77" s="626"/>
      <c r="C77" s="626"/>
      <c r="D77" s="615"/>
      <c r="E77" s="615"/>
      <c r="F77" s="378"/>
      <c r="K77" s="377"/>
      <c r="L77" s="377"/>
      <c r="M77" s="377"/>
      <c r="N77" s="378"/>
      <c r="O77" s="378"/>
      <c r="P77" s="378"/>
    </row>
    <row r="78" spans="1:16" ht="76.5" customHeight="1">
      <c r="A78" s="627"/>
      <c r="B78" s="627"/>
      <c r="C78" s="627"/>
      <c r="D78" s="627"/>
      <c r="E78" s="628"/>
      <c r="F78" s="628"/>
      <c r="K78" s="382"/>
      <c r="L78" s="382"/>
      <c r="M78" s="382"/>
      <c r="N78" s="382"/>
      <c r="O78" s="383"/>
      <c r="P78" s="383"/>
    </row>
    <row r="79" spans="1:16" ht="18.75">
      <c r="A79" s="617"/>
      <c r="B79" s="617"/>
      <c r="C79" s="617"/>
      <c r="D79" s="617"/>
      <c r="E79" s="617"/>
      <c r="F79" s="617"/>
      <c r="K79" s="380"/>
      <c r="L79" s="380"/>
      <c r="M79" s="380"/>
      <c r="N79" s="380"/>
      <c r="O79" s="380"/>
      <c r="P79" s="380"/>
    </row>
    <row r="80" spans="1:16" ht="18.75">
      <c r="A80" s="617"/>
      <c r="B80" s="617"/>
      <c r="C80" s="617"/>
      <c r="D80" s="617"/>
      <c r="E80" s="617"/>
      <c r="F80" s="617"/>
      <c r="K80" s="380"/>
      <c r="L80" s="380"/>
      <c r="M80" s="380"/>
      <c r="N80" s="380"/>
      <c r="O80" s="380"/>
      <c r="P80" s="380"/>
    </row>
    <row r="81" spans="1:16" ht="18.75" customHeight="1">
      <c r="A81" s="617"/>
      <c r="B81" s="617"/>
      <c r="C81" s="617"/>
      <c r="D81" s="617"/>
      <c r="E81" s="617"/>
      <c r="F81" s="617"/>
      <c r="K81" s="380"/>
      <c r="L81" s="380"/>
      <c r="M81" s="380"/>
      <c r="N81" s="380"/>
      <c r="O81" s="380"/>
      <c r="P81" s="380"/>
    </row>
    <row r="82" spans="1:16" ht="18.75" customHeight="1">
      <c r="A82" s="617"/>
      <c r="B82" s="617"/>
      <c r="C82" s="617"/>
      <c r="D82" s="617"/>
      <c r="E82" s="617"/>
      <c r="F82" s="617"/>
      <c r="K82" s="380"/>
      <c r="L82" s="380"/>
      <c r="M82" s="380"/>
      <c r="N82" s="380"/>
      <c r="O82" s="380"/>
      <c r="P82" s="380"/>
    </row>
    <row r="83" spans="1:16" ht="18.75" customHeight="1">
      <c r="A83" s="617"/>
      <c r="B83" s="617"/>
      <c r="C83" s="617"/>
      <c r="D83" s="617"/>
      <c r="E83" s="617"/>
      <c r="F83" s="617"/>
      <c r="K83" s="380"/>
      <c r="L83" s="380"/>
      <c r="M83" s="380"/>
      <c r="N83" s="380"/>
      <c r="O83" s="380"/>
      <c r="P83" s="380"/>
    </row>
    <row r="84" spans="1:16" ht="18.75" customHeight="1">
      <c r="A84" s="626"/>
      <c r="B84" s="626"/>
      <c r="C84" s="626"/>
      <c r="D84" s="615"/>
      <c r="E84" s="615"/>
      <c r="F84" s="381"/>
      <c r="K84" s="377"/>
      <c r="L84" s="377"/>
      <c r="M84" s="377"/>
      <c r="N84" s="378"/>
      <c r="O84" s="378"/>
      <c r="P84" s="381"/>
    </row>
    <row r="85" spans="1:16" ht="18.75" customHeight="1">
      <c r="A85" s="626"/>
      <c r="B85" s="626"/>
      <c r="C85" s="626"/>
      <c r="D85" s="615"/>
      <c r="E85" s="615"/>
      <c r="F85" s="381"/>
      <c r="K85" s="377"/>
      <c r="L85" s="377"/>
      <c r="M85" s="377"/>
      <c r="N85" s="378"/>
      <c r="O85" s="378"/>
      <c r="P85" s="381"/>
    </row>
    <row r="86" spans="1:16" ht="18.75" customHeight="1">
      <c r="A86" s="626"/>
      <c r="B86" s="626"/>
      <c r="C86" s="626"/>
      <c r="D86" s="615"/>
      <c r="E86" s="615"/>
      <c r="F86" s="378"/>
      <c r="K86" s="377"/>
      <c r="L86" s="377"/>
      <c r="M86" s="377"/>
      <c r="N86" s="378"/>
      <c r="O86" s="378"/>
      <c r="P86" s="378"/>
    </row>
    <row r="87" spans="1:16" ht="18.75" customHeight="1">
      <c r="A87" s="626"/>
      <c r="B87" s="626"/>
      <c r="C87" s="626"/>
      <c r="D87" s="615"/>
      <c r="E87" s="615"/>
      <c r="F87" s="378"/>
      <c r="K87" s="377"/>
      <c r="L87" s="377"/>
      <c r="M87" s="377"/>
      <c r="N87" s="378"/>
      <c r="O87" s="378"/>
      <c r="P87" s="378"/>
    </row>
    <row r="88" spans="1:16" ht="18.75" customHeight="1">
      <c r="A88" s="626"/>
      <c r="B88" s="626"/>
      <c r="C88" s="626"/>
      <c r="D88" s="615"/>
      <c r="E88" s="615"/>
      <c r="F88" s="378"/>
      <c r="K88" s="377"/>
      <c r="L88" s="377"/>
      <c r="M88" s="377"/>
      <c r="N88" s="378"/>
      <c r="O88" s="378"/>
      <c r="P88" s="378"/>
    </row>
    <row r="89" spans="1:16" ht="18.75" customHeight="1">
      <c r="A89" s="626"/>
      <c r="B89" s="626"/>
      <c r="C89" s="626"/>
      <c r="D89" s="615"/>
      <c r="E89" s="615"/>
      <c r="F89" s="378"/>
      <c r="K89" s="377"/>
      <c r="L89" s="377"/>
      <c r="M89" s="377"/>
      <c r="N89" s="378"/>
      <c r="O89" s="378"/>
      <c r="P89" s="378"/>
    </row>
    <row r="90" spans="1:16" ht="18.75" customHeight="1">
      <c r="A90" s="626"/>
      <c r="B90" s="626"/>
      <c r="C90" s="626"/>
      <c r="D90" s="615"/>
      <c r="E90" s="615"/>
      <c r="F90" s="378"/>
      <c r="K90" s="377"/>
      <c r="L90" s="377"/>
      <c r="M90" s="377"/>
      <c r="N90" s="378"/>
      <c r="O90" s="378"/>
      <c r="P90" s="378"/>
    </row>
    <row r="91" spans="1:16" ht="76.5" customHeight="1">
      <c r="A91" s="627"/>
      <c r="B91" s="627"/>
      <c r="C91" s="627"/>
      <c r="D91" s="627"/>
      <c r="E91" s="628"/>
      <c r="F91" s="628"/>
      <c r="K91" s="382"/>
      <c r="L91" s="382"/>
      <c r="M91" s="382"/>
      <c r="N91" s="382"/>
      <c r="O91" s="383"/>
      <c r="P91" s="383"/>
    </row>
    <row r="92" spans="1:16" ht="18.75">
      <c r="A92" s="617"/>
      <c r="B92" s="617"/>
      <c r="C92" s="617"/>
      <c r="D92" s="617"/>
      <c r="E92" s="617"/>
      <c r="F92" s="617"/>
      <c r="K92" s="380"/>
      <c r="L92" s="380"/>
      <c r="M92" s="380"/>
      <c r="N92" s="380"/>
      <c r="O92" s="380"/>
      <c r="P92" s="380"/>
    </row>
    <row r="93" spans="1:16" ht="18.75">
      <c r="A93" s="617"/>
      <c r="B93" s="617"/>
      <c r="C93" s="617"/>
      <c r="D93" s="617"/>
      <c r="E93" s="617"/>
      <c r="F93" s="617"/>
      <c r="K93" s="380"/>
      <c r="L93" s="380"/>
      <c r="M93" s="380"/>
      <c r="N93" s="380"/>
      <c r="O93" s="380"/>
      <c r="P93" s="380"/>
    </row>
    <row r="94" spans="1:16" ht="18.75" customHeight="1">
      <c r="A94" s="617"/>
      <c r="B94" s="617"/>
      <c r="C94" s="617"/>
      <c r="D94" s="617"/>
      <c r="E94" s="617"/>
      <c r="F94" s="617"/>
      <c r="K94" s="380"/>
      <c r="L94" s="380"/>
      <c r="M94" s="380"/>
      <c r="N94" s="380"/>
      <c r="O94" s="380"/>
      <c r="P94" s="380"/>
    </row>
    <row r="95" spans="1:16" ht="18.75" customHeight="1">
      <c r="A95" s="617"/>
      <c r="B95" s="617"/>
      <c r="C95" s="617"/>
      <c r="D95" s="617"/>
      <c r="E95" s="617"/>
      <c r="F95" s="617"/>
      <c r="K95" s="380"/>
      <c r="L95" s="380"/>
      <c r="M95" s="380"/>
      <c r="N95" s="380"/>
      <c r="O95" s="380"/>
      <c r="P95" s="380"/>
    </row>
    <row r="96" spans="1:16" ht="18.75" customHeight="1">
      <c r="A96" s="617"/>
      <c r="B96" s="617"/>
      <c r="C96" s="617"/>
      <c r="D96" s="617"/>
      <c r="E96" s="617"/>
      <c r="F96" s="617"/>
      <c r="K96" s="380"/>
      <c r="L96" s="380"/>
      <c r="M96" s="380"/>
      <c r="N96" s="380"/>
      <c r="O96" s="380"/>
      <c r="P96" s="380"/>
    </row>
    <row r="97" spans="1:16" ht="18.75" customHeight="1">
      <c r="A97" s="626"/>
      <c r="B97" s="626"/>
      <c r="C97" s="626"/>
      <c r="D97" s="615"/>
      <c r="E97" s="615"/>
      <c r="F97" s="381"/>
      <c r="K97" s="377"/>
      <c r="L97" s="377"/>
      <c r="M97" s="377"/>
      <c r="N97" s="378"/>
      <c r="O97" s="378"/>
      <c r="P97" s="381"/>
    </row>
    <row r="98" spans="1:16" ht="18.75" customHeight="1">
      <c r="A98" s="626"/>
      <c r="B98" s="626"/>
      <c r="C98" s="626"/>
      <c r="D98" s="615"/>
      <c r="E98" s="615"/>
      <c r="F98" s="381"/>
      <c r="K98" s="377"/>
      <c r="L98" s="377"/>
      <c r="M98" s="377"/>
      <c r="N98" s="378"/>
      <c r="O98" s="378"/>
      <c r="P98" s="381"/>
    </row>
    <row r="99" spans="1:16" ht="18.75" customHeight="1">
      <c r="A99" s="626"/>
      <c r="B99" s="626"/>
      <c r="C99" s="626"/>
      <c r="D99" s="615"/>
      <c r="E99" s="615"/>
      <c r="F99" s="378"/>
      <c r="K99" s="377"/>
      <c r="L99" s="377"/>
      <c r="M99" s="377"/>
      <c r="N99" s="378"/>
      <c r="O99" s="378"/>
      <c r="P99" s="378"/>
    </row>
    <row r="100" spans="1:16" ht="18.75" customHeight="1">
      <c r="A100" s="626"/>
      <c r="B100" s="626"/>
      <c r="C100" s="626"/>
      <c r="D100" s="615"/>
      <c r="E100" s="615"/>
      <c r="F100" s="378"/>
      <c r="K100" s="377"/>
      <c r="L100" s="377"/>
      <c r="M100" s="377"/>
      <c r="N100" s="378"/>
      <c r="O100" s="378"/>
      <c r="P100" s="378"/>
    </row>
    <row r="101" spans="1:16" ht="18.75" customHeight="1">
      <c r="A101" s="626"/>
      <c r="B101" s="626"/>
      <c r="C101" s="626"/>
      <c r="D101" s="615"/>
      <c r="E101" s="615"/>
      <c r="F101" s="378"/>
      <c r="K101" s="377"/>
      <c r="L101" s="377"/>
      <c r="M101" s="377"/>
      <c r="N101" s="378"/>
      <c r="O101" s="378"/>
      <c r="P101" s="378"/>
    </row>
    <row r="102" spans="1:16" ht="18.75" customHeight="1">
      <c r="A102" s="626"/>
      <c r="B102" s="626"/>
      <c r="C102" s="626"/>
      <c r="D102" s="615"/>
      <c r="E102" s="615"/>
      <c r="F102" s="378"/>
      <c r="K102" s="377"/>
      <c r="L102" s="377"/>
      <c r="M102" s="377"/>
      <c r="N102" s="378"/>
      <c r="O102" s="378"/>
      <c r="P102" s="378"/>
    </row>
    <row r="103" spans="1:16" ht="18.75" customHeight="1">
      <c r="A103" s="626"/>
      <c r="B103" s="626"/>
      <c r="C103" s="626"/>
      <c r="D103" s="615"/>
      <c r="E103" s="615"/>
      <c r="F103" s="378"/>
      <c r="K103" s="377"/>
      <c r="L103" s="377"/>
      <c r="M103" s="377"/>
      <c r="N103" s="378"/>
      <c r="O103" s="378"/>
      <c r="P103" s="378"/>
    </row>
    <row r="104" spans="1:16" ht="76.5" customHeight="1">
      <c r="A104" s="627"/>
      <c r="B104" s="627"/>
      <c r="C104" s="627"/>
      <c r="D104" s="627"/>
      <c r="E104" s="628"/>
      <c r="F104" s="628"/>
      <c r="K104" s="382"/>
      <c r="L104" s="382"/>
      <c r="M104" s="382"/>
      <c r="N104" s="382"/>
      <c r="O104" s="383"/>
      <c r="P104" s="383"/>
    </row>
    <row r="105" spans="1:16" ht="18.75">
      <c r="A105" s="617"/>
      <c r="B105" s="617"/>
      <c r="C105" s="617"/>
      <c r="D105" s="617"/>
      <c r="E105" s="617"/>
      <c r="F105" s="617"/>
      <c r="K105" s="380"/>
      <c r="L105" s="380"/>
      <c r="M105" s="380"/>
      <c r="N105" s="380"/>
      <c r="O105" s="380"/>
      <c r="P105" s="380"/>
    </row>
    <row r="106" spans="1:16" ht="18.75">
      <c r="A106" s="617"/>
      <c r="B106" s="617"/>
      <c r="C106" s="617"/>
      <c r="D106" s="617"/>
      <c r="E106" s="617"/>
      <c r="F106" s="617"/>
      <c r="K106" s="380"/>
      <c r="L106" s="380"/>
      <c r="M106" s="380"/>
      <c r="N106" s="380"/>
      <c r="O106" s="380"/>
      <c r="P106" s="380"/>
    </row>
    <row r="107" spans="1:16" ht="18.75" customHeight="1">
      <c r="A107" s="617"/>
      <c r="B107" s="617"/>
      <c r="C107" s="617"/>
      <c r="D107" s="617"/>
      <c r="E107" s="617"/>
      <c r="F107" s="617"/>
      <c r="K107" s="380"/>
      <c r="L107" s="380"/>
      <c r="M107" s="380"/>
      <c r="N107" s="380"/>
      <c r="O107" s="380"/>
      <c r="P107" s="380"/>
    </row>
    <row r="108" spans="1:16" ht="18.75" customHeight="1">
      <c r="A108" s="617"/>
      <c r="B108" s="617"/>
      <c r="C108" s="617"/>
      <c r="D108" s="617"/>
      <c r="E108" s="617"/>
      <c r="F108" s="617"/>
      <c r="K108" s="380"/>
      <c r="L108" s="380"/>
      <c r="M108" s="380"/>
      <c r="N108" s="380"/>
      <c r="O108" s="380"/>
      <c r="P108" s="380"/>
    </row>
    <row r="109" spans="1:16" ht="18.75" customHeight="1">
      <c r="A109" s="617"/>
      <c r="B109" s="617"/>
      <c r="C109" s="617"/>
      <c r="D109" s="617"/>
      <c r="E109" s="617"/>
      <c r="F109" s="617"/>
      <c r="K109" s="380"/>
      <c r="L109" s="380"/>
      <c r="M109" s="380"/>
      <c r="N109" s="380"/>
      <c r="O109" s="380"/>
      <c r="P109" s="380"/>
    </row>
    <row r="110" spans="1:16" ht="18.75" customHeight="1">
      <c r="A110" s="626"/>
      <c r="B110" s="626"/>
      <c r="C110" s="626"/>
      <c r="D110" s="615"/>
      <c r="E110" s="615"/>
      <c r="F110" s="381"/>
      <c r="K110" s="377"/>
      <c r="L110" s="377"/>
      <c r="M110" s="377"/>
      <c r="N110" s="378"/>
      <c r="O110" s="378"/>
      <c r="P110" s="381"/>
    </row>
    <row r="111" spans="1:16" ht="18.75" customHeight="1">
      <c r="A111" s="626"/>
      <c r="B111" s="626"/>
      <c r="C111" s="626"/>
      <c r="D111" s="615"/>
      <c r="E111" s="615"/>
      <c r="F111" s="381"/>
      <c r="K111" s="377"/>
      <c r="L111" s="377"/>
      <c r="M111" s="377"/>
      <c r="N111" s="378"/>
      <c r="O111" s="378"/>
      <c r="P111" s="381"/>
    </row>
    <row r="112" spans="1:16" ht="18.75" customHeight="1">
      <c r="A112" s="626"/>
      <c r="B112" s="626"/>
      <c r="C112" s="626"/>
      <c r="D112" s="615"/>
      <c r="E112" s="615"/>
      <c r="F112" s="378"/>
      <c r="K112" s="377"/>
      <c r="L112" s="377"/>
      <c r="M112" s="377"/>
      <c r="N112" s="378"/>
      <c r="O112" s="378"/>
      <c r="P112" s="378"/>
    </row>
    <row r="113" spans="1:16" ht="18.75" customHeight="1">
      <c r="A113" s="626"/>
      <c r="B113" s="626"/>
      <c r="C113" s="626"/>
      <c r="D113" s="615"/>
      <c r="E113" s="615"/>
      <c r="F113" s="378"/>
      <c r="K113" s="377"/>
      <c r="L113" s="377"/>
      <c r="M113" s="377"/>
      <c r="N113" s="378"/>
      <c r="O113" s="378"/>
      <c r="P113" s="378"/>
    </row>
    <row r="114" spans="1:16" ht="18.75" customHeight="1">
      <c r="A114" s="626"/>
      <c r="B114" s="626"/>
      <c r="C114" s="626"/>
      <c r="D114" s="615"/>
      <c r="E114" s="615"/>
      <c r="F114" s="378"/>
      <c r="K114" s="377"/>
      <c r="L114" s="377"/>
      <c r="M114" s="377"/>
      <c r="N114" s="378"/>
      <c r="O114" s="378"/>
      <c r="P114" s="378"/>
    </row>
    <row r="115" spans="1:16" ht="18.75" customHeight="1">
      <c r="A115" s="626"/>
      <c r="B115" s="626"/>
      <c r="C115" s="626"/>
      <c r="D115" s="615"/>
      <c r="E115" s="615"/>
      <c r="F115" s="378"/>
      <c r="K115" s="377"/>
      <c r="L115" s="377"/>
      <c r="M115" s="377"/>
      <c r="N115" s="378"/>
      <c r="O115" s="378"/>
      <c r="P115" s="378"/>
    </row>
    <row r="116" spans="1:16" ht="18.75" customHeight="1">
      <c r="A116" s="626"/>
      <c r="B116" s="626"/>
      <c r="C116" s="626"/>
      <c r="D116" s="615"/>
      <c r="E116" s="615"/>
      <c r="F116" s="378"/>
      <c r="K116" s="377"/>
      <c r="L116" s="377"/>
      <c r="M116" s="377"/>
      <c r="N116" s="378"/>
      <c r="O116" s="378"/>
      <c r="P116" s="378"/>
    </row>
    <row r="117" spans="1:16" ht="76.5" customHeight="1">
      <c r="A117" s="627"/>
      <c r="B117" s="627"/>
      <c r="C117" s="627"/>
      <c r="D117" s="627"/>
      <c r="E117" s="628"/>
      <c r="F117" s="628"/>
      <c r="K117" s="382"/>
      <c r="L117" s="382"/>
      <c r="M117" s="382"/>
      <c r="N117" s="382"/>
      <c r="O117" s="383"/>
      <c r="P117" s="383"/>
    </row>
    <row r="118" spans="1:16" ht="18.75">
      <c r="A118" s="617"/>
      <c r="B118" s="617"/>
      <c r="C118" s="617"/>
      <c r="D118" s="617"/>
      <c r="E118" s="617"/>
      <c r="F118" s="617"/>
      <c r="K118" s="380"/>
      <c r="L118" s="380"/>
      <c r="M118" s="380"/>
      <c r="N118" s="380"/>
      <c r="O118" s="380"/>
      <c r="P118" s="380"/>
    </row>
    <row r="119" spans="1:16" ht="18.75">
      <c r="A119" s="617"/>
      <c r="B119" s="617"/>
      <c r="C119" s="617"/>
      <c r="D119" s="617"/>
      <c r="E119" s="617"/>
      <c r="F119" s="617"/>
      <c r="K119" s="380"/>
      <c r="L119" s="380"/>
      <c r="M119" s="380"/>
      <c r="N119" s="380"/>
      <c r="O119" s="380"/>
      <c r="P119" s="380"/>
    </row>
    <row r="120" spans="1:16" ht="18.75" customHeight="1">
      <c r="A120" s="617"/>
      <c r="B120" s="617"/>
      <c r="C120" s="617"/>
      <c r="D120" s="617"/>
      <c r="E120" s="617"/>
      <c r="F120" s="617"/>
      <c r="K120" s="380"/>
      <c r="L120" s="380"/>
      <c r="M120" s="380"/>
      <c r="N120" s="380"/>
      <c r="O120" s="380"/>
      <c r="P120" s="380"/>
    </row>
    <row r="121" spans="1:16" ht="18.75" customHeight="1">
      <c r="A121" s="617"/>
      <c r="B121" s="617"/>
      <c r="C121" s="617"/>
      <c r="D121" s="617"/>
      <c r="E121" s="617"/>
      <c r="F121" s="617"/>
      <c r="K121" s="380"/>
      <c r="L121" s="380"/>
      <c r="M121" s="380"/>
      <c r="N121" s="380"/>
      <c r="O121" s="380"/>
      <c r="P121" s="380"/>
    </row>
    <row r="122" spans="1:16" ht="18.75" customHeight="1">
      <c r="A122" s="617"/>
      <c r="B122" s="617"/>
      <c r="C122" s="617"/>
      <c r="D122" s="617"/>
      <c r="E122" s="617"/>
      <c r="F122" s="617"/>
      <c r="K122" s="380"/>
      <c r="L122" s="380"/>
      <c r="M122" s="380"/>
      <c r="N122" s="380"/>
      <c r="O122" s="380"/>
      <c r="P122" s="380"/>
    </row>
    <row r="123" spans="1:16" ht="18.75" customHeight="1">
      <c r="A123" s="626"/>
      <c r="B123" s="626"/>
      <c r="C123" s="626"/>
      <c r="D123" s="615"/>
      <c r="E123" s="615"/>
      <c r="F123" s="381"/>
      <c r="K123" s="377"/>
      <c r="L123" s="377"/>
      <c r="M123" s="377"/>
      <c r="N123" s="378"/>
      <c r="O123" s="378"/>
      <c r="P123" s="381"/>
    </row>
    <row r="124" spans="1:16" ht="18.75" customHeight="1">
      <c r="A124" s="626"/>
      <c r="B124" s="626"/>
      <c r="C124" s="626"/>
      <c r="D124" s="615"/>
      <c r="E124" s="615"/>
      <c r="F124" s="381"/>
      <c r="K124" s="377"/>
      <c r="L124" s="377"/>
      <c r="M124" s="377"/>
      <c r="N124" s="378"/>
      <c r="O124" s="378"/>
      <c r="P124" s="381"/>
    </row>
    <row r="125" spans="1:16" ht="18.75" customHeight="1">
      <c r="A125" s="626"/>
      <c r="B125" s="626"/>
      <c r="C125" s="626"/>
      <c r="D125" s="615"/>
      <c r="E125" s="615"/>
      <c r="F125" s="378"/>
      <c r="K125" s="377"/>
      <c r="L125" s="377"/>
      <c r="M125" s="377"/>
      <c r="N125" s="378"/>
      <c r="O125" s="378"/>
      <c r="P125" s="378"/>
    </row>
    <row r="126" spans="1:16" ht="18.75" customHeight="1">
      <c r="A126" s="626"/>
      <c r="B126" s="626"/>
      <c r="C126" s="626"/>
      <c r="D126" s="615"/>
      <c r="E126" s="615"/>
      <c r="F126" s="378"/>
      <c r="K126" s="377"/>
      <c r="L126" s="377"/>
      <c r="M126" s="377"/>
      <c r="N126" s="378"/>
      <c r="O126" s="378"/>
      <c r="P126" s="378"/>
    </row>
    <row r="127" spans="1:16" ht="18.75" customHeight="1">
      <c r="A127" s="626"/>
      <c r="B127" s="626"/>
      <c r="C127" s="626"/>
      <c r="D127" s="615"/>
      <c r="E127" s="615"/>
      <c r="F127" s="378"/>
      <c r="K127" s="377"/>
      <c r="L127" s="377"/>
      <c r="M127" s="377"/>
      <c r="N127" s="378"/>
      <c r="O127" s="378"/>
      <c r="P127" s="378"/>
    </row>
    <row r="128" spans="1:16" ht="18.75" customHeight="1">
      <c r="A128" s="626"/>
      <c r="B128" s="626"/>
      <c r="C128" s="626"/>
      <c r="D128" s="615"/>
      <c r="E128" s="615"/>
      <c r="F128" s="378"/>
      <c r="K128" s="377"/>
      <c r="L128" s="377"/>
      <c r="M128" s="377"/>
      <c r="N128" s="378"/>
      <c r="O128" s="378"/>
      <c r="P128" s="378"/>
    </row>
    <row r="129" spans="1:16" ht="18.75" customHeight="1">
      <c r="A129" s="626"/>
      <c r="B129" s="626"/>
      <c r="C129" s="626"/>
      <c r="D129" s="615"/>
      <c r="E129" s="615"/>
      <c r="F129" s="378"/>
      <c r="K129" s="377"/>
      <c r="L129" s="377"/>
      <c r="M129" s="377"/>
      <c r="N129" s="378"/>
      <c r="O129" s="378"/>
      <c r="P129" s="378"/>
    </row>
    <row r="130" spans="1:16" ht="76.5" customHeight="1">
      <c r="A130" s="627"/>
      <c r="B130" s="627"/>
      <c r="C130" s="627"/>
      <c r="D130" s="627"/>
      <c r="E130" s="628"/>
      <c r="F130" s="628"/>
      <c r="K130" s="382"/>
      <c r="L130" s="382"/>
      <c r="M130" s="382"/>
      <c r="N130" s="382"/>
      <c r="O130" s="383"/>
      <c r="P130" s="383"/>
    </row>
    <row r="131" spans="1:16" ht="18.75">
      <c r="A131" s="617"/>
      <c r="B131" s="617"/>
      <c r="C131" s="617"/>
      <c r="D131" s="617"/>
      <c r="E131" s="617"/>
      <c r="F131" s="617"/>
      <c r="K131" s="380"/>
      <c r="L131" s="380"/>
      <c r="M131" s="380"/>
      <c r="N131" s="380"/>
      <c r="O131" s="380"/>
      <c r="P131" s="380"/>
    </row>
    <row r="132" spans="1:16" ht="18.75">
      <c r="A132" s="617"/>
      <c r="B132" s="617"/>
      <c r="C132" s="617"/>
      <c r="D132" s="617"/>
      <c r="E132" s="617"/>
      <c r="F132" s="617"/>
      <c r="K132" s="380"/>
      <c r="L132" s="380"/>
      <c r="M132" s="380"/>
      <c r="N132" s="380"/>
      <c r="O132" s="380"/>
      <c r="P132" s="380"/>
    </row>
    <row r="133" spans="1:16" ht="18.75" customHeight="1">
      <c r="A133" s="617"/>
      <c r="B133" s="617"/>
      <c r="C133" s="617"/>
      <c r="D133" s="617"/>
      <c r="E133" s="617"/>
      <c r="F133" s="617"/>
      <c r="K133" s="380"/>
      <c r="L133" s="380"/>
      <c r="M133" s="380"/>
      <c r="N133" s="380"/>
      <c r="O133" s="380"/>
      <c r="P133" s="380"/>
    </row>
    <row r="134" spans="1:16" ht="18.75" customHeight="1">
      <c r="A134" s="617"/>
      <c r="B134" s="617"/>
      <c r="C134" s="617"/>
      <c r="D134" s="617"/>
      <c r="E134" s="617"/>
      <c r="F134" s="617"/>
      <c r="K134" s="380"/>
      <c r="L134" s="380"/>
      <c r="M134" s="380"/>
      <c r="N134" s="380"/>
      <c r="O134" s="380"/>
      <c r="P134" s="380"/>
    </row>
    <row r="135" spans="1:16" ht="18.75" customHeight="1">
      <c r="A135" s="617"/>
      <c r="B135" s="617"/>
      <c r="C135" s="617"/>
      <c r="D135" s="617"/>
      <c r="E135" s="617"/>
      <c r="F135" s="617"/>
      <c r="K135" s="380"/>
      <c r="L135" s="380"/>
      <c r="M135" s="380"/>
      <c r="N135" s="380"/>
      <c r="O135" s="380"/>
      <c r="P135" s="380"/>
    </row>
    <row r="136" spans="1:16" ht="18.75" customHeight="1">
      <c r="A136" s="626"/>
      <c r="B136" s="626"/>
      <c r="C136" s="626"/>
      <c r="D136" s="615"/>
      <c r="E136" s="615"/>
      <c r="F136" s="381"/>
      <c r="K136" s="377"/>
      <c r="L136" s="377"/>
      <c r="M136" s="377"/>
      <c r="N136" s="378"/>
      <c r="O136" s="378"/>
      <c r="P136" s="381"/>
    </row>
    <row r="137" spans="1:16" ht="18.75" customHeight="1">
      <c r="A137" s="626"/>
      <c r="B137" s="626"/>
      <c r="C137" s="626"/>
      <c r="D137" s="615"/>
      <c r="E137" s="615"/>
      <c r="F137" s="381"/>
      <c r="K137" s="377"/>
      <c r="L137" s="377"/>
      <c r="M137" s="377"/>
      <c r="N137" s="378"/>
      <c r="O137" s="378"/>
      <c r="P137" s="381"/>
    </row>
    <row r="138" spans="1:16" ht="18.75" customHeight="1">
      <c r="A138" s="626"/>
      <c r="B138" s="626"/>
      <c r="C138" s="626"/>
      <c r="D138" s="615"/>
      <c r="E138" s="615"/>
      <c r="F138" s="378"/>
      <c r="K138" s="377"/>
      <c r="L138" s="377"/>
      <c r="M138" s="377"/>
      <c r="N138" s="378"/>
      <c r="O138" s="378"/>
      <c r="P138" s="378"/>
    </row>
    <row r="139" spans="1:16" ht="18.75" customHeight="1">
      <c r="A139" s="626"/>
      <c r="B139" s="626"/>
      <c r="C139" s="626"/>
      <c r="D139" s="615"/>
      <c r="E139" s="615"/>
      <c r="F139" s="378"/>
      <c r="K139" s="377"/>
      <c r="L139" s="377"/>
      <c r="M139" s="377"/>
      <c r="N139" s="378"/>
      <c r="O139" s="378"/>
      <c r="P139" s="378"/>
    </row>
    <row r="140" spans="1:16" ht="18.75" customHeight="1">
      <c r="A140" s="626"/>
      <c r="B140" s="626"/>
      <c r="C140" s="626"/>
      <c r="D140" s="615"/>
      <c r="E140" s="615"/>
      <c r="F140" s="378"/>
      <c r="K140" s="377"/>
      <c r="L140" s="377"/>
      <c r="M140" s="377"/>
      <c r="N140" s="378"/>
      <c r="O140" s="378"/>
      <c r="P140" s="378"/>
    </row>
    <row r="141" spans="1:16" ht="18.75" customHeight="1">
      <c r="A141" s="626"/>
      <c r="B141" s="626"/>
      <c r="C141" s="626"/>
      <c r="D141" s="615"/>
      <c r="E141" s="615"/>
      <c r="F141" s="378"/>
      <c r="K141" s="377"/>
      <c r="L141" s="377"/>
      <c r="M141" s="377"/>
      <c r="N141" s="378"/>
      <c r="O141" s="378"/>
      <c r="P141" s="378"/>
    </row>
    <row r="142" spans="1:16" ht="18.75" customHeight="1">
      <c r="A142" s="626"/>
      <c r="B142" s="626"/>
      <c r="C142" s="626"/>
      <c r="D142" s="615"/>
      <c r="E142" s="615"/>
      <c r="F142" s="378"/>
      <c r="K142" s="377"/>
      <c r="L142" s="377"/>
      <c r="M142" s="377"/>
      <c r="N142" s="378"/>
      <c r="O142" s="378"/>
      <c r="P142" s="378"/>
    </row>
    <row r="143" spans="1:16" ht="76.5" customHeight="1">
      <c r="A143" s="627"/>
      <c r="B143" s="627"/>
      <c r="C143" s="627"/>
      <c r="D143" s="627"/>
      <c r="E143" s="628"/>
      <c r="F143" s="628"/>
      <c r="K143" s="382"/>
      <c r="L143" s="382"/>
      <c r="M143" s="382"/>
      <c r="N143" s="382"/>
      <c r="O143" s="383"/>
      <c r="P143" s="383"/>
    </row>
    <row r="144" spans="1:16" ht="18.75">
      <c r="A144" s="617"/>
      <c r="B144" s="617"/>
      <c r="C144" s="617"/>
      <c r="D144" s="617"/>
      <c r="E144" s="617"/>
      <c r="F144" s="617"/>
      <c r="K144" s="380"/>
      <c r="L144" s="380"/>
      <c r="M144" s="380"/>
      <c r="N144" s="380"/>
      <c r="O144" s="380"/>
      <c r="P144" s="380"/>
    </row>
    <row r="145" spans="1:16" ht="18.75">
      <c r="A145" s="617"/>
      <c r="B145" s="617"/>
      <c r="C145" s="617"/>
      <c r="D145" s="617"/>
      <c r="E145" s="617"/>
      <c r="F145" s="617"/>
      <c r="K145" s="380"/>
      <c r="L145" s="380"/>
      <c r="M145" s="380"/>
      <c r="N145" s="380"/>
      <c r="O145" s="380"/>
      <c r="P145" s="380"/>
    </row>
    <row r="146" spans="1:16" ht="18.75" customHeight="1">
      <c r="A146" s="617"/>
      <c r="B146" s="617"/>
      <c r="C146" s="617"/>
      <c r="D146" s="617"/>
      <c r="E146" s="617"/>
      <c r="F146" s="617"/>
      <c r="K146" s="380"/>
      <c r="L146" s="380"/>
      <c r="M146" s="380"/>
      <c r="N146" s="380"/>
      <c r="O146" s="380"/>
      <c r="P146" s="380"/>
    </row>
    <row r="147" spans="1:16" ht="18.75" customHeight="1">
      <c r="A147" s="617"/>
      <c r="B147" s="617"/>
      <c r="C147" s="617"/>
      <c r="D147" s="617"/>
      <c r="E147" s="617"/>
      <c r="F147" s="617"/>
      <c r="K147" s="380"/>
      <c r="L147" s="380"/>
      <c r="M147" s="380"/>
      <c r="N147" s="380"/>
      <c r="O147" s="380"/>
      <c r="P147" s="380"/>
    </row>
    <row r="148" spans="1:16" ht="18.75" customHeight="1">
      <c r="A148" s="617"/>
      <c r="B148" s="617"/>
      <c r="C148" s="617"/>
      <c r="D148" s="617"/>
      <c r="E148" s="617"/>
      <c r="F148" s="617"/>
      <c r="K148" s="380"/>
      <c r="L148" s="380"/>
      <c r="M148" s="380"/>
      <c r="N148" s="380"/>
      <c r="O148" s="380"/>
      <c r="P148" s="380"/>
    </row>
    <row r="149" spans="1:16" ht="18.75" customHeight="1">
      <c r="A149" s="626"/>
      <c r="B149" s="626"/>
      <c r="C149" s="626"/>
      <c r="D149" s="615"/>
      <c r="E149" s="615"/>
      <c r="F149" s="381"/>
      <c r="K149" s="377"/>
      <c r="L149" s="377"/>
      <c r="M149" s="377"/>
      <c r="N149" s="378"/>
      <c r="O149" s="378"/>
      <c r="P149" s="381"/>
    </row>
    <row r="150" spans="1:16" ht="18.75" customHeight="1">
      <c r="A150" s="626"/>
      <c r="B150" s="626"/>
      <c r="C150" s="626"/>
      <c r="D150" s="615"/>
      <c r="E150" s="615"/>
      <c r="F150" s="381"/>
      <c r="K150" s="377"/>
      <c r="L150" s="377"/>
      <c r="M150" s="377"/>
      <c r="N150" s="378"/>
      <c r="O150" s="378"/>
      <c r="P150" s="381"/>
    </row>
    <row r="151" spans="1:16" ht="18.75" customHeight="1">
      <c r="A151" s="626"/>
      <c r="B151" s="626"/>
      <c r="C151" s="626"/>
      <c r="D151" s="615"/>
      <c r="E151" s="615"/>
      <c r="F151" s="378"/>
      <c r="K151" s="377"/>
      <c r="L151" s="377"/>
      <c r="M151" s="377"/>
      <c r="N151" s="378"/>
      <c r="O151" s="378"/>
      <c r="P151" s="378"/>
    </row>
    <row r="152" spans="1:16" ht="18.75" customHeight="1">
      <c r="A152" s="626"/>
      <c r="B152" s="626"/>
      <c r="C152" s="626"/>
      <c r="D152" s="615"/>
      <c r="E152" s="615"/>
      <c r="F152" s="378"/>
      <c r="K152" s="377"/>
      <c r="L152" s="377"/>
      <c r="M152" s="377"/>
      <c r="N152" s="378"/>
      <c r="O152" s="378"/>
      <c r="P152" s="378"/>
    </row>
    <row r="153" spans="1:16" ht="18.75" customHeight="1">
      <c r="A153" s="626"/>
      <c r="B153" s="626"/>
      <c r="C153" s="626"/>
      <c r="D153" s="615"/>
      <c r="E153" s="615"/>
      <c r="F153" s="378"/>
      <c r="K153" s="377"/>
      <c r="L153" s="377"/>
      <c r="M153" s="377"/>
      <c r="N153" s="378"/>
      <c r="O153" s="378"/>
      <c r="P153" s="378"/>
    </row>
    <row r="154" spans="1:16" ht="18.75" customHeight="1">
      <c r="A154" s="626"/>
      <c r="B154" s="626"/>
      <c r="C154" s="626"/>
      <c r="D154" s="615"/>
      <c r="E154" s="615"/>
      <c r="F154" s="378"/>
      <c r="K154" s="377"/>
      <c r="L154" s="377"/>
      <c r="M154" s="377"/>
      <c r="N154" s="378"/>
      <c r="O154" s="378"/>
      <c r="P154" s="378"/>
    </row>
    <row r="155" spans="1:16" ht="18.75" customHeight="1">
      <c r="A155" s="626"/>
      <c r="B155" s="626"/>
      <c r="C155" s="626"/>
      <c r="D155" s="615"/>
      <c r="E155" s="615"/>
      <c r="F155" s="378"/>
      <c r="K155" s="377"/>
      <c r="L155" s="377"/>
      <c r="M155" s="377"/>
      <c r="N155" s="378"/>
      <c r="O155" s="378"/>
      <c r="P155" s="378"/>
    </row>
    <row r="156" spans="1:16" ht="76.5" customHeight="1">
      <c r="A156" s="627"/>
      <c r="B156" s="627"/>
      <c r="C156" s="627"/>
      <c r="D156" s="627"/>
      <c r="E156" s="628"/>
      <c r="F156" s="628"/>
      <c r="K156" s="382"/>
      <c r="L156" s="382"/>
      <c r="M156" s="382"/>
      <c r="N156" s="382"/>
      <c r="O156" s="383"/>
      <c r="P156" s="383"/>
    </row>
    <row r="157" spans="1:16" ht="18.75">
      <c r="A157" s="617"/>
      <c r="B157" s="617"/>
      <c r="C157" s="617"/>
      <c r="D157" s="617"/>
      <c r="E157" s="617"/>
      <c r="F157" s="617"/>
      <c r="K157" s="380"/>
      <c r="L157" s="380"/>
      <c r="M157" s="380"/>
      <c r="N157" s="380"/>
      <c r="O157" s="380"/>
      <c r="P157" s="380"/>
    </row>
    <row r="158" spans="1:16" ht="18.75">
      <c r="A158" s="617"/>
      <c r="B158" s="617"/>
      <c r="C158" s="617"/>
      <c r="D158" s="617"/>
      <c r="E158" s="617"/>
      <c r="F158" s="617"/>
      <c r="K158" s="380"/>
      <c r="L158" s="380"/>
      <c r="M158" s="380"/>
      <c r="N158" s="380"/>
      <c r="O158" s="380"/>
      <c r="P158" s="380"/>
    </row>
    <row r="159" spans="1:16" ht="18.75" customHeight="1">
      <c r="A159" s="617"/>
      <c r="B159" s="617"/>
      <c r="C159" s="617"/>
      <c r="D159" s="617"/>
      <c r="E159" s="617"/>
      <c r="F159" s="617"/>
      <c r="K159" s="380"/>
      <c r="L159" s="380"/>
      <c r="M159" s="380"/>
      <c r="N159" s="380"/>
      <c r="O159" s="380"/>
      <c r="P159" s="380"/>
    </row>
    <row r="160" spans="1:16" ht="18.75" customHeight="1">
      <c r="A160" s="617"/>
      <c r="B160" s="617"/>
      <c r="C160" s="617"/>
      <c r="D160" s="617"/>
      <c r="E160" s="617"/>
      <c r="F160" s="617"/>
      <c r="K160" s="380"/>
      <c r="L160" s="380"/>
      <c r="M160" s="380"/>
      <c r="N160" s="380"/>
      <c r="O160" s="380"/>
      <c r="P160" s="380"/>
    </row>
    <row r="161" spans="1:16" ht="18.75" customHeight="1">
      <c r="A161" s="617"/>
      <c r="B161" s="617"/>
      <c r="C161" s="617"/>
      <c r="D161" s="617"/>
      <c r="E161" s="617"/>
      <c r="F161" s="617"/>
      <c r="K161" s="380"/>
      <c r="L161" s="380"/>
      <c r="M161" s="380"/>
      <c r="N161" s="380"/>
      <c r="O161" s="380"/>
      <c r="P161" s="380"/>
    </row>
    <row r="162" spans="1:16" ht="18.75" customHeight="1">
      <c r="A162" s="626"/>
      <c r="B162" s="626"/>
      <c r="C162" s="626"/>
      <c r="D162" s="615"/>
      <c r="E162" s="615"/>
      <c r="F162" s="381"/>
      <c r="K162" s="377"/>
      <c r="L162" s="377"/>
      <c r="M162" s="377"/>
      <c r="N162" s="378"/>
      <c r="O162" s="378"/>
      <c r="P162" s="381"/>
    </row>
    <row r="163" spans="1:16" ht="18.75" customHeight="1">
      <c r="A163" s="626"/>
      <c r="B163" s="626"/>
      <c r="C163" s="626"/>
      <c r="D163" s="615"/>
      <c r="E163" s="615"/>
      <c r="F163" s="381"/>
      <c r="K163" s="377"/>
      <c r="L163" s="377"/>
      <c r="M163" s="377"/>
      <c r="N163" s="378"/>
      <c r="O163" s="378"/>
      <c r="P163" s="381"/>
    </row>
    <row r="164" spans="1:16" ht="18.75" customHeight="1">
      <c r="A164" s="626"/>
      <c r="B164" s="626"/>
      <c r="C164" s="626"/>
      <c r="D164" s="615"/>
      <c r="E164" s="615"/>
      <c r="F164" s="378"/>
      <c r="K164" s="377"/>
      <c r="L164" s="377"/>
      <c r="M164" s="377"/>
      <c r="N164" s="378"/>
      <c r="O164" s="378"/>
      <c r="P164" s="378"/>
    </row>
    <row r="165" spans="1:16" ht="18.75" customHeight="1">
      <c r="A165" s="626"/>
      <c r="B165" s="626"/>
      <c r="C165" s="626"/>
      <c r="D165" s="615"/>
      <c r="E165" s="615"/>
      <c r="F165" s="378"/>
      <c r="K165" s="377"/>
      <c r="L165" s="377"/>
      <c r="M165" s="377"/>
      <c r="N165" s="378"/>
      <c r="O165" s="378"/>
      <c r="P165" s="378"/>
    </row>
    <row r="166" spans="1:16" ht="18.75" customHeight="1">
      <c r="A166" s="626"/>
      <c r="B166" s="626"/>
      <c r="C166" s="626"/>
      <c r="D166" s="615"/>
      <c r="E166" s="615"/>
      <c r="F166" s="378"/>
      <c r="K166" s="377"/>
      <c r="L166" s="377"/>
      <c r="M166" s="377"/>
      <c r="N166" s="378"/>
      <c r="O166" s="378"/>
      <c r="P166" s="378"/>
    </row>
    <row r="167" spans="1:16" ht="18.75" customHeight="1">
      <c r="A167" s="626"/>
      <c r="B167" s="626"/>
      <c r="C167" s="626"/>
      <c r="D167" s="615"/>
      <c r="E167" s="615"/>
      <c r="F167" s="378"/>
      <c r="K167" s="377"/>
      <c r="L167" s="377"/>
      <c r="M167" s="377"/>
      <c r="N167" s="378"/>
      <c r="O167" s="378"/>
      <c r="P167" s="378"/>
    </row>
    <row r="168" spans="1:16" ht="18.75" customHeight="1">
      <c r="A168" s="626"/>
      <c r="B168" s="626"/>
      <c r="C168" s="626"/>
      <c r="D168" s="615"/>
      <c r="E168" s="615"/>
      <c r="F168" s="378"/>
      <c r="K168" s="377"/>
      <c r="L168" s="377"/>
      <c r="M168" s="377"/>
      <c r="N168" s="378"/>
      <c r="O168" s="378"/>
      <c r="P168" s="378"/>
    </row>
    <row r="169" spans="1:16" ht="76.5" customHeight="1">
      <c r="A169" s="627"/>
      <c r="B169" s="627"/>
      <c r="C169" s="627"/>
      <c r="D169" s="627"/>
      <c r="E169" s="628"/>
      <c r="F169" s="628"/>
      <c r="K169" s="382"/>
      <c r="L169" s="382"/>
      <c r="M169" s="382"/>
      <c r="N169" s="382"/>
      <c r="O169" s="383"/>
      <c r="P169" s="383"/>
    </row>
    <row r="170" spans="1:16" ht="18.75">
      <c r="A170" s="617"/>
      <c r="B170" s="617"/>
      <c r="C170" s="617"/>
      <c r="D170" s="617"/>
      <c r="E170" s="617"/>
      <c r="F170" s="617"/>
      <c r="K170" s="380"/>
      <c r="L170" s="380"/>
      <c r="M170" s="380"/>
      <c r="N170" s="380"/>
      <c r="O170" s="380"/>
      <c r="P170" s="380"/>
    </row>
    <row r="171" spans="1:16" ht="18.75">
      <c r="A171" s="617"/>
      <c r="B171" s="617"/>
      <c r="C171" s="617"/>
      <c r="D171" s="617"/>
      <c r="E171" s="617"/>
      <c r="F171" s="617"/>
      <c r="K171" s="380"/>
      <c r="L171" s="380"/>
      <c r="M171" s="380"/>
      <c r="N171" s="380"/>
      <c r="O171" s="380"/>
      <c r="P171" s="380"/>
    </row>
    <row r="172" spans="1:16" ht="18.75" customHeight="1">
      <c r="A172" s="617"/>
      <c r="B172" s="617"/>
      <c r="C172" s="617"/>
      <c r="D172" s="617"/>
      <c r="E172" s="617"/>
      <c r="F172" s="617"/>
      <c r="K172" s="380"/>
      <c r="L172" s="380"/>
      <c r="M172" s="380"/>
      <c r="N172" s="380"/>
      <c r="O172" s="380"/>
      <c r="P172" s="380"/>
    </row>
    <row r="173" spans="1:16" ht="18.75" customHeight="1">
      <c r="A173" s="617"/>
      <c r="B173" s="617"/>
      <c r="C173" s="617"/>
      <c r="D173" s="617"/>
      <c r="E173" s="617"/>
      <c r="F173" s="617"/>
      <c r="K173" s="380"/>
      <c r="L173" s="380"/>
      <c r="M173" s="380"/>
      <c r="N173" s="380"/>
      <c r="O173" s="380"/>
      <c r="P173" s="380"/>
    </row>
    <row r="174" spans="1:16" ht="18.75" customHeight="1">
      <c r="A174" s="617"/>
      <c r="B174" s="617"/>
      <c r="C174" s="617"/>
      <c r="D174" s="617"/>
      <c r="E174" s="617"/>
      <c r="F174" s="617"/>
      <c r="K174" s="380"/>
      <c r="L174" s="380"/>
      <c r="M174" s="380"/>
      <c r="N174" s="380"/>
      <c r="O174" s="380"/>
      <c r="P174" s="380"/>
    </row>
    <row r="175" spans="1:16" ht="18.75" customHeight="1">
      <c r="A175" s="626"/>
      <c r="B175" s="626"/>
      <c r="C175" s="626"/>
      <c r="D175" s="615"/>
      <c r="E175" s="615"/>
      <c r="F175" s="381"/>
      <c r="K175" s="377"/>
      <c r="L175" s="377"/>
      <c r="M175" s="377"/>
      <c r="N175" s="378"/>
      <c r="O175" s="378"/>
      <c r="P175" s="381"/>
    </row>
    <row r="176" spans="1:16" ht="18.75" customHeight="1">
      <c r="A176" s="626"/>
      <c r="B176" s="626"/>
      <c r="C176" s="626"/>
      <c r="D176" s="615"/>
      <c r="E176" s="615"/>
      <c r="F176" s="381"/>
      <c r="K176" s="377"/>
      <c r="L176" s="377"/>
      <c r="M176" s="377"/>
      <c r="N176" s="378"/>
      <c r="O176" s="378"/>
      <c r="P176" s="381"/>
    </row>
    <row r="177" spans="1:16" ht="18.75" customHeight="1">
      <c r="A177" s="626"/>
      <c r="B177" s="626"/>
      <c r="C177" s="626"/>
      <c r="D177" s="615"/>
      <c r="E177" s="615"/>
      <c r="F177" s="378"/>
      <c r="K177" s="377"/>
      <c r="L177" s="377"/>
      <c r="M177" s="377"/>
      <c r="N177" s="378"/>
      <c r="O177" s="378"/>
      <c r="P177" s="378"/>
    </row>
    <row r="178" spans="1:16" ht="18.75" customHeight="1">
      <c r="A178" s="626"/>
      <c r="B178" s="626"/>
      <c r="C178" s="626"/>
      <c r="D178" s="615"/>
      <c r="E178" s="615"/>
      <c r="F178" s="378"/>
      <c r="K178" s="377"/>
      <c r="L178" s="377"/>
      <c r="M178" s="377"/>
      <c r="N178" s="378"/>
      <c r="O178" s="378"/>
      <c r="P178" s="378"/>
    </row>
    <row r="179" spans="1:16" ht="18.75" customHeight="1">
      <c r="A179" s="626"/>
      <c r="B179" s="626"/>
      <c r="C179" s="626"/>
      <c r="D179" s="615"/>
      <c r="E179" s="615"/>
      <c r="F179" s="378"/>
      <c r="K179" s="377"/>
      <c r="L179" s="377"/>
      <c r="M179" s="377"/>
      <c r="N179" s="378"/>
      <c r="O179" s="378"/>
      <c r="P179" s="378"/>
    </row>
    <row r="180" spans="1:16" ht="18.75" customHeight="1">
      <c r="A180" s="626"/>
      <c r="B180" s="626"/>
      <c r="C180" s="626"/>
      <c r="D180" s="615"/>
      <c r="E180" s="615"/>
      <c r="F180" s="378"/>
      <c r="K180" s="377"/>
      <c r="L180" s="377"/>
      <c r="M180" s="377"/>
      <c r="N180" s="378"/>
      <c r="O180" s="378"/>
      <c r="P180" s="378"/>
    </row>
    <row r="181" spans="1:16" ht="18.75" customHeight="1">
      <c r="A181" s="626"/>
      <c r="B181" s="626"/>
      <c r="C181" s="626"/>
      <c r="D181" s="615"/>
      <c r="E181" s="615"/>
      <c r="F181" s="378"/>
      <c r="K181" s="377"/>
      <c r="L181" s="377"/>
      <c r="M181" s="377"/>
      <c r="N181" s="378"/>
      <c r="O181" s="378"/>
      <c r="P181" s="378"/>
    </row>
    <row r="182" spans="1:16" ht="76.5" customHeight="1">
      <c r="A182" s="627"/>
      <c r="B182" s="627"/>
      <c r="C182" s="627"/>
      <c r="D182" s="627"/>
      <c r="E182" s="628"/>
      <c r="F182" s="628"/>
      <c r="K182" s="382"/>
      <c r="L182" s="382"/>
      <c r="M182" s="382"/>
      <c r="N182" s="382"/>
      <c r="O182" s="383"/>
      <c r="P182" s="383"/>
    </row>
    <row r="183" spans="1:16" ht="18.75">
      <c r="A183" s="617"/>
      <c r="B183" s="617"/>
      <c r="C183" s="617"/>
      <c r="D183" s="617"/>
      <c r="E183" s="617"/>
      <c r="F183" s="617"/>
      <c r="K183" s="380"/>
      <c r="L183" s="380"/>
      <c r="M183" s="380"/>
      <c r="N183" s="380"/>
      <c r="O183" s="380"/>
      <c r="P183" s="380"/>
    </row>
    <row r="184" spans="1:16" ht="18.75">
      <c r="A184" s="617"/>
      <c r="B184" s="617"/>
      <c r="C184" s="617"/>
      <c r="D184" s="617"/>
      <c r="E184" s="617"/>
      <c r="F184" s="617"/>
      <c r="K184" s="380"/>
      <c r="L184" s="380"/>
      <c r="M184" s="380"/>
      <c r="N184" s="380"/>
      <c r="O184" s="380"/>
      <c r="P184" s="380"/>
    </row>
    <row r="185" spans="1:16" ht="18.75" customHeight="1">
      <c r="A185" s="617"/>
      <c r="B185" s="617"/>
      <c r="C185" s="617"/>
      <c r="D185" s="617"/>
      <c r="E185" s="617"/>
      <c r="F185" s="617"/>
      <c r="K185" s="380"/>
      <c r="L185" s="380"/>
      <c r="M185" s="380"/>
      <c r="N185" s="380"/>
      <c r="O185" s="380"/>
      <c r="P185" s="380"/>
    </row>
    <row r="186" spans="1:16" ht="18.75" customHeight="1">
      <c r="A186" s="617"/>
      <c r="B186" s="617"/>
      <c r="C186" s="617"/>
      <c r="D186" s="617"/>
      <c r="E186" s="617"/>
      <c r="F186" s="617"/>
      <c r="K186" s="380"/>
      <c r="L186" s="380"/>
      <c r="M186" s="380"/>
      <c r="N186" s="380"/>
      <c r="O186" s="380"/>
      <c r="P186" s="380"/>
    </row>
    <row r="187" spans="1:16" ht="18.75" customHeight="1">
      <c r="A187" s="617"/>
      <c r="B187" s="617"/>
      <c r="C187" s="617"/>
      <c r="D187" s="617"/>
      <c r="E187" s="617"/>
      <c r="F187" s="617"/>
      <c r="K187" s="380"/>
      <c r="L187" s="380"/>
      <c r="M187" s="380"/>
      <c r="N187" s="380"/>
      <c r="O187" s="380"/>
      <c r="P187" s="380"/>
    </row>
    <row r="188" spans="1:16" ht="18.75" customHeight="1">
      <c r="A188" s="626"/>
      <c r="B188" s="626"/>
      <c r="C188" s="626"/>
      <c r="D188" s="615"/>
      <c r="E188" s="615"/>
      <c r="F188" s="381"/>
      <c r="K188" s="377"/>
      <c r="L188" s="377"/>
      <c r="M188" s="377"/>
      <c r="N188" s="378"/>
      <c r="O188" s="378"/>
      <c r="P188" s="381"/>
    </row>
    <row r="189" spans="1:16" ht="18.75" customHeight="1">
      <c r="A189" s="626"/>
      <c r="B189" s="626"/>
      <c r="C189" s="626"/>
      <c r="D189" s="615"/>
      <c r="E189" s="615"/>
      <c r="F189" s="381"/>
      <c r="K189" s="377"/>
      <c r="L189" s="377"/>
      <c r="M189" s="377"/>
      <c r="N189" s="378"/>
      <c r="O189" s="378"/>
      <c r="P189" s="381"/>
    </row>
    <row r="190" spans="1:16" ht="18.75" customHeight="1">
      <c r="A190" s="626"/>
      <c r="B190" s="626"/>
      <c r="C190" s="626"/>
      <c r="D190" s="615"/>
      <c r="E190" s="615"/>
      <c r="F190" s="378"/>
      <c r="K190" s="377"/>
      <c r="L190" s="377"/>
      <c r="M190" s="377"/>
      <c r="N190" s="378"/>
      <c r="O190" s="378"/>
      <c r="P190" s="378"/>
    </row>
    <row r="191" spans="1:16" ht="18.75" customHeight="1">
      <c r="A191" s="626"/>
      <c r="B191" s="626"/>
      <c r="C191" s="626"/>
      <c r="D191" s="615"/>
      <c r="E191" s="615"/>
      <c r="F191" s="378"/>
      <c r="K191" s="377"/>
      <c r="L191" s="377"/>
      <c r="M191" s="377"/>
      <c r="N191" s="378"/>
      <c r="O191" s="378"/>
      <c r="P191" s="378"/>
    </row>
    <row r="192" spans="1:16" ht="18.75" customHeight="1">
      <c r="A192" s="626"/>
      <c r="B192" s="626"/>
      <c r="C192" s="626"/>
      <c r="D192" s="615"/>
      <c r="E192" s="615"/>
      <c r="F192" s="378"/>
      <c r="K192" s="377"/>
      <c r="L192" s="377"/>
      <c r="M192" s="377"/>
      <c r="N192" s="378"/>
      <c r="O192" s="378"/>
      <c r="P192" s="378"/>
    </row>
    <row r="193" spans="1:16" ht="18.75" customHeight="1">
      <c r="A193" s="626"/>
      <c r="B193" s="626"/>
      <c r="C193" s="626"/>
      <c r="D193" s="615"/>
      <c r="E193" s="615"/>
      <c r="F193" s="378"/>
      <c r="K193" s="377"/>
      <c r="L193" s="377"/>
      <c r="M193" s="377"/>
      <c r="N193" s="378"/>
      <c r="O193" s="378"/>
      <c r="P193" s="378"/>
    </row>
    <row r="194" spans="1:16" ht="18.75" customHeight="1">
      <c r="A194" s="626"/>
      <c r="B194" s="626"/>
      <c r="C194" s="626"/>
      <c r="D194" s="615"/>
      <c r="E194" s="615"/>
      <c r="F194" s="378"/>
      <c r="K194" s="377"/>
      <c r="L194" s="377"/>
      <c r="M194" s="377"/>
      <c r="N194" s="378"/>
      <c r="O194" s="378"/>
      <c r="P194" s="378"/>
    </row>
    <row r="195" spans="1:16" ht="76.5" customHeight="1">
      <c r="A195" s="627"/>
      <c r="B195" s="627"/>
      <c r="C195" s="627"/>
      <c r="D195" s="627"/>
      <c r="E195" s="628"/>
      <c r="F195" s="628"/>
      <c r="K195" s="382"/>
      <c r="L195" s="382"/>
      <c r="M195" s="382"/>
      <c r="N195" s="382"/>
      <c r="O195" s="383"/>
      <c r="P195" s="383"/>
    </row>
    <row r="196" spans="1:16" ht="18.75">
      <c r="A196" s="617"/>
      <c r="B196" s="617"/>
      <c r="C196" s="617"/>
      <c r="D196" s="617"/>
      <c r="E196" s="617"/>
      <c r="F196" s="617"/>
      <c r="K196" s="380"/>
      <c r="L196" s="380"/>
      <c r="M196" s="380"/>
      <c r="N196" s="380"/>
      <c r="O196" s="380"/>
      <c r="P196" s="380"/>
    </row>
    <row r="197" spans="1:16" ht="18.75">
      <c r="A197" s="617"/>
      <c r="B197" s="617"/>
      <c r="C197" s="617"/>
      <c r="D197" s="617"/>
      <c r="E197" s="617"/>
      <c r="F197" s="617"/>
      <c r="K197" s="380"/>
      <c r="L197" s="380"/>
      <c r="M197" s="380"/>
      <c r="N197" s="380"/>
      <c r="O197" s="380"/>
      <c r="P197" s="380"/>
    </row>
    <row r="198" spans="1:16" ht="18.75" customHeight="1">
      <c r="A198" s="617"/>
      <c r="B198" s="617"/>
      <c r="C198" s="617"/>
      <c r="D198" s="617"/>
      <c r="E198" s="617"/>
      <c r="F198" s="617"/>
      <c r="K198" s="380"/>
      <c r="L198" s="380"/>
      <c r="M198" s="380"/>
      <c r="N198" s="380"/>
      <c r="O198" s="380"/>
      <c r="P198" s="380"/>
    </row>
    <row r="199" spans="1:16" ht="18.75" customHeight="1">
      <c r="A199" s="617"/>
      <c r="B199" s="617"/>
      <c r="C199" s="617"/>
      <c r="D199" s="617"/>
      <c r="E199" s="617"/>
      <c r="F199" s="617"/>
      <c r="K199" s="380"/>
      <c r="L199" s="380"/>
      <c r="M199" s="380"/>
      <c r="N199" s="380"/>
      <c r="O199" s="380"/>
      <c r="P199" s="380"/>
    </row>
    <row r="200" spans="1:16" ht="18.75" customHeight="1">
      <c r="A200" s="617"/>
      <c r="B200" s="617"/>
      <c r="C200" s="617"/>
      <c r="D200" s="617"/>
      <c r="E200" s="617"/>
      <c r="F200" s="617"/>
      <c r="K200" s="380"/>
      <c r="L200" s="380"/>
      <c r="M200" s="380"/>
      <c r="N200" s="380"/>
      <c r="O200" s="380"/>
      <c r="P200" s="380"/>
    </row>
    <row r="201" spans="1:16" ht="18.75" customHeight="1">
      <c r="A201" s="626"/>
      <c r="B201" s="626"/>
      <c r="C201" s="626"/>
      <c r="D201" s="615"/>
      <c r="E201" s="615"/>
      <c r="F201" s="381"/>
      <c r="K201" s="377"/>
      <c r="L201" s="377"/>
      <c r="M201" s="377"/>
      <c r="N201" s="378"/>
      <c r="O201" s="378"/>
      <c r="P201" s="381"/>
    </row>
    <row r="202" spans="1:16" ht="18.75" customHeight="1">
      <c r="A202" s="626"/>
      <c r="B202" s="626"/>
      <c r="C202" s="626"/>
      <c r="D202" s="615"/>
      <c r="E202" s="615"/>
      <c r="F202" s="381"/>
      <c r="K202" s="377"/>
      <c r="L202" s="377"/>
      <c r="M202" s="377"/>
      <c r="N202" s="378"/>
      <c r="O202" s="378"/>
      <c r="P202" s="381"/>
    </row>
    <row r="203" spans="1:16" ht="18.75" customHeight="1">
      <c r="A203" s="626"/>
      <c r="B203" s="626"/>
      <c r="C203" s="626"/>
      <c r="D203" s="615"/>
      <c r="E203" s="615"/>
      <c r="F203" s="378"/>
      <c r="K203" s="377"/>
      <c r="L203" s="377"/>
      <c r="M203" s="377"/>
      <c r="N203" s="378"/>
      <c r="O203" s="378"/>
      <c r="P203" s="378"/>
    </row>
    <row r="204" spans="1:16" ht="18.75" customHeight="1">
      <c r="A204" s="626"/>
      <c r="B204" s="626"/>
      <c r="C204" s="626"/>
      <c r="D204" s="615"/>
      <c r="E204" s="615"/>
      <c r="F204" s="378"/>
      <c r="K204" s="377"/>
      <c r="L204" s="377"/>
      <c r="M204" s="377"/>
      <c r="N204" s="378"/>
      <c r="O204" s="378"/>
      <c r="P204" s="378"/>
    </row>
    <row r="205" spans="1:16" ht="18.75" customHeight="1">
      <c r="A205" s="626"/>
      <c r="B205" s="626"/>
      <c r="C205" s="626"/>
      <c r="D205" s="615"/>
      <c r="E205" s="615"/>
      <c r="F205" s="378"/>
      <c r="K205" s="377"/>
      <c r="L205" s="377"/>
      <c r="M205" s="377"/>
      <c r="N205" s="378"/>
      <c r="O205" s="378"/>
      <c r="P205" s="378"/>
    </row>
    <row r="206" spans="1:16" ht="18.75" customHeight="1">
      <c r="A206" s="626"/>
      <c r="B206" s="626"/>
      <c r="C206" s="626"/>
      <c r="D206" s="615"/>
      <c r="E206" s="615"/>
      <c r="F206" s="378"/>
      <c r="K206" s="377"/>
      <c r="L206" s="377"/>
      <c r="M206" s="377"/>
      <c r="N206" s="378"/>
      <c r="O206" s="378"/>
      <c r="P206" s="378"/>
    </row>
    <row r="207" spans="1:16" ht="18.75" customHeight="1">
      <c r="A207" s="626"/>
      <c r="B207" s="626"/>
      <c r="C207" s="626"/>
      <c r="D207" s="615"/>
      <c r="E207" s="615"/>
      <c r="F207" s="378"/>
      <c r="K207" s="377"/>
      <c r="L207" s="377"/>
      <c r="M207" s="377"/>
      <c r="N207" s="378"/>
      <c r="O207" s="378"/>
      <c r="P207" s="378"/>
    </row>
    <row r="208" spans="1:16" ht="76.5" customHeight="1">
      <c r="A208" s="627"/>
      <c r="B208" s="627"/>
      <c r="C208" s="627"/>
      <c r="D208" s="627"/>
      <c r="E208" s="628"/>
      <c r="F208" s="628"/>
      <c r="K208" s="382"/>
      <c r="L208" s="382"/>
      <c r="M208" s="382"/>
      <c r="N208" s="382"/>
      <c r="O208" s="383"/>
      <c r="P208" s="383"/>
    </row>
    <row r="209" spans="1:16" ht="18.75">
      <c r="A209" s="617"/>
      <c r="B209" s="617"/>
      <c r="C209" s="617"/>
      <c r="D209" s="617"/>
      <c r="E209" s="617"/>
      <c r="F209" s="617"/>
      <c r="K209" s="380"/>
      <c r="L209" s="380"/>
      <c r="M209" s="380"/>
      <c r="N209" s="380"/>
      <c r="O209" s="380"/>
      <c r="P209" s="380"/>
    </row>
    <row r="210" spans="1:16" ht="18.75">
      <c r="A210" s="617"/>
      <c r="B210" s="617"/>
      <c r="C210" s="617"/>
      <c r="D210" s="617"/>
      <c r="E210" s="617"/>
      <c r="F210" s="617"/>
      <c r="K210" s="380"/>
      <c r="L210" s="380"/>
      <c r="M210" s="380"/>
      <c r="N210" s="380"/>
      <c r="O210" s="380"/>
      <c r="P210" s="380"/>
    </row>
    <row r="211" spans="1:16" ht="18.75" customHeight="1">
      <c r="A211" s="617"/>
      <c r="B211" s="617"/>
      <c r="C211" s="617"/>
      <c r="D211" s="617"/>
      <c r="E211" s="617"/>
      <c r="F211" s="617"/>
      <c r="K211" s="380"/>
      <c r="L211" s="380"/>
      <c r="M211" s="380"/>
      <c r="N211" s="380"/>
      <c r="O211" s="380"/>
      <c r="P211" s="380"/>
    </row>
    <row r="212" spans="1:16" ht="18.75" customHeight="1">
      <c r="A212" s="617"/>
      <c r="B212" s="617"/>
      <c r="C212" s="617"/>
      <c r="D212" s="617"/>
      <c r="E212" s="617"/>
      <c r="F212" s="617"/>
      <c r="K212" s="380"/>
      <c r="L212" s="380"/>
      <c r="M212" s="380"/>
      <c r="N212" s="380"/>
      <c r="O212" s="380"/>
      <c r="P212" s="380"/>
    </row>
    <row r="213" spans="1:16" ht="18.75" customHeight="1">
      <c r="A213" s="617"/>
      <c r="B213" s="617"/>
      <c r="C213" s="617"/>
      <c r="D213" s="617"/>
      <c r="E213" s="617"/>
      <c r="F213" s="617"/>
      <c r="K213" s="380"/>
      <c r="L213" s="380"/>
      <c r="M213" s="380"/>
      <c r="N213" s="380"/>
      <c r="O213" s="380"/>
      <c r="P213" s="380"/>
    </row>
    <row r="214" spans="1:16" ht="18.75" customHeight="1">
      <c r="A214" s="626"/>
      <c r="B214" s="626"/>
      <c r="C214" s="626"/>
      <c r="D214" s="615"/>
      <c r="E214" s="615"/>
      <c r="F214" s="381"/>
      <c r="K214" s="377"/>
      <c r="L214" s="377"/>
      <c r="M214" s="377"/>
      <c r="N214" s="378"/>
      <c r="O214" s="378"/>
      <c r="P214" s="381"/>
    </row>
    <row r="215" spans="1:16" ht="18.75" customHeight="1">
      <c r="A215" s="626"/>
      <c r="B215" s="626"/>
      <c r="C215" s="626"/>
      <c r="D215" s="615"/>
      <c r="E215" s="615"/>
      <c r="F215" s="381"/>
      <c r="K215" s="377"/>
      <c r="L215" s="377"/>
      <c r="M215" s="377"/>
      <c r="N215" s="378"/>
      <c r="O215" s="378"/>
      <c r="P215" s="381"/>
    </row>
    <row r="216" spans="1:16" ht="18.75" customHeight="1">
      <c r="A216" s="626"/>
      <c r="B216" s="626"/>
      <c r="C216" s="626"/>
      <c r="D216" s="615"/>
      <c r="E216" s="615"/>
      <c r="F216" s="378"/>
      <c r="K216" s="377"/>
      <c r="L216" s="377"/>
      <c r="M216" s="377"/>
      <c r="N216" s="378"/>
      <c r="O216" s="378"/>
      <c r="P216" s="378"/>
    </row>
    <row r="217" spans="1:16" ht="18.75" customHeight="1">
      <c r="A217" s="626"/>
      <c r="B217" s="626"/>
      <c r="C217" s="626"/>
      <c r="D217" s="615"/>
      <c r="E217" s="615"/>
      <c r="F217" s="378"/>
      <c r="K217" s="377"/>
      <c r="L217" s="377"/>
      <c r="M217" s="377"/>
      <c r="N217" s="378"/>
      <c r="O217" s="378"/>
      <c r="P217" s="378"/>
    </row>
    <row r="218" spans="1:16" ht="18.75" customHeight="1">
      <c r="A218" s="626"/>
      <c r="B218" s="626"/>
      <c r="C218" s="626"/>
      <c r="D218" s="615"/>
      <c r="E218" s="615"/>
      <c r="F218" s="378"/>
      <c r="K218" s="377"/>
      <c r="L218" s="377"/>
      <c r="M218" s="377"/>
      <c r="N218" s="378"/>
      <c r="O218" s="378"/>
      <c r="P218" s="378"/>
    </row>
    <row r="219" spans="1:16" ht="18.75" customHeight="1">
      <c r="A219" s="626"/>
      <c r="B219" s="626"/>
      <c r="C219" s="626"/>
      <c r="D219" s="615"/>
      <c r="E219" s="615"/>
      <c r="F219" s="378"/>
      <c r="K219" s="377"/>
      <c r="L219" s="377"/>
      <c r="M219" s="377"/>
      <c r="N219" s="378"/>
      <c r="O219" s="378"/>
      <c r="P219" s="378"/>
    </row>
    <row r="220" spans="1:16" ht="18.75" customHeight="1">
      <c r="A220" s="626"/>
      <c r="B220" s="626"/>
      <c r="C220" s="626"/>
      <c r="D220" s="615"/>
      <c r="E220" s="615"/>
      <c r="F220" s="378"/>
      <c r="K220" s="377"/>
      <c r="L220" s="377"/>
      <c r="M220" s="377"/>
      <c r="N220" s="378"/>
      <c r="O220" s="378"/>
      <c r="P220" s="378"/>
    </row>
    <row r="221" spans="1:16" ht="76.5" customHeight="1">
      <c r="A221" s="627"/>
      <c r="B221" s="627"/>
      <c r="C221" s="627"/>
      <c r="D221" s="627"/>
      <c r="E221" s="628"/>
      <c r="F221" s="628"/>
      <c r="K221" s="382"/>
      <c r="L221" s="382"/>
      <c r="M221" s="382"/>
      <c r="N221" s="382"/>
      <c r="O221" s="383"/>
      <c r="P221" s="383"/>
    </row>
    <row r="222" spans="1:16" ht="18.75">
      <c r="A222" s="617"/>
      <c r="B222" s="617"/>
      <c r="C222" s="617"/>
      <c r="D222" s="617"/>
      <c r="E222" s="617"/>
      <c r="F222" s="617"/>
      <c r="K222" s="380"/>
      <c r="L222" s="380"/>
      <c r="M222" s="380"/>
      <c r="N222" s="380"/>
      <c r="O222" s="380"/>
      <c r="P222" s="380"/>
    </row>
    <row r="223" spans="1:16" ht="18.75">
      <c r="A223" s="617"/>
      <c r="B223" s="617"/>
      <c r="C223" s="617"/>
      <c r="D223" s="617"/>
      <c r="E223" s="617"/>
      <c r="F223" s="617"/>
      <c r="K223" s="380"/>
      <c r="L223" s="380"/>
      <c r="M223" s="380"/>
      <c r="N223" s="380"/>
      <c r="O223" s="380"/>
      <c r="P223" s="380"/>
    </row>
    <row r="224" spans="1:16" ht="18.75" customHeight="1">
      <c r="A224" s="617"/>
      <c r="B224" s="617"/>
      <c r="C224" s="617"/>
      <c r="D224" s="617"/>
      <c r="E224" s="617"/>
      <c r="F224" s="617"/>
      <c r="K224" s="380"/>
      <c r="L224" s="380"/>
      <c r="M224" s="380"/>
      <c r="N224" s="380"/>
      <c r="O224" s="380"/>
      <c r="P224" s="380"/>
    </row>
    <row r="225" spans="1:16" ht="18.75" customHeight="1">
      <c r="A225" s="617"/>
      <c r="B225" s="617"/>
      <c r="C225" s="617"/>
      <c r="D225" s="617"/>
      <c r="E225" s="617"/>
      <c r="F225" s="617"/>
      <c r="K225" s="380"/>
      <c r="L225" s="380"/>
      <c r="M225" s="380"/>
      <c r="N225" s="380"/>
      <c r="O225" s="380"/>
      <c r="P225" s="380"/>
    </row>
    <row r="226" spans="1:16" ht="18.75" customHeight="1">
      <c r="A226" s="617"/>
      <c r="B226" s="617"/>
      <c r="C226" s="617"/>
      <c r="D226" s="617"/>
      <c r="E226" s="617"/>
      <c r="F226" s="617"/>
      <c r="K226" s="380"/>
      <c r="L226" s="380"/>
      <c r="M226" s="380"/>
      <c r="N226" s="380"/>
      <c r="O226" s="380"/>
      <c r="P226" s="380"/>
    </row>
    <row r="227" spans="1:16" ht="18.75" customHeight="1">
      <c r="A227" s="626"/>
      <c r="B227" s="626"/>
      <c r="C227" s="626"/>
      <c r="D227" s="615"/>
      <c r="E227" s="615"/>
      <c r="F227" s="381"/>
      <c r="K227" s="377"/>
      <c r="L227" s="377"/>
      <c r="M227" s="377"/>
      <c r="N227" s="378"/>
      <c r="O227" s="378"/>
      <c r="P227" s="381"/>
    </row>
    <row r="228" spans="1:16" ht="18.75" customHeight="1">
      <c r="A228" s="626"/>
      <c r="B228" s="626"/>
      <c r="C228" s="626"/>
      <c r="D228" s="615"/>
      <c r="E228" s="615"/>
      <c r="F228" s="381"/>
      <c r="K228" s="377"/>
      <c r="L228" s="377"/>
      <c r="M228" s="377"/>
      <c r="N228" s="378"/>
      <c r="O228" s="378"/>
      <c r="P228" s="381"/>
    </row>
    <row r="229" spans="1:16" ht="18.75" customHeight="1">
      <c r="A229" s="626"/>
      <c r="B229" s="626"/>
      <c r="C229" s="626"/>
      <c r="D229" s="615"/>
      <c r="E229" s="615"/>
      <c r="F229" s="378"/>
      <c r="K229" s="377"/>
      <c r="L229" s="377"/>
      <c r="M229" s="377"/>
      <c r="N229" s="378"/>
      <c r="O229" s="378"/>
      <c r="P229" s="378"/>
    </row>
    <row r="230" spans="1:16" ht="18.75" customHeight="1">
      <c r="A230" s="626"/>
      <c r="B230" s="626"/>
      <c r="C230" s="626"/>
      <c r="D230" s="615"/>
      <c r="E230" s="615"/>
      <c r="F230" s="378"/>
      <c r="K230" s="377"/>
      <c r="L230" s="377"/>
      <c r="M230" s="377"/>
      <c r="N230" s="378"/>
      <c r="O230" s="378"/>
      <c r="P230" s="378"/>
    </row>
    <row r="231" spans="1:16" ht="18.75" customHeight="1">
      <c r="A231" s="626"/>
      <c r="B231" s="626"/>
      <c r="C231" s="626"/>
      <c r="D231" s="615"/>
      <c r="E231" s="615"/>
      <c r="F231" s="378"/>
      <c r="K231" s="377"/>
      <c r="L231" s="377"/>
      <c r="M231" s="377"/>
      <c r="N231" s="378"/>
      <c r="O231" s="378"/>
      <c r="P231" s="378"/>
    </row>
    <row r="232" spans="1:16" ht="18.75" customHeight="1">
      <c r="A232" s="626"/>
      <c r="B232" s="626"/>
      <c r="C232" s="626"/>
      <c r="D232" s="615"/>
      <c r="E232" s="615"/>
      <c r="F232" s="378"/>
      <c r="K232" s="377"/>
      <c r="L232" s="377"/>
      <c r="M232" s="377"/>
      <c r="N232" s="378"/>
      <c r="O232" s="378"/>
      <c r="P232" s="378"/>
    </row>
    <row r="233" spans="1:16" ht="18.75" customHeight="1">
      <c r="A233" s="626"/>
      <c r="B233" s="626"/>
      <c r="C233" s="626"/>
      <c r="D233" s="615"/>
      <c r="E233" s="615"/>
      <c r="F233" s="378"/>
      <c r="K233" s="377"/>
      <c r="L233" s="377"/>
      <c r="M233" s="377"/>
      <c r="N233" s="378"/>
      <c r="O233" s="378"/>
      <c r="P233" s="378"/>
    </row>
    <row r="234" spans="1:16" ht="76.5" customHeight="1">
      <c r="A234" s="627"/>
      <c r="B234" s="627"/>
      <c r="C234" s="627"/>
      <c r="D234" s="627"/>
      <c r="E234" s="628"/>
      <c r="F234" s="628"/>
      <c r="K234" s="382"/>
      <c r="L234" s="382"/>
      <c r="M234" s="382"/>
      <c r="N234" s="382"/>
      <c r="O234" s="383"/>
      <c r="P234" s="383"/>
    </row>
    <row r="235" spans="1:16" ht="18.75">
      <c r="A235" s="617"/>
      <c r="B235" s="617"/>
      <c r="C235" s="617"/>
      <c r="D235" s="617"/>
      <c r="E235" s="617"/>
      <c r="F235" s="617"/>
      <c r="K235" s="380"/>
      <c r="L235" s="380"/>
      <c r="M235" s="380"/>
      <c r="N235" s="380"/>
      <c r="O235" s="380"/>
      <c r="P235" s="380"/>
    </row>
    <row r="236" spans="1:16" ht="18.75">
      <c r="A236" s="617"/>
      <c r="B236" s="617"/>
      <c r="C236" s="617"/>
      <c r="D236" s="617"/>
      <c r="E236" s="617"/>
      <c r="F236" s="617"/>
      <c r="K236" s="380"/>
      <c r="L236" s="380"/>
      <c r="M236" s="380"/>
      <c r="N236" s="380"/>
      <c r="O236" s="380"/>
      <c r="P236" s="380"/>
    </row>
    <row r="237" spans="1:16" ht="18.75" customHeight="1">
      <c r="A237" s="617"/>
      <c r="B237" s="617"/>
      <c r="C237" s="617"/>
      <c r="D237" s="617"/>
      <c r="E237" s="617"/>
      <c r="F237" s="617"/>
      <c r="K237" s="380"/>
      <c r="L237" s="380"/>
      <c r="M237" s="380"/>
      <c r="N237" s="380"/>
      <c r="O237" s="380"/>
      <c r="P237" s="380"/>
    </row>
    <row r="238" spans="1:16" ht="18.75" customHeight="1">
      <c r="A238" s="617"/>
      <c r="B238" s="617"/>
      <c r="C238" s="617"/>
      <c r="D238" s="617"/>
      <c r="E238" s="617"/>
      <c r="F238" s="617"/>
      <c r="K238" s="380"/>
      <c r="L238" s="380"/>
      <c r="M238" s="380"/>
      <c r="N238" s="380"/>
      <c r="O238" s="380"/>
      <c r="P238" s="380"/>
    </row>
    <row r="239" spans="1:16" ht="18.75" customHeight="1">
      <c r="A239" s="617"/>
      <c r="B239" s="617"/>
      <c r="C239" s="617"/>
      <c r="D239" s="617"/>
      <c r="E239" s="617"/>
      <c r="F239" s="617"/>
      <c r="K239" s="380"/>
      <c r="L239" s="380"/>
      <c r="M239" s="380"/>
      <c r="N239" s="380"/>
      <c r="O239" s="380"/>
      <c r="P239" s="380"/>
    </row>
    <row r="240" spans="1:16" ht="18.75" customHeight="1">
      <c r="A240" s="626"/>
      <c r="B240" s="626"/>
      <c r="C240" s="626"/>
      <c r="D240" s="615"/>
      <c r="E240" s="615"/>
      <c r="F240" s="381"/>
      <c r="K240" s="377"/>
      <c r="L240" s="377"/>
      <c r="M240" s="377"/>
      <c r="N240" s="378"/>
      <c r="O240" s="378"/>
      <c r="P240" s="381"/>
    </row>
    <row r="241" spans="1:16" ht="18.75" customHeight="1">
      <c r="A241" s="626"/>
      <c r="B241" s="626"/>
      <c r="C241" s="626"/>
      <c r="D241" s="615"/>
      <c r="E241" s="615"/>
      <c r="F241" s="381"/>
      <c r="K241" s="377"/>
      <c r="L241" s="377"/>
      <c r="M241" s="377"/>
      <c r="N241" s="378"/>
      <c r="O241" s="378"/>
      <c r="P241" s="381"/>
    </row>
    <row r="242" spans="1:16" ht="18.75" customHeight="1">
      <c r="A242" s="626"/>
      <c r="B242" s="626"/>
      <c r="C242" s="626"/>
      <c r="D242" s="615"/>
      <c r="E242" s="615"/>
      <c r="F242" s="378"/>
      <c r="K242" s="377"/>
      <c r="L242" s="377"/>
      <c r="M242" s="377"/>
      <c r="N242" s="378"/>
      <c r="O242" s="378"/>
      <c r="P242" s="378"/>
    </row>
    <row r="243" spans="1:16" ht="18.75" customHeight="1">
      <c r="A243" s="626"/>
      <c r="B243" s="626"/>
      <c r="C243" s="626"/>
      <c r="D243" s="615"/>
      <c r="E243" s="615"/>
      <c r="F243" s="378"/>
      <c r="K243" s="377"/>
      <c r="L243" s="377"/>
      <c r="M243" s="377"/>
      <c r="N243" s="378"/>
      <c r="O243" s="378"/>
      <c r="P243" s="378"/>
    </row>
    <row r="244" spans="1:16" ht="18.75" customHeight="1">
      <c r="A244" s="626"/>
      <c r="B244" s="626"/>
      <c r="C244" s="626"/>
      <c r="D244" s="615"/>
      <c r="E244" s="615"/>
      <c r="F244" s="378"/>
      <c r="K244" s="377"/>
      <c r="L244" s="377"/>
      <c r="M244" s="377"/>
      <c r="N244" s="378"/>
      <c r="O244" s="378"/>
      <c r="P244" s="378"/>
    </row>
    <row r="245" spans="1:16" ht="18.75" customHeight="1">
      <c r="A245" s="626"/>
      <c r="B245" s="626"/>
      <c r="C245" s="626"/>
      <c r="D245" s="615"/>
      <c r="E245" s="615"/>
      <c r="F245" s="378"/>
      <c r="K245" s="377"/>
      <c r="L245" s="377"/>
      <c r="M245" s="377"/>
      <c r="N245" s="378"/>
      <c r="O245" s="378"/>
      <c r="P245" s="378"/>
    </row>
    <row r="246" spans="1:16" ht="18.75" customHeight="1">
      <c r="A246" s="626"/>
      <c r="B246" s="626"/>
      <c r="C246" s="626"/>
      <c r="D246" s="615"/>
      <c r="E246" s="615"/>
      <c r="F246" s="378"/>
      <c r="K246" s="377"/>
      <c r="L246" s="377"/>
      <c r="M246" s="377"/>
      <c r="N246" s="378"/>
      <c r="O246" s="378"/>
      <c r="P246" s="378"/>
    </row>
    <row r="247" spans="1:16" ht="76.5" customHeight="1">
      <c r="A247" s="627"/>
      <c r="B247" s="627"/>
      <c r="C247" s="627"/>
      <c r="D247" s="627"/>
      <c r="E247" s="628"/>
      <c r="F247" s="628"/>
      <c r="K247" s="382"/>
      <c r="L247" s="382"/>
      <c r="M247" s="382"/>
      <c r="N247" s="382"/>
      <c r="O247" s="383"/>
      <c r="P247" s="383"/>
    </row>
    <row r="248" spans="1:16" ht="18.75">
      <c r="A248" s="617"/>
      <c r="B248" s="617"/>
      <c r="C248" s="617"/>
      <c r="D248" s="617"/>
      <c r="E248" s="617"/>
      <c r="F248" s="617"/>
      <c r="K248" s="380"/>
      <c r="L248" s="380"/>
      <c r="M248" s="380"/>
      <c r="N248" s="380"/>
      <c r="O248" s="380"/>
      <c r="P248" s="380"/>
    </row>
    <row r="249" spans="1:16" ht="18.75">
      <c r="A249" s="617"/>
      <c r="B249" s="617"/>
      <c r="C249" s="617"/>
      <c r="D249" s="617"/>
      <c r="E249" s="617"/>
      <c r="F249" s="617"/>
      <c r="K249" s="380"/>
      <c r="L249" s="380"/>
      <c r="M249" s="380"/>
      <c r="N249" s="380"/>
      <c r="O249" s="380"/>
      <c r="P249" s="380"/>
    </row>
    <row r="250" spans="1:16" ht="18.75" customHeight="1">
      <c r="A250" s="617"/>
      <c r="B250" s="617"/>
      <c r="C250" s="617"/>
      <c r="D250" s="617"/>
      <c r="E250" s="617"/>
      <c r="F250" s="617"/>
      <c r="K250" s="380"/>
      <c r="L250" s="380"/>
      <c r="M250" s="380"/>
      <c r="N250" s="380"/>
      <c r="O250" s="380"/>
      <c r="P250" s="380"/>
    </row>
    <row r="251" spans="1:16" ht="18.75" customHeight="1">
      <c r="A251" s="617"/>
      <c r="B251" s="617"/>
      <c r="C251" s="617"/>
      <c r="D251" s="617"/>
      <c r="E251" s="617"/>
      <c r="F251" s="617"/>
      <c r="K251" s="380"/>
      <c r="L251" s="380"/>
      <c r="M251" s="380"/>
      <c r="N251" s="380"/>
      <c r="O251" s="380"/>
      <c r="P251" s="380"/>
    </row>
    <row r="252" spans="1:16" ht="18.75" customHeight="1">
      <c r="A252" s="617"/>
      <c r="B252" s="617"/>
      <c r="C252" s="617"/>
      <c r="D252" s="617"/>
      <c r="E252" s="617"/>
      <c r="F252" s="617"/>
      <c r="K252" s="380"/>
      <c r="L252" s="380"/>
      <c r="M252" s="380"/>
      <c r="N252" s="380"/>
      <c r="O252" s="380"/>
      <c r="P252" s="380"/>
    </row>
    <row r="253" spans="1:16" ht="18.75" customHeight="1">
      <c r="A253" s="626"/>
      <c r="B253" s="626"/>
      <c r="C253" s="626"/>
      <c r="D253" s="615"/>
      <c r="E253" s="615"/>
      <c r="F253" s="381"/>
      <c r="K253" s="377"/>
      <c r="L253" s="377"/>
      <c r="M253" s="377"/>
      <c r="N253" s="378"/>
      <c r="O253" s="378"/>
      <c r="P253" s="381"/>
    </row>
    <row r="254" spans="1:16" ht="18.75" customHeight="1">
      <c r="A254" s="626"/>
      <c r="B254" s="626"/>
      <c r="C254" s="626"/>
      <c r="D254" s="615"/>
      <c r="E254" s="615"/>
      <c r="F254" s="381"/>
      <c r="K254" s="377"/>
      <c r="L254" s="377"/>
      <c r="M254" s="377"/>
      <c r="N254" s="378"/>
      <c r="O254" s="378"/>
      <c r="P254" s="381"/>
    </row>
    <row r="255" spans="1:16" ht="18.75" customHeight="1">
      <c r="A255" s="626"/>
      <c r="B255" s="626"/>
      <c r="C255" s="626"/>
      <c r="D255" s="615"/>
      <c r="E255" s="615"/>
      <c r="F255" s="378"/>
      <c r="K255" s="377"/>
      <c r="L255" s="377"/>
      <c r="M255" s="377"/>
      <c r="N255" s="378"/>
      <c r="O255" s="378"/>
      <c r="P255" s="378"/>
    </row>
    <row r="256" spans="1:16" ht="18.75" customHeight="1">
      <c r="A256" s="626"/>
      <c r="B256" s="626"/>
      <c r="C256" s="626"/>
      <c r="D256" s="615"/>
      <c r="E256" s="615"/>
      <c r="F256" s="378"/>
      <c r="K256" s="377"/>
      <c r="L256" s="377"/>
      <c r="M256" s="377"/>
      <c r="N256" s="378"/>
      <c r="O256" s="378"/>
      <c r="P256" s="378"/>
    </row>
    <row r="257" spans="1:16" ht="18.75" customHeight="1">
      <c r="A257" s="626"/>
      <c r="B257" s="626"/>
      <c r="C257" s="626"/>
      <c r="D257" s="615"/>
      <c r="E257" s="615"/>
      <c r="F257" s="378"/>
      <c r="K257" s="377"/>
      <c r="L257" s="377"/>
      <c r="M257" s="377"/>
      <c r="N257" s="378"/>
      <c r="O257" s="378"/>
      <c r="P257" s="378"/>
    </row>
    <row r="258" spans="1:16" ht="18.75" customHeight="1">
      <c r="A258" s="626"/>
      <c r="B258" s="626"/>
      <c r="C258" s="626"/>
      <c r="D258" s="615"/>
      <c r="E258" s="615"/>
      <c r="F258" s="378"/>
      <c r="K258" s="377"/>
      <c r="L258" s="377"/>
      <c r="M258" s="377"/>
      <c r="N258" s="378"/>
      <c r="O258" s="378"/>
      <c r="P258" s="378"/>
    </row>
    <row r="259" spans="1:16" ht="18.75" customHeight="1">
      <c r="A259" s="626"/>
      <c r="B259" s="626"/>
      <c r="C259" s="626"/>
      <c r="D259" s="615"/>
      <c r="E259" s="615"/>
      <c r="F259" s="378"/>
      <c r="K259" s="377"/>
      <c r="L259" s="377"/>
      <c r="M259" s="377"/>
      <c r="N259" s="378"/>
      <c r="O259" s="378"/>
      <c r="P259" s="378"/>
    </row>
    <row r="260" spans="1:16" ht="76.5" customHeight="1">
      <c r="A260" s="627"/>
      <c r="B260" s="627"/>
      <c r="C260" s="627"/>
      <c r="D260" s="627"/>
      <c r="E260" s="628"/>
      <c r="F260" s="628"/>
      <c r="K260" s="382"/>
      <c r="L260" s="382"/>
      <c r="M260" s="382"/>
      <c r="N260" s="382"/>
      <c r="O260" s="383"/>
      <c r="P260" s="383"/>
    </row>
    <row r="261" spans="1:16" ht="18.75">
      <c r="A261" s="617"/>
      <c r="B261" s="617"/>
      <c r="C261" s="617"/>
      <c r="D261" s="617"/>
      <c r="E261" s="617"/>
      <c r="F261" s="617"/>
      <c r="K261" s="380"/>
      <c r="L261" s="380"/>
      <c r="M261" s="380"/>
      <c r="N261" s="380"/>
      <c r="O261" s="380"/>
      <c r="P261" s="380"/>
    </row>
    <row r="262" spans="1:16" ht="18.75">
      <c r="A262" s="617"/>
      <c r="B262" s="617"/>
      <c r="C262" s="617"/>
      <c r="D262" s="617"/>
      <c r="E262" s="617"/>
      <c r="F262" s="617"/>
      <c r="K262" s="380"/>
      <c r="L262" s="380"/>
      <c r="M262" s="380"/>
      <c r="N262" s="380"/>
      <c r="O262" s="380"/>
      <c r="P262" s="380"/>
    </row>
    <row r="263" spans="1:16" ht="18.75" customHeight="1">
      <c r="A263" s="617"/>
      <c r="B263" s="617"/>
      <c r="C263" s="617"/>
      <c r="D263" s="617"/>
      <c r="E263" s="617"/>
      <c r="F263" s="617"/>
      <c r="K263" s="380"/>
      <c r="L263" s="380"/>
      <c r="M263" s="380"/>
      <c r="N263" s="380"/>
      <c r="O263" s="380"/>
      <c r="P263" s="380"/>
    </row>
    <row r="264" spans="1:16" ht="18.75" customHeight="1">
      <c r="A264" s="617"/>
      <c r="B264" s="617"/>
      <c r="C264" s="617"/>
      <c r="D264" s="617"/>
      <c r="E264" s="617"/>
      <c r="F264" s="617"/>
      <c r="K264" s="380"/>
      <c r="L264" s="380"/>
      <c r="M264" s="380"/>
      <c r="N264" s="380"/>
      <c r="O264" s="380"/>
      <c r="P264" s="380"/>
    </row>
    <row r="265" spans="1:16" ht="18.75" customHeight="1">
      <c r="A265" s="617"/>
      <c r="B265" s="617"/>
      <c r="C265" s="617"/>
      <c r="D265" s="617"/>
      <c r="E265" s="617"/>
      <c r="F265" s="617"/>
      <c r="K265" s="380"/>
      <c r="L265" s="380"/>
      <c r="M265" s="380"/>
      <c r="N265" s="380"/>
      <c r="O265" s="380"/>
      <c r="P265" s="380"/>
    </row>
    <row r="266" spans="1:16" ht="18.75" customHeight="1">
      <c r="A266" s="626"/>
      <c r="B266" s="626"/>
      <c r="C266" s="626"/>
      <c r="D266" s="615"/>
      <c r="E266" s="615"/>
      <c r="F266" s="381"/>
      <c r="K266" s="377"/>
      <c r="L266" s="377"/>
      <c r="M266" s="377"/>
      <c r="N266" s="378"/>
      <c r="O266" s="378"/>
      <c r="P266" s="381"/>
    </row>
    <row r="267" spans="1:16" ht="18.75" customHeight="1">
      <c r="A267" s="626"/>
      <c r="B267" s="626"/>
      <c r="C267" s="626"/>
      <c r="D267" s="615"/>
      <c r="E267" s="615"/>
      <c r="F267" s="381"/>
      <c r="K267" s="377"/>
      <c r="L267" s="377"/>
      <c r="M267" s="377"/>
      <c r="N267" s="378"/>
      <c r="O267" s="378"/>
      <c r="P267" s="381"/>
    </row>
    <row r="268" spans="1:16" ht="18.75" customHeight="1">
      <c r="A268" s="626"/>
      <c r="B268" s="626"/>
      <c r="C268" s="626"/>
      <c r="D268" s="615"/>
      <c r="E268" s="615"/>
      <c r="F268" s="378"/>
      <c r="K268" s="377"/>
      <c r="L268" s="377"/>
      <c r="M268" s="377"/>
      <c r="N268" s="378"/>
      <c r="O268" s="378"/>
      <c r="P268" s="378"/>
    </row>
    <row r="269" spans="1:16" ht="18.75" customHeight="1">
      <c r="A269" s="626"/>
      <c r="B269" s="626"/>
      <c r="C269" s="626"/>
      <c r="D269" s="615"/>
      <c r="E269" s="615"/>
      <c r="F269" s="378"/>
      <c r="K269" s="377"/>
      <c r="L269" s="377"/>
      <c r="M269" s="377"/>
      <c r="N269" s="378"/>
      <c r="O269" s="378"/>
      <c r="P269" s="378"/>
    </row>
    <row r="270" spans="1:16" ht="18.75" customHeight="1">
      <c r="A270" s="626"/>
      <c r="B270" s="626"/>
      <c r="C270" s="626"/>
      <c r="D270" s="615"/>
      <c r="E270" s="615"/>
      <c r="F270" s="378"/>
      <c r="K270" s="377"/>
      <c r="L270" s="377"/>
      <c r="M270" s="377"/>
      <c r="N270" s="378"/>
      <c r="O270" s="378"/>
      <c r="P270" s="378"/>
    </row>
    <row r="271" spans="1:16" ht="18.75" customHeight="1">
      <c r="A271" s="626"/>
      <c r="B271" s="626"/>
      <c r="C271" s="626"/>
      <c r="D271" s="615"/>
      <c r="E271" s="615"/>
      <c r="F271" s="378"/>
      <c r="K271" s="377"/>
      <c r="L271" s="377"/>
      <c r="M271" s="377"/>
      <c r="N271" s="378"/>
      <c r="O271" s="378"/>
      <c r="P271" s="378"/>
    </row>
    <row r="272" spans="1:16" ht="18.75" customHeight="1">
      <c r="A272" s="626"/>
      <c r="B272" s="626"/>
      <c r="C272" s="626"/>
      <c r="D272" s="615"/>
      <c r="E272" s="615"/>
      <c r="F272" s="378"/>
      <c r="K272" s="377"/>
      <c r="L272" s="377"/>
      <c r="M272" s="377"/>
      <c r="N272" s="378"/>
      <c r="O272" s="378"/>
      <c r="P272" s="378"/>
    </row>
    <row r="273" spans="1:16" ht="76.5" customHeight="1">
      <c r="A273" s="627"/>
      <c r="B273" s="627"/>
      <c r="C273" s="627"/>
      <c r="D273" s="627"/>
      <c r="E273" s="628"/>
      <c r="F273" s="628"/>
      <c r="K273" s="382"/>
      <c r="L273" s="382"/>
      <c r="M273" s="382"/>
      <c r="N273" s="382"/>
      <c r="O273" s="383"/>
      <c r="P273" s="383"/>
    </row>
    <row r="274" spans="1:16" ht="18.75">
      <c r="A274" s="617"/>
      <c r="B274" s="617"/>
      <c r="C274" s="617"/>
      <c r="D274" s="617"/>
      <c r="E274" s="617"/>
      <c r="F274" s="617"/>
      <c r="K274" s="380"/>
      <c r="L274" s="380"/>
      <c r="M274" s="380"/>
      <c r="N274" s="380"/>
      <c r="O274" s="380"/>
      <c r="P274" s="380"/>
    </row>
    <row r="275" spans="1:16" ht="18.75">
      <c r="A275" s="617"/>
      <c r="B275" s="617"/>
      <c r="C275" s="617"/>
      <c r="D275" s="617"/>
      <c r="E275" s="617"/>
      <c r="F275" s="617"/>
      <c r="K275" s="380"/>
      <c r="L275" s="380"/>
      <c r="M275" s="380"/>
      <c r="N275" s="380"/>
      <c r="O275" s="380"/>
      <c r="P275" s="380"/>
    </row>
    <row r="276" spans="1:16" ht="18.75" customHeight="1">
      <c r="A276" s="617"/>
      <c r="B276" s="617"/>
      <c r="C276" s="617"/>
      <c r="D276" s="617"/>
      <c r="E276" s="617"/>
      <c r="F276" s="617"/>
      <c r="K276" s="380"/>
      <c r="L276" s="380"/>
      <c r="M276" s="380"/>
      <c r="N276" s="380"/>
      <c r="O276" s="380"/>
      <c r="P276" s="380"/>
    </row>
    <row r="277" spans="1:16" ht="18.75" customHeight="1">
      <c r="A277" s="617"/>
      <c r="B277" s="617"/>
      <c r="C277" s="617"/>
      <c r="D277" s="617"/>
      <c r="E277" s="617"/>
      <c r="F277" s="617"/>
      <c r="K277" s="380"/>
      <c r="L277" s="380"/>
      <c r="M277" s="380"/>
      <c r="N277" s="380"/>
      <c r="O277" s="380"/>
      <c r="P277" s="380"/>
    </row>
    <row r="278" spans="1:16" ht="18.75" customHeight="1">
      <c r="A278" s="617"/>
      <c r="B278" s="617"/>
      <c r="C278" s="617"/>
      <c r="D278" s="617"/>
      <c r="E278" s="617"/>
      <c r="F278" s="617"/>
      <c r="K278" s="380"/>
      <c r="L278" s="380"/>
      <c r="M278" s="380"/>
      <c r="N278" s="380"/>
      <c r="O278" s="380"/>
      <c r="P278" s="380"/>
    </row>
    <row r="279" spans="1:16" ht="18.75" customHeight="1">
      <c r="A279" s="626"/>
      <c r="B279" s="626"/>
      <c r="C279" s="626"/>
      <c r="D279" s="615"/>
      <c r="E279" s="615"/>
      <c r="F279" s="381"/>
      <c r="K279" s="377"/>
      <c r="L279" s="377"/>
      <c r="M279" s="377"/>
      <c r="N279" s="378"/>
      <c r="O279" s="378"/>
      <c r="P279" s="381"/>
    </row>
    <row r="280" spans="1:16" ht="18.75" customHeight="1">
      <c r="A280" s="626"/>
      <c r="B280" s="626"/>
      <c r="C280" s="626"/>
      <c r="D280" s="615"/>
      <c r="E280" s="615"/>
      <c r="F280" s="381"/>
      <c r="K280" s="377"/>
      <c r="L280" s="377"/>
      <c r="M280" s="377"/>
      <c r="N280" s="378"/>
      <c r="O280" s="378"/>
      <c r="P280" s="381"/>
    </row>
    <row r="281" spans="1:16" ht="18.75" customHeight="1">
      <c r="A281" s="626"/>
      <c r="B281" s="626"/>
      <c r="C281" s="626"/>
      <c r="D281" s="615"/>
      <c r="E281" s="615"/>
      <c r="F281" s="378"/>
      <c r="K281" s="377"/>
      <c r="L281" s="377"/>
      <c r="M281" s="377"/>
      <c r="N281" s="378"/>
      <c r="O281" s="378"/>
      <c r="P281" s="378"/>
    </row>
    <row r="282" spans="1:16" ht="18.75" customHeight="1">
      <c r="A282" s="626"/>
      <c r="B282" s="626"/>
      <c r="C282" s="626"/>
      <c r="D282" s="615"/>
      <c r="E282" s="615"/>
      <c r="F282" s="378"/>
      <c r="K282" s="377"/>
      <c r="L282" s="377"/>
      <c r="M282" s="377"/>
      <c r="N282" s="378"/>
      <c r="O282" s="378"/>
      <c r="P282" s="378"/>
    </row>
    <row r="283" spans="1:16" ht="18.75" customHeight="1">
      <c r="A283" s="626"/>
      <c r="B283" s="626"/>
      <c r="C283" s="626"/>
      <c r="D283" s="615"/>
      <c r="E283" s="615"/>
      <c r="F283" s="378"/>
      <c r="K283" s="377"/>
      <c r="L283" s="377"/>
      <c r="M283" s="377"/>
      <c r="N283" s="378"/>
      <c r="O283" s="378"/>
      <c r="P283" s="378"/>
    </row>
    <row r="284" spans="1:16" ht="18.75" customHeight="1">
      <c r="A284" s="626"/>
      <c r="B284" s="626"/>
      <c r="C284" s="626"/>
      <c r="D284" s="615"/>
      <c r="E284" s="615"/>
      <c r="F284" s="378"/>
      <c r="K284" s="377"/>
      <c r="L284" s="377"/>
      <c r="M284" s="377"/>
      <c r="N284" s="378"/>
      <c r="O284" s="378"/>
      <c r="P284" s="378"/>
    </row>
    <row r="285" spans="1:16" ht="18.75" customHeight="1">
      <c r="A285" s="626"/>
      <c r="B285" s="626"/>
      <c r="C285" s="626"/>
      <c r="D285" s="615"/>
      <c r="E285" s="615"/>
      <c r="F285" s="378"/>
      <c r="K285" s="377"/>
      <c r="L285" s="377"/>
      <c r="M285" s="377"/>
      <c r="N285" s="378"/>
      <c r="O285" s="378"/>
      <c r="P285" s="378"/>
    </row>
    <row r="286" spans="1:16" ht="76.5" customHeight="1">
      <c r="A286" s="627"/>
      <c r="B286" s="627"/>
      <c r="C286" s="627"/>
      <c r="D286" s="627"/>
      <c r="E286" s="628"/>
      <c r="F286" s="628"/>
      <c r="K286" s="382"/>
      <c r="L286" s="382"/>
      <c r="M286" s="382"/>
      <c r="N286" s="382"/>
      <c r="O286" s="383"/>
      <c r="P286" s="383"/>
    </row>
    <row r="287" spans="1:16" ht="18.75">
      <c r="A287" s="617"/>
      <c r="B287" s="617"/>
      <c r="C287" s="617"/>
      <c r="D287" s="617"/>
      <c r="E287" s="617"/>
      <c r="F287" s="617"/>
      <c r="K287" s="380"/>
      <c r="L287" s="380"/>
      <c r="M287" s="380"/>
      <c r="N287" s="380"/>
      <c r="O287" s="380"/>
      <c r="P287" s="380"/>
    </row>
    <row r="288" spans="1:16" ht="18.75">
      <c r="A288" s="617"/>
      <c r="B288" s="617"/>
      <c r="C288" s="617"/>
      <c r="D288" s="617"/>
      <c r="E288" s="617"/>
      <c r="F288" s="617"/>
      <c r="K288" s="380"/>
      <c r="L288" s="380"/>
      <c r="M288" s="380"/>
      <c r="N288" s="380"/>
      <c r="O288" s="380"/>
      <c r="P288" s="380"/>
    </row>
    <row r="289" spans="1:16" ht="18.75" customHeight="1">
      <c r="A289" s="617"/>
      <c r="B289" s="617"/>
      <c r="C289" s="617"/>
      <c r="D289" s="617"/>
      <c r="E289" s="617"/>
      <c r="F289" s="617"/>
      <c r="K289" s="380"/>
      <c r="L289" s="380"/>
      <c r="M289" s="380"/>
      <c r="N289" s="380"/>
      <c r="O289" s="380"/>
      <c r="P289" s="380"/>
    </row>
    <row r="290" spans="1:16" ht="18.75" customHeight="1">
      <c r="A290" s="617"/>
      <c r="B290" s="617"/>
      <c r="C290" s="617"/>
      <c r="D290" s="617"/>
      <c r="E290" s="617"/>
      <c r="F290" s="617"/>
      <c r="K290" s="380"/>
      <c r="L290" s="380"/>
      <c r="M290" s="380"/>
      <c r="N290" s="380"/>
      <c r="O290" s="380"/>
      <c r="P290" s="380"/>
    </row>
    <row r="291" spans="1:16" ht="18.75" customHeight="1">
      <c r="A291" s="617"/>
      <c r="B291" s="617"/>
      <c r="C291" s="617"/>
      <c r="D291" s="617"/>
      <c r="E291" s="617"/>
      <c r="F291" s="617"/>
      <c r="K291" s="380"/>
      <c r="L291" s="380"/>
      <c r="M291" s="380"/>
      <c r="N291" s="380"/>
      <c r="O291" s="380"/>
      <c r="P291" s="380"/>
    </row>
    <row r="292" spans="1:16" ht="18.75" customHeight="1">
      <c r="A292" s="626"/>
      <c r="B292" s="626"/>
      <c r="C292" s="626"/>
      <c r="D292" s="615"/>
      <c r="E292" s="615"/>
      <c r="F292" s="381"/>
      <c r="K292" s="377"/>
      <c r="L292" s="377"/>
      <c r="M292" s="377"/>
      <c r="N292" s="378"/>
      <c r="O292" s="378"/>
      <c r="P292" s="381"/>
    </row>
    <row r="293" spans="1:16" ht="18.75" customHeight="1">
      <c r="A293" s="626"/>
      <c r="B293" s="626"/>
      <c r="C293" s="626"/>
      <c r="D293" s="615"/>
      <c r="E293" s="615"/>
      <c r="F293" s="381"/>
      <c r="K293" s="377"/>
      <c r="L293" s="377"/>
      <c r="M293" s="377"/>
      <c r="N293" s="378"/>
      <c r="O293" s="378"/>
      <c r="P293" s="381"/>
    </row>
    <row r="294" spans="1:16" ht="18.75" customHeight="1">
      <c r="A294" s="626"/>
      <c r="B294" s="626"/>
      <c r="C294" s="626"/>
      <c r="D294" s="615"/>
      <c r="E294" s="615"/>
      <c r="F294" s="378"/>
      <c r="K294" s="377"/>
      <c r="L294" s="377"/>
      <c r="M294" s="377"/>
      <c r="N294" s="378"/>
      <c r="O294" s="378"/>
      <c r="P294" s="378"/>
    </row>
    <row r="295" spans="1:16" ht="18.75" customHeight="1">
      <c r="A295" s="626"/>
      <c r="B295" s="626"/>
      <c r="C295" s="626"/>
      <c r="D295" s="615"/>
      <c r="E295" s="615"/>
      <c r="F295" s="378"/>
      <c r="K295" s="377"/>
      <c r="L295" s="377"/>
      <c r="M295" s="377"/>
      <c r="N295" s="378"/>
      <c r="O295" s="378"/>
      <c r="P295" s="378"/>
    </row>
    <row r="296" spans="1:16" ht="18.75" customHeight="1">
      <c r="A296" s="626"/>
      <c r="B296" s="626"/>
      <c r="C296" s="626"/>
      <c r="D296" s="615"/>
      <c r="E296" s="615"/>
      <c r="F296" s="378"/>
      <c r="K296" s="377"/>
      <c r="L296" s="377"/>
      <c r="M296" s="377"/>
      <c r="N296" s="378"/>
      <c r="O296" s="378"/>
      <c r="P296" s="378"/>
    </row>
    <row r="297" spans="1:16" ht="18.75" customHeight="1">
      <c r="A297" s="626"/>
      <c r="B297" s="626"/>
      <c r="C297" s="626"/>
      <c r="D297" s="615"/>
      <c r="E297" s="615"/>
      <c r="F297" s="378"/>
      <c r="K297" s="377"/>
      <c r="L297" s="377"/>
      <c r="M297" s="377"/>
      <c r="N297" s="378"/>
      <c r="O297" s="378"/>
      <c r="P297" s="378"/>
    </row>
    <row r="298" spans="1:16" ht="18.75" customHeight="1">
      <c r="A298" s="626"/>
      <c r="B298" s="626"/>
      <c r="C298" s="626"/>
      <c r="D298" s="615"/>
      <c r="E298" s="615"/>
      <c r="F298" s="378"/>
      <c r="K298" s="377"/>
      <c r="L298" s="377"/>
      <c r="M298" s="377"/>
      <c r="N298" s="378"/>
      <c r="O298" s="378"/>
      <c r="P298" s="378"/>
    </row>
    <row r="299" spans="1:16" ht="76.5" customHeight="1">
      <c r="A299" s="627"/>
      <c r="B299" s="627"/>
      <c r="C299" s="627"/>
      <c r="D299" s="627"/>
      <c r="E299" s="628"/>
      <c r="F299" s="628"/>
      <c r="K299" s="382"/>
      <c r="L299" s="382"/>
      <c r="M299" s="382"/>
      <c r="N299" s="382"/>
      <c r="O299" s="383"/>
      <c r="P299" s="383"/>
    </row>
    <row r="300" spans="1:16" ht="18.75">
      <c r="A300" s="617"/>
      <c r="B300" s="617"/>
      <c r="C300" s="617"/>
      <c r="D300" s="617"/>
      <c r="E300" s="617"/>
      <c r="F300" s="617"/>
      <c r="K300" s="380"/>
      <c r="L300" s="380"/>
      <c r="M300" s="380"/>
      <c r="N300" s="380"/>
      <c r="O300" s="380"/>
      <c r="P300" s="380"/>
    </row>
    <row r="301" spans="1:16" ht="18.75">
      <c r="A301" s="617"/>
      <c r="B301" s="617"/>
      <c r="C301" s="617"/>
      <c r="D301" s="617"/>
      <c r="E301" s="617"/>
      <c r="F301" s="617"/>
      <c r="K301" s="380"/>
      <c r="L301" s="380"/>
      <c r="M301" s="380"/>
      <c r="N301" s="380"/>
      <c r="O301" s="380"/>
      <c r="P301" s="380"/>
    </row>
    <row r="302" spans="1:16" ht="18.75" customHeight="1">
      <c r="A302" s="617"/>
      <c r="B302" s="617"/>
      <c r="C302" s="617"/>
      <c r="D302" s="617"/>
      <c r="E302" s="617"/>
      <c r="F302" s="617"/>
      <c r="K302" s="380"/>
      <c r="L302" s="380"/>
      <c r="M302" s="380"/>
      <c r="N302" s="380"/>
      <c r="O302" s="380"/>
      <c r="P302" s="380"/>
    </row>
    <row r="303" spans="1:16" ht="18.75" customHeight="1">
      <c r="A303" s="617"/>
      <c r="B303" s="617"/>
      <c r="C303" s="617"/>
      <c r="D303" s="617"/>
      <c r="E303" s="617"/>
      <c r="F303" s="617"/>
      <c r="K303" s="380"/>
      <c r="L303" s="380"/>
      <c r="M303" s="380"/>
      <c r="N303" s="380"/>
      <c r="O303" s="380"/>
      <c r="P303" s="380"/>
    </row>
    <row r="304" spans="1:16" ht="18.75" customHeight="1">
      <c r="A304" s="617"/>
      <c r="B304" s="617"/>
      <c r="C304" s="617"/>
      <c r="D304" s="617"/>
      <c r="E304" s="617"/>
      <c r="F304" s="617"/>
      <c r="K304" s="380"/>
      <c r="L304" s="380"/>
      <c r="M304" s="380"/>
      <c r="N304" s="380"/>
      <c r="O304" s="380"/>
      <c r="P304" s="380"/>
    </row>
    <row r="305" spans="1:16" ht="18.75" customHeight="1">
      <c r="A305" s="626"/>
      <c r="B305" s="626"/>
      <c r="C305" s="626"/>
      <c r="D305" s="615"/>
      <c r="E305" s="615"/>
      <c r="F305" s="381"/>
      <c r="K305" s="377"/>
      <c r="L305" s="377"/>
      <c r="M305" s="377"/>
      <c r="N305" s="378"/>
      <c r="O305" s="378"/>
      <c r="P305" s="381"/>
    </row>
    <row r="306" spans="1:16" ht="18.75" customHeight="1">
      <c r="A306" s="626"/>
      <c r="B306" s="626"/>
      <c r="C306" s="626"/>
      <c r="D306" s="615"/>
      <c r="E306" s="615"/>
      <c r="F306" s="381"/>
      <c r="K306" s="377"/>
      <c r="L306" s="377"/>
      <c r="M306" s="377"/>
      <c r="N306" s="378"/>
      <c r="O306" s="378"/>
      <c r="P306" s="381"/>
    </row>
    <row r="307" spans="1:16" ht="18.75" customHeight="1">
      <c r="A307" s="626"/>
      <c r="B307" s="626"/>
      <c r="C307" s="626"/>
      <c r="D307" s="615"/>
      <c r="E307" s="615"/>
      <c r="F307" s="378"/>
      <c r="K307" s="377"/>
      <c r="L307" s="377"/>
      <c r="M307" s="377"/>
      <c r="N307" s="378"/>
      <c r="O307" s="378"/>
      <c r="P307" s="378"/>
    </row>
    <row r="308" spans="1:16" ht="18.75" customHeight="1">
      <c r="A308" s="626"/>
      <c r="B308" s="626"/>
      <c r="C308" s="626"/>
      <c r="D308" s="615"/>
      <c r="E308" s="615"/>
      <c r="F308" s="378"/>
      <c r="K308" s="377"/>
      <c r="L308" s="377"/>
      <c r="M308" s="377"/>
      <c r="N308" s="378"/>
      <c r="O308" s="378"/>
      <c r="P308" s="378"/>
    </row>
    <row r="309" spans="1:16" ht="18.75" customHeight="1">
      <c r="A309" s="626"/>
      <c r="B309" s="626"/>
      <c r="C309" s="626"/>
      <c r="D309" s="615"/>
      <c r="E309" s="615"/>
      <c r="F309" s="378"/>
      <c r="K309" s="377"/>
      <c r="L309" s="377"/>
      <c r="M309" s="377"/>
      <c r="N309" s="378"/>
      <c r="O309" s="378"/>
      <c r="P309" s="378"/>
    </row>
    <row r="310" spans="1:16" ht="18.75" customHeight="1">
      <c r="A310" s="626"/>
      <c r="B310" s="626"/>
      <c r="C310" s="626"/>
      <c r="D310" s="615"/>
      <c r="E310" s="615"/>
      <c r="F310" s="378"/>
      <c r="K310" s="377"/>
      <c r="L310" s="377"/>
      <c r="M310" s="377"/>
      <c r="N310" s="378"/>
      <c r="O310" s="378"/>
      <c r="P310" s="378"/>
    </row>
    <row r="311" spans="1:16" ht="18.75" customHeight="1">
      <c r="A311" s="626"/>
      <c r="B311" s="626"/>
      <c r="C311" s="626"/>
      <c r="D311" s="615"/>
      <c r="E311" s="615"/>
      <c r="F311" s="378"/>
      <c r="K311" s="377"/>
      <c r="L311" s="377"/>
      <c r="M311" s="377"/>
      <c r="N311" s="378"/>
      <c r="O311" s="378"/>
      <c r="P311" s="378"/>
    </row>
    <row r="312" spans="1:16" ht="76.5" customHeight="1">
      <c r="A312" s="627"/>
      <c r="B312" s="627"/>
      <c r="C312" s="627"/>
      <c r="D312" s="627"/>
      <c r="E312" s="628"/>
      <c r="F312" s="628"/>
      <c r="K312" s="382"/>
      <c r="L312" s="382"/>
      <c r="M312" s="382"/>
      <c r="N312" s="382"/>
      <c r="O312" s="383"/>
      <c r="P312" s="383"/>
    </row>
    <row r="313" spans="1:16" ht="18.75">
      <c r="A313" s="617"/>
      <c r="B313" s="617"/>
      <c r="C313" s="617"/>
      <c r="D313" s="617"/>
      <c r="E313" s="617"/>
      <c r="F313" s="617"/>
      <c r="K313" s="380"/>
      <c r="L313" s="380"/>
      <c r="M313" s="380"/>
      <c r="N313" s="380"/>
      <c r="O313" s="380"/>
      <c r="P313" s="380"/>
    </row>
    <row r="314" spans="1:16" ht="18.75">
      <c r="A314" s="617"/>
      <c r="B314" s="617"/>
      <c r="C314" s="617"/>
      <c r="D314" s="617"/>
      <c r="E314" s="617"/>
      <c r="F314" s="617"/>
      <c r="K314" s="380"/>
      <c r="L314" s="380"/>
      <c r="M314" s="380"/>
      <c r="N314" s="380"/>
      <c r="O314" s="380"/>
      <c r="P314" s="380"/>
    </row>
    <row r="315" spans="1:16" ht="18.75" customHeight="1">
      <c r="A315" s="617"/>
      <c r="B315" s="617"/>
      <c r="C315" s="617"/>
      <c r="D315" s="617"/>
      <c r="E315" s="617"/>
      <c r="F315" s="617"/>
      <c r="K315" s="380"/>
      <c r="L315" s="380"/>
      <c r="M315" s="380"/>
      <c r="N315" s="380"/>
      <c r="O315" s="380"/>
      <c r="P315" s="380"/>
    </row>
    <row r="316" spans="1:16" ht="18.75" customHeight="1">
      <c r="A316" s="617"/>
      <c r="B316" s="617"/>
      <c r="C316" s="617"/>
      <c r="D316" s="617"/>
      <c r="E316" s="617"/>
      <c r="F316" s="617"/>
      <c r="K316" s="380"/>
      <c r="L316" s="380"/>
      <c r="M316" s="380"/>
      <c r="N316" s="380"/>
      <c r="O316" s="380"/>
      <c r="P316" s="380"/>
    </row>
    <row r="317" spans="1:16" ht="18.75" customHeight="1">
      <c r="A317" s="617"/>
      <c r="B317" s="617"/>
      <c r="C317" s="617"/>
      <c r="D317" s="617"/>
      <c r="E317" s="617"/>
      <c r="F317" s="617"/>
      <c r="K317" s="380"/>
      <c r="L317" s="380"/>
      <c r="M317" s="380"/>
      <c r="N317" s="380"/>
      <c r="O317" s="380"/>
      <c r="P317" s="380"/>
    </row>
    <row r="318" spans="1:16" ht="18.75" customHeight="1">
      <c r="A318" s="626"/>
      <c r="B318" s="626"/>
      <c r="C318" s="626"/>
      <c r="D318" s="615"/>
      <c r="E318" s="615"/>
      <c r="F318" s="381"/>
      <c r="K318" s="377"/>
      <c r="L318" s="377"/>
      <c r="M318" s="377"/>
      <c r="N318" s="378"/>
      <c r="O318" s="378"/>
      <c r="P318" s="381"/>
    </row>
    <row r="319" spans="1:16" ht="18.75" customHeight="1">
      <c r="A319" s="626"/>
      <c r="B319" s="626"/>
      <c r="C319" s="626"/>
      <c r="D319" s="615"/>
      <c r="E319" s="615"/>
      <c r="F319" s="381"/>
      <c r="K319" s="377"/>
      <c r="L319" s="377"/>
      <c r="M319" s="377"/>
      <c r="N319" s="378"/>
      <c r="O319" s="378"/>
      <c r="P319" s="381"/>
    </row>
    <row r="320" spans="1:16" ht="18.75" customHeight="1">
      <c r="A320" s="626"/>
      <c r="B320" s="626"/>
      <c r="C320" s="626"/>
      <c r="D320" s="615"/>
      <c r="E320" s="615"/>
      <c r="F320" s="378"/>
      <c r="K320" s="377"/>
      <c r="L320" s="377"/>
      <c r="M320" s="377"/>
      <c r="N320" s="378"/>
      <c r="O320" s="378"/>
      <c r="P320" s="378"/>
    </row>
    <row r="321" spans="1:16" ht="18.75" customHeight="1">
      <c r="A321" s="626"/>
      <c r="B321" s="626"/>
      <c r="C321" s="626"/>
      <c r="D321" s="615"/>
      <c r="E321" s="615"/>
      <c r="F321" s="378"/>
      <c r="K321" s="377"/>
      <c r="L321" s="377"/>
      <c r="M321" s="377"/>
      <c r="N321" s="378"/>
      <c r="O321" s="378"/>
      <c r="P321" s="378"/>
    </row>
    <row r="322" spans="1:16" ht="18.75" customHeight="1">
      <c r="A322" s="626"/>
      <c r="B322" s="626"/>
      <c r="C322" s="626"/>
      <c r="D322" s="615"/>
      <c r="E322" s="615"/>
      <c r="F322" s="378"/>
      <c r="K322" s="377"/>
      <c r="L322" s="377"/>
      <c r="M322" s="377"/>
      <c r="N322" s="378"/>
      <c r="O322" s="378"/>
      <c r="P322" s="378"/>
    </row>
    <row r="323" spans="1:16" ht="18.75" customHeight="1">
      <c r="A323" s="626"/>
      <c r="B323" s="626"/>
      <c r="C323" s="626"/>
      <c r="D323" s="615"/>
      <c r="E323" s="615"/>
      <c r="F323" s="378"/>
      <c r="K323" s="377"/>
      <c r="L323" s="377"/>
      <c r="M323" s="377"/>
      <c r="N323" s="378"/>
      <c r="O323" s="378"/>
      <c r="P323" s="378"/>
    </row>
    <row r="324" spans="1:16" ht="18.75" customHeight="1">
      <c r="A324" s="626"/>
      <c r="B324" s="626"/>
      <c r="C324" s="626"/>
      <c r="D324" s="615"/>
      <c r="E324" s="615"/>
      <c r="F324" s="378"/>
      <c r="K324" s="377"/>
      <c r="L324" s="377"/>
      <c r="M324" s="377"/>
      <c r="N324" s="378"/>
      <c r="O324" s="378"/>
      <c r="P324" s="378"/>
    </row>
    <row r="325" spans="1:16" ht="76.5" customHeight="1">
      <c r="A325" s="627"/>
      <c r="B325" s="627"/>
      <c r="C325" s="627"/>
      <c r="D325" s="627"/>
      <c r="E325" s="628"/>
      <c r="F325" s="628"/>
      <c r="K325" s="382"/>
      <c r="L325" s="382"/>
      <c r="M325" s="382"/>
      <c r="N325" s="382"/>
      <c r="O325" s="383"/>
      <c r="P325" s="383"/>
    </row>
    <row r="326" spans="1:16" ht="18.75">
      <c r="A326" s="617"/>
      <c r="B326" s="617"/>
      <c r="C326" s="617"/>
      <c r="D326" s="617"/>
      <c r="E326" s="617"/>
      <c r="F326" s="617"/>
      <c r="K326" s="380"/>
      <c r="L326" s="380"/>
      <c r="M326" s="380"/>
      <c r="N326" s="380"/>
      <c r="O326" s="380"/>
      <c r="P326" s="380"/>
    </row>
    <row r="327" spans="1:16" ht="18.75">
      <c r="A327" s="617"/>
      <c r="B327" s="617"/>
      <c r="C327" s="617"/>
      <c r="D327" s="617"/>
      <c r="E327" s="617"/>
      <c r="F327" s="617"/>
      <c r="K327" s="380"/>
      <c r="L327" s="380"/>
      <c r="M327" s="380"/>
      <c r="N327" s="380"/>
      <c r="O327" s="380"/>
      <c r="P327" s="380"/>
    </row>
    <row r="328" spans="1:16" ht="18.75" customHeight="1">
      <c r="A328" s="617"/>
      <c r="B328" s="617"/>
      <c r="C328" s="617"/>
      <c r="D328" s="617"/>
      <c r="E328" s="617"/>
      <c r="F328" s="617"/>
      <c r="K328" s="380"/>
      <c r="L328" s="380"/>
      <c r="M328" s="380"/>
      <c r="N328" s="380"/>
      <c r="O328" s="380"/>
      <c r="P328" s="380"/>
    </row>
    <row r="329" spans="1:16" ht="18.75" customHeight="1">
      <c r="A329" s="617"/>
      <c r="B329" s="617"/>
      <c r="C329" s="617"/>
      <c r="D329" s="617"/>
      <c r="E329" s="617"/>
      <c r="F329" s="617"/>
      <c r="K329" s="380"/>
      <c r="L329" s="380"/>
      <c r="M329" s="380"/>
      <c r="N329" s="380"/>
      <c r="O329" s="380"/>
      <c r="P329" s="380"/>
    </row>
    <row r="330" spans="1:16" ht="18.75" customHeight="1">
      <c r="A330" s="617"/>
      <c r="B330" s="617"/>
      <c r="C330" s="617"/>
      <c r="D330" s="617"/>
      <c r="E330" s="617"/>
      <c r="F330" s="617"/>
      <c r="K330" s="380"/>
      <c r="L330" s="380"/>
      <c r="M330" s="380"/>
      <c r="N330" s="380"/>
      <c r="O330" s="380"/>
      <c r="P330" s="380"/>
    </row>
    <row r="331" spans="1:16" ht="18.75" customHeight="1">
      <c r="A331" s="626"/>
      <c r="B331" s="626"/>
      <c r="C331" s="626"/>
      <c r="D331" s="615"/>
      <c r="E331" s="615"/>
      <c r="F331" s="381"/>
      <c r="K331" s="377"/>
      <c r="L331" s="377"/>
      <c r="M331" s="377"/>
      <c r="N331" s="378"/>
      <c r="O331" s="378"/>
      <c r="P331" s="381"/>
    </row>
    <row r="332" spans="1:16" ht="18.75" customHeight="1">
      <c r="A332" s="626"/>
      <c r="B332" s="626"/>
      <c r="C332" s="626"/>
      <c r="D332" s="615"/>
      <c r="E332" s="615"/>
      <c r="F332" s="381"/>
      <c r="K332" s="377"/>
      <c r="L332" s="377"/>
      <c r="M332" s="377"/>
      <c r="N332" s="378"/>
      <c r="O332" s="378"/>
      <c r="P332" s="381"/>
    </row>
    <row r="333" spans="1:16" ht="18.75" customHeight="1">
      <c r="A333" s="626"/>
      <c r="B333" s="626"/>
      <c r="C333" s="626"/>
      <c r="D333" s="615"/>
      <c r="E333" s="615"/>
      <c r="F333" s="378"/>
      <c r="K333" s="377"/>
      <c r="L333" s="377"/>
      <c r="M333" s="377"/>
      <c r="N333" s="378"/>
      <c r="O333" s="378"/>
      <c r="P333" s="378"/>
    </row>
    <row r="334" spans="1:16" ht="18.75" customHeight="1">
      <c r="A334" s="626"/>
      <c r="B334" s="626"/>
      <c r="C334" s="626"/>
      <c r="D334" s="615"/>
      <c r="E334" s="615"/>
      <c r="F334" s="378"/>
      <c r="K334" s="377"/>
      <c r="L334" s="377"/>
      <c r="M334" s="377"/>
      <c r="N334" s="378"/>
      <c r="O334" s="378"/>
      <c r="P334" s="378"/>
    </row>
    <row r="335" spans="1:16" ht="18.75" customHeight="1">
      <c r="A335" s="626"/>
      <c r="B335" s="626"/>
      <c r="C335" s="626"/>
      <c r="D335" s="615"/>
      <c r="E335" s="615"/>
      <c r="F335" s="378"/>
      <c r="K335" s="377"/>
      <c r="L335" s="377"/>
      <c r="M335" s="377"/>
      <c r="N335" s="378"/>
      <c r="O335" s="378"/>
      <c r="P335" s="378"/>
    </row>
    <row r="336" spans="1:16" ht="18.75" customHeight="1">
      <c r="A336" s="626"/>
      <c r="B336" s="626"/>
      <c r="C336" s="626"/>
      <c r="D336" s="615"/>
      <c r="E336" s="615"/>
      <c r="F336" s="378"/>
      <c r="K336" s="377"/>
      <c r="L336" s="377"/>
      <c r="M336" s="377"/>
      <c r="N336" s="378"/>
      <c r="O336" s="378"/>
      <c r="P336" s="378"/>
    </row>
    <row r="337" spans="1:16" ht="18.75" customHeight="1">
      <c r="A337" s="626"/>
      <c r="B337" s="626"/>
      <c r="C337" s="626"/>
      <c r="D337" s="615"/>
      <c r="E337" s="615"/>
      <c r="F337" s="378"/>
      <c r="K337" s="377"/>
      <c r="L337" s="377"/>
      <c r="M337" s="377"/>
      <c r="N337" s="378"/>
      <c r="O337" s="378"/>
      <c r="P337" s="378"/>
    </row>
    <row r="338" spans="1:16" ht="76.5" customHeight="1">
      <c r="A338" s="627"/>
      <c r="B338" s="627"/>
      <c r="C338" s="627"/>
      <c r="D338" s="627"/>
      <c r="E338" s="628"/>
      <c r="F338" s="628"/>
      <c r="K338" s="382"/>
      <c r="L338" s="382"/>
      <c r="M338" s="382"/>
      <c r="N338" s="382"/>
      <c r="O338" s="383"/>
      <c r="P338" s="383"/>
    </row>
    <row r="339" spans="1:16" ht="18.75">
      <c r="A339" s="617"/>
      <c r="B339" s="617"/>
      <c r="C339" s="617"/>
      <c r="D339" s="617"/>
      <c r="E339" s="617"/>
      <c r="F339" s="617"/>
      <c r="K339" s="380"/>
      <c r="L339" s="380"/>
      <c r="M339" s="380"/>
      <c r="N339" s="380"/>
      <c r="O339" s="380"/>
      <c r="P339" s="380"/>
    </row>
    <row r="340" spans="1:16" ht="18.75">
      <c r="A340" s="617"/>
      <c r="B340" s="617"/>
      <c r="C340" s="617"/>
      <c r="D340" s="617"/>
      <c r="E340" s="617"/>
      <c r="F340" s="617"/>
      <c r="K340" s="380"/>
      <c r="L340" s="380"/>
      <c r="M340" s="380"/>
      <c r="N340" s="380"/>
      <c r="O340" s="380"/>
      <c r="P340" s="380"/>
    </row>
    <row r="341" spans="1:16" ht="18.75" customHeight="1">
      <c r="A341" s="617"/>
      <c r="B341" s="617"/>
      <c r="C341" s="617"/>
      <c r="D341" s="617"/>
      <c r="E341" s="617"/>
      <c r="F341" s="617"/>
      <c r="K341" s="380"/>
      <c r="L341" s="380"/>
      <c r="M341" s="380"/>
      <c r="N341" s="380"/>
      <c r="O341" s="380"/>
      <c r="P341" s="380"/>
    </row>
    <row r="342" spans="1:16" ht="18.75" customHeight="1">
      <c r="A342" s="617"/>
      <c r="B342" s="617"/>
      <c r="C342" s="617"/>
      <c r="D342" s="617"/>
      <c r="E342" s="617"/>
      <c r="F342" s="617"/>
      <c r="K342" s="380"/>
      <c r="L342" s="380"/>
      <c r="M342" s="380"/>
      <c r="N342" s="380"/>
      <c r="O342" s="380"/>
      <c r="P342" s="380"/>
    </row>
    <row r="343" spans="1:16" ht="18.75" customHeight="1">
      <c r="A343" s="617"/>
      <c r="B343" s="617"/>
      <c r="C343" s="617"/>
      <c r="D343" s="617"/>
      <c r="E343" s="617"/>
      <c r="F343" s="617"/>
      <c r="K343" s="380"/>
      <c r="L343" s="380"/>
      <c r="M343" s="380"/>
      <c r="N343" s="380"/>
      <c r="O343" s="380"/>
      <c r="P343" s="380"/>
    </row>
    <row r="344" spans="1:16" ht="18.75" customHeight="1">
      <c r="A344" s="626"/>
      <c r="B344" s="626"/>
      <c r="C344" s="626"/>
      <c r="D344" s="615"/>
      <c r="E344" s="615"/>
      <c r="F344" s="381"/>
      <c r="K344" s="377"/>
      <c r="L344" s="377"/>
      <c r="M344" s="377"/>
      <c r="N344" s="378"/>
      <c r="O344" s="378"/>
      <c r="P344" s="381"/>
    </row>
    <row r="345" spans="1:16" ht="18.75" customHeight="1">
      <c r="A345" s="626"/>
      <c r="B345" s="626"/>
      <c r="C345" s="626"/>
      <c r="D345" s="615"/>
      <c r="E345" s="615"/>
      <c r="F345" s="381"/>
      <c r="K345" s="377"/>
      <c r="L345" s="377"/>
      <c r="M345" s="377"/>
      <c r="N345" s="378"/>
      <c r="O345" s="378"/>
      <c r="P345" s="381"/>
    </row>
    <row r="346" spans="1:16" ht="18.75" customHeight="1">
      <c r="A346" s="626"/>
      <c r="B346" s="626"/>
      <c r="C346" s="626"/>
      <c r="D346" s="615"/>
      <c r="E346" s="615"/>
      <c r="F346" s="378"/>
      <c r="K346" s="377"/>
      <c r="L346" s="377"/>
      <c r="M346" s="377"/>
      <c r="N346" s="378"/>
      <c r="O346" s="378"/>
      <c r="P346" s="378"/>
    </row>
    <row r="347" spans="1:16" ht="18.75" customHeight="1">
      <c r="A347" s="626"/>
      <c r="B347" s="626"/>
      <c r="C347" s="626"/>
      <c r="D347" s="615"/>
      <c r="E347" s="615"/>
      <c r="F347" s="378"/>
      <c r="K347" s="377"/>
      <c r="L347" s="377"/>
      <c r="M347" s="377"/>
      <c r="N347" s="378"/>
      <c r="O347" s="378"/>
      <c r="P347" s="378"/>
    </row>
    <row r="348" spans="1:16" ht="18.75" customHeight="1">
      <c r="A348" s="626"/>
      <c r="B348" s="626"/>
      <c r="C348" s="626"/>
      <c r="D348" s="615"/>
      <c r="E348" s="615"/>
      <c r="F348" s="378"/>
      <c r="K348" s="377"/>
      <c r="L348" s="377"/>
      <c r="M348" s="377"/>
      <c r="N348" s="378"/>
      <c r="O348" s="378"/>
      <c r="P348" s="378"/>
    </row>
    <row r="349" spans="1:16" ht="18.75" customHeight="1">
      <c r="A349" s="626"/>
      <c r="B349" s="626"/>
      <c r="C349" s="626"/>
      <c r="D349" s="615"/>
      <c r="E349" s="615"/>
      <c r="F349" s="378"/>
      <c r="K349" s="377"/>
      <c r="L349" s="377"/>
      <c r="M349" s="377"/>
      <c r="N349" s="378"/>
      <c r="O349" s="378"/>
      <c r="P349" s="378"/>
    </row>
    <row r="350" spans="1:16" ht="18.75" customHeight="1">
      <c r="A350" s="626"/>
      <c r="B350" s="626"/>
      <c r="C350" s="626"/>
      <c r="D350" s="615"/>
      <c r="E350" s="615"/>
      <c r="F350" s="378"/>
      <c r="K350" s="377"/>
      <c r="L350" s="377"/>
      <c r="M350" s="377"/>
      <c r="N350" s="378"/>
      <c r="O350" s="378"/>
      <c r="P350" s="378"/>
    </row>
    <row r="351" spans="1:16" ht="76.5" customHeight="1">
      <c r="A351" s="627"/>
      <c r="B351" s="627"/>
      <c r="C351" s="627"/>
      <c r="D351" s="627"/>
      <c r="E351" s="628"/>
      <c r="F351" s="628"/>
      <c r="K351" s="382"/>
      <c r="L351" s="382"/>
      <c r="M351" s="382"/>
      <c r="N351" s="382"/>
      <c r="O351" s="383"/>
      <c r="P351" s="383"/>
    </row>
    <row r="352" spans="1:16" ht="18.75">
      <c r="A352" s="617"/>
      <c r="B352" s="617"/>
      <c r="C352" s="617"/>
      <c r="D352" s="617"/>
      <c r="E352" s="617"/>
      <c r="F352" s="617"/>
      <c r="K352" s="380"/>
      <c r="L352" s="380"/>
      <c r="M352" s="380"/>
      <c r="N352" s="380"/>
      <c r="O352" s="380"/>
      <c r="P352" s="380"/>
    </row>
    <row r="353" spans="1:16" ht="18.75">
      <c r="A353" s="617"/>
      <c r="B353" s="617"/>
      <c r="C353" s="617"/>
      <c r="D353" s="617"/>
      <c r="E353" s="617"/>
      <c r="F353" s="617"/>
      <c r="K353" s="380"/>
      <c r="L353" s="380"/>
      <c r="M353" s="380"/>
      <c r="N353" s="380"/>
      <c r="O353" s="380"/>
      <c r="P353" s="380"/>
    </row>
    <row r="354" spans="1:16" ht="18.75" customHeight="1">
      <c r="A354" s="617"/>
      <c r="B354" s="617"/>
      <c r="C354" s="617"/>
      <c r="D354" s="617"/>
      <c r="E354" s="617"/>
      <c r="F354" s="617"/>
      <c r="K354" s="380"/>
      <c r="L354" s="380"/>
      <c r="M354" s="380"/>
      <c r="N354" s="380"/>
      <c r="O354" s="380"/>
      <c r="P354" s="380"/>
    </row>
    <row r="355" spans="1:16" ht="18.75" customHeight="1">
      <c r="A355" s="617"/>
      <c r="B355" s="617"/>
      <c r="C355" s="617"/>
      <c r="D355" s="617"/>
      <c r="E355" s="617"/>
      <c r="F355" s="617"/>
      <c r="K355" s="380"/>
      <c r="L355" s="380"/>
      <c r="M355" s="380"/>
      <c r="N355" s="380"/>
      <c r="O355" s="380"/>
      <c r="P355" s="380"/>
    </row>
    <row r="356" spans="1:16" ht="18.75" customHeight="1">
      <c r="A356" s="617"/>
      <c r="B356" s="617"/>
      <c r="C356" s="617"/>
      <c r="D356" s="617"/>
      <c r="E356" s="617"/>
      <c r="F356" s="617"/>
      <c r="K356" s="380"/>
      <c r="L356" s="380"/>
      <c r="M356" s="380"/>
      <c r="N356" s="380"/>
      <c r="O356" s="380"/>
      <c r="P356" s="380"/>
    </row>
    <row r="357" spans="1:16" ht="18.75" customHeight="1">
      <c r="A357" s="626"/>
      <c r="B357" s="626"/>
      <c r="C357" s="626"/>
      <c r="D357" s="615"/>
      <c r="E357" s="615"/>
      <c r="F357" s="381"/>
      <c r="K357" s="377"/>
      <c r="L357" s="377"/>
      <c r="M357" s="377"/>
      <c r="N357" s="378"/>
      <c r="O357" s="378"/>
      <c r="P357" s="381"/>
    </row>
    <row r="358" spans="1:16" ht="18.75" customHeight="1">
      <c r="A358" s="626"/>
      <c r="B358" s="626"/>
      <c r="C358" s="626"/>
      <c r="D358" s="615"/>
      <c r="E358" s="615"/>
      <c r="F358" s="381"/>
      <c r="K358" s="377"/>
      <c r="L358" s="377"/>
      <c r="M358" s="377"/>
      <c r="N358" s="378"/>
      <c r="O358" s="378"/>
      <c r="P358" s="381"/>
    </row>
    <row r="359" spans="1:16" ht="18.75" customHeight="1">
      <c r="A359" s="626"/>
      <c r="B359" s="626"/>
      <c r="C359" s="626"/>
      <c r="D359" s="615"/>
      <c r="E359" s="615"/>
      <c r="F359" s="378"/>
      <c r="K359" s="377"/>
      <c r="L359" s="377"/>
      <c r="M359" s="377"/>
      <c r="N359" s="378"/>
      <c r="O359" s="378"/>
      <c r="P359" s="378"/>
    </row>
    <row r="360" spans="1:16" ht="18.75" customHeight="1">
      <c r="A360" s="626"/>
      <c r="B360" s="626"/>
      <c r="C360" s="626"/>
      <c r="D360" s="615"/>
      <c r="E360" s="615"/>
      <c r="F360" s="378"/>
      <c r="K360" s="377"/>
      <c r="L360" s="377"/>
      <c r="M360" s="377"/>
      <c r="N360" s="378"/>
      <c r="O360" s="378"/>
      <c r="P360" s="378"/>
    </row>
    <row r="361" spans="1:16" ht="18.75" customHeight="1">
      <c r="A361" s="626"/>
      <c r="B361" s="626"/>
      <c r="C361" s="626"/>
      <c r="D361" s="615"/>
      <c r="E361" s="615"/>
      <c r="F361" s="378"/>
      <c r="K361" s="377"/>
      <c r="L361" s="377"/>
      <c r="M361" s="377"/>
      <c r="N361" s="378"/>
      <c r="O361" s="378"/>
      <c r="P361" s="378"/>
    </row>
    <row r="362" spans="1:16" ht="18.75" customHeight="1">
      <c r="A362" s="626"/>
      <c r="B362" s="626"/>
      <c r="C362" s="626"/>
      <c r="D362" s="615"/>
      <c r="E362" s="615"/>
      <c r="F362" s="378"/>
      <c r="K362" s="377"/>
      <c r="L362" s="377"/>
      <c r="M362" s="377"/>
      <c r="N362" s="378"/>
      <c r="O362" s="378"/>
      <c r="P362" s="378"/>
    </row>
    <row r="363" spans="1:16" ht="18.75" customHeight="1">
      <c r="A363" s="626"/>
      <c r="B363" s="626"/>
      <c r="C363" s="626"/>
      <c r="D363" s="615"/>
      <c r="E363" s="615"/>
      <c r="F363" s="378"/>
      <c r="K363" s="377"/>
      <c r="L363" s="377"/>
      <c r="M363" s="377"/>
      <c r="N363" s="378"/>
      <c r="O363" s="378"/>
      <c r="P363" s="378"/>
    </row>
    <row r="364" spans="1:16" ht="76.5" customHeight="1">
      <c r="A364" s="627"/>
      <c r="B364" s="627"/>
      <c r="C364" s="627"/>
      <c r="D364" s="627"/>
      <c r="E364" s="628"/>
      <c r="F364" s="628"/>
      <c r="K364" s="382"/>
      <c r="L364" s="382"/>
      <c r="M364" s="382"/>
      <c r="N364" s="382"/>
      <c r="O364" s="383"/>
      <c r="P364" s="383"/>
    </row>
    <row r="365" spans="1:16" ht="18.75">
      <c r="A365" s="617"/>
      <c r="B365" s="617"/>
      <c r="C365" s="617"/>
      <c r="D365" s="617"/>
      <c r="E365" s="617"/>
      <c r="F365" s="617"/>
      <c r="K365" s="380"/>
      <c r="L365" s="380"/>
      <c r="M365" s="380"/>
      <c r="N365" s="380"/>
      <c r="O365" s="380"/>
      <c r="P365" s="380"/>
    </row>
    <row r="366" spans="1:16" ht="18.75">
      <c r="A366" s="617"/>
      <c r="B366" s="617"/>
      <c r="C366" s="617"/>
      <c r="D366" s="617"/>
      <c r="E366" s="617"/>
      <c r="F366" s="617"/>
      <c r="K366" s="380"/>
      <c r="L366" s="380"/>
      <c r="M366" s="380"/>
      <c r="N366" s="380"/>
      <c r="O366" s="380"/>
      <c r="P366" s="380"/>
    </row>
    <row r="367" spans="1:16" ht="18.75" customHeight="1">
      <c r="A367" s="617"/>
      <c r="B367" s="617"/>
      <c r="C367" s="617"/>
      <c r="D367" s="617"/>
      <c r="E367" s="617"/>
      <c r="F367" s="617"/>
      <c r="K367" s="380"/>
      <c r="L367" s="380"/>
      <c r="M367" s="380"/>
      <c r="N367" s="380"/>
      <c r="O367" s="380"/>
      <c r="P367" s="380"/>
    </row>
    <row r="368" spans="1:16" ht="18.75" customHeight="1">
      <c r="A368" s="617"/>
      <c r="B368" s="617"/>
      <c r="C368" s="617"/>
      <c r="D368" s="617"/>
      <c r="E368" s="617"/>
      <c r="F368" s="617"/>
      <c r="K368" s="380"/>
      <c r="L368" s="380"/>
      <c r="M368" s="380"/>
      <c r="N368" s="380"/>
      <c r="O368" s="380"/>
      <c r="P368" s="380"/>
    </row>
    <row r="369" spans="1:16" ht="18.75" customHeight="1">
      <c r="A369" s="617"/>
      <c r="B369" s="617"/>
      <c r="C369" s="617"/>
      <c r="D369" s="617"/>
      <c r="E369" s="617"/>
      <c r="F369" s="617"/>
      <c r="K369" s="380"/>
      <c r="L369" s="380"/>
      <c r="M369" s="380"/>
      <c r="N369" s="380"/>
      <c r="O369" s="380"/>
      <c r="P369" s="380"/>
    </row>
    <row r="370" spans="1:16" ht="18.75" customHeight="1">
      <c r="A370" s="626"/>
      <c r="B370" s="626"/>
      <c r="C370" s="626"/>
      <c r="D370" s="615"/>
      <c r="E370" s="615"/>
      <c r="F370" s="381"/>
      <c r="K370" s="377"/>
      <c r="L370" s="377"/>
      <c r="M370" s="377"/>
      <c r="N370" s="378"/>
      <c r="O370" s="378"/>
      <c r="P370" s="381"/>
    </row>
    <row r="371" spans="1:16" ht="18.75" customHeight="1">
      <c r="A371" s="626"/>
      <c r="B371" s="626"/>
      <c r="C371" s="626"/>
      <c r="D371" s="615"/>
      <c r="E371" s="615"/>
      <c r="F371" s="381"/>
      <c r="K371" s="377"/>
      <c r="L371" s="377"/>
      <c r="M371" s="377"/>
      <c r="N371" s="378"/>
      <c r="O371" s="378"/>
      <c r="P371" s="381"/>
    </row>
    <row r="372" spans="1:16" ht="18.75" customHeight="1">
      <c r="A372" s="626"/>
      <c r="B372" s="626"/>
      <c r="C372" s="626"/>
      <c r="D372" s="615"/>
      <c r="E372" s="615"/>
      <c r="F372" s="378"/>
      <c r="K372" s="377"/>
      <c r="L372" s="377"/>
      <c r="M372" s="377"/>
      <c r="N372" s="378"/>
      <c r="O372" s="378"/>
      <c r="P372" s="378"/>
    </row>
    <row r="373" spans="1:16" ht="18.75" customHeight="1">
      <c r="A373" s="626"/>
      <c r="B373" s="626"/>
      <c r="C373" s="626"/>
      <c r="D373" s="615"/>
      <c r="E373" s="615"/>
      <c r="F373" s="378"/>
      <c r="K373" s="377"/>
      <c r="L373" s="377"/>
      <c r="M373" s="377"/>
      <c r="N373" s="378"/>
      <c r="O373" s="378"/>
      <c r="P373" s="378"/>
    </row>
    <row r="374" spans="1:16" ht="18.75" customHeight="1">
      <c r="A374" s="626"/>
      <c r="B374" s="626"/>
      <c r="C374" s="626"/>
      <c r="D374" s="615"/>
      <c r="E374" s="615"/>
      <c r="F374" s="378"/>
      <c r="K374" s="377"/>
      <c r="L374" s="377"/>
      <c r="M374" s="377"/>
      <c r="N374" s="378"/>
      <c r="O374" s="378"/>
      <c r="P374" s="378"/>
    </row>
    <row r="375" spans="1:16" ht="18.75" customHeight="1">
      <c r="A375" s="626"/>
      <c r="B375" s="626"/>
      <c r="C375" s="626"/>
      <c r="D375" s="615"/>
      <c r="E375" s="615"/>
      <c r="F375" s="378"/>
      <c r="K375" s="377"/>
      <c r="L375" s="377"/>
      <c r="M375" s="377"/>
      <c r="N375" s="378"/>
      <c r="O375" s="378"/>
      <c r="P375" s="378"/>
    </row>
    <row r="376" spans="1:16" ht="18.75" customHeight="1">
      <c r="A376" s="626"/>
      <c r="B376" s="626"/>
      <c r="C376" s="626"/>
      <c r="D376" s="615"/>
      <c r="E376" s="615"/>
      <c r="F376" s="378"/>
      <c r="K376" s="377"/>
      <c r="L376" s="377"/>
      <c r="M376" s="377"/>
      <c r="N376" s="378"/>
      <c r="O376" s="378"/>
      <c r="P376" s="378"/>
    </row>
    <row r="377" spans="1:16" ht="76.5" customHeight="1">
      <c r="A377" s="627"/>
      <c r="B377" s="627"/>
      <c r="C377" s="627"/>
      <c r="D377" s="627"/>
      <c r="E377" s="628"/>
      <c r="F377" s="628"/>
      <c r="K377" s="382"/>
      <c r="L377" s="382"/>
      <c r="M377" s="382"/>
      <c r="N377" s="382"/>
      <c r="O377" s="383"/>
      <c r="P377" s="383"/>
    </row>
    <row r="378" spans="1:16" ht="18.75">
      <c r="A378" s="617"/>
      <c r="B378" s="617"/>
      <c r="C378" s="617"/>
      <c r="D378" s="617"/>
      <c r="E378" s="617"/>
      <c r="F378" s="617"/>
      <c r="K378" s="380"/>
      <c r="L378" s="380"/>
      <c r="M378" s="380"/>
      <c r="N378" s="380"/>
      <c r="O378" s="380"/>
      <c r="P378" s="380"/>
    </row>
    <row r="379" spans="1:16" ht="18.75">
      <c r="A379" s="617"/>
      <c r="B379" s="617"/>
      <c r="C379" s="617"/>
      <c r="D379" s="617"/>
      <c r="E379" s="617"/>
      <c r="F379" s="617"/>
      <c r="K379" s="380"/>
      <c r="L379" s="380"/>
      <c r="M379" s="380"/>
      <c r="N379" s="380"/>
      <c r="O379" s="380"/>
      <c r="P379" s="380"/>
    </row>
    <row r="380" spans="1:16" ht="18.75" customHeight="1">
      <c r="A380" s="617"/>
      <c r="B380" s="617"/>
      <c r="C380" s="617"/>
      <c r="D380" s="617"/>
      <c r="E380" s="617"/>
      <c r="F380" s="617"/>
      <c r="K380" s="380"/>
      <c r="L380" s="380"/>
      <c r="M380" s="380"/>
      <c r="N380" s="380"/>
      <c r="O380" s="380"/>
      <c r="P380" s="380"/>
    </row>
    <row r="381" spans="1:16" ht="18.75" customHeight="1">
      <c r="A381" s="617"/>
      <c r="B381" s="617"/>
      <c r="C381" s="617"/>
      <c r="D381" s="617"/>
      <c r="E381" s="617"/>
      <c r="F381" s="617"/>
      <c r="K381" s="380"/>
      <c r="L381" s="380"/>
      <c r="M381" s="380"/>
      <c r="N381" s="380"/>
      <c r="O381" s="380"/>
      <c r="P381" s="380"/>
    </row>
    <row r="382" spans="1:16" ht="18.75" customHeight="1">
      <c r="A382" s="617"/>
      <c r="B382" s="617"/>
      <c r="C382" s="617"/>
      <c r="D382" s="617"/>
      <c r="E382" s="617"/>
      <c r="F382" s="617"/>
      <c r="K382" s="380"/>
      <c r="L382" s="380"/>
      <c r="M382" s="380"/>
      <c r="N382" s="380"/>
      <c r="O382" s="380"/>
      <c r="P382" s="380"/>
    </row>
    <row r="383" spans="1:16" ht="18.75" customHeight="1">
      <c r="A383" s="626"/>
      <c r="B383" s="626"/>
      <c r="C383" s="626"/>
      <c r="D383" s="615"/>
      <c r="E383" s="615"/>
      <c r="F383" s="381"/>
      <c r="K383" s="377"/>
      <c r="L383" s="377"/>
      <c r="M383" s="377"/>
      <c r="N383" s="378"/>
      <c r="O383" s="378"/>
      <c r="P383" s="381"/>
    </row>
    <row r="384" spans="1:16" ht="18.75" customHeight="1">
      <c r="A384" s="626"/>
      <c r="B384" s="626"/>
      <c r="C384" s="626"/>
      <c r="D384" s="615"/>
      <c r="E384" s="615"/>
      <c r="F384" s="381"/>
      <c r="K384" s="377"/>
      <c r="L384" s="377"/>
      <c r="M384" s="377"/>
      <c r="N384" s="378"/>
      <c r="O384" s="378"/>
      <c r="P384" s="381"/>
    </row>
    <row r="385" spans="1:16" ht="18.75" customHeight="1">
      <c r="A385" s="626"/>
      <c r="B385" s="626"/>
      <c r="C385" s="626"/>
      <c r="D385" s="615"/>
      <c r="E385" s="615"/>
      <c r="F385" s="378"/>
      <c r="K385" s="377"/>
      <c r="L385" s="377"/>
      <c r="M385" s="377"/>
      <c r="N385" s="378"/>
      <c r="O385" s="378"/>
      <c r="P385" s="378"/>
    </row>
    <row r="386" spans="1:16" ht="18.75" customHeight="1">
      <c r="A386" s="626"/>
      <c r="B386" s="626"/>
      <c r="C386" s="626"/>
      <c r="D386" s="615"/>
      <c r="E386" s="615"/>
      <c r="F386" s="378"/>
      <c r="K386" s="377"/>
      <c r="L386" s="377"/>
      <c r="M386" s="377"/>
      <c r="N386" s="378"/>
      <c r="O386" s="378"/>
      <c r="P386" s="378"/>
    </row>
    <row r="387" spans="1:16" ht="18.75" customHeight="1">
      <c r="A387" s="626"/>
      <c r="B387" s="626"/>
      <c r="C387" s="626"/>
      <c r="D387" s="615"/>
      <c r="E387" s="615"/>
      <c r="F387" s="378"/>
      <c r="K387" s="377"/>
      <c r="L387" s="377"/>
      <c r="M387" s="377"/>
      <c r="N387" s="378"/>
      <c r="O387" s="378"/>
      <c r="P387" s="378"/>
    </row>
    <row r="388" spans="1:16" ht="18.75" customHeight="1">
      <c r="A388" s="626"/>
      <c r="B388" s="626"/>
      <c r="C388" s="626"/>
      <c r="D388" s="615"/>
      <c r="E388" s="615"/>
      <c r="F388" s="378"/>
      <c r="K388" s="377"/>
      <c r="L388" s="377"/>
      <c r="M388" s="377"/>
      <c r="N388" s="378"/>
      <c r="O388" s="378"/>
      <c r="P388" s="378"/>
    </row>
    <row r="389" spans="1:16" ht="18.75" customHeight="1">
      <c r="A389" s="626"/>
      <c r="B389" s="626"/>
      <c r="C389" s="626"/>
      <c r="D389" s="615"/>
      <c r="E389" s="615"/>
      <c r="F389" s="378"/>
      <c r="K389" s="377"/>
      <c r="L389" s="377"/>
      <c r="M389" s="377"/>
      <c r="N389" s="378"/>
      <c r="O389" s="378"/>
      <c r="P389" s="378"/>
    </row>
    <row r="390" spans="1:16" ht="76.5" customHeight="1">
      <c r="A390" s="627"/>
      <c r="B390" s="627"/>
      <c r="C390" s="627"/>
      <c r="D390" s="627"/>
      <c r="E390" s="628"/>
      <c r="F390" s="628"/>
      <c r="K390" s="382"/>
      <c r="L390" s="382"/>
      <c r="M390" s="382"/>
      <c r="N390" s="382"/>
      <c r="O390" s="383"/>
      <c r="P390" s="383"/>
    </row>
    <row r="391" spans="1:16" ht="18.75">
      <c r="A391" s="617"/>
      <c r="B391" s="617"/>
      <c r="C391" s="617"/>
      <c r="D391" s="617"/>
      <c r="E391" s="617"/>
      <c r="F391" s="617"/>
      <c r="K391" s="380"/>
      <c r="L391" s="380"/>
      <c r="M391" s="380"/>
      <c r="N391" s="380"/>
      <c r="O391" s="380"/>
      <c r="P391" s="380"/>
    </row>
    <row r="392" spans="1:16" ht="18.75">
      <c r="A392" s="617"/>
      <c r="B392" s="617"/>
      <c r="C392" s="617"/>
      <c r="D392" s="617"/>
      <c r="E392" s="617"/>
      <c r="F392" s="617"/>
      <c r="K392" s="380"/>
      <c r="L392" s="380"/>
      <c r="M392" s="380"/>
      <c r="N392" s="380"/>
      <c r="O392" s="380"/>
      <c r="P392" s="380"/>
    </row>
    <row r="393" spans="1:16" ht="18.75" customHeight="1">
      <c r="A393" s="617"/>
      <c r="B393" s="617"/>
      <c r="C393" s="617"/>
      <c r="D393" s="617"/>
      <c r="E393" s="617"/>
      <c r="F393" s="617"/>
      <c r="K393" s="380"/>
      <c r="L393" s="380"/>
      <c r="M393" s="380"/>
      <c r="N393" s="380"/>
      <c r="O393" s="380"/>
      <c r="P393" s="380"/>
    </row>
    <row r="394" spans="1:16" ht="18.75" customHeight="1">
      <c r="A394" s="617"/>
      <c r="B394" s="617"/>
      <c r="C394" s="617"/>
      <c r="D394" s="617"/>
      <c r="E394" s="617"/>
      <c r="F394" s="617"/>
      <c r="K394" s="380"/>
      <c r="L394" s="380"/>
      <c r="M394" s="380"/>
      <c r="N394" s="380"/>
      <c r="O394" s="380"/>
      <c r="P394" s="380"/>
    </row>
    <row r="395" spans="1:16" ht="18.75" customHeight="1">
      <c r="A395" s="617"/>
      <c r="B395" s="617"/>
      <c r="C395" s="617"/>
      <c r="D395" s="617"/>
      <c r="E395" s="617"/>
      <c r="F395" s="617"/>
      <c r="K395" s="380"/>
      <c r="L395" s="380"/>
      <c r="M395" s="380"/>
      <c r="N395" s="380"/>
      <c r="O395" s="380"/>
      <c r="P395" s="380"/>
    </row>
    <row r="396" spans="1:16" ht="18.75" customHeight="1">
      <c r="A396" s="626"/>
      <c r="B396" s="626"/>
      <c r="C396" s="626"/>
      <c r="D396" s="615"/>
      <c r="E396" s="615"/>
      <c r="F396" s="381"/>
      <c r="K396" s="377"/>
      <c r="L396" s="377"/>
      <c r="M396" s="377"/>
      <c r="N396" s="378"/>
      <c r="O396" s="378"/>
      <c r="P396" s="381"/>
    </row>
    <row r="397" spans="1:16" ht="18.75" customHeight="1">
      <c r="A397" s="626"/>
      <c r="B397" s="626"/>
      <c r="C397" s="626"/>
      <c r="D397" s="615"/>
      <c r="E397" s="615"/>
      <c r="F397" s="381"/>
      <c r="K397" s="377"/>
      <c r="L397" s="377"/>
      <c r="M397" s="377"/>
      <c r="N397" s="378"/>
      <c r="O397" s="378"/>
      <c r="P397" s="381"/>
    </row>
    <row r="398" spans="1:16" ht="18.75" customHeight="1">
      <c r="A398" s="626"/>
      <c r="B398" s="626"/>
      <c r="C398" s="626"/>
      <c r="D398" s="615"/>
      <c r="E398" s="615"/>
      <c r="F398" s="378"/>
      <c r="K398" s="377"/>
      <c r="L398" s="377"/>
      <c r="M398" s="377"/>
      <c r="N398" s="378"/>
      <c r="O398" s="378"/>
      <c r="P398" s="378"/>
    </row>
    <row r="399" spans="1:16" ht="18.75" customHeight="1">
      <c r="A399" s="626"/>
      <c r="B399" s="626"/>
      <c r="C399" s="626"/>
      <c r="D399" s="615"/>
      <c r="E399" s="615"/>
      <c r="F399" s="378"/>
      <c r="K399" s="377"/>
      <c r="L399" s="377"/>
      <c r="M399" s="377"/>
      <c r="N399" s="378"/>
      <c r="O399" s="378"/>
      <c r="P399" s="378"/>
    </row>
    <row r="400" spans="1:16" ht="18.75" customHeight="1">
      <c r="A400" s="626"/>
      <c r="B400" s="626"/>
      <c r="C400" s="626"/>
      <c r="D400" s="615"/>
      <c r="E400" s="615"/>
      <c r="F400" s="378"/>
      <c r="K400" s="377"/>
      <c r="L400" s="377"/>
      <c r="M400" s="377"/>
      <c r="N400" s="378"/>
      <c r="O400" s="378"/>
      <c r="P400" s="378"/>
    </row>
    <row r="401" spans="1:16" ht="18.75" customHeight="1">
      <c r="A401" s="626"/>
      <c r="B401" s="626"/>
      <c r="C401" s="626"/>
      <c r="D401" s="615"/>
      <c r="E401" s="615"/>
      <c r="F401" s="378"/>
      <c r="K401" s="377"/>
      <c r="L401" s="377"/>
      <c r="M401" s="377"/>
      <c r="N401" s="378"/>
      <c r="O401" s="378"/>
      <c r="P401" s="378"/>
    </row>
    <row r="402" spans="1:16" ht="18.75" customHeight="1">
      <c r="A402" s="626"/>
      <c r="B402" s="626"/>
      <c r="C402" s="626"/>
      <c r="D402" s="615"/>
      <c r="E402" s="615"/>
      <c r="F402" s="378"/>
      <c r="K402" s="377"/>
      <c r="L402" s="377"/>
      <c r="M402" s="377"/>
      <c r="N402" s="378"/>
      <c r="O402" s="378"/>
      <c r="P402" s="378"/>
    </row>
    <row r="403" spans="1:16" ht="76.5" customHeight="1">
      <c r="A403" s="627"/>
      <c r="B403" s="627"/>
      <c r="C403" s="627"/>
      <c r="D403" s="627"/>
      <c r="E403" s="628"/>
      <c r="F403" s="628"/>
      <c r="K403" s="382"/>
      <c r="L403" s="382"/>
      <c r="M403" s="382"/>
      <c r="N403" s="382"/>
      <c r="O403" s="383"/>
      <c r="P403" s="383"/>
    </row>
    <row r="404" spans="1:16" ht="18.75">
      <c r="A404" s="617"/>
      <c r="B404" s="617"/>
      <c r="C404" s="617"/>
      <c r="D404" s="617"/>
      <c r="E404" s="617"/>
      <c r="F404" s="617"/>
      <c r="K404" s="380"/>
      <c r="L404" s="380"/>
      <c r="M404" s="380"/>
      <c r="N404" s="380"/>
      <c r="O404" s="380"/>
      <c r="P404" s="380"/>
    </row>
    <row r="405" spans="1:16" ht="18.75">
      <c r="A405" s="617"/>
      <c r="B405" s="617"/>
      <c r="C405" s="617"/>
      <c r="D405" s="617"/>
      <c r="E405" s="617"/>
      <c r="F405" s="617"/>
      <c r="K405" s="380"/>
      <c r="L405" s="380"/>
      <c r="M405" s="380"/>
      <c r="N405" s="380"/>
      <c r="O405" s="380"/>
      <c r="P405" s="380"/>
    </row>
    <row r="406" spans="1:16" ht="18.75" customHeight="1">
      <c r="A406" s="617"/>
      <c r="B406" s="617"/>
      <c r="C406" s="617"/>
      <c r="D406" s="617"/>
      <c r="E406" s="617"/>
      <c r="F406" s="617"/>
      <c r="K406" s="380"/>
      <c r="L406" s="380"/>
      <c r="M406" s="380"/>
      <c r="N406" s="380"/>
      <c r="O406" s="380"/>
      <c r="P406" s="380"/>
    </row>
    <row r="407" spans="1:16" ht="18.75" customHeight="1">
      <c r="A407" s="617"/>
      <c r="B407" s="617"/>
      <c r="C407" s="617"/>
      <c r="D407" s="617"/>
      <c r="E407" s="617"/>
      <c r="F407" s="617"/>
      <c r="K407" s="380"/>
      <c r="L407" s="380"/>
      <c r="M407" s="380"/>
      <c r="N407" s="380"/>
      <c r="O407" s="380"/>
      <c r="P407" s="380"/>
    </row>
    <row r="408" spans="1:16" ht="18.75" customHeight="1">
      <c r="A408" s="617"/>
      <c r="B408" s="617"/>
      <c r="C408" s="617"/>
      <c r="D408" s="617"/>
      <c r="E408" s="617"/>
      <c r="F408" s="617"/>
      <c r="K408" s="380"/>
      <c r="L408" s="380"/>
      <c r="M408" s="380"/>
      <c r="N408" s="380"/>
      <c r="O408" s="380"/>
      <c r="P408" s="380"/>
    </row>
    <row r="409" spans="1:16" ht="18.75" customHeight="1">
      <c r="A409" s="626"/>
      <c r="B409" s="626"/>
      <c r="C409" s="626"/>
      <c r="D409" s="615"/>
      <c r="E409" s="615"/>
      <c r="F409" s="381"/>
      <c r="K409" s="377"/>
      <c r="L409" s="377"/>
      <c r="M409" s="377"/>
      <c r="N409" s="378"/>
      <c r="O409" s="378"/>
      <c r="P409" s="381"/>
    </row>
    <row r="410" spans="1:16" ht="18.75" customHeight="1">
      <c r="A410" s="626"/>
      <c r="B410" s="626"/>
      <c r="C410" s="626"/>
      <c r="D410" s="615"/>
      <c r="E410" s="615"/>
      <c r="F410" s="381"/>
      <c r="K410" s="377"/>
      <c r="L410" s="377"/>
      <c r="M410" s="377"/>
      <c r="N410" s="378"/>
      <c r="O410" s="378"/>
      <c r="P410" s="381"/>
    </row>
    <row r="411" spans="1:16" ht="18.75" customHeight="1">
      <c r="A411" s="626"/>
      <c r="B411" s="626"/>
      <c r="C411" s="626"/>
      <c r="D411" s="615"/>
      <c r="E411" s="615"/>
      <c r="F411" s="378"/>
      <c r="K411" s="377"/>
      <c r="L411" s="377"/>
      <c r="M411" s="377"/>
      <c r="N411" s="378"/>
      <c r="O411" s="378"/>
      <c r="P411" s="378"/>
    </row>
    <row r="412" spans="1:16" ht="18.75" customHeight="1">
      <c r="A412" s="626"/>
      <c r="B412" s="626"/>
      <c r="C412" s="626"/>
      <c r="D412" s="615"/>
      <c r="E412" s="615"/>
      <c r="F412" s="378"/>
      <c r="K412" s="377"/>
      <c r="L412" s="377"/>
      <c r="M412" s="377"/>
      <c r="N412" s="378"/>
      <c r="O412" s="378"/>
      <c r="P412" s="378"/>
    </row>
    <row r="413" spans="1:16" ht="18.75" customHeight="1">
      <c r="A413" s="626"/>
      <c r="B413" s="626"/>
      <c r="C413" s="626"/>
      <c r="D413" s="615"/>
      <c r="E413" s="615"/>
      <c r="F413" s="378"/>
      <c r="K413" s="377"/>
      <c r="L413" s="377"/>
      <c r="M413" s="377"/>
      <c r="N413" s="378"/>
      <c r="O413" s="378"/>
      <c r="P413" s="378"/>
    </row>
    <row r="414" spans="1:16" ht="18.75" customHeight="1">
      <c r="A414" s="626"/>
      <c r="B414" s="626"/>
      <c r="C414" s="626"/>
      <c r="D414" s="615"/>
      <c r="E414" s="615"/>
      <c r="F414" s="378"/>
      <c r="K414" s="377"/>
      <c r="L414" s="377"/>
      <c r="M414" s="377"/>
      <c r="N414" s="378"/>
      <c r="O414" s="378"/>
      <c r="P414" s="378"/>
    </row>
    <row r="415" spans="1:16" ht="18.75" customHeight="1">
      <c r="A415" s="626"/>
      <c r="B415" s="626"/>
      <c r="C415" s="626"/>
      <c r="D415" s="615"/>
      <c r="E415" s="615"/>
      <c r="F415" s="378"/>
      <c r="K415" s="377"/>
      <c r="L415" s="377"/>
      <c r="M415" s="377"/>
      <c r="N415" s="378"/>
      <c r="O415" s="378"/>
      <c r="P415" s="378"/>
    </row>
    <row r="416" spans="1:16" ht="76.5" customHeight="1">
      <c r="A416" s="627"/>
      <c r="B416" s="627"/>
      <c r="C416" s="627"/>
      <c r="D416" s="627"/>
      <c r="E416" s="628"/>
      <c r="F416" s="628"/>
      <c r="K416" s="382"/>
      <c r="L416" s="382"/>
      <c r="M416" s="382"/>
      <c r="N416" s="382"/>
      <c r="O416" s="383"/>
      <c r="P416" s="383"/>
    </row>
    <row r="417" spans="1:16" ht="18.75">
      <c r="A417" s="617"/>
      <c r="B417" s="617"/>
      <c r="C417" s="617"/>
      <c r="D417" s="617"/>
      <c r="E417" s="617"/>
      <c r="F417" s="617"/>
      <c r="K417" s="380"/>
      <c r="L417" s="380"/>
      <c r="M417" s="380"/>
      <c r="N417" s="380"/>
      <c r="O417" s="380"/>
      <c r="P417" s="380"/>
    </row>
    <row r="418" spans="1:16" ht="18.75">
      <c r="A418" s="617"/>
      <c r="B418" s="617"/>
      <c r="C418" s="617"/>
      <c r="D418" s="617"/>
      <c r="E418" s="617"/>
      <c r="F418" s="617"/>
      <c r="K418" s="380"/>
      <c r="L418" s="380"/>
      <c r="M418" s="380"/>
      <c r="N418" s="380"/>
      <c r="O418" s="380"/>
      <c r="P418" s="380"/>
    </row>
    <row r="419" spans="1:16" ht="18.75" customHeight="1">
      <c r="A419" s="617"/>
      <c r="B419" s="617"/>
      <c r="C419" s="617"/>
      <c r="D419" s="617"/>
      <c r="E419" s="617"/>
      <c r="F419" s="617"/>
      <c r="K419" s="380"/>
      <c r="L419" s="380"/>
      <c r="M419" s="380"/>
      <c r="N419" s="380"/>
      <c r="O419" s="380"/>
      <c r="P419" s="380"/>
    </row>
    <row r="420" spans="1:16" ht="18.75" customHeight="1">
      <c r="A420" s="617"/>
      <c r="B420" s="617"/>
      <c r="C420" s="617"/>
      <c r="D420" s="617"/>
      <c r="E420" s="617"/>
      <c r="F420" s="617"/>
      <c r="K420" s="380"/>
      <c r="L420" s="380"/>
      <c r="M420" s="380"/>
      <c r="N420" s="380"/>
      <c r="O420" s="380"/>
      <c r="P420" s="380"/>
    </row>
    <row r="421" spans="1:16" ht="18.75" customHeight="1">
      <c r="A421" s="617"/>
      <c r="B421" s="617"/>
      <c r="C421" s="617"/>
      <c r="D421" s="617"/>
      <c r="E421" s="617"/>
      <c r="F421" s="617"/>
      <c r="K421" s="380"/>
      <c r="L421" s="380"/>
      <c r="M421" s="380"/>
      <c r="N421" s="380"/>
      <c r="O421" s="380"/>
      <c r="P421" s="380"/>
    </row>
    <row r="422" spans="1:16" ht="18.75" customHeight="1">
      <c r="A422" s="626"/>
      <c r="B422" s="626"/>
      <c r="C422" s="626"/>
      <c r="D422" s="615"/>
      <c r="E422" s="615"/>
      <c r="F422" s="381"/>
      <c r="K422" s="377"/>
      <c r="L422" s="377"/>
      <c r="M422" s="377"/>
      <c r="N422" s="378"/>
      <c r="O422" s="378"/>
      <c r="P422" s="381"/>
    </row>
    <row r="423" spans="1:16" ht="18.75" customHeight="1">
      <c r="A423" s="626"/>
      <c r="B423" s="626"/>
      <c r="C423" s="626"/>
      <c r="D423" s="615"/>
      <c r="E423" s="615"/>
      <c r="F423" s="381"/>
      <c r="K423" s="377"/>
      <c r="L423" s="377"/>
      <c r="M423" s="377"/>
      <c r="N423" s="378"/>
      <c r="O423" s="378"/>
      <c r="P423" s="381"/>
    </row>
    <row r="424" spans="1:16" ht="18.75" customHeight="1">
      <c r="A424" s="626"/>
      <c r="B424" s="626"/>
      <c r="C424" s="626"/>
      <c r="D424" s="615"/>
      <c r="E424" s="615"/>
      <c r="F424" s="378"/>
      <c r="K424" s="377"/>
      <c r="L424" s="377"/>
      <c r="M424" s="377"/>
      <c r="N424" s="378"/>
      <c r="O424" s="378"/>
      <c r="P424" s="378"/>
    </row>
    <row r="425" spans="1:16" ht="18.75" customHeight="1">
      <c r="A425" s="626"/>
      <c r="B425" s="626"/>
      <c r="C425" s="626"/>
      <c r="D425" s="615"/>
      <c r="E425" s="615"/>
      <c r="F425" s="378"/>
      <c r="K425" s="377"/>
      <c r="L425" s="377"/>
      <c r="M425" s="377"/>
      <c r="N425" s="378"/>
      <c r="O425" s="378"/>
      <c r="P425" s="378"/>
    </row>
    <row r="426" spans="1:16" ht="18.75" customHeight="1">
      <c r="A426" s="626"/>
      <c r="B426" s="626"/>
      <c r="C426" s="626"/>
      <c r="D426" s="615"/>
      <c r="E426" s="615"/>
      <c r="F426" s="378"/>
      <c r="K426" s="377"/>
      <c r="L426" s="377"/>
      <c r="M426" s="377"/>
      <c r="N426" s="378"/>
      <c r="O426" s="378"/>
      <c r="P426" s="378"/>
    </row>
    <row r="427" spans="1:16" ht="18.75" customHeight="1">
      <c r="A427" s="626"/>
      <c r="B427" s="626"/>
      <c r="C427" s="626"/>
      <c r="D427" s="615"/>
      <c r="E427" s="615"/>
      <c r="F427" s="378"/>
      <c r="K427" s="377"/>
      <c r="L427" s="377"/>
      <c r="M427" s="377"/>
      <c r="N427" s="378"/>
      <c r="O427" s="378"/>
      <c r="P427" s="378"/>
    </row>
    <row r="428" spans="1:16" ht="18.75" customHeight="1">
      <c r="A428" s="626"/>
      <c r="B428" s="626"/>
      <c r="C428" s="626"/>
      <c r="D428" s="615"/>
      <c r="E428" s="615"/>
      <c r="F428" s="378"/>
      <c r="K428" s="377"/>
      <c r="L428" s="377"/>
      <c r="M428" s="377"/>
      <c r="N428" s="378"/>
      <c r="O428" s="378"/>
      <c r="P428" s="378"/>
    </row>
    <row r="429" spans="1:16" ht="76.5" customHeight="1">
      <c r="A429" s="627"/>
      <c r="B429" s="627"/>
      <c r="C429" s="627"/>
      <c r="D429" s="627"/>
      <c r="E429" s="628"/>
      <c r="F429" s="628"/>
      <c r="K429" s="382"/>
      <c r="L429" s="382"/>
      <c r="M429" s="382"/>
      <c r="N429" s="382"/>
      <c r="O429" s="383"/>
      <c r="P429" s="383"/>
    </row>
    <row r="430" spans="1:16" ht="18.75">
      <c r="A430" s="617"/>
      <c r="B430" s="617"/>
      <c r="C430" s="617"/>
      <c r="D430" s="617"/>
      <c r="E430" s="617"/>
      <c r="F430" s="617"/>
      <c r="K430" s="380"/>
      <c r="L430" s="380"/>
      <c r="M430" s="380"/>
      <c r="N430" s="380"/>
      <c r="O430" s="380"/>
      <c r="P430" s="380"/>
    </row>
    <row r="431" spans="1:16" ht="18.75">
      <c r="A431" s="617"/>
      <c r="B431" s="617"/>
      <c r="C431" s="617"/>
      <c r="D431" s="617"/>
      <c r="E431" s="617"/>
      <c r="F431" s="617"/>
      <c r="K431" s="380"/>
      <c r="L431" s="380"/>
      <c r="M431" s="380"/>
      <c r="N431" s="380"/>
      <c r="O431" s="380"/>
      <c r="P431" s="380"/>
    </row>
    <row r="432" spans="1:16" ht="18.75" customHeight="1">
      <c r="A432" s="617"/>
      <c r="B432" s="617"/>
      <c r="C432" s="617"/>
      <c r="D432" s="617"/>
      <c r="E432" s="617"/>
      <c r="F432" s="617"/>
      <c r="K432" s="380"/>
      <c r="L432" s="380"/>
      <c r="M432" s="380"/>
      <c r="N432" s="380"/>
      <c r="O432" s="380"/>
      <c r="P432" s="380"/>
    </row>
    <row r="433" spans="1:16" ht="18.75" customHeight="1">
      <c r="A433" s="617"/>
      <c r="B433" s="617"/>
      <c r="C433" s="617"/>
      <c r="D433" s="617"/>
      <c r="E433" s="617"/>
      <c r="F433" s="617"/>
      <c r="K433" s="380"/>
      <c r="L433" s="380"/>
      <c r="M433" s="380"/>
      <c r="N433" s="380"/>
      <c r="O433" s="380"/>
      <c r="P433" s="380"/>
    </row>
    <row r="434" spans="1:16" ht="18.75" customHeight="1">
      <c r="A434" s="617"/>
      <c r="B434" s="617"/>
      <c r="C434" s="617"/>
      <c r="D434" s="617"/>
      <c r="E434" s="617"/>
      <c r="F434" s="617"/>
      <c r="K434" s="380"/>
      <c r="L434" s="380"/>
      <c r="M434" s="380"/>
      <c r="N434" s="380"/>
      <c r="O434" s="380"/>
      <c r="P434" s="380"/>
    </row>
    <row r="435" spans="1:16" ht="18.75" customHeight="1">
      <c r="A435" s="626"/>
      <c r="B435" s="626"/>
      <c r="C435" s="626"/>
      <c r="D435" s="615"/>
      <c r="E435" s="615"/>
      <c r="F435" s="381"/>
      <c r="K435" s="377"/>
      <c r="L435" s="377"/>
      <c r="M435" s="377"/>
      <c r="N435" s="378"/>
      <c r="O435" s="378"/>
      <c r="P435" s="381"/>
    </row>
    <row r="436" spans="1:16" ht="18.75" customHeight="1">
      <c r="A436" s="626"/>
      <c r="B436" s="626"/>
      <c r="C436" s="626"/>
      <c r="D436" s="615"/>
      <c r="E436" s="615"/>
      <c r="F436" s="381"/>
      <c r="K436" s="377"/>
      <c r="L436" s="377"/>
      <c r="M436" s="377"/>
      <c r="N436" s="378"/>
      <c r="O436" s="378"/>
      <c r="P436" s="381"/>
    </row>
    <row r="437" spans="1:16" ht="18.75" customHeight="1">
      <c r="A437" s="626"/>
      <c r="B437" s="626"/>
      <c r="C437" s="626"/>
      <c r="D437" s="615"/>
      <c r="E437" s="615"/>
      <c r="F437" s="378"/>
      <c r="K437" s="377"/>
      <c r="L437" s="377"/>
      <c r="M437" s="377"/>
      <c r="N437" s="378"/>
      <c r="O437" s="378"/>
      <c r="P437" s="378"/>
    </row>
    <row r="438" spans="1:16" ht="18.75" customHeight="1">
      <c r="A438" s="626"/>
      <c r="B438" s="626"/>
      <c r="C438" s="626"/>
      <c r="D438" s="615"/>
      <c r="E438" s="615"/>
      <c r="F438" s="378"/>
      <c r="K438" s="377"/>
      <c r="L438" s="377"/>
      <c r="M438" s="377"/>
      <c r="N438" s="378"/>
      <c r="O438" s="378"/>
      <c r="P438" s="378"/>
    </row>
    <row r="439" spans="1:16" ht="18.75" customHeight="1">
      <c r="A439" s="626"/>
      <c r="B439" s="626"/>
      <c r="C439" s="626"/>
      <c r="D439" s="615"/>
      <c r="E439" s="615"/>
      <c r="F439" s="378"/>
      <c r="K439" s="377"/>
      <c r="L439" s="377"/>
      <c r="M439" s="377"/>
      <c r="N439" s="378"/>
      <c r="O439" s="378"/>
      <c r="P439" s="378"/>
    </row>
    <row r="440" spans="1:16" ht="18.75" customHeight="1">
      <c r="A440" s="626"/>
      <c r="B440" s="626"/>
      <c r="C440" s="626"/>
      <c r="D440" s="615"/>
      <c r="E440" s="615"/>
      <c r="F440" s="378"/>
      <c r="K440" s="377"/>
      <c r="L440" s="377"/>
      <c r="M440" s="377"/>
      <c r="N440" s="378"/>
      <c r="O440" s="378"/>
      <c r="P440" s="378"/>
    </row>
    <row r="441" spans="1:16" ht="18.75" customHeight="1">
      <c r="A441" s="626"/>
      <c r="B441" s="626"/>
      <c r="C441" s="626"/>
      <c r="D441" s="615"/>
      <c r="E441" s="615"/>
      <c r="F441" s="378"/>
      <c r="K441" s="377"/>
      <c r="L441" s="377"/>
      <c r="M441" s="377"/>
      <c r="N441" s="378"/>
      <c r="O441" s="378"/>
      <c r="P441" s="378"/>
    </row>
    <row r="442" spans="1:16" ht="76.5" customHeight="1">
      <c r="A442" s="627"/>
      <c r="B442" s="627"/>
      <c r="C442" s="627"/>
      <c r="D442" s="627"/>
      <c r="E442" s="628"/>
      <c r="F442" s="628"/>
      <c r="K442" s="382"/>
      <c r="L442" s="382"/>
      <c r="M442" s="382"/>
      <c r="N442" s="382"/>
      <c r="O442" s="383"/>
      <c r="P442" s="383"/>
    </row>
    <row r="443" spans="1:16" ht="18.75">
      <c r="A443" s="617"/>
      <c r="B443" s="617"/>
      <c r="C443" s="617"/>
      <c r="D443" s="617"/>
      <c r="E443" s="617"/>
      <c r="F443" s="617"/>
      <c r="K443" s="380"/>
      <c r="L443" s="380"/>
      <c r="M443" s="380"/>
      <c r="N443" s="380"/>
      <c r="O443" s="380"/>
      <c r="P443" s="380"/>
    </row>
    <row r="444" spans="1:16" ht="18.75">
      <c r="A444" s="617"/>
      <c r="B444" s="617"/>
      <c r="C444" s="617"/>
      <c r="D444" s="617"/>
      <c r="E444" s="617"/>
      <c r="F444" s="617"/>
      <c r="K444" s="380"/>
      <c r="L444" s="380"/>
      <c r="M444" s="380"/>
      <c r="N444" s="380"/>
      <c r="O444" s="380"/>
      <c r="P444" s="380"/>
    </row>
    <row r="445" spans="1:16" ht="18.75" customHeight="1">
      <c r="A445" s="617"/>
      <c r="B445" s="617"/>
      <c r="C445" s="617"/>
      <c r="D445" s="617"/>
      <c r="E445" s="617"/>
      <c r="F445" s="617"/>
      <c r="K445" s="380"/>
      <c r="L445" s="380"/>
      <c r="M445" s="380"/>
      <c r="N445" s="380"/>
      <c r="O445" s="380"/>
      <c r="P445" s="380"/>
    </row>
    <row r="446" spans="1:16" ht="18.75" customHeight="1">
      <c r="A446" s="617"/>
      <c r="B446" s="617"/>
      <c r="C446" s="617"/>
      <c r="D446" s="617"/>
      <c r="E446" s="617"/>
      <c r="F446" s="617"/>
      <c r="K446" s="380"/>
      <c r="L446" s="380"/>
      <c r="M446" s="380"/>
      <c r="N446" s="380"/>
      <c r="O446" s="380"/>
      <c r="P446" s="380"/>
    </row>
    <row r="447" spans="1:16" ht="18.75" customHeight="1">
      <c r="A447" s="617"/>
      <c r="B447" s="617"/>
      <c r="C447" s="617"/>
      <c r="D447" s="617"/>
      <c r="E447" s="617"/>
      <c r="F447" s="617"/>
      <c r="K447" s="380"/>
      <c r="L447" s="380"/>
      <c r="M447" s="380"/>
      <c r="N447" s="380"/>
      <c r="O447" s="380"/>
      <c r="P447" s="380"/>
    </row>
    <row r="448" spans="1:16" ht="18.75" customHeight="1">
      <c r="A448" s="626"/>
      <c r="B448" s="626"/>
      <c r="C448" s="626"/>
      <c r="D448" s="615"/>
      <c r="E448" s="615"/>
      <c r="F448" s="381"/>
      <c r="K448" s="377"/>
      <c r="L448" s="377"/>
      <c r="M448" s="377"/>
      <c r="N448" s="378"/>
      <c r="O448" s="378"/>
      <c r="P448" s="381"/>
    </row>
    <row r="449" spans="1:16" ht="18.75" customHeight="1">
      <c r="A449" s="626"/>
      <c r="B449" s="626"/>
      <c r="C449" s="626"/>
      <c r="D449" s="615"/>
      <c r="E449" s="615"/>
      <c r="F449" s="381"/>
      <c r="K449" s="377"/>
      <c r="L449" s="377"/>
      <c r="M449" s="377"/>
      <c r="N449" s="378"/>
      <c r="O449" s="378"/>
      <c r="P449" s="381"/>
    </row>
    <row r="450" spans="1:16" ht="18.75" customHeight="1">
      <c r="A450" s="626"/>
      <c r="B450" s="626"/>
      <c r="C450" s="626"/>
      <c r="D450" s="615"/>
      <c r="E450" s="615"/>
      <c r="F450" s="378"/>
      <c r="K450" s="377"/>
      <c r="L450" s="377"/>
      <c r="M450" s="377"/>
      <c r="N450" s="378"/>
      <c r="O450" s="378"/>
      <c r="P450" s="378"/>
    </row>
    <row r="451" spans="1:16" ht="18.75" customHeight="1">
      <c r="A451" s="626"/>
      <c r="B451" s="626"/>
      <c r="C451" s="626"/>
      <c r="D451" s="615"/>
      <c r="E451" s="615"/>
      <c r="F451" s="378"/>
      <c r="K451" s="377"/>
      <c r="L451" s="377"/>
      <c r="M451" s="377"/>
      <c r="N451" s="378"/>
      <c r="O451" s="378"/>
      <c r="P451" s="378"/>
    </row>
    <row r="452" spans="1:16" ht="18.75" customHeight="1">
      <c r="A452" s="626"/>
      <c r="B452" s="626"/>
      <c r="C452" s="626"/>
      <c r="D452" s="615"/>
      <c r="E452" s="615"/>
      <c r="F452" s="378"/>
      <c r="K452" s="377"/>
      <c r="L452" s="377"/>
      <c r="M452" s="377"/>
      <c r="N452" s="378"/>
      <c r="O452" s="378"/>
      <c r="P452" s="378"/>
    </row>
    <row r="453" spans="1:16" ht="18.75" customHeight="1">
      <c r="A453" s="626"/>
      <c r="B453" s="626"/>
      <c r="C453" s="626"/>
      <c r="D453" s="615"/>
      <c r="E453" s="615"/>
      <c r="F453" s="378"/>
      <c r="K453" s="377"/>
      <c r="L453" s="377"/>
      <c r="M453" s="377"/>
      <c r="N453" s="378"/>
      <c r="O453" s="378"/>
      <c r="P453" s="378"/>
    </row>
    <row r="454" spans="1:16" ht="18.75" customHeight="1">
      <c r="A454" s="626"/>
      <c r="B454" s="626"/>
      <c r="C454" s="626"/>
      <c r="D454" s="615"/>
      <c r="E454" s="615"/>
      <c r="F454" s="378"/>
      <c r="K454" s="377"/>
      <c r="L454" s="377"/>
      <c r="M454" s="377"/>
      <c r="N454" s="378"/>
      <c r="O454" s="378"/>
      <c r="P454" s="378"/>
    </row>
    <row r="455" spans="1:16" ht="76.5" customHeight="1">
      <c r="A455" s="627"/>
      <c r="B455" s="627"/>
      <c r="C455" s="627"/>
      <c r="D455" s="627"/>
      <c r="E455" s="628"/>
      <c r="F455" s="628"/>
      <c r="K455" s="382"/>
      <c r="L455" s="382"/>
      <c r="M455" s="382"/>
      <c r="N455" s="382"/>
      <c r="O455" s="383"/>
      <c r="P455" s="383"/>
    </row>
    <row r="456" spans="1:16" ht="18.75">
      <c r="A456" s="617"/>
      <c r="B456" s="617"/>
      <c r="C456" s="617"/>
      <c r="D456" s="617"/>
      <c r="E456" s="617"/>
      <c r="F456" s="617"/>
      <c r="K456" s="380"/>
      <c r="L456" s="380"/>
      <c r="M456" s="380"/>
      <c r="N456" s="380"/>
      <c r="O456" s="380"/>
      <c r="P456" s="380"/>
    </row>
    <row r="457" spans="1:16" ht="18.75">
      <c r="A457" s="617"/>
      <c r="B457" s="617"/>
      <c r="C457" s="617"/>
      <c r="D457" s="617"/>
      <c r="E457" s="617"/>
      <c r="F457" s="617"/>
      <c r="K457" s="380"/>
      <c r="L457" s="380"/>
      <c r="M457" s="380"/>
      <c r="N457" s="380"/>
      <c r="O457" s="380"/>
      <c r="P457" s="380"/>
    </row>
    <row r="458" spans="1:16" ht="18.75" customHeight="1">
      <c r="A458" s="617"/>
      <c r="B458" s="617"/>
      <c r="C458" s="617"/>
      <c r="D458" s="617"/>
      <c r="E458" s="617"/>
      <c r="F458" s="617"/>
      <c r="K458" s="380"/>
      <c r="L458" s="380"/>
      <c r="M458" s="380"/>
      <c r="N458" s="380"/>
      <c r="O458" s="380"/>
      <c r="P458" s="380"/>
    </row>
    <row r="459" spans="1:16" ht="18.75" customHeight="1">
      <c r="A459" s="617"/>
      <c r="B459" s="617"/>
      <c r="C459" s="617"/>
      <c r="D459" s="617"/>
      <c r="E459" s="617"/>
      <c r="F459" s="617"/>
      <c r="K459" s="380"/>
      <c r="L459" s="380"/>
      <c r="M459" s="380"/>
      <c r="N459" s="380"/>
      <c r="O459" s="380"/>
      <c r="P459" s="380"/>
    </row>
    <row r="460" spans="1:16" ht="18.75" customHeight="1">
      <c r="A460" s="617"/>
      <c r="B460" s="617"/>
      <c r="C460" s="617"/>
      <c r="D460" s="617"/>
      <c r="E460" s="617"/>
      <c r="F460" s="617"/>
      <c r="K460" s="380"/>
      <c r="L460" s="380"/>
      <c r="M460" s="380"/>
      <c r="N460" s="380"/>
      <c r="O460" s="380"/>
      <c r="P460" s="380"/>
    </row>
    <row r="461" spans="1:16" ht="18.75" customHeight="1">
      <c r="A461" s="626"/>
      <c r="B461" s="626"/>
      <c r="C461" s="626"/>
      <c r="D461" s="615"/>
      <c r="E461" s="615"/>
      <c r="F461" s="381"/>
      <c r="K461" s="377"/>
      <c r="L461" s="377"/>
      <c r="M461" s="377"/>
      <c r="N461" s="378"/>
      <c r="O461" s="378"/>
      <c r="P461" s="381"/>
    </row>
    <row r="462" spans="1:16" ht="18.75" customHeight="1">
      <c r="A462" s="626"/>
      <c r="B462" s="626"/>
      <c r="C462" s="626"/>
      <c r="D462" s="615"/>
      <c r="E462" s="615"/>
      <c r="F462" s="381"/>
      <c r="K462" s="377"/>
      <c r="L462" s="377"/>
      <c r="M462" s="377"/>
      <c r="N462" s="378"/>
      <c r="O462" s="378"/>
      <c r="P462" s="381"/>
    </row>
    <row r="463" spans="1:16" ht="18.75" customHeight="1">
      <c r="A463" s="626"/>
      <c r="B463" s="626"/>
      <c r="C463" s="626"/>
      <c r="D463" s="615"/>
      <c r="E463" s="615"/>
      <c r="F463" s="378"/>
      <c r="K463" s="377"/>
      <c r="L463" s="377"/>
      <c r="M463" s="377"/>
      <c r="N463" s="378"/>
      <c r="O463" s="378"/>
      <c r="P463" s="378"/>
    </row>
    <row r="464" spans="1:16" ht="18.75" customHeight="1">
      <c r="A464" s="626"/>
      <c r="B464" s="626"/>
      <c r="C464" s="626"/>
      <c r="D464" s="615"/>
      <c r="E464" s="615"/>
      <c r="F464" s="378"/>
      <c r="K464" s="377"/>
      <c r="L464" s="377"/>
      <c r="M464" s="377"/>
      <c r="N464" s="378"/>
      <c r="O464" s="378"/>
      <c r="P464" s="378"/>
    </row>
    <row r="465" spans="1:16" ht="18.75" customHeight="1">
      <c r="A465" s="626"/>
      <c r="B465" s="626"/>
      <c r="C465" s="626"/>
      <c r="D465" s="615"/>
      <c r="E465" s="615"/>
      <c r="F465" s="378"/>
      <c r="K465" s="377"/>
      <c r="L465" s="377"/>
      <c r="M465" s="377"/>
      <c r="N465" s="378"/>
      <c r="O465" s="378"/>
      <c r="P465" s="378"/>
    </row>
    <row r="466" spans="1:16" ht="18.75" customHeight="1">
      <c r="A466" s="626"/>
      <c r="B466" s="626"/>
      <c r="C466" s="626"/>
      <c r="D466" s="615"/>
      <c r="E466" s="615"/>
      <c r="F466" s="378"/>
      <c r="K466" s="377"/>
      <c r="L466" s="377"/>
      <c r="M466" s="377"/>
      <c r="N466" s="378"/>
      <c r="O466" s="378"/>
      <c r="P466" s="378"/>
    </row>
    <row r="467" spans="1:16" ht="18.75" customHeight="1">
      <c r="A467" s="626"/>
      <c r="B467" s="626"/>
      <c r="C467" s="626"/>
      <c r="D467" s="615"/>
      <c r="E467" s="615"/>
      <c r="F467" s="378"/>
      <c r="K467" s="377"/>
      <c r="L467" s="377"/>
      <c r="M467" s="377"/>
      <c r="N467" s="378"/>
      <c r="O467" s="378"/>
      <c r="P467" s="378"/>
    </row>
    <row r="468" spans="1:16" ht="76.5" customHeight="1">
      <c r="A468" s="627"/>
      <c r="B468" s="627"/>
      <c r="C468" s="627"/>
      <c r="D468" s="627"/>
      <c r="E468" s="628"/>
      <c r="F468" s="628"/>
      <c r="K468" s="382"/>
      <c r="L468" s="382"/>
      <c r="M468" s="382"/>
      <c r="N468" s="382"/>
      <c r="O468" s="383"/>
      <c r="P468" s="383"/>
    </row>
    <row r="469" spans="1:16" ht="18.75">
      <c r="A469" s="617"/>
      <c r="B469" s="617"/>
      <c r="C469" s="617"/>
      <c r="D469" s="617"/>
      <c r="E469" s="617"/>
      <c r="F469" s="617"/>
      <c r="K469" s="380"/>
      <c r="L469" s="380"/>
      <c r="M469" s="380"/>
      <c r="N469" s="380"/>
      <c r="O469" s="380"/>
      <c r="P469" s="380"/>
    </row>
    <row r="470" spans="1:16" ht="18.75">
      <c r="A470" s="617"/>
      <c r="B470" s="617"/>
      <c r="C470" s="617"/>
      <c r="D470" s="617"/>
      <c r="E470" s="617"/>
      <c r="F470" s="617"/>
      <c r="K470" s="380"/>
      <c r="L470" s="380"/>
      <c r="M470" s="380"/>
      <c r="N470" s="380"/>
      <c r="O470" s="380"/>
      <c r="P470" s="380"/>
    </row>
    <row r="471" spans="1:16" ht="18.75" customHeight="1">
      <c r="A471" s="617"/>
      <c r="B471" s="617"/>
      <c r="C471" s="617"/>
      <c r="D471" s="617"/>
      <c r="E471" s="617"/>
      <c r="F471" s="617"/>
      <c r="K471" s="380"/>
      <c r="L471" s="380"/>
      <c r="M471" s="380"/>
      <c r="N471" s="380"/>
      <c r="O471" s="380"/>
      <c r="P471" s="380"/>
    </row>
    <row r="472" spans="1:16" ht="18.75" customHeight="1">
      <c r="A472" s="617"/>
      <c r="B472" s="617"/>
      <c r="C472" s="617"/>
      <c r="D472" s="617"/>
      <c r="E472" s="617"/>
      <c r="F472" s="617"/>
      <c r="K472" s="380"/>
      <c r="L472" s="380"/>
      <c r="M472" s="380"/>
      <c r="N472" s="380"/>
      <c r="O472" s="380"/>
      <c r="P472" s="380"/>
    </row>
    <row r="473" spans="1:16" ht="18.75" customHeight="1">
      <c r="A473" s="617"/>
      <c r="B473" s="617"/>
      <c r="C473" s="617"/>
      <c r="D473" s="617"/>
      <c r="E473" s="617"/>
      <c r="F473" s="617"/>
      <c r="K473" s="380"/>
      <c r="L473" s="380"/>
      <c r="M473" s="380"/>
      <c r="N473" s="380"/>
      <c r="O473" s="380"/>
      <c r="P473" s="380"/>
    </row>
    <row r="474" spans="1:16" ht="18.75" customHeight="1">
      <c r="A474" s="626"/>
      <c r="B474" s="626"/>
      <c r="C474" s="626"/>
      <c r="D474" s="615"/>
      <c r="E474" s="615"/>
      <c r="F474" s="381"/>
      <c r="K474" s="377"/>
      <c r="L474" s="377"/>
      <c r="M474" s="377"/>
      <c r="N474" s="378"/>
      <c r="O474" s="378"/>
      <c r="P474" s="381"/>
    </row>
    <row r="475" spans="1:16" ht="18.75" customHeight="1">
      <c r="A475" s="626"/>
      <c r="B475" s="626"/>
      <c r="C475" s="626"/>
      <c r="D475" s="615"/>
      <c r="E475" s="615"/>
      <c r="F475" s="381"/>
      <c r="K475" s="377"/>
      <c r="L475" s="377"/>
      <c r="M475" s="377"/>
      <c r="N475" s="378"/>
      <c r="O475" s="378"/>
      <c r="P475" s="381"/>
    </row>
    <row r="476" spans="1:16" ht="18.75" customHeight="1">
      <c r="A476" s="626"/>
      <c r="B476" s="626"/>
      <c r="C476" s="626"/>
      <c r="D476" s="615"/>
      <c r="E476" s="615"/>
      <c r="F476" s="378"/>
      <c r="K476" s="377"/>
      <c r="L476" s="377"/>
      <c r="M476" s="377"/>
      <c r="N476" s="378"/>
      <c r="O476" s="378"/>
      <c r="P476" s="378"/>
    </row>
    <row r="477" spans="1:16" ht="18.75" customHeight="1">
      <c r="A477" s="626"/>
      <c r="B477" s="626"/>
      <c r="C477" s="626"/>
      <c r="D477" s="615"/>
      <c r="E477" s="615"/>
      <c r="F477" s="378"/>
      <c r="K477" s="377"/>
      <c r="L477" s="377"/>
      <c r="M477" s="377"/>
      <c r="N477" s="378"/>
      <c r="O477" s="378"/>
      <c r="P477" s="378"/>
    </row>
    <row r="478" spans="1:16" ht="18.75" customHeight="1">
      <c r="A478" s="626"/>
      <c r="B478" s="626"/>
      <c r="C478" s="626"/>
      <c r="D478" s="615"/>
      <c r="E478" s="615"/>
      <c r="F478" s="378"/>
      <c r="K478" s="377"/>
      <c r="L478" s="377"/>
      <c r="M478" s="377"/>
      <c r="N478" s="378"/>
      <c r="O478" s="378"/>
      <c r="P478" s="378"/>
    </row>
    <row r="479" spans="1:16" ht="18.75" customHeight="1">
      <c r="A479" s="626"/>
      <c r="B479" s="626"/>
      <c r="C479" s="626"/>
      <c r="D479" s="615"/>
      <c r="E479" s="615"/>
      <c r="F479" s="378"/>
      <c r="K479" s="377"/>
      <c r="L479" s="377"/>
      <c r="M479" s="377"/>
      <c r="N479" s="378"/>
      <c r="O479" s="378"/>
      <c r="P479" s="378"/>
    </row>
    <row r="480" spans="1:16" ht="18.75" customHeight="1">
      <c r="A480" s="626"/>
      <c r="B480" s="626"/>
      <c r="C480" s="626"/>
      <c r="D480" s="615"/>
      <c r="E480" s="615"/>
      <c r="F480" s="378"/>
      <c r="K480" s="377"/>
      <c r="L480" s="377"/>
      <c r="M480" s="377"/>
      <c r="N480" s="378"/>
      <c r="O480" s="378"/>
      <c r="P480" s="378"/>
    </row>
    <row r="481" spans="1:16" ht="76.5" customHeight="1">
      <c r="A481" s="627"/>
      <c r="B481" s="627"/>
      <c r="C481" s="627"/>
      <c r="D481" s="627"/>
      <c r="E481" s="628"/>
      <c r="F481" s="628"/>
      <c r="K481" s="382"/>
      <c r="L481" s="382"/>
      <c r="M481" s="382"/>
      <c r="N481" s="382"/>
      <c r="O481" s="383"/>
      <c r="P481" s="383"/>
    </row>
    <row r="482" spans="1:16" ht="18.75">
      <c r="A482" s="617"/>
      <c r="B482" s="617"/>
      <c r="C482" s="617"/>
      <c r="D482" s="617"/>
      <c r="E482" s="617"/>
      <c r="F482" s="617"/>
      <c r="K482" s="380"/>
      <c r="L482" s="380"/>
      <c r="M482" s="380"/>
      <c r="N482" s="380"/>
      <c r="O482" s="380"/>
      <c r="P482" s="380"/>
    </row>
    <row r="483" spans="1:16" ht="18.75">
      <c r="A483" s="617"/>
      <c r="B483" s="617"/>
      <c r="C483" s="617"/>
      <c r="D483" s="617"/>
      <c r="E483" s="617"/>
      <c r="F483" s="617"/>
      <c r="K483" s="380"/>
      <c r="L483" s="380"/>
      <c r="M483" s="380"/>
      <c r="N483" s="380"/>
      <c r="O483" s="380"/>
      <c r="P483" s="380"/>
    </row>
    <row r="484" spans="1:16" ht="18.75" customHeight="1">
      <c r="A484" s="617"/>
      <c r="B484" s="617"/>
      <c r="C484" s="617"/>
      <c r="D484" s="617"/>
      <c r="E484" s="617"/>
      <c r="F484" s="617"/>
      <c r="K484" s="380"/>
      <c r="L484" s="380"/>
      <c r="M484" s="380"/>
      <c r="N484" s="380"/>
      <c r="O484" s="380"/>
      <c r="P484" s="380"/>
    </row>
    <row r="485" spans="1:16" ht="18.75" customHeight="1">
      <c r="A485" s="617"/>
      <c r="B485" s="617"/>
      <c r="C485" s="617"/>
      <c r="D485" s="617"/>
      <c r="E485" s="617"/>
      <c r="F485" s="617"/>
      <c r="K485" s="380"/>
      <c r="L485" s="380"/>
      <c r="M485" s="380"/>
      <c r="N485" s="380"/>
      <c r="O485" s="380"/>
      <c r="P485" s="380"/>
    </row>
    <row r="486" spans="1:16" ht="18.75" customHeight="1">
      <c r="A486" s="617"/>
      <c r="B486" s="617"/>
      <c r="C486" s="617"/>
      <c r="D486" s="617"/>
      <c r="E486" s="617"/>
      <c r="F486" s="617"/>
      <c r="K486" s="380"/>
      <c r="L486" s="380"/>
      <c r="M486" s="380"/>
      <c r="N486" s="380"/>
      <c r="O486" s="380"/>
      <c r="P486" s="380"/>
    </row>
    <row r="487" spans="1:16" ht="18.75" customHeight="1">
      <c r="A487" s="626"/>
      <c r="B487" s="626"/>
      <c r="C487" s="626"/>
      <c r="D487" s="615"/>
      <c r="E487" s="615"/>
      <c r="F487" s="381"/>
      <c r="K487" s="377"/>
      <c r="L487" s="377"/>
      <c r="M487" s="377"/>
      <c r="N487" s="378"/>
      <c r="O487" s="378"/>
      <c r="P487" s="381"/>
    </row>
    <row r="488" spans="1:16" ht="18.75" customHeight="1">
      <c r="A488" s="626"/>
      <c r="B488" s="626"/>
      <c r="C488" s="626"/>
      <c r="D488" s="615"/>
      <c r="E488" s="615"/>
      <c r="F488" s="381"/>
      <c r="K488" s="377"/>
      <c r="L488" s="377"/>
      <c r="M488" s="377"/>
      <c r="N488" s="378"/>
      <c r="O488" s="378"/>
      <c r="P488" s="381"/>
    </row>
    <row r="489" spans="1:16" ht="18.75" customHeight="1">
      <c r="A489" s="626"/>
      <c r="B489" s="626"/>
      <c r="C489" s="626"/>
      <c r="D489" s="615"/>
      <c r="E489" s="615"/>
      <c r="F489" s="378"/>
      <c r="K489" s="377"/>
      <c r="L489" s="377"/>
      <c r="M489" s="377"/>
      <c r="N489" s="378"/>
      <c r="O489" s="378"/>
      <c r="P489" s="378"/>
    </row>
    <row r="490" spans="1:16" ht="18.75" customHeight="1">
      <c r="A490" s="626"/>
      <c r="B490" s="626"/>
      <c r="C490" s="626"/>
      <c r="D490" s="615"/>
      <c r="E490" s="615"/>
      <c r="F490" s="378"/>
      <c r="K490" s="377"/>
      <c r="L490" s="377"/>
      <c r="M490" s="377"/>
      <c r="N490" s="378"/>
      <c r="O490" s="378"/>
      <c r="P490" s="378"/>
    </row>
    <row r="491" spans="1:16" ht="18.75" customHeight="1">
      <c r="A491" s="626"/>
      <c r="B491" s="626"/>
      <c r="C491" s="626"/>
      <c r="D491" s="615"/>
      <c r="E491" s="615"/>
      <c r="F491" s="378"/>
      <c r="K491" s="377"/>
      <c r="L491" s="377"/>
      <c r="M491" s="377"/>
      <c r="N491" s="378"/>
      <c r="O491" s="378"/>
      <c r="P491" s="378"/>
    </row>
    <row r="492" spans="1:16" ht="18.75" customHeight="1">
      <c r="A492" s="626"/>
      <c r="B492" s="626"/>
      <c r="C492" s="626"/>
      <c r="D492" s="615"/>
      <c r="E492" s="615"/>
      <c r="F492" s="378"/>
      <c r="K492" s="377"/>
      <c r="L492" s="377"/>
      <c r="M492" s="377"/>
      <c r="N492" s="378"/>
      <c r="O492" s="378"/>
      <c r="P492" s="378"/>
    </row>
    <row r="493" spans="1:16" ht="18.75" customHeight="1">
      <c r="A493" s="626"/>
      <c r="B493" s="626"/>
      <c r="C493" s="626"/>
      <c r="D493" s="615"/>
      <c r="E493" s="615"/>
      <c r="F493" s="378"/>
      <c r="K493" s="377"/>
      <c r="L493" s="377"/>
      <c r="M493" s="377"/>
      <c r="N493" s="378"/>
      <c r="O493" s="378"/>
      <c r="P493" s="378"/>
    </row>
    <row r="494" spans="1:16" ht="76.5" customHeight="1">
      <c r="A494" s="627"/>
      <c r="B494" s="627"/>
      <c r="C494" s="627"/>
      <c r="D494" s="627"/>
      <c r="E494" s="628"/>
      <c r="F494" s="628"/>
      <c r="K494" s="382"/>
      <c r="L494" s="382"/>
      <c r="M494" s="382"/>
      <c r="N494" s="382"/>
      <c r="O494" s="383"/>
      <c r="P494" s="383"/>
    </row>
    <row r="495" spans="1:16" ht="18.75">
      <c r="A495" s="617"/>
      <c r="B495" s="617"/>
      <c r="C495" s="617"/>
      <c r="D495" s="617"/>
      <c r="E495" s="617"/>
      <c r="F495" s="617"/>
      <c r="K495" s="380"/>
      <c r="L495" s="380"/>
      <c r="M495" s="380"/>
      <c r="N495" s="380"/>
      <c r="O495" s="380"/>
      <c r="P495" s="380"/>
    </row>
    <row r="496" spans="1:16" ht="18.75">
      <c r="A496" s="617"/>
      <c r="B496" s="617"/>
      <c r="C496" s="617"/>
      <c r="D496" s="617"/>
      <c r="E496" s="617"/>
      <c r="F496" s="617"/>
      <c r="K496" s="380"/>
      <c r="L496" s="380"/>
      <c r="M496" s="380"/>
      <c r="N496" s="380"/>
      <c r="O496" s="380"/>
      <c r="P496" s="380"/>
    </row>
    <row r="497" spans="1:16" ht="18.75" customHeight="1">
      <c r="A497" s="617"/>
      <c r="B497" s="617"/>
      <c r="C497" s="617"/>
      <c r="D497" s="617"/>
      <c r="E497" s="617"/>
      <c r="F497" s="617"/>
      <c r="K497" s="380"/>
      <c r="L497" s="380"/>
      <c r="M497" s="380"/>
      <c r="N497" s="380"/>
      <c r="O497" s="380"/>
      <c r="P497" s="380"/>
    </row>
    <row r="498" spans="1:16" ht="18.75" customHeight="1">
      <c r="A498" s="617"/>
      <c r="B498" s="617"/>
      <c r="C498" s="617"/>
      <c r="D498" s="617"/>
      <c r="E498" s="617"/>
      <c r="F498" s="617"/>
      <c r="K498" s="380"/>
      <c r="L498" s="380"/>
      <c r="M498" s="380"/>
      <c r="N498" s="380"/>
      <c r="O498" s="380"/>
      <c r="P498" s="380"/>
    </row>
    <row r="499" spans="1:16" ht="18.75" customHeight="1">
      <c r="A499" s="617"/>
      <c r="B499" s="617"/>
      <c r="C499" s="617"/>
      <c r="D499" s="617"/>
      <c r="E499" s="617"/>
      <c r="F499" s="617"/>
      <c r="K499" s="380"/>
      <c r="L499" s="380"/>
      <c r="M499" s="380"/>
      <c r="N499" s="380"/>
      <c r="O499" s="380"/>
      <c r="P499" s="380"/>
    </row>
    <row r="500" spans="1:16" ht="18.75" customHeight="1">
      <c r="A500" s="626"/>
      <c r="B500" s="626"/>
      <c r="C500" s="626"/>
      <c r="D500" s="615"/>
      <c r="E500" s="615"/>
      <c r="F500" s="381"/>
      <c r="K500" s="377"/>
      <c r="L500" s="377"/>
      <c r="M500" s="377"/>
      <c r="N500" s="378"/>
      <c r="O500" s="378"/>
      <c r="P500" s="381"/>
    </row>
    <row r="501" spans="1:16" ht="18.75" customHeight="1">
      <c r="A501" s="626"/>
      <c r="B501" s="626"/>
      <c r="C501" s="626"/>
      <c r="D501" s="615"/>
      <c r="E501" s="615"/>
      <c r="F501" s="381"/>
      <c r="K501" s="377"/>
      <c r="L501" s="377"/>
      <c r="M501" s="377"/>
      <c r="N501" s="378"/>
      <c r="O501" s="378"/>
      <c r="P501" s="381"/>
    </row>
    <row r="502" spans="1:16" ht="18.75" customHeight="1">
      <c r="A502" s="626"/>
      <c r="B502" s="626"/>
      <c r="C502" s="626"/>
      <c r="D502" s="615"/>
      <c r="E502" s="615"/>
      <c r="F502" s="378"/>
      <c r="K502" s="377"/>
      <c r="L502" s="377"/>
      <c r="M502" s="377"/>
      <c r="N502" s="378"/>
      <c r="O502" s="378"/>
      <c r="P502" s="378"/>
    </row>
    <row r="503" spans="1:16" ht="18.75" customHeight="1">
      <c r="A503" s="626"/>
      <c r="B503" s="626"/>
      <c r="C503" s="626"/>
      <c r="D503" s="615"/>
      <c r="E503" s="615"/>
      <c r="F503" s="378"/>
      <c r="K503" s="377"/>
      <c r="L503" s="377"/>
      <c r="M503" s="377"/>
      <c r="N503" s="378"/>
      <c r="O503" s="378"/>
      <c r="P503" s="378"/>
    </row>
    <row r="504" spans="1:16" ht="18.75" customHeight="1">
      <c r="A504" s="626"/>
      <c r="B504" s="626"/>
      <c r="C504" s="626"/>
      <c r="D504" s="615"/>
      <c r="E504" s="615"/>
      <c r="F504" s="378"/>
      <c r="K504" s="377"/>
      <c r="L504" s="377"/>
      <c r="M504" s="377"/>
      <c r="N504" s="378"/>
      <c r="O504" s="378"/>
      <c r="P504" s="378"/>
    </row>
    <row r="505" spans="1:16" ht="18.75" customHeight="1">
      <c r="A505" s="626"/>
      <c r="B505" s="626"/>
      <c r="C505" s="626"/>
      <c r="D505" s="615"/>
      <c r="E505" s="615"/>
      <c r="F505" s="378"/>
      <c r="K505" s="377"/>
      <c r="L505" s="377"/>
      <c r="M505" s="377"/>
      <c r="N505" s="378"/>
      <c r="O505" s="378"/>
      <c r="P505" s="378"/>
    </row>
    <row r="506" spans="1:16" ht="18.75" customHeight="1">
      <c r="A506" s="626"/>
      <c r="B506" s="626"/>
      <c r="C506" s="626"/>
      <c r="D506" s="615"/>
      <c r="E506" s="615"/>
      <c r="F506" s="378"/>
      <c r="K506" s="377"/>
      <c r="L506" s="377"/>
      <c r="M506" s="377"/>
      <c r="N506" s="378"/>
      <c r="O506" s="378"/>
      <c r="P506" s="378"/>
    </row>
    <row r="507" spans="1:16" ht="76.5" customHeight="1">
      <c r="A507" s="627"/>
      <c r="B507" s="627"/>
      <c r="C507" s="627"/>
      <c r="D507" s="627"/>
      <c r="E507" s="628"/>
      <c r="F507" s="628"/>
      <c r="K507" s="382"/>
      <c r="L507" s="382"/>
      <c r="M507" s="382"/>
      <c r="N507" s="382"/>
      <c r="O507" s="383"/>
      <c r="P507" s="383"/>
    </row>
    <row r="508" spans="1:16" ht="18.75">
      <c r="A508" s="617"/>
      <c r="B508" s="617"/>
      <c r="C508" s="617"/>
      <c r="D508" s="617"/>
      <c r="E508" s="617"/>
      <c r="F508" s="617"/>
      <c r="K508" s="380"/>
      <c r="L508" s="380"/>
      <c r="M508" s="380"/>
      <c r="N508" s="380"/>
      <c r="O508" s="380"/>
      <c r="P508" s="380"/>
    </row>
    <row r="509" spans="1:16" ht="18.75">
      <c r="A509" s="617"/>
      <c r="B509" s="617"/>
      <c r="C509" s="617"/>
      <c r="D509" s="617"/>
      <c r="E509" s="617"/>
      <c r="F509" s="617"/>
      <c r="K509" s="380"/>
      <c r="L509" s="380"/>
      <c r="M509" s="380"/>
      <c r="N509" s="380"/>
      <c r="O509" s="380"/>
      <c r="P509" s="380"/>
    </row>
    <row r="510" spans="1:16" ht="18.75" customHeight="1">
      <c r="A510" s="617"/>
      <c r="B510" s="617"/>
      <c r="C510" s="617"/>
      <c r="D510" s="617"/>
      <c r="E510" s="617"/>
      <c r="F510" s="617"/>
      <c r="K510" s="380"/>
      <c r="L510" s="380"/>
      <c r="M510" s="380"/>
      <c r="N510" s="380"/>
      <c r="O510" s="380"/>
      <c r="P510" s="380"/>
    </row>
    <row r="511" spans="1:16" ht="18.75" customHeight="1">
      <c r="A511" s="617"/>
      <c r="B511" s="617"/>
      <c r="C511" s="617"/>
      <c r="D511" s="617"/>
      <c r="E511" s="617"/>
      <c r="F511" s="617"/>
      <c r="K511" s="380"/>
      <c r="L511" s="380"/>
      <c r="M511" s="380"/>
      <c r="N511" s="380"/>
      <c r="O511" s="380"/>
      <c r="P511" s="380"/>
    </row>
    <row r="512" spans="1:16" ht="18.75" customHeight="1">
      <c r="A512" s="617"/>
      <c r="B512" s="617"/>
      <c r="C512" s="617"/>
      <c r="D512" s="617"/>
      <c r="E512" s="617"/>
      <c r="F512" s="617"/>
      <c r="K512" s="380"/>
      <c r="L512" s="380"/>
      <c r="M512" s="380"/>
      <c r="N512" s="380"/>
      <c r="O512" s="380"/>
      <c r="P512" s="380"/>
    </row>
    <row r="513" spans="1:16" ht="18.75" customHeight="1">
      <c r="A513" s="626"/>
      <c r="B513" s="626"/>
      <c r="C513" s="626"/>
      <c r="D513" s="615"/>
      <c r="E513" s="615"/>
      <c r="F513" s="381"/>
      <c r="K513" s="377"/>
      <c r="L513" s="377"/>
      <c r="M513" s="377"/>
      <c r="N513" s="378"/>
      <c r="O513" s="378"/>
      <c r="P513" s="381"/>
    </row>
    <row r="514" spans="1:16" ht="18.75" customHeight="1">
      <c r="A514" s="626"/>
      <c r="B514" s="626"/>
      <c r="C514" s="626"/>
      <c r="D514" s="615"/>
      <c r="E514" s="615"/>
      <c r="F514" s="381"/>
      <c r="K514" s="377"/>
      <c r="L514" s="377"/>
      <c r="M514" s="377"/>
      <c r="N514" s="378"/>
      <c r="O514" s="378"/>
      <c r="P514" s="381"/>
    </row>
    <row r="515" spans="1:16" ht="18.75" customHeight="1">
      <c r="A515" s="626"/>
      <c r="B515" s="626"/>
      <c r="C515" s="626"/>
      <c r="D515" s="615"/>
      <c r="E515" s="615"/>
      <c r="F515" s="378"/>
      <c r="K515" s="377"/>
      <c r="L515" s="377"/>
      <c r="M515" s="377"/>
      <c r="N515" s="378"/>
      <c r="O515" s="378"/>
      <c r="P515" s="378"/>
    </row>
    <row r="516" spans="1:16" ht="18.75" customHeight="1">
      <c r="A516" s="626"/>
      <c r="B516" s="626"/>
      <c r="C516" s="626"/>
      <c r="D516" s="615"/>
      <c r="E516" s="615"/>
      <c r="F516" s="378"/>
      <c r="K516" s="377"/>
      <c r="L516" s="377"/>
      <c r="M516" s="377"/>
      <c r="N516" s="378"/>
      <c r="O516" s="378"/>
      <c r="P516" s="378"/>
    </row>
    <row r="517" spans="1:16" ht="18.75" customHeight="1">
      <c r="A517" s="626"/>
      <c r="B517" s="626"/>
      <c r="C517" s="626"/>
      <c r="D517" s="615"/>
      <c r="E517" s="615"/>
      <c r="F517" s="378"/>
      <c r="K517" s="377"/>
      <c r="L517" s="377"/>
      <c r="M517" s="377"/>
      <c r="N517" s="378"/>
      <c r="O517" s="378"/>
      <c r="P517" s="378"/>
    </row>
    <row r="518" spans="1:16" ht="18.75" customHeight="1">
      <c r="A518" s="626"/>
      <c r="B518" s="626"/>
      <c r="C518" s="626"/>
      <c r="D518" s="615"/>
      <c r="E518" s="615"/>
      <c r="F518" s="378"/>
      <c r="K518" s="377"/>
      <c r="L518" s="377"/>
      <c r="M518" s="377"/>
      <c r="N518" s="378"/>
      <c r="O518" s="378"/>
      <c r="P518" s="378"/>
    </row>
    <row r="519" spans="1:16" ht="18.75" customHeight="1">
      <c r="A519" s="626"/>
      <c r="B519" s="626"/>
      <c r="C519" s="626"/>
      <c r="D519" s="615"/>
      <c r="E519" s="615"/>
      <c r="F519" s="378"/>
      <c r="K519" s="377"/>
      <c r="L519" s="377"/>
      <c r="M519" s="377"/>
      <c r="N519" s="378"/>
      <c r="O519" s="378"/>
      <c r="P519" s="378"/>
    </row>
    <row r="520" spans="1:16" ht="76.5" customHeight="1">
      <c r="A520" s="627"/>
      <c r="B520" s="627"/>
      <c r="C520" s="627"/>
      <c r="D520" s="627"/>
      <c r="E520" s="628"/>
      <c r="F520" s="628"/>
      <c r="K520" s="382"/>
      <c r="L520" s="382"/>
      <c r="M520" s="382"/>
      <c r="N520" s="382"/>
      <c r="O520" s="383"/>
      <c r="P520" s="383"/>
    </row>
    <row r="521" spans="1:16" ht="18.75">
      <c r="A521" s="617"/>
      <c r="B521" s="617"/>
      <c r="C521" s="617"/>
      <c r="D521" s="617"/>
      <c r="E521" s="617"/>
      <c r="F521" s="617"/>
      <c r="K521" s="380"/>
      <c r="L521" s="380"/>
      <c r="M521" s="380"/>
      <c r="N521" s="380"/>
      <c r="O521" s="380"/>
      <c r="P521" s="380"/>
    </row>
    <row r="522" spans="1:16" ht="18.75">
      <c r="A522" s="617"/>
      <c r="B522" s="617"/>
      <c r="C522" s="617"/>
      <c r="D522" s="617"/>
      <c r="E522" s="617"/>
      <c r="F522" s="617"/>
      <c r="K522" s="380"/>
      <c r="L522" s="380"/>
      <c r="M522" s="380"/>
      <c r="N522" s="380"/>
      <c r="O522" s="380"/>
      <c r="P522" s="380"/>
    </row>
    <row r="523" spans="1:16" ht="18.75" customHeight="1">
      <c r="A523" s="617"/>
      <c r="B523" s="617"/>
      <c r="C523" s="617"/>
      <c r="D523" s="617"/>
      <c r="E523" s="617"/>
      <c r="F523" s="617"/>
      <c r="K523" s="380"/>
      <c r="L523" s="380"/>
      <c r="M523" s="380"/>
      <c r="N523" s="380"/>
      <c r="O523" s="380"/>
      <c r="P523" s="380"/>
    </row>
    <row r="524" spans="1:16" ht="18.75" customHeight="1">
      <c r="A524" s="617"/>
      <c r="B524" s="617"/>
      <c r="C524" s="617"/>
      <c r="D524" s="617"/>
      <c r="E524" s="617"/>
      <c r="F524" s="617"/>
      <c r="K524" s="380"/>
      <c r="L524" s="380"/>
      <c r="M524" s="380"/>
      <c r="N524" s="380"/>
      <c r="O524" s="380"/>
      <c r="P524" s="380"/>
    </row>
    <row r="525" spans="1:16" ht="18.75" customHeight="1">
      <c r="A525" s="617"/>
      <c r="B525" s="617"/>
      <c r="C525" s="617"/>
      <c r="D525" s="617"/>
      <c r="E525" s="617"/>
      <c r="F525" s="617"/>
      <c r="K525" s="380"/>
      <c r="L525" s="380"/>
      <c r="M525" s="380"/>
      <c r="N525" s="380"/>
      <c r="O525" s="380"/>
      <c r="P525" s="380"/>
    </row>
    <row r="526" spans="1:16" ht="18.75" customHeight="1">
      <c r="A526" s="626"/>
      <c r="B526" s="626"/>
      <c r="C526" s="626"/>
      <c r="D526" s="615"/>
      <c r="E526" s="615"/>
      <c r="F526" s="381"/>
      <c r="K526" s="377"/>
      <c r="L526" s="377"/>
      <c r="M526" s="377"/>
      <c r="N526" s="378"/>
      <c r="O526" s="378"/>
      <c r="P526" s="381"/>
    </row>
    <row r="527" spans="1:16" ht="18.75" customHeight="1">
      <c r="A527" s="626"/>
      <c r="B527" s="626"/>
      <c r="C527" s="626"/>
      <c r="D527" s="615"/>
      <c r="E527" s="615"/>
      <c r="F527" s="381"/>
      <c r="K527" s="377"/>
      <c r="L527" s="377"/>
      <c r="M527" s="377"/>
      <c r="N527" s="378"/>
      <c r="O527" s="378"/>
      <c r="P527" s="381"/>
    </row>
    <row r="528" spans="1:16" ht="18.75" customHeight="1">
      <c r="A528" s="626"/>
      <c r="B528" s="626"/>
      <c r="C528" s="626"/>
      <c r="D528" s="615"/>
      <c r="E528" s="615"/>
      <c r="F528" s="378"/>
      <c r="K528" s="377"/>
      <c r="L528" s="377"/>
      <c r="M528" s="377"/>
      <c r="N528" s="378"/>
      <c r="O528" s="378"/>
      <c r="P528" s="378"/>
    </row>
    <row r="529" spans="1:16" ht="18.75" customHeight="1">
      <c r="A529" s="626"/>
      <c r="B529" s="626"/>
      <c r="C529" s="626"/>
      <c r="D529" s="615"/>
      <c r="E529" s="615"/>
      <c r="F529" s="378"/>
      <c r="K529" s="377"/>
      <c r="L529" s="377"/>
      <c r="M529" s="377"/>
      <c r="N529" s="378"/>
      <c r="O529" s="378"/>
      <c r="P529" s="378"/>
    </row>
    <row r="530" spans="1:16" ht="18.75" customHeight="1">
      <c r="A530" s="626"/>
      <c r="B530" s="626"/>
      <c r="C530" s="626"/>
      <c r="D530" s="615"/>
      <c r="E530" s="615"/>
      <c r="F530" s="378"/>
      <c r="K530" s="377"/>
      <c r="L530" s="377"/>
      <c r="M530" s="377"/>
      <c r="N530" s="378"/>
      <c r="O530" s="378"/>
      <c r="P530" s="378"/>
    </row>
    <row r="531" spans="1:16" ht="18.75" customHeight="1">
      <c r="A531" s="626"/>
      <c r="B531" s="626"/>
      <c r="C531" s="626"/>
      <c r="D531" s="615"/>
      <c r="E531" s="615"/>
      <c r="F531" s="378"/>
      <c r="K531" s="377"/>
      <c r="L531" s="377"/>
      <c r="M531" s="377"/>
      <c r="N531" s="378"/>
      <c r="O531" s="378"/>
      <c r="P531" s="378"/>
    </row>
    <row r="532" spans="1:16" ht="18.75" customHeight="1">
      <c r="A532" s="626"/>
      <c r="B532" s="626"/>
      <c r="C532" s="626"/>
      <c r="D532" s="615"/>
      <c r="E532" s="615"/>
      <c r="F532" s="378"/>
      <c r="K532" s="377"/>
      <c r="L532" s="377"/>
      <c r="M532" s="377"/>
      <c r="N532" s="378"/>
      <c r="O532" s="378"/>
      <c r="P532" s="378"/>
    </row>
    <row r="533" spans="1:16" ht="76.5" customHeight="1">
      <c r="A533" s="627"/>
      <c r="B533" s="627"/>
      <c r="C533" s="627"/>
      <c r="D533" s="627"/>
      <c r="E533" s="628"/>
      <c r="F533" s="628"/>
      <c r="K533" s="382"/>
      <c r="L533" s="382"/>
      <c r="M533" s="382"/>
      <c r="N533" s="382"/>
      <c r="O533" s="383"/>
      <c r="P533" s="383"/>
    </row>
    <row r="534" spans="1:16" ht="18.75">
      <c r="A534" s="617"/>
      <c r="B534" s="617"/>
      <c r="C534" s="617"/>
      <c r="D534" s="617"/>
      <c r="E534" s="617"/>
      <c r="F534" s="617"/>
      <c r="K534" s="380"/>
      <c r="L534" s="380"/>
      <c r="M534" s="380"/>
      <c r="N534" s="380"/>
      <c r="O534" s="380"/>
      <c r="P534" s="380"/>
    </row>
    <row r="535" spans="1:16" ht="18.75">
      <c r="A535" s="617"/>
      <c r="B535" s="617"/>
      <c r="C535" s="617"/>
      <c r="D535" s="617"/>
      <c r="E535" s="617"/>
      <c r="F535" s="617"/>
      <c r="K535" s="380"/>
      <c r="L535" s="380"/>
      <c r="M535" s="380"/>
      <c r="N535" s="380"/>
      <c r="O535" s="380"/>
      <c r="P535" s="380"/>
    </row>
    <row r="536" spans="1:16" ht="18.75" customHeight="1">
      <c r="A536" s="617"/>
      <c r="B536" s="617"/>
      <c r="C536" s="617"/>
      <c r="D536" s="617"/>
      <c r="E536" s="617"/>
      <c r="F536" s="617"/>
      <c r="K536" s="380"/>
      <c r="L536" s="380"/>
      <c r="M536" s="380"/>
      <c r="N536" s="380"/>
      <c r="O536" s="380"/>
      <c r="P536" s="380"/>
    </row>
    <row r="537" spans="1:16" ht="18.75" customHeight="1">
      <c r="A537" s="617"/>
      <c r="B537" s="617"/>
      <c r="C537" s="617"/>
      <c r="D537" s="617"/>
      <c r="E537" s="617"/>
      <c r="F537" s="617"/>
      <c r="K537" s="380"/>
      <c r="L537" s="380"/>
      <c r="M537" s="380"/>
      <c r="N537" s="380"/>
      <c r="O537" s="380"/>
      <c r="P537" s="380"/>
    </row>
    <row r="538" spans="1:16" ht="18.75" customHeight="1">
      <c r="A538" s="617"/>
      <c r="B538" s="617"/>
      <c r="C538" s="617"/>
      <c r="D538" s="617"/>
      <c r="E538" s="617"/>
      <c r="F538" s="617"/>
      <c r="K538" s="380"/>
      <c r="L538" s="380"/>
      <c r="M538" s="380"/>
      <c r="N538" s="380"/>
      <c r="O538" s="380"/>
      <c r="P538" s="380"/>
    </row>
    <row r="539" spans="1:16" ht="18.75" customHeight="1">
      <c r="A539" s="626"/>
      <c r="B539" s="626"/>
      <c r="C539" s="626"/>
      <c r="D539" s="615"/>
      <c r="E539" s="615"/>
      <c r="F539" s="381"/>
      <c r="K539" s="377"/>
      <c r="L539" s="377"/>
      <c r="M539" s="377"/>
      <c r="N539" s="378"/>
      <c r="O539" s="378"/>
      <c r="P539" s="381"/>
    </row>
    <row r="540" spans="1:16" ht="18.75" customHeight="1">
      <c r="A540" s="626"/>
      <c r="B540" s="626"/>
      <c r="C540" s="626"/>
      <c r="D540" s="615"/>
      <c r="E540" s="615"/>
      <c r="F540" s="381"/>
      <c r="K540" s="377"/>
      <c r="L540" s="377"/>
      <c r="M540" s="377"/>
      <c r="N540" s="378"/>
      <c r="O540" s="378"/>
      <c r="P540" s="381"/>
    </row>
    <row r="541" spans="1:16" ht="18.75" customHeight="1">
      <c r="A541" s="626"/>
      <c r="B541" s="626"/>
      <c r="C541" s="626"/>
      <c r="D541" s="615"/>
      <c r="E541" s="615"/>
      <c r="F541" s="378"/>
      <c r="K541" s="377"/>
      <c r="L541" s="377"/>
      <c r="M541" s="377"/>
      <c r="N541" s="378"/>
      <c r="O541" s="378"/>
      <c r="P541" s="378"/>
    </row>
    <row r="542" spans="1:16" ht="18.75" customHeight="1">
      <c r="A542" s="626"/>
      <c r="B542" s="626"/>
      <c r="C542" s="626"/>
      <c r="D542" s="615"/>
      <c r="E542" s="615"/>
      <c r="F542" s="378"/>
      <c r="K542" s="377"/>
      <c r="L542" s="377"/>
      <c r="M542" s="377"/>
      <c r="N542" s="378"/>
      <c r="O542" s="378"/>
      <c r="P542" s="378"/>
    </row>
    <row r="543" spans="1:16" ht="18.75" customHeight="1">
      <c r="A543" s="626"/>
      <c r="B543" s="626"/>
      <c r="C543" s="626"/>
      <c r="D543" s="615"/>
      <c r="E543" s="615"/>
      <c r="F543" s="378"/>
      <c r="K543" s="377"/>
      <c r="L543" s="377"/>
      <c r="M543" s="377"/>
      <c r="N543" s="378"/>
      <c r="O543" s="378"/>
      <c r="P543" s="378"/>
    </row>
    <row r="544" spans="1:16" ht="18.75" customHeight="1">
      <c r="A544" s="626"/>
      <c r="B544" s="626"/>
      <c r="C544" s="626"/>
      <c r="D544" s="615"/>
      <c r="E544" s="615"/>
      <c r="F544" s="378"/>
      <c r="K544" s="377"/>
      <c r="L544" s="377"/>
      <c r="M544" s="377"/>
      <c r="N544" s="378"/>
      <c r="O544" s="378"/>
      <c r="P544" s="378"/>
    </row>
    <row r="545" spans="1:16" ht="18.75" customHeight="1">
      <c r="A545" s="626"/>
      <c r="B545" s="626"/>
      <c r="C545" s="626"/>
      <c r="D545" s="615"/>
      <c r="E545" s="615"/>
      <c r="F545" s="378"/>
      <c r="K545" s="377"/>
      <c r="L545" s="377"/>
      <c r="M545" s="377"/>
      <c r="N545" s="378"/>
      <c r="O545" s="378"/>
      <c r="P545" s="378"/>
    </row>
    <row r="546" spans="1:16" ht="76.5" customHeight="1">
      <c r="A546" s="627"/>
      <c r="B546" s="627"/>
      <c r="C546" s="627"/>
      <c r="D546" s="627"/>
      <c r="E546" s="628"/>
      <c r="F546" s="628"/>
      <c r="K546" s="382"/>
      <c r="L546" s="382"/>
      <c r="M546" s="382"/>
      <c r="N546" s="382"/>
      <c r="O546" s="383"/>
      <c r="P546" s="383"/>
    </row>
    <row r="547" spans="1:16" ht="18.75">
      <c r="A547" s="617"/>
      <c r="B547" s="617"/>
      <c r="C547" s="617"/>
      <c r="D547" s="617"/>
      <c r="E547" s="617"/>
      <c r="F547" s="617"/>
      <c r="K547" s="380"/>
      <c r="L547" s="380"/>
      <c r="M547" s="380"/>
      <c r="N547" s="380"/>
      <c r="O547" s="380"/>
      <c r="P547" s="380"/>
    </row>
    <row r="548" spans="1:16" ht="18.75">
      <c r="A548" s="617"/>
      <c r="B548" s="617"/>
      <c r="C548" s="617"/>
      <c r="D548" s="617"/>
      <c r="E548" s="617"/>
      <c r="F548" s="617"/>
      <c r="K548" s="380"/>
      <c r="L548" s="380"/>
      <c r="M548" s="380"/>
      <c r="N548" s="380"/>
      <c r="O548" s="380"/>
      <c r="P548" s="380"/>
    </row>
    <row r="549" spans="1:16" ht="18.75" customHeight="1">
      <c r="A549" s="617"/>
      <c r="B549" s="617"/>
      <c r="C549" s="617"/>
      <c r="D549" s="617"/>
      <c r="E549" s="617"/>
      <c r="F549" s="617"/>
      <c r="K549" s="380"/>
      <c r="L549" s="380"/>
      <c r="M549" s="380"/>
      <c r="N549" s="380"/>
      <c r="O549" s="380"/>
      <c r="P549" s="380"/>
    </row>
    <row r="550" spans="1:16" ht="18.75" customHeight="1">
      <c r="A550" s="617"/>
      <c r="B550" s="617"/>
      <c r="C550" s="617"/>
      <c r="D550" s="617"/>
      <c r="E550" s="617"/>
      <c r="F550" s="617"/>
      <c r="K550" s="380"/>
      <c r="L550" s="380"/>
      <c r="M550" s="380"/>
      <c r="N550" s="380"/>
      <c r="O550" s="380"/>
      <c r="P550" s="380"/>
    </row>
    <row r="551" spans="1:16" ht="18.75" customHeight="1">
      <c r="A551" s="617"/>
      <c r="B551" s="617"/>
      <c r="C551" s="617"/>
      <c r="D551" s="617"/>
      <c r="E551" s="617"/>
      <c r="F551" s="617"/>
      <c r="K551" s="380"/>
      <c r="L551" s="380"/>
      <c r="M551" s="380"/>
      <c r="N551" s="380"/>
      <c r="O551" s="380"/>
      <c r="P551" s="380"/>
    </row>
    <row r="552" spans="1:16" ht="18.75" customHeight="1">
      <c r="A552" s="626"/>
      <c r="B552" s="626"/>
      <c r="C552" s="626"/>
      <c r="D552" s="615"/>
      <c r="E552" s="615"/>
      <c r="F552" s="381"/>
      <c r="K552" s="377"/>
      <c r="L552" s="377"/>
      <c r="M552" s="377"/>
      <c r="N552" s="378"/>
      <c r="O552" s="378"/>
      <c r="P552" s="381"/>
    </row>
    <row r="553" spans="1:16" ht="18.75" customHeight="1">
      <c r="A553" s="626"/>
      <c r="B553" s="626"/>
      <c r="C553" s="626"/>
      <c r="D553" s="615"/>
      <c r="E553" s="615"/>
      <c r="F553" s="381"/>
      <c r="K553" s="377"/>
      <c r="L553" s="377"/>
      <c r="M553" s="377"/>
      <c r="N553" s="378"/>
      <c r="O553" s="378"/>
      <c r="P553" s="381"/>
    </row>
    <row r="554" spans="1:16" ht="18.75" customHeight="1">
      <c r="A554" s="626"/>
      <c r="B554" s="626"/>
      <c r="C554" s="626"/>
      <c r="D554" s="615"/>
      <c r="E554" s="615"/>
      <c r="F554" s="378"/>
      <c r="K554" s="377"/>
      <c r="L554" s="377"/>
      <c r="M554" s="377"/>
      <c r="N554" s="378"/>
      <c r="O554" s="378"/>
      <c r="P554" s="378"/>
    </row>
    <row r="555" spans="1:16" ht="18.75" customHeight="1">
      <c r="A555" s="626"/>
      <c r="B555" s="626"/>
      <c r="C555" s="626"/>
      <c r="D555" s="615"/>
      <c r="E555" s="615"/>
      <c r="F555" s="378"/>
      <c r="K555" s="377"/>
      <c r="L555" s="377"/>
      <c r="M555" s="377"/>
      <c r="N555" s="378"/>
      <c r="O555" s="378"/>
      <c r="P555" s="378"/>
    </row>
    <row r="556" spans="1:16" ht="18.75" customHeight="1">
      <c r="A556" s="626"/>
      <c r="B556" s="626"/>
      <c r="C556" s="626"/>
      <c r="D556" s="615"/>
      <c r="E556" s="615"/>
      <c r="F556" s="378"/>
      <c r="K556" s="377"/>
      <c r="L556" s="377"/>
      <c r="M556" s="377"/>
      <c r="N556" s="378"/>
      <c r="O556" s="378"/>
      <c r="P556" s="378"/>
    </row>
    <row r="557" spans="1:16" ht="18.75" customHeight="1">
      <c r="A557" s="626"/>
      <c r="B557" s="626"/>
      <c r="C557" s="626"/>
      <c r="D557" s="615"/>
      <c r="E557" s="615"/>
      <c r="F557" s="378"/>
      <c r="K557" s="377"/>
      <c r="L557" s="377"/>
      <c r="M557" s="377"/>
      <c r="N557" s="378"/>
      <c r="O557" s="378"/>
      <c r="P557" s="378"/>
    </row>
    <row r="558" spans="1:16" ht="18.75" customHeight="1">
      <c r="A558" s="626"/>
      <c r="B558" s="626"/>
      <c r="C558" s="626"/>
      <c r="D558" s="615"/>
      <c r="E558" s="615"/>
      <c r="F558" s="378"/>
      <c r="K558" s="377"/>
      <c r="L558" s="377"/>
      <c r="M558" s="377"/>
      <c r="N558" s="378"/>
      <c r="O558" s="378"/>
      <c r="P558" s="378"/>
    </row>
    <row r="559" spans="1:16" ht="76.5" customHeight="1">
      <c r="A559" s="627"/>
      <c r="B559" s="627"/>
      <c r="C559" s="627"/>
      <c r="D559" s="627"/>
      <c r="E559" s="628"/>
      <c r="F559" s="628"/>
      <c r="K559" s="382"/>
      <c r="L559" s="382"/>
      <c r="M559" s="382"/>
      <c r="N559" s="382"/>
      <c r="O559" s="383"/>
      <c r="P559" s="383"/>
    </row>
    <row r="560" spans="1:16" ht="18.75">
      <c r="A560" s="617"/>
      <c r="B560" s="617"/>
      <c r="C560" s="617"/>
      <c r="D560" s="617"/>
      <c r="E560" s="617"/>
      <c r="F560" s="617"/>
      <c r="K560" s="380"/>
      <c r="L560" s="380"/>
      <c r="M560" s="380"/>
      <c r="N560" s="380"/>
      <c r="O560" s="380"/>
      <c r="P560" s="380"/>
    </row>
    <row r="561" spans="1:16" ht="18.75">
      <c r="A561" s="617"/>
      <c r="B561" s="617"/>
      <c r="C561" s="617"/>
      <c r="D561" s="617"/>
      <c r="E561" s="617"/>
      <c r="F561" s="617"/>
      <c r="K561" s="380"/>
      <c r="L561" s="380"/>
      <c r="M561" s="380"/>
      <c r="N561" s="380"/>
      <c r="O561" s="380"/>
      <c r="P561" s="380"/>
    </row>
    <row r="562" spans="1:16" ht="18.75" customHeight="1">
      <c r="A562" s="617"/>
      <c r="B562" s="617"/>
      <c r="C562" s="617"/>
      <c r="D562" s="617"/>
      <c r="E562" s="617"/>
      <c r="F562" s="617"/>
      <c r="K562" s="380"/>
      <c r="L562" s="380"/>
      <c r="M562" s="380"/>
      <c r="N562" s="380"/>
      <c r="O562" s="380"/>
      <c r="P562" s="380"/>
    </row>
    <row r="563" spans="1:16" ht="18.75" customHeight="1">
      <c r="A563" s="617"/>
      <c r="B563" s="617"/>
      <c r="C563" s="617"/>
      <c r="D563" s="617"/>
      <c r="E563" s="617"/>
      <c r="F563" s="617"/>
      <c r="K563" s="380"/>
      <c r="L563" s="380"/>
      <c r="M563" s="380"/>
      <c r="N563" s="380"/>
      <c r="O563" s="380"/>
      <c r="P563" s="380"/>
    </row>
    <row r="564" spans="1:16" ht="18.75" customHeight="1">
      <c r="A564" s="617"/>
      <c r="B564" s="617"/>
      <c r="C564" s="617"/>
      <c r="D564" s="617"/>
      <c r="E564" s="617"/>
      <c r="F564" s="617"/>
      <c r="K564" s="380"/>
      <c r="L564" s="380"/>
      <c r="M564" s="380"/>
      <c r="N564" s="380"/>
      <c r="O564" s="380"/>
      <c r="P564" s="380"/>
    </row>
    <row r="565" spans="1:16" ht="18.75" customHeight="1">
      <c r="A565" s="626"/>
      <c r="B565" s="626"/>
      <c r="C565" s="626"/>
      <c r="D565" s="615"/>
      <c r="E565" s="615"/>
      <c r="F565" s="381"/>
      <c r="K565" s="377"/>
      <c r="L565" s="377"/>
      <c r="M565" s="377"/>
      <c r="N565" s="378"/>
      <c r="O565" s="378"/>
      <c r="P565" s="381"/>
    </row>
    <row r="566" spans="1:16" ht="18.75" customHeight="1">
      <c r="A566" s="626"/>
      <c r="B566" s="626"/>
      <c r="C566" s="626"/>
      <c r="D566" s="615"/>
      <c r="E566" s="615"/>
      <c r="F566" s="381"/>
      <c r="K566" s="377"/>
      <c r="L566" s="377"/>
      <c r="M566" s="377"/>
      <c r="N566" s="378"/>
      <c r="O566" s="378"/>
      <c r="P566" s="381"/>
    </row>
    <row r="567" spans="1:16" ht="18.75" customHeight="1">
      <c r="A567" s="626"/>
      <c r="B567" s="626"/>
      <c r="C567" s="626"/>
      <c r="D567" s="615"/>
      <c r="E567" s="615"/>
      <c r="F567" s="378"/>
      <c r="K567" s="377"/>
      <c r="L567" s="377"/>
      <c r="M567" s="377"/>
      <c r="N567" s="378"/>
      <c r="O567" s="378"/>
      <c r="P567" s="378"/>
    </row>
    <row r="568" spans="1:16" ht="18.75" customHeight="1">
      <c r="A568" s="626"/>
      <c r="B568" s="626"/>
      <c r="C568" s="626"/>
      <c r="D568" s="615"/>
      <c r="E568" s="615"/>
      <c r="F568" s="378"/>
      <c r="K568" s="377"/>
      <c r="L568" s="377"/>
      <c r="M568" s="377"/>
      <c r="N568" s="378"/>
      <c r="O568" s="378"/>
      <c r="P568" s="378"/>
    </row>
    <row r="569" spans="1:16" ht="18.75" customHeight="1">
      <c r="A569" s="626"/>
      <c r="B569" s="626"/>
      <c r="C569" s="626"/>
      <c r="D569" s="615"/>
      <c r="E569" s="615"/>
      <c r="F569" s="378"/>
      <c r="K569" s="377"/>
      <c r="L569" s="377"/>
      <c r="M569" s="377"/>
      <c r="N569" s="378"/>
      <c r="O569" s="378"/>
      <c r="P569" s="378"/>
    </row>
    <row r="570" spans="1:16" ht="18.75" customHeight="1">
      <c r="A570" s="626"/>
      <c r="B570" s="626"/>
      <c r="C570" s="626"/>
      <c r="D570" s="615"/>
      <c r="E570" s="615"/>
      <c r="F570" s="378"/>
      <c r="K570" s="377"/>
      <c r="L570" s="377"/>
      <c r="M570" s="377"/>
      <c r="N570" s="378"/>
      <c r="O570" s="378"/>
      <c r="P570" s="378"/>
    </row>
    <row r="571" spans="1:16" ht="18.75" customHeight="1">
      <c r="A571" s="626"/>
      <c r="B571" s="626"/>
      <c r="C571" s="626"/>
      <c r="D571" s="615"/>
      <c r="E571" s="615"/>
      <c r="F571" s="378"/>
      <c r="K571" s="377"/>
      <c r="L571" s="377"/>
      <c r="M571" s="377"/>
      <c r="N571" s="378"/>
      <c r="O571" s="378"/>
      <c r="P571" s="378"/>
    </row>
    <row r="572" spans="1:16" ht="76.5" customHeight="1">
      <c r="A572" s="627"/>
      <c r="B572" s="627"/>
      <c r="C572" s="627"/>
      <c r="D572" s="627"/>
      <c r="E572" s="628"/>
      <c r="F572" s="628"/>
      <c r="K572" s="382"/>
      <c r="L572" s="382"/>
      <c r="M572" s="382"/>
      <c r="N572" s="382"/>
      <c r="O572" s="383"/>
      <c r="P572" s="383"/>
    </row>
    <row r="573" spans="1:16" ht="18.75">
      <c r="A573" s="617"/>
      <c r="B573" s="617"/>
      <c r="C573" s="617"/>
      <c r="D573" s="617"/>
      <c r="E573" s="617"/>
      <c r="F573" s="617"/>
      <c r="K573" s="380"/>
      <c r="L573" s="380"/>
      <c r="M573" s="380"/>
      <c r="N573" s="380"/>
      <c r="O573" s="380"/>
      <c r="P573" s="380"/>
    </row>
    <row r="574" spans="1:16" ht="18.75">
      <c r="A574" s="617"/>
      <c r="B574" s="617"/>
      <c r="C574" s="617"/>
      <c r="D574" s="617"/>
      <c r="E574" s="617"/>
      <c r="F574" s="617"/>
      <c r="K574" s="380"/>
      <c r="L574" s="380"/>
      <c r="M574" s="380"/>
      <c r="N574" s="380"/>
      <c r="O574" s="380"/>
      <c r="P574" s="380"/>
    </row>
    <row r="575" spans="1:16" ht="18.75" customHeight="1">
      <c r="A575" s="617"/>
      <c r="B575" s="617"/>
      <c r="C575" s="617"/>
      <c r="D575" s="617"/>
      <c r="E575" s="617"/>
      <c r="F575" s="617"/>
      <c r="K575" s="380"/>
      <c r="L575" s="380"/>
      <c r="M575" s="380"/>
      <c r="N575" s="380"/>
      <c r="O575" s="380"/>
      <c r="P575" s="380"/>
    </row>
    <row r="576" spans="1:16" ht="18.75" customHeight="1">
      <c r="A576" s="617"/>
      <c r="B576" s="617"/>
      <c r="C576" s="617"/>
      <c r="D576" s="617"/>
      <c r="E576" s="617"/>
      <c r="F576" s="617"/>
      <c r="K576" s="380"/>
      <c r="L576" s="380"/>
      <c r="M576" s="380"/>
      <c r="N576" s="380"/>
      <c r="O576" s="380"/>
      <c r="P576" s="380"/>
    </row>
    <row r="577" spans="1:16" ht="18.75" customHeight="1">
      <c r="A577" s="617"/>
      <c r="B577" s="617"/>
      <c r="C577" s="617"/>
      <c r="D577" s="617"/>
      <c r="E577" s="617"/>
      <c r="F577" s="617"/>
      <c r="K577" s="380"/>
      <c r="L577" s="380"/>
      <c r="M577" s="380"/>
      <c r="N577" s="380"/>
      <c r="O577" s="380"/>
      <c r="P577" s="380"/>
    </row>
    <row r="578" spans="1:16" ht="18.75" customHeight="1">
      <c r="A578" s="626"/>
      <c r="B578" s="626"/>
      <c r="C578" s="626"/>
      <c r="D578" s="615"/>
      <c r="E578" s="615"/>
      <c r="F578" s="381"/>
      <c r="K578" s="377"/>
      <c r="L578" s="377"/>
      <c r="M578" s="377"/>
      <c r="N578" s="378"/>
      <c r="O578" s="378"/>
      <c r="P578" s="381"/>
    </row>
    <row r="579" spans="1:16" ht="18.75" customHeight="1">
      <c r="A579" s="626"/>
      <c r="B579" s="626"/>
      <c r="C579" s="626"/>
      <c r="D579" s="615"/>
      <c r="E579" s="615"/>
      <c r="F579" s="381"/>
      <c r="K579" s="377"/>
      <c r="L579" s="377"/>
      <c r="M579" s="377"/>
      <c r="N579" s="378"/>
      <c r="O579" s="378"/>
      <c r="P579" s="381"/>
    </row>
    <row r="580" spans="1:16" ht="18.75" customHeight="1">
      <c r="A580" s="626"/>
      <c r="B580" s="626"/>
      <c r="C580" s="626"/>
      <c r="D580" s="615"/>
      <c r="E580" s="615"/>
      <c r="F580" s="378"/>
      <c r="K580" s="377"/>
      <c r="L580" s="377"/>
      <c r="M580" s="377"/>
      <c r="N580" s="378"/>
      <c r="O580" s="378"/>
      <c r="P580" s="378"/>
    </row>
    <row r="581" spans="1:16" ht="18.75" customHeight="1">
      <c r="A581" s="626"/>
      <c r="B581" s="626"/>
      <c r="C581" s="626"/>
      <c r="D581" s="615"/>
      <c r="E581" s="615"/>
      <c r="F581" s="378"/>
      <c r="K581" s="377"/>
      <c r="L581" s="377"/>
      <c r="M581" s="377"/>
      <c r="N581" s="378"/>
      <c r="O581" s="378"/>
      <c r="P581" s="378"/>
    </row>
    <row r="582" spans="1:16" ht="18.75" customHeight="1">
      <c r="A582" s="626"/>
      <c r="B582" s="626"/>
      <c r="C582" s="626"/>
      <c r="D582" s="615"/>
      <c r="E582" s="615"/>
      <c r="F582" s="378"/>
      <c r="K582" s="377"/>
      <c r="L582" s="377"/>
      <c r="M582" s="377"/>
      <c r="N582" s="378"/>
      <c r="O582" s="378"/>
      <c r="P582" s="378"/>
    </row>
    <row r="583" spans="1:16" ht="18.75" customHeight="1">
      <c r="A583" s="626"/>
      <c r="B583" s="626"/>
      <c r="C583" s="626"/>
      <c r="D583" s="615"/>
      <c r="E583" s="615"/>
      <c r="F583" s="378"/>
      <c r="K583" s="377"/>
      <c r="L583" s="377"/>
      <c r="M583" s="377"/>
      <c r="N583" s="378"/>
      <c r="O583" s="378"/>
      <c r="P583" s="378"/>
    </row>
    <row r="584" spans="1:16" ht="18.75" customHeight="1">
      <c r="A584" s="626"/>
      <c r="B584" s="626"/>
      <c r="C584" s="626"/>
      <c r="D584" s="615"/>
      <c r="E584" s="615"/>
      <c r="F584" s="378"/>
      <c r="K584" s="377"/>
      <c r="L584" s="377"/>
      <c r="M584" s="377"/>
      <c r="N584" s="378"/>
      <c r="O584" s="378"/>
      <c r="P584" s="378"/>
    </row>
    <row r="585" spans="1:16" ht="76.5" customHeight="1">
      <c r="A585" s="627"/>
      <c r="B585" s="627"/>
      <c r="C585" s="627"/>
      <c r="D585" s="627"/>
      <c r="E585" s="628"/>
      <c r="F585" s="628"/>
      <c r="K585" s="382"/>
      <c r="L585" s="382"/>
      <c r="M585" s="382"/>
      <c r="N585" s="382"/>
      <c r="O585" s="383"/>
      <c r="P585" s="383"/>
    </row>
    <row r="586" spans="1:16" ht="18.75">
      <c r="A586" s="617"/>
      <c r="B586" s="617"/>
      <c r="C586" s="617"/>
      <c r="D586" s="617"/>
      <c r="E586" s="617"/>
      <c r="F586" s="617"/>
      <c r="K586" s="380"/>
      <c r="L586" s="380"/>
      <c r="M586" s="380"/>
      <c r="N586" s="380"/>
      <c r="O586" s="380"/>
      <c r="P586" s="380"/>
    </row>
    <row r="587" spans="1:16" ht="18.75">
      <c r="A587" s="617"/>
      <c r="B587" s="617"/>
      <c r="C587" s="617"/>
      <c r="D587" s="617"/>
      <c r="E587" s="617"/>
      <c r="F587" s="617"/>
      <c r="K587" s="380"/>
      <c r="L587" s="380"/>
      <c r="M587" s="380"/>
      <c r="N587" s="380"/>
      <c r="O587" s="380"/>
      <c r="P587" s="380"/>
    </row>
    <row r="588" spans="1:16" ht="18.75" customHeight="1">
      <c r="A588" s="617"/>
      <c r="B588" s="617"/>
      <c r="C588" s="617"/>
      <c r="D588" s="617"/>
      <c r="E588" s="617"/>
      <c r="F588" s="617"/>
      <c r="K588" s="380"/>
      <c r="L588" s="380"/>
      <c r="M588" s="380"/>
      <c r="N588" s="380"/>
      <c r="O588" s="380"/>
      <c r="P588" s="380"/>
    </row>
    <row r="589" spans="1:16" ht="18.75" customHeight="1">
      <c r="A589" s="617"/>
      <c r="B589" s="617"/>
      <c r="C589" s="617"/>
      <c r="D589" s="617"/>
      <c r="E589" s="617"/>
      <c r="F589" s="617"/>
      <c r="K589" s="380"/>
      <c r="L589" s="380"/>
      <c r="M589" s="380"/>
      <c r="N589" s="380"/>
      <c r="O589" s="380"/>
      <c r="P589" s="380"/>
    </row>
    <row r="590" spans="1:16" ht="18.75" customHeight="1">
      <c r="A590" s="617"/>
      <c r="B590" s="617"/>
      <c r="C590" s="617"/>
      <c r="D590" s="617"/>
      <c r="E590" s="617"/>
      <c r="F590" s="617"/>
      <c r="K590" s="380"/>
      <c r="L590" s="380"/>
      <c r="M590" s="380"/>
      <c r="N590" s="380"/>
      <c r="O590" s="380"/>
      <c r="P590" s="380"/>
    </row>
    <row r="591" spans="1:16" ht="18.75" customHeight="1">
      <c r="A591" s="626"/>
      <c r="B591" s="626"/>
      <c r="C591" s="626"/>
      <c r="D591" s="615"/>
      <c r="E591" s="615"/>
      <c r="F591" s="381"/>
      <c r="K591" s="377"/>
      <c r="L591" s="377"/>
      <c r="M591" s="377"/>
      <c r="N591" s="378"/>
      <c r="O591" s="378"/>
      <c r="P591" s="381"/>
    </row>
    <row r="592" spans="1:16" ht="18.75" customHeight="1">
      <c r="A592" s="626"/>
      <c r="B592" s="626"/>
      <c r="C592" s="626"/>
      <c r="D592" s="615"/>
      <c r="E592" s="615"/>
      <c r="F592" s="381"/>
      <c r="K592" s="377"/>
      <c r="L592" s="377"/>
      <c r="M592" s="377"/>
      <c r="N592" s="378"/>
      <c r="O592" s="378"/>
      <c r="P592" s="381"/>
    </row>
    <row r="593" spans="1:16" ht="18.75" customHeight="1">
      <c r="A593" s="626"/>
      <c r="B593" s="626"/>
      <c r="C593" s="626"/>
      <c r="D593" s="615"/>
      <c r="E593" s="615"/>
      <c r="F593" s="378"/>
      <c r="K593" s="377"/>
      <c r="L593" s="377"/>
      <c r="M593" s="377"/>
      <c r="N593" s="378"/>
      <c r="O593" s="378"/>
      <c r="P593" s="378"/>
    </row>
    <row r="594" spans="1:16" ht="18.75" customHeight="1">
      <c r="A594" s="626"/>
      <c r="B594" s="626"/>
      <c r="C594" s="626"/>
      <c r="D594" s="615"/>
      <c r="E594" s="615"/>
      <c r="F594" s="378"/>
      <c r="K594" s="377"/>
      <c r="L594" s="377"/>
      <c r="M594" s="377"/>
      <c r="N594" s="378"/>
      <c r="O594" s="378"/>
      <c r="P594" s="378"/>
    </row>
    <row r="595" spans="1:16" ht="18.75" customHeight="1">
      <c r="A595" s="626"/>
      <c r="B595" s="626"/>
      <c r="C595" s="626"/>
      <c r="D595" s="615"/>
      <c r="E595" s="615"/>
      <c r="F595" s="378"/>
      <c r="K595" s="377"/>
      <c r="L595" s="377"/>
      <c r="M595" s="377"/>
      <c r="N595" s="378"/>
      <c r="O595" s="378"/>
      <c r="P595" s="378"/>
    </row>
    <row r="596" spans="1:16" ht="18.75" customHeight="1">
      <c r="A596" s="626"/>
      <c r="B596" s="626"/>
      <c r="C596" s="626"/>
      <c r="D596" s="615"/>
      <c r="E596" s="615"/>
      <c r="F596" s="378"/>
      <c r="K596" s="377"/>
      <c r="L596" s="377"/>
      <c r="M596" s="377"/>
      <c r="N596" s="378"/>
      <c r="O596" s="378"/>
      <c r="P596" s="378"/>
    </row>
    <row r="597" spans="1:16" ht="18.75" customHeight="1">
      <c r="A597" s="626"/>
      <c r="B597" s="626"/>
      <c r="C597" s="626"/>
      <c r="D597" s="615"/>
      <c r="E597" s="615"/>
      <c r="F597" s="378"/>
      <c r="K597" s="377"/>
      <c r="L597" s="377"/>
      <c r="M597" s="377"/>
      <c r="N597" s="378"/>
      <c r="O597" s="378"/>
      <c r="P597" s="378"/>
    </row>
    <row r="598" spans="1:16" ht="76.5" customHeight="1">
      <c r="A598" s="627"/>
      <c r="B598" s="627"/>
      <c r="C598" s="627"/>
      <c r="D598" s="627"/>
      <c r="E598" s="628"/>
      <c r="F598" s="628"/>
      <c r="K598" s="382"/>
      <c r="L598" s="382"/>
      <c r="M598" s="382"/>
      <c r="N598" s="382"/>
      <c r="O598" s="383"/>
      <c r="P598" s="383"/>
    </row>
    <row r="599" spans="1:16" ht="18.75">
      <c r="A599" s="617"/>
      <c r="B599" s="617"/>
      <c r="C599" s="617"/>
      <c r="D599" s="617"/>
      <c r="E599" s="617"/>
      <c r="F599" s="617"/>
      <c r="K599" s="380"/>
      <c r="L599" s="380"/>
      <c r="M599" s="380"/>
      <c r="N599" s="380"/>
      <c r="O599" s="380"/>
      <c r="P599" s="380"/>
    </row>
    <row r="600" spans="1:16" ht="18.75">
      <c r="A600" s="617"/>
      <c r="B600" s="617"/>
      <c r="C600" s="617"/>
      <c r="D600" s="617"/>
      <c r="E600" s="617"/>
      <c r="F600" s="617"/>
      <c r="K600" s="380"/>
      <c r="L600" s="380"/>
      <c r="M600" s="380"/>
      <c r="N600" s="380"/>
      <c r="O600" s="380"/>
      <c r="P600" s="380"/>
    </row>
    <row r="601" spans="1:16" ht="18.75" customHeight="1">
      <c r="A601" s="617"/>
      <c r="B601" s="617"/>
      <c r="C601" s="617"/>
      <c r="D601" s="617"/>
      <c r="E601" s="617"/>
      <c r="F601" s="617"/>
      <c r="K601" s="380"/>
      <c r="L601" s="380"/>
      <c r="M601" s="380"/>
      <c r="N601" s="380"/>
      <c r="O601" s="380"/>
      <c r="P601" s="380"/>
    </row>
    <row r="602" spans="1:16" ht="18.75" customHeight="1">
      <c r="A602" s="617"/>
      <c r="B602" s="617"/>
      <c r="C602" s="617"/>
      <c r="D602" s="617"/>
      <c r="E602" s="617"/>
      <c r="F602" s="617"/>
      <c r="K602" s="380"/>
      <c r="L602" s="380"/>
      <c r="M602" s="380"/>
      <c r="N602" s="380"/>
      <c r="O602" s="380"/>
      <c r="P602" s="380"/>
    </row>
    <row r="603" spans="1:16" ht="18.75" customHeight="1">
      <c r="A603" s="617"/>
      <c r="B603" s="617"/>
      <c r="C603" s="617"/>
      <c r="D603" s="617"/>
      <c r="E603" s="617"/>
      <c r="F603" s="617"/>
      <c r="K603" s="380"/>
      <c r="L603" s="380"/>
      <c r="M603" s="380"/>
      <c r="N603" s="380"/>
      <c r="O603" s="380"/>
      <c r="P603" s="380"/>
    </row>
    <row r="604" spans="1:16" ht="18.75" customHeight="1">
      <c r="A604" s="626"/>
      <c r="B604" s="626"/>
      <c r="C604" s="626"/>
      <c r="D604" s="615"/>
      <c r="E604" s="615"/>
      <c r="F604" s="381"/>
      <c r="K604" s="377"/>
      <c r="L604" s="377"/>
      <c r="M604" s="377"/>
      <c r="N604" s="378"/>
      <c r="O604" s="378"/>
      <c r="P604" s="381"/>
    </row>
    <row r="605" spans="1:16" ht="18.75" customHeight="1">
      <c r="A605" s="626"/>
      <c r="B605" s="626"/>
      <c r="C605" s="626"/>
      <c r="D605" s="615"/>
      <c r="E605" s="615"/>
      <c r="F605" s="381"/>
      <c r="K605" s="377"/>
      <c r="L605" s="377"/>
      <c r="M605" s="377"/>
      <c r="N605" s="378"/>
      <c r="O605" s="378"/>
      <c r="P605" s="381"/>
    </row>
    <row r="606" spans="1:16" ht="18.75" customHeight="1">
      <c r="A606" s="626"/>
      <c r="B606" s="626"/>
      <c r="C606" s="626"/>
      <c r="D606" s="615"/>
      <c r="E606" s="615"/>
      <c r="F606" s="378"/>
      <c r="K606" s="377"/>
      <c r="L606" s="377"/>
      <c r="M606" s="377"/>
      <c r="N606" s="378"/>
      <c r="O606" s="378"/>
      <c r="P606" s="378"/>
    </row>
    <row r="607" spans="1:16" ht="18.75" customHeight="1">
      <c r="A607" s="626"/>
      <c r="B607" s="626"/>
      <c r="C607" s="626"/>
      <c r="D607" s="615"/>
      <c r="E607" s="615"/>
      <c r="F607" s="378"/>
      <c r="K607" s="377"/>
      <c r="L607" s="377"/>
      <c r="M607" s="377"/>
      <c r="N607" s="378"/>
      <c r="O607" s="378"/>
      <c r="P607" s="378"/>
    </row>
    <row r="608" spans="1:16" ht="18.75" customHeight="1">
      <c r="A608" s="626"/>
      <c r="B608" s="626"/>
      <c r="C608" s="626"/>
      <c r="D608" s="615"/>
      <c r="E608" s="615"/>
      <c r="F608" s="378"/>
      <c r="K608" s="377"/>
      <c r="L608" s="377"/>
      <c r="M608" s="377"/>
      <c r="N608" s="378"/>
      <c r="O608" s="378"/>
      <c r="P608" s="378"/>
    </row>
    <row r="609" spans="1:16" ht="18.75" customHeight="1">
      <c r="A609" s="626"/>
      <c r="B609" s="626"/>
      <c r="C609" s="626"/>
      <c r="D609" s="615"/>
      <c r="E609" s="615"/>
      <c r="F609" s="378"/>
      <c r="K609" s="377"/>
      <c r="L609" s="377"/>
      <c r="M609" s="377"/>
      <c r="N609" s="378"/>
      <c r="O609" s="378"/>
      <c r="P609" s="378"/>
    </row>
    <row r="610" spans="1:16" ht="18.75" customHeight="1">
      <c r="A610" s="626"/>
      <c r="B610" s="626"/>
      <c r="C610" s="626"/>
      <c r="D610" s="615"/>
      <c r="E610" s="615"/>
      <c r="F610" s="378"/>
      <c r="K610" s="377"/>
      <c r="L610" s="377"/>
      <c r="M610" s="377"/>
      <c r="N610" s="378"/>
      <c r="O610" s="378"/>
      <c r="P610" s="378"/>
    </row>
    <row r="611" spans="1:16" ht="76.5" customHeight="1">
      <c r="A611" s="627"/>
      <c r="B611" s="627"/>
      <c r="C611" s="627"/>
      <c r="D611" s="627"/>
      <c r="E611" s="628"/>
      <c r="F611" s="628"/>
      <c r="K611" s="382"/>
      <c r="L611" s="382"/>
      <c r="M611" s="382"/>
      <c r="N611" s="382"/>
      <c r="O611" s="383"/>
      <c r="P611" s="383"/>
    </row>
    <row r="612" spans="1:16" ht="18.75">
      <c r="A612" s="617"/>
      <c r="B612" s="617"/>
      <c r="C612" s="617"/>
      <c r="D612" s="617"/>
      <c r="E612" s="617"/>
      <c r="F612" s="617"/>
      <c r="K612" s="380"/>
      <c r="L612" s="380"/>
      <c r="M612" s="380"/>
      <c r="N612" s="380"/>
      <c r="O612" s="380"/>
      <c r="P612" s="380"/>
    </row>
    <row r="613" spans="1:16" ht="18.75">
      <c r="A613" s="617"/>
      <c r="B613" s="617"/>
      <c r="C613" s="617"/>
      <c r="D613" s="617"/>
      <c r="E613" s="617"/>
      <c r="F613" s="617"/>
      <c r="K613" s="380"/>
      <c r="L613" s="380"/>
      <c r="M613" s="380"/>
      <c r="N613" s="380"/>
      <c r="O613" s="380"/>
      <c r="P613" s="380"/>
    </row>
    <row r="614" spans="1:16" ht="18.75" customHeight="1">
      <c r="A614" s="617"/>
      <c r="B614" s="617"/>
      <c r="C614" s="617"/>
      <c r="D614" s="617"/>
      <c r="E614" s="617"/>
      <c r="F614" s="617"/>
      <c r="K614" s="380"/>
      <c r="L614" s="380"/>
      <c r="M614" s="380"/>
      <c r="N614" s="380"/>
      <c r="O614" s="380"/>
      <c r="P614" s="380"/>
    </row>
    <row r="615" spans="1:16" ht="18.75" customHeight="1">
      <c r="A615" s="617"/>
      <c r="B615" s="617"/>
      <c r="C615" s="617"/>
      <c r="D615" s="617"/>
      <c r="E615" s="617"/>
      <c r="F615" s="617"/>
      <c r="K615" s="380"/>
      <c r="L615" s="380"/>
      <c r="M615" s="380"/>
      <c r="N615" s="380"/>
      <c r="O615" s="380"/>
      <c r="P615" s="380"/>
    </row>
    <row r="616" spans="1:16" ht="18.75" customHeight="1">
      <c r="A616" s="617"/>
      <c r="B616" s="617"/>
      <c r="C616" s="617"/>
      <c r="D616" s="617"/>
      <c r="E616" s="617"/>
      <c r="F616" s="617"/>
      <c r="K616" s="380"/>
      <c r="L616" s="380"/>
      <c r="M616" s="380"/>
      <c r="N616" s="380"/>
      <c r="O616" s="380"/>
      <c r="P616" s="380"/>
    </row>
    <row r="617" spans="1:16" ht="18.75" customHeight="1">
      <c r="A617" s="626"/>
      <c r="B617" s="626"/>
      <c r="C617" s="626"/>
      <c r="D617" s="615"/>
      <c r="E617" s="615"/>
      <c r="F617" s="381"/>
      <c r="K617" s="377"/>
      <c r="L617" s="377"/>
      <c r="M617" s="377"/>
      <c r="N617" s="378"/>
      <c r="O617" s="378"/>
      <c r="P617" s="381"/>
    </row>
    <row r="618" spans="1:16" ht="18.75" customHeight="1">
      <c r="A618" s="626"/>
      <c r="B618" s="626"/>
      <c r="C618" s="626"/>
      <c r="D618" s="615"/>
      <c r="E618" s="615"/>
      <c r="F618" s="381"/>
      <c r="K618" s="377"/>
      <c r="L618" s="377"/>
      <c r="M618" s="377"/>
      <c r="N618" s="378"/>
      <c r="O618" s="378"/>
      <c r="P618" s="381"/>
    </row>
    <row r="619" spans="1:16" ht="18.75" customHeight="1">
      <c r="A619" s="626"/>
      <c r="B619" s="626"/>
      <c r="C619" s="626"/>
      <c r="D619" s="615"/>
      <c r="E619" s="615"/>
      <c r="F619" s="378"/>
      <c r="K619" s="377"/>
      <c r="L619" s="377"/>
      <c r="M619" s="377"/>
      <c r="N619" s="378"/>
      <c r="O619" s="378"/>
      <c r="P619" s="378"/>
    </row>
    <row r="620" spans="1:16" ht="18.75" customHeight="1">
      <c r="A620" s="626"/>
      <c r="B620" s="626"/>
      <c r="C620" s="626"/>
      <c r="D620" s="615"/>
      <c r="E620" s="615"/>
      <c r="F620" s="378"/>
      <c r="K620" s="377"/>
      <c r="L620" s="377"/>
      <c r="M620" s="377"/>
      <c r="N620" s="378"/>
      <c r="O620" s="378"/>
      <c r="P620" s="378"/>
    </row>
    <row r="621" spans="1:16" ht="18.75" customHeight="1">
      <c r="A621" s="626"/>
      <c r="B621" s="626"/>
      <c r="C621" s="626"/>
      <c r="D621" s="615"/>
      <c r="E621" s="615"/>
      <c r="F621" s="378"/>
      <c r="K621" s="377"/>
      <c r="L621" s="377"/>
      <c r="M621" s="377"/>
      <c r="N621" s="378"/>
      <c r="O621" s="378"/>
      <c r="P621" s="378"/>
    </row>
    <row r="622" spans="1:16" ht="18.75" customHeight="1">
      <c r="A622" s="626"/>
      <c r="B622" s="626"/>
      <c r="C622" s="626"/>
      <c r="D622" s="615"/>
      <c r="E622" s="615"/>
      <c r="F622" s="378"/>
      <c r="K622" s="377"/>
      <c r="L622" s="377"/>
      <c r="M622" s="377"/>
      <c r="N622" s="378"/>
      <c r="O622" s="378"/>
      <c r="P622" s="378"/>
    </row>
    <row r="623" spans="1:16" ht="18.75" customHeight="1">
      <c r="A623" s="626"/>
      <c r="B623" s="626"/>
      <c r="C623" s="626"/>
      <c r="D623" s="615"/>
      <c r="E623" s="615"/>
      <c r="F623" s="378"/>
      <c r="K623" s="377"/>
      <c r="L623" s="377"/>
      <c r="M623" s="377"/>
      <c r="N623" s="378"/>
      <c r="O623" s="378"/>
      <c r="P623" s="378"/>
    </row>
    <row r="624" spans="1:16" ht="76.5" customHeight="1">
      <c r="A624" s="627"/>
      <c r="B624" s="627"/>
      <c r="C624" s="627"/>
      <c r="D624" s="627"/>
      <c r="E624" s="628"/>
      <c r="F624" s="628"/>
      <c r="K624" s="382"/>
      <c r="L624" s="382"/>
      <c r="M624" s="382"/>
      <c r="N624" s="382"/>
      <c r="O624" s="383"/>
      <c r="P624" s="383"/>
    </row>
    <row r="625" spans="1:16" ht="18.75">
      <c r="A625" s="617"/>
      <c r="B625" s="617"/>
      <c r="C625" s="617"/>
      <c r="D625" s="617"/>
      <c r="E625" s="617"/>
      <c r="F625" s="617"/>
      <c r="K625" s="380"/>
      <c r="L625" s="380"/>
      <c r="M625" s="380"/>
      <c r="N625" s="380"/>
      <c r="O625" s="380"/>
      <c r="P625" s="380"/>
    </row>
    <row r="626" spans="1:16" ht="18.75">
      <c r="A626" s="617"/>
      <c r="B626" s="617"/>
      <c r="C626" s="617"/>
      <c r="D626" s="617"/>
      <c r="E626" s="617"/>
      <c r="F626" s="617"/>
      <c r="K626" s="380"/>
      <c r="L626" s="380"/>
      <c r="M626" s="380"/>
      <c r="N626" s="380"/>
      <c r="O626" s="380"/>
      <c r="P626" s="380"/>
    </row>
    <row r="627" spans="1:16" ht="18.75" customHeight="1">
      <c r="A627" s="617"/>
      <c r="B627" s="617"/>
      <c r="C627" s="617"/>
      <c r="D627" s="617"/>
      <c r="E627" s="617"/>
      <c r="F627" s="617"/>
      <c r="K627" s="380"/>
      <c r="L627" s="380"/>
      <c r="M627" s="380"/>
      <c r="N627" s="380"/>
      <c r="O627" s="380"/>
      <c r="P627" s="380"/>
    </row>
    <row r="628" spans="1:16" ht="18.75" customHeight="1">
      <c r="A628" s="617"/>
      <c r="B628" s="617"/>
      <c r="C628" s="617"/>
      <c r="D628" s="617"/>
      <c r="E628" s="617"/>
      <c r="F628" s="617"/>
      <c r="K628" s="380"/>
      <c r="L628" s="380"/>
      <c r="M628" s="380"/>
      <c r="N628" s="380"/>
      <c r="O628" s="380"/>
      <c r="P628" s="380"/>
    </row>
    <row r="629" spans="1:16" ht="18.75" customHeight="1">
      <c r="A629" s="617"/>
      <c r="B629" s="617"/>
      <c r="C629" s="617"/>
      <c r="D629" s="617"/>
      <c r="E629" s="617"/>
      <c r="F629" s="617"/>
      <c r="K629" s="380"/>
      <c r="L629" s="380"/>
      <c r="M629" s="380"/>
      <c r="N629" s="380"/>
      <c r="O629" s="380"/>
      <c r="P629" s="380"/>
    </row>
    <row r="630" spans="1:16" ht="18.75" customHeight="1">
      <c r="A630" s="626"/>
      <c r="B630" s="626"/>
      <c r="C630" s="626"/>
      <c r="D630" s="615"/>
      <c r="E630" s="615"/>
      <c r="F630" s="381"/>
      <c r="K630" s="377"/>
      <c r="L630" s="377"/>
      <c r="M630" s="377"/>
      <c r="N630" s="378"/>
      <c r="O630" s="378"/>
      <c r="P630" s="381"/>
    </row>
    <row r="631" spans="1:16" ht="18.75" customHeight="1">
      <c r="A631" s="626"/>
      <c r="B631" s="626"/>
      <c r="C631" s="626"/>
      <c r="D631" s="615"/>
      <c r="E631" s="615"/>
      <c r="F631" s="381"/>
      <c r="K631" s="377"/>
      <c r="L631" s="377"/>
      <c r="M631" s="377"/>
      <c r="N631" s="378"/>
      <c r="O631" s="378"/>
      <c r="P631" s="381"/>
    </row>
    <row r="632" spans="1:16" ht="18.75" customHeight="1">
      <c r="A632" s="626"/>
      <c r="B632" s="626"/>
      <c r="C632" s="626"/>
      <c r="D632" s="615"/>
      <c r="E632" s="615"/>
      <c r="F632" s="378"/>
      <c r="K632" s="377"/>
      <c r="L632" s="377"/>
      <c r="M632" s="377"/>
      <c r="N632" s="378"/>
      <c r="O632" s="378"/>
      <c r="P632" s="378"/>
    </row>
    <row r="633" spans="1:16" ht="18.75" customHeight="1">
      <c r="A633" s="626"/>
      <c r="B633" s="626"/>
      <c r="C633" s="626"/>
      <c r="D633" s="615"/>
      <c r="E633" s="615"/>
      <c r="F633" s="378"/>
      <c r="K633" s="377"/>
      <c r="L633" s="377"/>
      <c r="M633" s="377"/>
      <c r="N633" s="378"/>
      <c r="O633" s="378"/>
      <c r="P633" s="378"/>
    </row>
    <row r="634" spans="1:16" ht="18.75" customHeight="1">
      <c r="A634" s="626"/>
      <c r="B634" s="626"/>
      <c r="C634" s="626"/>
      <c r="D634" s="615"/>
      <c r="E634" s="615"/>
      <c r="F634" s="378"/>
      <c r="K634" s="377"/>
      <c r="L634" s="377"/>
      <c r="M634" s="377"/>
      <c r="N634" s="378"/>
      <c r="O634" s="378"/>
      <c r="P634" s="378"/>
    </row>
    <row r="635" spans="1:16" ht="18.75" customHeight="1">
      <c r="A635" s="626"/>
      <c r="B635" s="626"/>
      <c r="C635" s="626"/>
      <c r="D635" s="615"/>
      <c r="E635" s="615"/>
      <c r="F635" s="378"/>
      <c r="K635" s="377"/>
      <c r="L635" s="377"/>
      <c r="M635" s="377"/>
      <c r="N635" s="378"/>
      <c r="O635" s="378"/>
      <c r="P635" s="378"/>
    </row>
    <row r="636" spans="1:16" ht="18.75" customHeight="1">
      <c r="A636" s="626"/>
      <c r="B636" s="626"/>
      <c r="C636" s="626"/>
      <c r="D636" s="615"/>
      <c r="E636" s="615"/>
      <c r="F636" s="378"/>
      <c r="K636" s="377"/>
      <c r="L636" s="377"/>
      <c r="M636" s="377"/>
      <c r="N636" s="378"/>
      <c r="O636" s="378"/>
      <c r="P636" s="378"/>
    </row>
    <row r="637" spans="1:16" ht="76.5" customHeight="1">
      <c r="A637" s="627"/>
      <c r="B637" s="627"/>
      <c r="C637" s="627"/>
      <c r="D637" s="627"/>
      <c r="E637" s="628"/>
      <c r="F637" s="628"/>
      <c r="K637" s="382"/>
      <c r="L637" s="382"/>
      <c r="M637" s="382"/>
      <c r="N637" s="382"/>
      <c r="O637" s="383"/>
      <c r="P637" s="383"/>
    </row>
    <row r="638" spans="1:16" ht="18.75">
      <c r="A638" s="617"/>
      <c r="B638" s="617"/>
      <c r="C638" s="617"/>
      <c r="D638" s="617"/>
      <c r="E638" s="617"/>
      <c r="F638" s="617"/>
      <c r="K638" s="380"/>
      <c r="L638" s="380"/>
      <c r="M638" s="380"/>
      <c r="N638" s="380"/>
      <c r="O638" s="380"/>
      <c r="P638" s="380"/>
    </row>
    <row r="639" spans="1:16" ht="18.75">
      <c r="A639" s="617"/>
      <c r="B639" s="617"/>
      <c r="C639" s="617"/>
      <c r="D639" s="617"/>
      <c r="E639" s="617"/>
      <c r="F639" s="617"/>
      <c r="K639" s="380"/>
      <c r="L639" s="380"/>
      <c r="M639" s="380"/>
      <c r="N639" s="380"/>
      <c r="O639" s="380"/>
      <c r="P639" s="380"/>
    </row>
    <row r="640" spans="1:16" ht="18.75" customHeight="1">
      <c r="A640" s="617"/>
      <c r="B640" s="617"/>
      <c r="C640" s="617"/>
      <c r="D640" s="617"/>
      <c r="E640" s="617"/>
      <c r="F640" s="617"/>
      <c r="K640" s="380"/>
      <c r="L640" s="380"/>
      <c r="M640" s="380"/>
      <c r="N640" s="380"/>
      <c r="O640" s="380"/>
      <c r="P640" s="380"/>
    </row>
    <row r="641" spans="1:16" ht="18.75" customHeight="1">
      <c r="A641" s="617"/>
      <c r="B641" s="617"/>
      <c r="C641" s="617"/>
      <c r="D641" s="617"/>
      <c r="E641" s="617"/>
      <c r="F641" s="617"/>
      <c r="K641" s="380"/>
      <c r="L641" s="380"/>
      <c r="M641" s="380"/>
      <c r="N641" s="380"/>
      <c r="O641" s="380"/>
      <c r="P641" s="380"/>
    </row>
    <row r="642" spans="1:16" ht="18.75" customHeight="1">
      <c r="A642" s="617"/>
      <c r="B642" s="617"/>
      <c r="C642" s="617"/>
      <c r="D642" s="617"/>
      <c r="E642" s="617"/>
      <c r="F642" s="617"/>
      <c r="K642" s="380"/>
      <c r="L642" s="380"/>
      <c r="M642" s="380"/>
      <c r="N642" s="380"/>
      <c r="O642" s="380"/>
      <c r="P642" s="380"/>
    </row>
    <row r="643" spans="1:16" ht="18.75" customHeight="1">
      <c r="A643" s="626"/>
      <c r="B643" s="626"/>
      <c r="C643" s="626"/>
      <c r="D643" s="615"/>
      <c r="E643" s="615"/>
      <c r="F643" s="381"/>
      <c r="K643" s="377"/>
      <c r="L643" s="377"/>
      <c r="M643" s="377"/>
      <c r="N643" s="378"/>
      <c r="O643" s="378"/>
      <c r="P643" s="381"/>
    </row>
    <row r="644" spans="1:16" ht="18.75" customHeight="1">
      <c r="A644" s="626"/>
      <c r="B644" s="626"/>
      <c r="C644" s="626"/>
      <c r="D644" s="615"/>
      <c r="E644" s="615"/>
      <c r="F644" s="381"/>
      <c r="K644" s="377"/>
      <c r="L644" s="377"/>
      <c r="M644" s="377"/>
      <c r="N644" s="378"/>
      <c r="O644" s="378"/>
      <c r="P644" s="381"/>
    </row>
    <row r="645" spans="1:16" ht="18.75" customHeight="1">
      <c r="A645" s="626"/>
      <c r="B645" s="626"/>
      <c r="C645" s="626"/>
      <c r="D645" s="615"/>
      <c r="E645" s="615"/>
      <c r="F645" s="378"/>
      <c r="K645" s="377"/>
      <c r="L645" s="377"/>
      <c r="M645" s="377"/>
      <c r="N645" s="378"/>
      <c r="O645" s="378"/>
      <c r="P645" s="378"/>
    </row>
    <row r="646" spans="1:16" ht="18.75" customHeight="1">
      <c r="A646" s="626"/>
      <c r="B646" s="626"/>
      <c r="C646" s="626"/>
      <c r="D646" s="615"/>
      <c r="E646" s="615"/>
      <c r="F646" s="378"/>
      <c r="K646" s="377"/>
      <c r="L646" s="377"/>
      <c r="M646" s="377"/>
      <c r="N646" s="378"/>
      <c r="O646" s="378"/>
      <c r="P646" s="378"/>
    </row>
    <row r="647" spans="1:16" ht="18.75" customHeight="1">
      <c r="A647" s="626"/>
      <c r="B647" s="626"/>
      <c r="C647" s="626"/>
      <c r="D647" s="615"/>
      <c r="E647" s="615"/>
      <c r="F647" s="378"/>
      <c r="K647" s="377"/>
      <c r="L647" s="377"/>
      <c r="M647" s="377"/>
      <c r="N647" s="378"/>
      <c r="O647" s="378"/>
      <c r="P647" s="378"/>
    </row>
    <row r="648" spans="1:16" ht="18.75" customHeight="1">
      <c r="A648" s="626"/>
      <c r="B648" s="626"/>
      <c r="C648" s="626"/>
      <c r="D648" s="615"/>
      <c r="E648" s="615"/>
      <c r="F648" s="378"/>
      <c r="K648" s="377"/>
      <c r="L648" s="377"/>
      <c r="M648" s="377"/>
      <c r="N648" s="378"/>
      <c r="O648" s="378"/>
      <c r="P648" s="378"/>
    </row>
    <row r="649" spans="1:16" ht="18.75" customHeight="1">
      <c r="A649" s="626"/>
      <c r="B649" s="626"/>
      <c r="C649" s="626"/>
      <c r="D649" s="615"/>
      <c r="E649" s="615"/>
      <c r="F649" s="378"/>
      <c r="K649" s="377"/>
      <c r="L649" s="377"/>
      <c r="M649" s="377"/>
      <c r="N649" s="378"/>
      <c r="O649" s="378"/>
      <c r="P649" s="378"/>
    </row>
    <row r="650" spans="1:16" ht="76.5" customHeight="1">
      <c r="A650" s="627"/>
      <c r="B650" s="627"/>
      <c r="C650" s="627"/>
      <c r="D650" s="627"/>
      <c r="E650" s="628"/>
      <c r="F650" s="628"/>
      <c r="K650" s="382"/>
      <c r="L650" s="382"/>
      <c r="M650" s="382"/>
      <c r="N650" s="382"/>
      <c r="O650" s="383"/>
      <c r="P650" s="383"/>
    </row>
    <row r="651" spans="1:16" ht="18.75">
      <c r="A651" s="617"/>
      <c r="B651" s="617"/>
      <c r="C651" s="617"/>
      <c r="D651" s="617"/>
      <c r="E651" s="617"/>
      <c r="F651" s="617"/>
      <c r="K651" s="380"/>
      <c r="L651" s="380"/>
      <c r="M651" s="380"/>
      <c r="N651" s="380"/>
      <c r="O651" s="380"/>
      <c r="P651" s="380"/>
    </row>
    <row r="652" spans="1:16" ht="18.75">
      <c r="A652" s="617"/>
      <c r="B652" s="617"/>
      <c r="C652" s="617"/>
      <c r="D652" s="617"/>
      <c r="E652" s="617"/>
      <c r="F652" s="617"/>
      <c r="K652" s="380"/>
      <c r="L652" s="380"/>
      <c r="M652" s="380"/>
      <c r="N652" s="380"/>
      <c r="O652" s="380"/>
      <c r="P652" s="380"/>
    </row>
    <row r="653" spans="1:16" ht="18.75" customHeight="1">
      <c r="A653" s="617"/>
      <c r="B653" s="617"/>
      <c r="C653" s="617"/>
      <c r="D653" s="617"/>
      <c r="E653" s="617"/>
      <c r="F653" s="617"/>
      <c r="K653" s="380"/>
      <c r="L653" s="380"/>
      <c r="M653" s="380"/>
      <c r="N653" s="380"/>
      <c r="O653" s="380"/>
      <c r="P653" s="380"/>
    </row>
    <row r="654" spans="1:16" ht="18.75" customHeight="1">
      <c r="A654" s="617"/>
      <c r="B654" s="617"/>
      <c r="C654" s="617"/>
      <c r="D654" s="617"/>
      <c r="E654" s="617"/>
      <c r="F654" s="617"/>
      <c r="K654" s="380"/>
      <c r="L654" s="380"/>
      <c r="M654" s="380"/>
      <c r="N654" s="380"/>
      <c r="O654" s="380"/>
      <c r="P654" s="380"/>
    </row>
    <row r="655" spans="1:16" ht="18.75" customHeight="1">
      <c r="A655" s="617"/>
      <c r="B655" s="617"/>
      <c r="C655" s="617"/>
      <c r="D655" s="617"/>
      <c r="E655" s="617"/>
      <c r="F655" s="617"/>
      <c r="K655" s="380"/>
      <c r="L655" s="380"/>
      <c r="M655" s="380"/>
      <c r="N655" s="380"/>
      <c r="O655" s="380"/>
      <c r="P655" s="380"/>
    </row>
    <row r="656" spans="1:16" ht="18.75" customHeight="1">
      <c r="A656" s="626"/>
      <c r="B656" s="626"/>
      <c r="C656" s="626"/>
      <c r="D656" s="615"/>
      <c r="E656" s="615"/>
      <c r="F656" s="381"/>
      <c r="K656" s="377"/>
      <c r="L656" s="377"/>
      <c r="M656" s="377"/>
      <c r="N656" s="378"/>
      <c r="O656" s="378"/>
      <c r="P656" s="381"/>
    </row>
    <row r="657" spans="1:16" ht="18.75" customHeight="1">
      <c r="A657" s="626"/>
      <c r="B657" s="626"/>
      <c r="C657" s="626"/>
      <c r="D657" s="615"/>
      <c r="E657" s="615"/>
      <c r="F657" s="381"/>
      <c r="K657" s="377"/>
      <c r="L657" s="377"/>
      <c r="M657" s="377"/>
      <c r="N657" s="378"/>
      <c r="O657" s="378"/>
      <c r="P657" s="381"/>
    </row>
    <row r="658" spans="1:16" ht="18.75" customHeight="1">
      <c r="A658" s="626"/>
      <c r="B658" s="626"/>
      <c r="C658" s="626"/>
      <c r="D658" s="615"/>
      <c r="E658" s="615"/>
      <c r="F658" s="378"/>
      <c r="K658" s="377"/>
      <c r="L658" s="377"/>
      <c r="M658" s="377"/>
      <c r="N658" s="378"/>
      <c r="O658" s="378"/>
      <c r="P658" s="378"/>
    </row>
    <row r="659" spans="1:16" ht="18.75" customHeight="1">
      <c r="A659" s="626"/>
      <c r="B659" s="626"/>
      <c r="C659" s="626"/>
      <c r="D659" s="615"/>
      <c r="E659" s="615"/>
      <c r="F659" s="378"/>
      <c r="K659" s="377"/>
      <c r="L659" s="377"/>
      <c r="M659" s="377"/>
      <c r="N659" s="378"/>
      <c r="O659" s="378"/>
      <c r="P659" s="378"/>
    </row>
    <row r="660" spans="1:16" ht="18.75" customHeight="1">
      <c r="A660" s="626"/>
      <c r="B660" s="626"/>
      <c r="C660" s="626"/>
      <c r="D660" s="615"/>
      <c r="E660" s="615"/>
      <c r="F660" s="378"/>
      <c r="K660" s="377"/>
      <c r="L660" s="377"/>
      <c r="M660" s="377"/>
      <c r="N660" s="378"/>
      <c r="O660" s="378"/>
      <c r="P660" s="378"/>
    </row>
    <row r="661" spans="1:16" ht="18.75" customHeight="1">
      <c r="A661" s="626"/>
      <c r="B661" s="626"/>
      <c r="C661" s="626"/>
      <c r="D661" s="615"/>
      <c r="E661" s="615"/>
      <c r="F661" s="378"/>
      <c r="K661" s="377"/>
      <c r="L661" s="377"/>
      <c r="M661" s="377"/>
      <c r="N661" s="378"/>
      <c r="O661" s="378"/>
      <c r="P661" s="378"/>
    </row>
    <row r="662" spans="1:16" ht="18.75" customHeight="1">
      <c r="A662" s="626"/>
      <c r="B662" s="626"/>
      <c r="C662" s="626"/>
      <c r="D662" s="615"/>
      <c r="E662" s="615"/>
      <c r="F662" s="378"/>
      <c r="K662" s="377"/>
      <c r="L662" s="377"/>
      <c r="M662" s="377"/>
      <c r="N662" s="378"/>
      <c r="O662" s="378"/>
      <c r="P662" s="378"/>
    </row>
    <row r="663" spans="1:16" ht="76.5" customHeight="1">
      <c r="A663" s="627"/>
      <c r="B663" s="627"/>
      <c r="C663" s="627"/>
      <c r="D663" s="627"/>
      <c r="E663" s="628"/>
      <c r="F663" s="628"/>
      <c r="K663" s="382"/>
      <c r="L663" s="382"/>
      <c r="M663" s="382"/>
      <c r="N663" s="382"/>
      <c r="O663" s="383"/>
      <c r="P663" s="383"/>
    </row>
    <row r="664" spans="1:16" ht="18.75">
      <c r="A664" s="617"/>
      <c r="B664" s="617"/>
      <c r="C664" s="617"/>
      <c r="D664" s="617"/>
      <c r="E664" s="617"/>
      <c r="F664" s="617"/>
      <c r="K664" s="380"/>
      <c r="L664" s="380"/>
      <c r="M664" s="380"/>
      <c r="N664" s="380"/>
      <c r="O664" s="380"/>
      <c r="P664" s="380"/>
    </row>
    <row r="665" spans="1:16" ht="18.75">
      <c r="A665" s="617"/>
      <c r="B665" s="617"/>
      <c r="C665" s="617"/>
      <c r="D665" s="617"/>
      <c r="E665" s="617"/>
      <c r="F665" s="617"/>
      <c r="K665" s="380"/>
      <c r="L665" s="380"/>
      <c r="M665" s="380"/>
      <c r="N665" s="380"/>
      <c r="O665" s="380"/>
      <c r="P665" s="380"/>
    </row>
    <row r="666" spans="1:16" ht="18.75" customHeight="1">
      <c r="A666" s="617"/>
      <c r="B666" s="617"/>
      <c r="C666" s="617"/>
      <c r="D666" s="617"/>
      <c r="E666" s="617"/>
      <c r="F666" s="617"/>
      <c r="K666" s="380"/>
      <c r="L666" s="380"/>
      <c r="M666" s="380"/>
      <c r="N666" s="380"/>
      <c r="O666" s="380"/>
      <c r="P666" s="380"/>
    </row>
    <row r="667" spans="1:16" ht="18.75" customHeight="1">
      <c r="A667" s="617"/>
      <c r="B667" s="617"/>
      <c r="C667" s="617"/>
      <c r="D667" s="617"/>
      <c r="E667" s="617"/>
      <c r="F667" s="617"/>
      <c r="K667" s="380"/>
      <c r="L667" s="380"/>
      <c r="M667" s="380"/>
      <c r="N667" s="380"/>
      <c r="O667" s="380"/>
      <c r="P667" s="380"/>
    </row>
    <row r="668" spans="1:16" ht="18.75" customHeight="1">
      <c r="A668" s="617"/>
      <c r="B668" s="617"/>
      <c r="C668" s="617"/>
      <c r="D668" s="617"/>
      <c r="E668" s="617"/>
      <c r="F668" s="617"/>
      <c r="K668" s="380"/>
      <c r="L668" s="380"/>
      <c r="M668" s="380"/>
      <c r="N668" s="380"/>
      <c r="O668" s="380"/>
      <c r="P668" s="380"/>
    </row>
    <row r="669" spans="1:16" ht="18.75" customHeight="1">
      <c r="A669" s="626"/>
      <c r="B669" s="626"/>
      <c r="C669" s="626"/>
      <c r="D669" s="615"/>
      <c r="E669" s="615"/>
      <c r="F669" s="381"/>
      <c r="K669" s="377"/>
      <c r="L669" s="377"/>
      <c r="M669" s="377"/>
      <c r="N669" s="378"/>
      <c r="O669" s="378"/>
      <c r="P669" s="381"/>
    </row>
    <row r="670" spans="1:16" ht="18.75" customHeight="1">
      <c r="A670" s="626"/>
      <c r="B670" s="626"/>
      <c r="C670" s="626"/>
      <c r="D670" s="615"/>
      <c r="E670" s="615"/>
      <c r="F670" s="381"/>
      <c r="K670" s="377"/>
      <c r="L670" s="377"/>
      <c r="M670" s="377"/>
      <c r="N670" s="378"/>
      <c r="O670" s="378"/>
      <c r="P670" s="381"/>
    </row>
    <row r="671" spans="1:16" ht="18.75" customHeight="1">
      <c r="A671" s="626"/>
      <c r="B671" s="626"/>
      <c r="C671" s="626"/>
      <c r="D671" s="615"/>
      <c r="E671" s="615"/>
      <c r="F671" s="378"/>
      <c r="K671" s="377"/>
      <c r="L671" s="377"/>
      <c r="M671" s="377"/>
      <c r="N671" s="378"/>
      <c r="O671" s="378"/>
      <c r="P671" s="378"/>
    </row>
    <row r="672" spans="1:16" ht="18.75" customHeight="1">
      <c r="A672" s="626"/>
      <c r="B672" s="626"/>
      <c r="C672" s="626"/>
      <c r="D672" s="615"/>
      <c r="E672" s="615"/>
      <c r="F672" s="378"/>
      <c r="K672" s="377"/>
      <c r="L672" s="377"/>
      <c r="M672" s="377"/>
      <c r="N672" s="378"/>
      <c r="O672" s="378"/>
      <c r="P672" s="378"/>
    </row>
    <row r="673" spans="1:16" ht="18.75" customHeight="1">
      <c r="A673" s="626"/>
      <c r="B673" s="626"/>
      <c r="C673" s="626"/>
      <c r="D673" s="615"/>
      <c r="E673" s="615"/>
      <c r="F673" s="378"/>
      <c r="K673" s="377"/>
      <c r="L673" s="377"/>
      <c r="M673" s="377"/>
      <c r="N673" s="378"/>
      <c r="O673" s="378"/>
      <c r="P673" s="378"/>
    </row>
    <row r="674" spans="1:16" ht="18.75" customHeight="1">
      <c r="A674" s="626"/>
      <c r="B674" s="626"/>
      <c r="C674" s="626"/>
      <c r="D674" s="615"/>
      <c r="E674" s="615"/>
      <c r="F674" s="378"/>
      <c r="K674" s="377"/>
      <c r="L674" s="377"/>
      <c r="M674" s="377"/>
      <c r="N674" s="378"/>
      <c r="O674" s="378"/>
      <c r="P674" s="378"/>
    </row>
    <row r="675" spans="1:16" ht="18.75" customHeight="1">
      <c r="A675" s="626"/>
      <c r="B675" s="626"/>
      <c r="C675" s="626"/>
      <c r="D675" s="615"/>
      <c r="E675" s="615"/>
      <c r="F675" s="378"/>
      <c r="K675" s="377"/>
      <c r="L675" s="377"/>
      <c r="M675" s="377"/>
      <c r="N675" s="378"/>
      <c r="O675" s="378"/>
      <c r="P675" s="378"/>
    </row>
    <row r="676" spans="1:16" ht="76.5" customHeight="1">
      <c r="A676" s="627"/>
      <c r="B676" s="627"/>
      <c r="C676" s="627"/>
      <c r="D676" s="627"/>
      <c r="E676" s="628"/>
      <c r="F676" s="628"/>
      <c r="K676" s="382"/>
      <c r="L676" s="382"/>
      <c r="M676" s="382"/>
      <c r="N676" s="382"/>
      <c r="O676" s="383"/>
      <c r="P676" s="383"/>
    </row>
    <row r="677" spans="1:16" ht="18.75">
      <c r="A677" s="617"/>
      <c r="B677" s="617"/>
      <c r="C677" s="617"/>
      <c r="D677" s="617"/>
      <c r="E677" s="617"/>
      <c r="F677" s="617"/>
      <c r="K677" s="380"/>
      <c r="L677" s="380"/>
      <c r="M677" s="380"/>
      <c r="N677" s="380"/>
      <c r="O677" s="380"/>
      <c r="P677" s="380"/>
    </row>
    <row r="678" spans="1:16" ht="18.75">
      <c r="A678" s="617"/>
      <c r="B678" s="617"/>
      <c r="C678" s="617"/>
      <c r="D678" s="617"/>
      <c r="E678" s="617"/>
      <c r="F678" s="617"/>
      <c r="K678" s="380"/>
      <c r="L678" s="380"/>
      <c r="M678" s="380"/>
      <c r="N678" s="380"/>
      <c r="O678" s="380"/>
      <c r="P678" s="380"/>
    </row>
    <row r="679" spans="1:16" ht="18.75" customHeight="1">
      <c r="A679" s="617"/>
      <c r="B679" s="617"/>
      <c r="C679" s="617"/>
      <c r="D679" s="617"/>
      <c r="E679" s="617"/>
      <c r="F679" s="617"/>
      <c r="K679" s="380"/>
      <c r="L679" s="380"/>
      <c r="M679" s="380"/>
      <c r="N679" s="380"/>
      <c r="O679" s="380"/>
      <c r="P679" s="380"/>
    </row>
    <row r="680" spans="1:16" ht="18.75" customHeight="1">
      <c r="A680" s="617"/>
      <c r="B680" s="617"/>
      <c r="C680" s="617"/>
      <c r="D680" s="617"/>
      <c r="E680" s="617"/>
      <c r="F680" s="617"/>
      <c r="K680" s="380"/>
      <c r="L680" s="380"/>
      <c r="M680" s="380"/>
      <c r="N680" s="380"/>
      <c r="O680" s="380"/>
      <c r="P680" s="380"/>
    </row>
    <row r="681" spans="1:16" ht="18.75" customHeight="1">
      <c r="A681" s="617"/>
      <c r="B681" s="617"/>
      <c r="C681" s="617"/>
      <c r="D681" s="617"/>
      <c r="E681" s="617"/>
      <c r="F681" s="617"/>
      <c r="K681" s="380"/>
      <c r="L681" s="380"/>
      <c r="M681" s="380"/>
      <c r="N681" s="380"/>
      <c r="O681" s="380"/>
      <c r="P681" s="380"/>
    </row>
    <row r="682" spans="1:16" ht="18.75" customHeight="1">
      <c r="A682" s="626"/>
      <c r="B682" s="626"/>
      <c r="C682" s="626"/>
      <c r="D682" s="615"/>
      <c r="E682" s="615"/>
      <c r="F682" s="381"/>
      <c r="K682" s="377"/>
      <c r="L682" s="377"/>
      <c r="M682" s="377"/>
      <c r="N682" s="378"/>
      <c r="O682" s="378"/>
      <c r="P682" s="381"/>
    </row>
    <row r="683" spans="1:16" ht="18.75" customHeight="1">
      <c r="A683" s="626"/>
      <c r="B683" s="626"/>
      <c r="C683" s="626"/>
      <c r="D683" s="615"/>
      <c r="E683" s="615"/>
      <c r="F683" s="381"/>
      <c r="K683" s="377"/>
      <c r="L683" s="377"/>
      <c r="M683" s="377"/>
      <c r="N683" s="378"/>
      <c r="O683" s="378"/>
      <c r="P683" s="381"/>
    </row>
    <row r="684" spans="1:16" ht="18.75" customHeight="1">
      <c r="A684" s="626"/>
      <c r="B684" s="626"/>
      <c r="C684" s="626"/>
      <c r="D684" s="615"/>
      <c r="E684" s="615"/>
      <c r="F684" s="378"/>
      <c r="K684" s="377"/>
      <c r="L684" s="377"/>
      <c r="M684" s="377"/>
      <c r="N684" s="378"/>
      <c r="O684" s="378"/>
      <c r="P684" s="378"/>
    </row>
    <row r="685" spans="1:16" ht="18.75" customHeight="1">
      <c r="A685" s="626"/>
      <c r="B685" s="626"/>
      <c r="C685" s="626"/>
      <c r="D685" s="615"/>
      <c r="E685" s="615"/>
      <c r="F685" s="378"/>
      <c r="K685" s="377"/>
      <c r="L685" s="377"/>
      <c r="M685" s="377"/>
      <c r="N685" s="378"/>
      <c r="O685" s="378"/>
      <c r="P685" s="378"/>
    </row>
    <row r="686" spans="1:16" ht="18.75" customHeight="1">
      <c r="A686" s="626"/>
      <c r="B686" s="626"/>
      <c r="C686" s="626"/>
      <c r="D686" s="615"/>
      <c r="E686" s="615"/>
      <c r="F686" s="378"/>
      <c r="K686" s="377"/>
      <c r="L686" s="377"/>
      <c r="M686" s="377"/>
      <c r="N686" s="378"/>
      <c r="O686" s="378"/>
      <c r="P686" s="378"/>
    </row>
    <row r="687" spans="1:16" ht="18.75" customHeight="1">
      <c r="A687" s="626"/>
      <c r="B687" s="626"/>
      <c r="C687" s="626"/>
      <c r="D687" s="615"/>
      <c r="E687" s="615"/>
      <c r="F687" s="378"/>
      <c r="K687" s="377"/>
      <c r="L687" s="377"/>
      <c r="M687" s="377"/>
      <c r="N687" s="378"/>
      <c r="O687" s="378"/>
      <c r="P687" s="378"/>
    </row>
    <row r="688" spans="1:16" ht="18.75" customHeight="1">
      <c r="A688" s="626"/>
      <c r="B688" s="626"/>
      <c r="C688" s="626"/>
      <c r="D688" s="615"/>
      <c r="E688" s="615"/>
      <c r="F688" s="378"/>
      <c r="K688" s="377"/>
      <c r="L688" s="377"/>
      <c r="M688" s="377"/>
      <c r="N688" s="378"/>
      <c r="O688" s="378"/>
      <c r="P688" s="378"/>
    </row>
    <row r="689" spans="1:16" ht="76.5" customHeight="1">
      <c r="A689" s="627"/>
      <c r="B689" s="627"/>
      <c r="C689" s="627"/>
      <c r="D689" s="627"/>
      <c r="E689" s="628"/>
      <c r="F689" s="628"/>
      <c r="K689" s="382"/>
      <c r="L689" s="382"/>
      <c r="M689" s="382"/>
      <c r="N689" s="382"/>
      <c r="O689" s="383"/>
      <c r="P689" s="383"/>
    </row>
    <row r="690" spans="1:16" ht="18.75">
      <c r="A690" s="617"/>
      <c r="B690" s="617"/>
      <c r="C690" s="617"/>
      <c r="D690" s="617"/>
      <c r="E690" s="617"/>
      <c r="F690" s="617"/>
      <c r="K690" s="380"/>
      <c r="L690" s="380"/>
      <c r="M690" s="380"/>
      <c r="N690" s="380"/>
      <c r="O690" s="380"/>
      <c r="P690" s="380"/>
    </row>
    <row r="691" spans="1:16" ht="18.75">
      <c r="A691" s="617"/>
      <c r="B691" s="617"/>
      <c r="C691" s="617"/>
      <c r="D691" s="617"/>
      <c r="E691" s="617"/>
      <c r="F691" s="617"/>
      <c r="K691" s="380"/>
      <c r="L691" s="380"/>
      <c r="M691" s="380"/>
      <c r="N691" s="380"/>
      <c r="O691" s="380"/>
      <c r="P691" s="380"/>
    </row>
    <row r="692" spans="1:16" ht="18.75" customHeight="1">
      <c r="A692" s="617"/>
      <c r="B692" s="617"/>
      <c r="C692" s="617"/>
      <c r="D692" s="617"/>
      <c r="E692" s="617"/>
      <c r="F692" s="617"/>
      <c r="K692" s="380"/>
      <c r="L692" s="380"/>
      <c r="M692" s="380"/>
      <c r="N692" s="380"/>
      <c r="O692" s="380"/>
      <c r="P692" s="380"/>
    </row>
    <row r="693" spans="1:16" ht="18.75" customHeight="1">
      <c r="A693" s="617"/>
      <c r="B693" s="617"/>
      <c r="C693" s="617"/>
      <c r="D693" s="617"/>
      <c r="E693" s="617"/>
      <c r="F693" s="617"/>
      <c r="K693" s="380"/>
      <c r="L693" s="380"/>
      <c r="M693" s="380"/>
      <c r="N693" s="380"/>
      <c r="O693" s="380"/>
      <c r="P693" s="380"/>
    </row>
    <row r="694" spans="1:16" ht="18.75" customHeight="1">
      <c r="A694" s="617"/>
      <c r="B694" s="617"/>
      <c r="C694" s="617"/>
      <c r="D694" s="617"/>
      <c r="E694" s="617"/>
      <c r="F694" s="617"/>
      <c r="K694" s="380"/>
      <c r="L694" s="380"/>
      <c r="M694" s="380"/>
      <c r="N694" s="380"/>
      <c r="O694" s="380"/>
      <c r="P694" s="380"/>
    </row>
    <row r="695" spans="1:16" ht="18.75" customHeight="1">
      <c r="A695" s="626"/>
      <c r="B695" s="626"/>
      <c r="C695" s="626"/>
      <c r="D695" s="615"/>
      <c r="E695" s="615"/>
      <c r="F695" s="381"/>
      <c r="K695" s="377"/>
      <c r="L695" s="377"/>
      <c r="M695" s="377"/>
      <c r="N695" s="378"/>
      <c r="O695" s="378"/>
      <c r="P695" s="381"/>
    </row>
    <row r="696" spans="1:16" ht="18.75" customHeight="1">
      <c r="A696" s="626"/>
      <c r="B696" s="626"/>
      <c r="C696" s="626"/>
      <c r="D696" s="615"/>
      <c r="E696" s="615"/>
      <c r="F696" s="381"/>
      <c r="K696" s="377"/>
      <c r="L696" s="377"/>
      <c r="M696" s="377"/>
      <c r="N696" s="378"/>
      <c r="O696" s="378"/>
      <c r="P696" s="381"/>
    </row>
    <row r="697" spans="1:16" ht="18.75" customHeight="1">
      <c r="A697" s="626"/>
      <c r="B697" s="626"/>
      <c r="C697" s="626"/>
      <c r="D697" s="615"/>
      <c r="E697" s="615"/>
      <c r="F697" s="378"/>
      <c r="K697" s="377"/>
      <c r="L697" s="377"/>
      <c r="M697" s="377"/>
      <c r="N697" s="378"/>
      <c r="O697" s="378"/>
      <c r="P697" s="378"/>
    </row>
    <row r="698" spans="1:16" ht="18.75" customHeight="1">
      <c r="A698" s="626"/>
      <c r="B698" s="626"/>
      <c r="C698" s="626"/>
      <c r="D698" s="615"/>
      <c r="E698" s="615"/>
      <c r="F698" s="378"/>
      <c r="K698" s="377"/>
      <c r="L698" s="377"/>
      <c r="M698" s="377"/>
      <c r="N698" s="378"/>
      <c r="O698" s="378"/>
      <c r="P698" s="378"/>
    </row>
    <row r="699" spans="1:16" ht="18.75" customHeight="1">
      <c r="A699" s="626"/>
      <c r="B699" s="626"/>
      <c r="C699" s="626"/>
      <c r="D699" s="615"/>
      <c r="E699" s="615"/>
      <c r="F699" s="378"/>
      <c r="K699" s="377"/>
      <c r="L699" s="377"/>
      <c r="M699" s="377"/>
      <c r="N699" s="378"/>
      <c r="O699" s="378"/>
      <c r="P699" s="378"/>
    </row>
    <row r="700" spans="1:16" ht="18.75" customHeight="1">
      <c r="A700" s="626"/>
      <c r="B700" s="626"/>
      <c r="C700" s="626"/>
      <c r="D700" s="615"/>
      <c r="E700" s="615"/>
      <c r="F700" s="378"/>
      <c r="K700" s="377"/>
      <c r="L700" s="377"/>
      <c r="M700" s="377"/>
      <c r="N700" s="378"/>
      <c r="O700" s="378"/>
      <c r="P700" s="378"/>
    </row>
    <row r="701" spans="1:16" ht="18.75" customHeight="1">
      <c r="A701" s="626"/>
      <c r="B701" s="626"/>
      <c r="C701" s="626"/>
      <c r="D701" s="615"/>
      <c r="E701" s="615"/>
      <c r="F701" s="378"/>
      <c r="K701" s="377"/>
      <c r="L701" s="377"/>
      <c r="M701" s="377"/>
      <c r="N701" s="378"/>
      <c r="O701" s="378"/>
      <c r="P701" s="378"/>
    </row>
    <row r="702" spans="1:16" ht="76.5" customHeight="1">
      <c r="A702" s="627"/>
      <c r="B702" s="627"/>
      <c r="C702" s="627"/>
      <c r="D702" s="627"/>
      <c r="E702" s="628"/>
      <c r="F702" s="628"/>
      <c r="K702" s="382"/>
      <c r="L702" s="382"/>
      <c r="M702" s="382"/>
      <c r="N702" s="382"/>
      <c r="O702" s="383"/>
      <c r="P702" s="383"/>
    </row>
    <row r="703" spans="1:16" ht="18.75">
      <c r="A703" s="617"/>
      <c r="B703" s="617"/>
      <c r="C703" s="617"/>
      <c r="D703" s="617"/>
      <c r="E703" s="617"/>
      <c r="F703" s="617"/>
      <c r="K703" s="380"/>
      <c r="L703" s="380"/>
      <c r="M703" s="380"/>
      <c r="N703" s="380"/>
      <c r="O703" s="380"/>
      <c r="P703" s="380"/>
    </row>
    <row r="704" spans="1:16" ht="18.75">
      <c r="A704" s="617"/>
      <c r="B704" s="617"/>
      <c r="C704" s="617"/>
      <c r="D704" s="617"/>
      <c r="E704" s="617"/>
      <c r="F704" s="617"/>
      <c r="K704" s="380"/>
      <c r="L704" s="380"/>
      <c r="M704" s="380"/>
      <c r="N704" s="380"/>
      <c r="O704" s="380"/>
      <c r="P704" s="380"/>
    </row>
    <row r="705" spans="1:16" ht="18.75" customHeight="1">
      <c r="A705" s="617"/>
      <c r="B705" s="617"/>
      <c r="C705" s="617"/>
      <c r="D705" s="617"/>
      <c r="E705" s="617"/>
      <c r="F705" s="617"/>
      <c r="K705" s="380"/>
      <c r="L705" s="380"/>
      <c r="M705" s="380"/>
      <c r="N705" s="380"/>
      <c r="O705" s="380"/>
      <c r="P705" s="380"/>
    </row>
    <row r="706" spans="1:16" ht="18.75" customHeight="1">
      <c r="A706" s="617"/>
      <c r="B706" s="617"/>
      <c r="C706" s="617"/>
      <c r="D706" s="617"/>
      <c r="E706" s="617"/>
      <c r="F706" s="617"/>
      <c r="K706" s="380"/>
      <c r="L706" s="380"/>
      <c r="M706" s="380"/>
      <c r="N706" s="380"/>
      <c r="O706" s="380"/>
      <c r="P706" s="380"/>
    </row>
    <row r="707" spans="1:16" ht="18.75" customHeight="1">
      <c r="A707" s="617"/>
      <c r="B707" s="617"/>
      <c r="C707" s="617"/>
      <c r="D707" s="617"/>
      <c r="E707" s="617"/>
      <c r="F707" s="617"/>
      <c r="K707" s="380"/>
      <c r="L707" s="380"/>
      <c r="M707" s="380"/>
      <c r="N707" s="380"/>
      <c r="O707" s="380"/>
      <c r="P707" s="380"/>
    </row>
    <row r="708" spans="1:16" ht="18.75" customHeight="1">
      <c r="A708" s="626"/>
      <c r="B708" s="626"/>
      <c r="C708" s="626"/>
      <c r="D708" s="615"/>
      <c r="E708" s="615"/>
      <c r="F708" s="381"/>
      <c r="K708" s="377"/>
      <c r="L708" s="377"/>
      <c r="M708" s="377"/>
      <c r="N708" s="378"/>
      <c r="O708" s="378"/>
      <c r="P708" s="381"/>
    </row>
    <row r="709" spans="1:16" ht="18.75" customHeight="1">
      <c r="A709" s="626"/>
      <c r="B709" s="626"/>
      <c r="C709" s="626"/>
      <c r="D709" s="615"/>
      <c r="E709" s="615"/>
      <c r="F709" s="381"/>
      <c r="K709" s="377"/>
      <c r="L709" s="377"/>
      <c r="M709" s="377"/>
      <c r="N709" s="378"/>
      <c r="O709" s="378"/>
      <c r="P709" s="381"/>
    </row>
    <row r="710" spans="1:16" ht="18.75" customHeight="1">
      <c r="A710" s="626"/>
      <c r="B710" s="626"/>
      <c r="C710" s="626"/>
      <c r="D710" s="615"/>
      <c r="E710" s="615"/>
      <c r="F710" s="378"/>
      <c r="K710" s="377"/>
      <c r="L710" s="377"/>
      <c r="M710" s="377"/>
      <c r="N710" s="378"/>
      <c r="O710" s="378"/>
      <c r="P710" s="378"/>
    </row>
    <row r="711" spans="1:16" ht="18.75" customHeight="1">
      <c r="A711" s="626"/>
      <c r="B711" s="626"/>
      <c r="C711" s="626"/>
      <c r="D711" s="615"/>
      <c r="E711" s="615"/>
      <c r="F711" s="378"/>
      <c r="K711" s="377"/>
      <c r="L711" s="377"/>
      <c r="M711" s="377"/>
      <c r="N711" s="378"/>
      <c r="O711" s="378"/>
      <c r="P711" s="378"/>
    </row>
    <row r="712" spans="1:16" ht="18.75" customHeight="1">
      <c r="A712" s="626"/>
      <c r="B712" s="626"/>
      <c r="C712" s="626"/>
      <c r="D712" s="615"/>
      <c r="E712" s="615"/>
      <c r="F712" s="378"/>
      <c r="K712" s="377"/>
      <c r="L712" s="377"/>
      <c r="M712" s="377"/>
      <c r="N712" s="378"/>
      <c r="O712" s="378"/>
      <c r="P712" s="378"/>
    </row>
    <row r="713" spans="1:16" ht="18.75" customHeight="1">
      <c r="A713" s="626"/>
      <c r="B713" s="626"/>
      <c r="C713" s="626"/>
      <c r="D713" s="615"/>
      <c r="E713" s="615"/>
      <c r="F713" s="378"/>
      <c r="K713" s="377"/>
      <c r="L713" s="377"/>
      <c r="M713" s="377"/>
      <c r="N713" s="378"/>
      <c r="O713" s="378"/>
      <c r="P713" s="378"/>
    </row>
    <row r="714" spans="1:16" ht="18.75" customHeight="1">
      <c r="A714" s="626"/>
      <c r="B714" s="626"/>
      <c r="C714" s="626"/>
      <c r="D714" s="615"/>
      <c r="E714" s="615"/>
      <c r="F714" s="378"/>
      <c r="K714" s="377"/>
      <c r="L714" s="377"/>
      <c r="M714" s="377"/>
      <c r="N714" s="378"/>
      <c r="O714" s="378"/>
      <c r="P714" s="378"/>
    </row>
    <row r="715" spans="1:16" ht="76.5" customHeight="1">
      <c r="A715" s="627"/>
      <c r="B715" s="627"/>
      <c r="C715" s="627"/>
      <c r="D715" s="627"/>
      <c r="E715" s="628"/>
      <c r="F715" s="628"/>
      <c r="K715" s="382"/>
      <c r="L715" s="382"/>
      <c r="M715" s="382"/>
      <c r="N715" s="382"/>
      <c r="O715" s="383"/>
      <c r="P715" s="383"/>
    </row>
    <row r="716" spans="1:16" ht="18.75">
      <c r="A716" s="617"/>
      <c r="B716" s="617"/>
      <c r="C716" s="617"/>
      <c r="D716" s="617"/>
      <c r="E716" s="617"/>
      <c r="F716" s="617"/>
      <c r="K716" s="380"/>
      <c r="L716" s="380"/>
      <c r="M716" s="380"/>
      <c r="N716" s="380"/>
      <c r="O716" s="380"/>
      <c r="P716" s="380"/>
    </row>
    <row r="717" spans="1:16" ht="18.75">
      <c r="A717" s="617"/>
      <c r="B717" s="617"/>
      <c r="C717" s="617"/>
      <c r="D717" s="617"/>
      <c r="E717" s="617"/>
      <c r="F717" s="617"/>
      <c r="K717" s="380"/>
      <c r="L717" s="380"/>
      <c r="M717" s="380"/>
      <c r="N717" s="380"/>
      <c r="O717" s="380"/>
      <c r="P717" s="380"/>
    </row>
    <row r="718" spans="1:16" ht="18.75" customHeight="1">
      <c r="A718" s="617"/>
      <c r="B718" s="617"/>
      <c r="C718" s="617"/>
      <c r="D718" s="617"/>
      <c r="E718" s="617"/>
      <c r="F718" s="617"/>
      <c r="K718" s="380"/>
      <c r="L718" s="380"/>
      <c r="M718" s="380"/>
      <c r="N718" s="380"/>
      <c r="O718" s="380"/>
      <c r="P718" s="380"/>
    </row>
    <row r="719" spans="1:16" ht="18.75" customHeight="1">
      <c r="A719" s="617"/>
      <c r="B719" s="617"/>
      <c r="C719" s="617"/>
      <c r="D719" s="617"/>
      <c r="E719" s="617"/>
      <c r="F719" s="617"/>
      <c r="K719" s="380"/>
      <c r="L719" s="380"/>
      <c r="M719" s="380"/>
      <c r="N719" s="380"/>
      <c r="O719" s="380"/>
      <c r="P719" s="380"/>
    </row>
    <row r="720" spans="1:16" ht="18.75" customHeight="1">
      <c r="A720" s="617"/>
      <c r="B720" s="617"/>
      <c r="C720" s="617"/>
      <c r="D720" s="617"/>
      <c r="E720" s="617"/>
      <c r="F720" s="617"/>
      <c r="K720" s="380"/>
      <c r="L720" s="380"/>
      <c r="M720" s="380"/>
      <c r="N720" s="380"/>
      <c r="O720" s="380"/>
      <c r="P720" s="380"/>
    </row>
    <row r="721" spans="1:16" ht="18.75" customHeight="1">
      <c r="A721" s="626"/>
      <c r="B721" s="626"/>
      <c r="C721" s="626"/>
      <c r="D721" s="615"/>
      <c r="E721" s="615"/>
      <c r="F721" s="381"/>
      <c r="K721" s="377"/>
      <c r="L721" s="377"/>
      <c r="M721" s="377"/>
      <c r="N721" s="378"/>
      <c r="O721" s="378"/>
      <c r="P721" s="381"/>
    </row>
    <row r="722" spans="1:16" ht="18.75" customHeight="1">
      <c r="A722" s="626"/>
      <c r="B722" s="626"/>
      <c r="C722" s="626"/>
      <c r="D722" s="615"/>
      <c r="E722" s="615"/>
      <c r="F722" s="381"/>
      <c r="K722" s="377"/>
      <c r="L722" s="377"/>
      <c r="M722" s="377"/>
      <c r="N722" s="378"/>
      <c r="O722" s="378"/>
      <c r="P722" s="381"/>
    </row>
    <row r="723" spans="1:16" ht="18.75" customHeight="1">
      <c r="A723" s="626"/>
      <c r="B723" s="626"/>
      <c r="C723" s="626"/>
      <c r="D723" s="615"/>
      <c r="E723" s="615"/>
      <c r="F723" s="378"/>
      <c r="K723" s="377"/>
      <c r="L723" s="377"/>
      <c r="M723" s="377"/>
      <c r="N723" s="378"/>
      <c r="O723" s="378"/>
      <c r="P723" s="378"/>
    </row>
    <row r="724" spans="1:16" ht="18.75" customHeight="1">
      <c r="A724" s="626"/>
      <c r="B724" s="626"/>
      <c r="C724" s="626"/>
      <c r="D724" s="615"/>
      <c r="E724" s="615"/>
      <c r="F724" s="378"/>
      <c r="K724" s="377"/>
      <c r="L724" s="377"/>
      <c r="M724" s="377"/>
      <c r="N724" s="378"/>
      <c r="O724" s="378"/>
      <c r="P724" s="378"/>
    </row>
    <row r="725" spans="1:16" ht="18.75" customHeight="1">
      <c r="A725" s="626"/>
      <c r="B725" s="626"/>
      <c r="C725" s="626"/>
      <c r="D725" s="615"/>
      <c r="E725" s="615"/>
      <c r="F725" s="378"/>
      <c r="K725" s="377"/>
      <c r="L725" s="377"/>
      <c r="M725" s="377"/>
      <c r="N725" s="378"/>
      <c r="O725" s="378"/>
      <c r="P725" s="378"/>
    </row>
    <row r="726" spans="1:16" ht="18.75" customHeight="1">
      <c r="A726" s="626"/>
      <c r="B726" s="626"/>
      <c r="C726" s="626"/>
      <c r="D726" s="615"/>
      <c r="E726" s="615"/>
      <c r="F726" s="378"/>
      <c r="K726" s="377"/>
      <c r="L726" s="377"/>
      <c r="M726" s="377"/>
      <c r="N726" s="378"/>
      <c r="O726" s="378"/>
      <c r="P726" s="378"/>
    </row>
    <row r="727" spans="1:16" ht="18.75" customHeight="1">
      <c r="A727" s="626"/>
      <c r="B727" s="626"/>
      <c r="C727" s="626"/>
      <c r="D727" s="615"/>
      <c r="E727" s="615"/>
      <c r="F727" s="378"/>
      <c r="K727" s="377"/>
      <c r="L727" s="377"/>
      <c r="M727" s="377"/>
      <c r="N727" s="378"/>
      <c r="O727" s="378"/>
      <c r="P727" s="378"/>
    </row>
    <row r="728" spans="1:16" ht="76.5" customHeight="1">
      <c r="A728" s="627"/>
      <c r="B728" s="627"/>
      <c r="C728" s="627"/>
      <c r="D728" s="627"/>
      <c r="E728" s="628"/>
      <c r="F728" s="628"/>
      <c r="K728" s="382"/>
      <c r="L728" s="382"/>
      <c r="M728" s="382"/>
      <c r="N728" s="382"/>
      <c r="O728" s="383"/>
      <c r="P728" s="383"/>
    </row>
    <row r="729" spans="1:16" ht="18.75">
      <c r="A729" s="617"/>
      <c r="B729" s="617"/>
      <c r="C729" s="617"/>
      <c r="D729" s="617"/>
      <c r="E729" s="617"/>
      <c r="F729" s="617"/>
      <c r="K729" s="380"/>
      <c r="L729" s="380"/>
      <c r="M729" s="380"/>
      <c r="N729" s="380"/>
      <c r="O729" s="380"/>
      <c r="P729" s="380"/>
    </row>
    <row r="730" spans="1:16" ht="18.75">
      <c r="A730" s="617"/>
      <c r="B730" s="617"/>
      <c r="C730" s="617"/>
      <c r="D730" s="617"/>
      <c r="E730" s="617"/>
      <c r="F730" s="617"/>
      <c r="K730" s="380"/>
      <c r="L730" s="380"/>
      <c r="M730" s="380"/>
      <c r="N730" s="380"/>
      <c r="O730" s="380"/>
      <c r="P730" s="380"/>
    </row>
    <row r="731" spans="1:16" ht="18.75" customHeight="1">
      <c r="A731" s="617"/>
      <c r="B731" s="617"/>
      <c r="C731" s="617"/>
      <c r="D731" s="617"/>
      <c r="E731" s="617"/>
      <c r="F731" s="617"/>
      <c r="K731" s="380"/>
      <c r="L731" s="380"/>
      <c r="M731" s="380"/>
      <c r="N731" s="380"/>
      <c r="O731" s="380"/>
      <c r="P731" s="380"/>
    </row>
    <row r="732" spans="1:16" ht="18.75" customHeight="1">
      <c r="A732" s="617"/>
      <c r="B732" s="617"/>
      <c r="C732" s="617"/>
      <c r="D732" s="617"/>
      <c r="E732" s="617"/>
      <c r="F732" s="617"/>
      <c r="K732" s="380"/>
      <c r="L732" s="380"/>
      <c r="M732" s="380"/>
      <c r="N732" s="380"/>
      <c r="O732" s="380"/>
      <c r="P732" s="380"/>
    </row>
    <row r="733" spans="1:16" ht="18.75" customHeight="1">
      <c r="A733" s="617"/>
      <c r="B733" s="617"/>
      <c r="C733" s="617"/>
      <c r="D733" s="617"/>
      <c r="E733" s="617"/>
      <c r="F733" s="617"/>
      <c r="K733" s="380"/>
      <c r="L733" s="380"/>
      <c r="M733" s="380"/>
      <c r="N733" s="380"/>
      <c r="O733" s="380"/>
      <c r="P733" s="380"/>
    </row>
    <row r="734" spans="1:16" ht="18.75" customHeight="1">
      <c r="A734" s="626"/>
      <c r="B734" s="626"/>
      <c r="C734" s="626"/>
      <c r="D734" s="615"/>
      <c r="E734" s="615"/>
      <c r="F734" s="381"/>
      <c r="K734" s="377"/>
      <c r="L734" s="377"/>
      <c r="M734" s="377"/>
      <c r="N734" s="378"/>
      <c r="O734" s="378"/>
      <c r="P734" s="381"/>
    </row>
    <row r="735" spans="1:16" ht="18.75" customHeight="1">
      <c r="A735" s="626"/>
      <c r="B735" s="626"/>
      <c r="C735" s="626"/>
      <c r="D735" s="615"/>
      <c r="E735" s="615"/>
      <c r="F735" s="381"/>
      <c r="K735" s="377"/>
      <c r="L735" s="377"/>
      <c r="M735" s="377"/>
      <c r="N735" s="378"/>
      <c r="O735" s="378"/>
      <c r="P735" s="381"/>
    </row>
    <row r="736" spans="1:16" ht="18.75" customHeight="1">
      <c r="A736" s="626"/>
      <c r="B736" s="626"/>
      <c r="C736" s="626"/>
      <c r="D736" s="615"/>
      <c r="E736" s="615"/>
      <c r="F736" s="378"/>
      <c r="K736" s="377"/>
      <c r="L736" s="377"/>
      <c r="M736" s="377"/>
      <c r="N736" s="378"/>
      <c r="O736" s="378"/>
      <c r="P736" s="378"/>
    </row>
    <row r="737" spans="1:16" ht="18.75" customHeight="1">
      <c r="A737" s="626"/>
      <c r="B737" s="626"/>
      <c r="C737" s="626"/>
      <c r="D737" s="615"/>
      <c r="E737" s="615"/>
      <c r="F737" s="378"/>
      <c r="K737" s="377"/>
      <c r="L737" s="377"/>
      <c r="M737" s="377"/>
      <c r="N737" s="378"/>
      <c r="O737" s="378"/>
      <c r="P737" s="378"/>
    </row>
    <row r="738" spans="1:16" ht="18.75" customHeight="1">
      <c r="A738" s="626"/>
      <c r="B738" s="626"/>
      <c r="C738" s="626"/>
      <c r="D738" s="615"/>
      <c r="E738" s="615"/>
      <c r="F738" s="378"/>
      <c r="K738" s="377"/>
      <c r="L738" s="377"/>
      <c r="M738" s="377"/>
      <c r="N738" s="378"/>
      <c r="O738" s="378"/>
      <c r="P738" s="378"/>
    </row>
    <row r="739" spans="1:16" ht="18.75" customHeight="1">
      <c r="A739" s="626"/>
      <c r="B739" s="626"/>
      <c r="C739" s="626"/>
      <c r="D739" s="615"/>
      <c r="E739" s="615"/>
      <c r="F739" s="378"/>
      <c r="K739" s="377"/>
      <c r="L739" s="377"/>
      <c r="M739" s="377"/>
      <c r="N739" s="378"/>
      <c r="O739" s="378"/>
      <c r="P739" s="378"/>
    </row>
    <row r="740" spans="1:16" ht="18.75" customHeight="1">
      <c r="A740" s="626"/>
      <c r="B740" s="626"/>
      <c r="C740" s="626"/>
      <c r="D740" s="615"/>
      <c r="E740" s="615"/>
      <c r="F740" s="378"/>
      <c r="K740" s="377"/>
      <c r="L740" s="377"/>
      <c r="M740" s="377"/>
      <c r="N740" s="378"/>
      <c r="O740" s="378"/>
      <c r="P740" s="378"/>
    </row>
    <row r="741" spans="1:16" ht="76.5" customHeight="1">
      <c r="A741" s="627"/>
      <c r="B741" s="627"/>
      <c r="C741" s="627"/>
      <c r="D741" s="627"/>
      <c r="E741" s="628"/>
      <c r="F741" s="628"/>
      <c r="K741" s="382"/>
      <c r="L741" s="382"/>
      <c r="M741" s="382"/>
      <c r="N741" s="382"/>
      <c r="O741" s="383"/>
      <c r="P741" s="383"/>
    </row>
    <row r="742" spans="1:16" ht="18.75">
      <c r="A742" s="617"/>
      <c r="B742" s="617"/>
      <c r="C742" s="617"/>
      <c r="D742" s="617"/>
      <c r="E742" s="617"/>
      <c r="F742" s="617"/>
      <c r="K742" s="380"/>
      <c r="L742" s="380"/>
      <c r="M742" s="380"/>
      <c r="N742" s="380"/>
      <c r="O742" s="380"/>
      <c r="P742" s="380"/>
    </row>
    <row r="743" spans="1:16" ht="18.75">
      <c r="A743" s="617"/>
      <c r="B743" s="617"/>
      <c r="C743" s="617"/>
      <c r="D743" s="617"/>
      <c r="E743" s="617"/>
      <c r="F743" s="617"/>
      <c r="K743" s="380"/>
      <c r="L743" s="380"/>
      <c r="M743" s="380"/>
      <c r="N743" s="380"/>
      <c r="O743" s="380"/>
      <c r="P743" s="380"/>
    </row>
    <row r="744" spans="1:16" ht="18.75" customHeight="1">
      <c r="A744" s="617"/>
      <c r="B744" s="617"/>
      <c r="C744" s="617"/>
      <c r="D744" s="617"/>
      <c r="E744" s="617"/>
      <c r="F744" s="617"/>
      <c r="K744" s="380"/>
      <c r="L744" s="380"/>
      <c r="M744" s="380"/>
      <c r="N744" s="380"/>
      <c r="O744" s="380"/>
      <c r="P744" s="380"/>
    </row>
    <row r="745" spans="1:16" ht="18.75" customHeight="1">
      <c r="A745" s="617"/>
      <c r="B745" s="617"/>
      <c r="C745" s="617"/>
      <c r="D745" s="617"/>
      <c r="E745" s="617"/>
      <c r="F745" s="617"/>
      <c r="K745" s="380"/>
      <c r="L745" s="380"/>
      <c r="M745" s="380"/>
      <c r="N745" s="380"/>
      <c r="O745" s="380"/>
      <c r="P745" s="380"/>
    </row>
    <row r="746" spans="1:16" ht="18.75" customHeight="1">
      <c r="A746" s="617"/>
      <c r="B746" s="617"/>
      <c r="C746" s="617"/>
      <c r="D746" s="617"/>
      <c r="E746" s="617"/>
      <c r="F746" s="617"/>
      <c r="K746" s="380"/>
      <c r="L746" s="380"/>
      <c r="M746" s="380"/>
      <c r="N746" s="380"/>
      <c r="O746" s="380"/>
      <c r="P746" s="380"/>
    </row>
    <row r="747" spans="1:16" ht="18.75" customHeight="1">
      <c r="A747" s="626"/>
      <c r="B747" s="626"/>
      <c r="C747" s="626"/>
      <c r="D747" s="615"/>
      <c r="E747" s="615"/>
      <c r="F747" s="381"/>
      <c r="K747" s="377"/>
      <c r="L747" s="377"/>
      <c r="M747" s="377"/>
      <c r="N747" s="378"/>
      <c r="O747" s="378"/>
      <c r="P747" s="381"/>
    </row>
    <row r="748" spans="1:16" ht="18.75" customHeight="1">
      <c r="A748" s="626"/>
      <c r="B748" s="626"/>
      <c r="C748" s="626"/>
      <c r="D748" s="615"/>
      <c r="E748" s="615"/>
      <c r="F748" s="381"/>
      <c r="K748" s="377"/>
      <c r="L748" s="377"/>
      <c r="M748" s="377"/>
      <c r="N748" s="378"/>
      <c r="O748" s="378"/>
      <c r="P748" s="381"/>
    </row>
    <row r="749" spans="1:16" ht="18.75" customHeight="1">
      <c r="A749" s="626"/>
      <c r="B749" s="626"/>
      <c r="C749" s="626"/>
      <c r="D749" s="615"/>
      <c r="E749" s="615"/>
      <c r="F749" s="378"/>
      <c r="K749" s="377"/>
      <c r="L749" s="377"/>
      <c r="M749" s="377"/>
      <c r="N749" s="378"/>
      <c r="O749" s="378"/>
      <c r="P749" s="378"/>
    </row>
    <row r="750" spans="1:16" ht="18.75" customHeight="1">
      <c r="A750" s="626"/>
      <c r="B750" s="626"/>
      <c r="C750" s="626"/>
      <c r="D750" s="615"/>
      <c r="E750" s="615"/>
      <c r="F750" s="378"/>
      <c r="K750" s="377"/>
      <c r="L750" s="377"/>
      <c r="M750" s="377"/>
      <c r="N750" s="378"/>
      <c r="O750" s="378"/>
      <c r="P750" s="378"/>
    </row>
    <row r="751" spans="1:16" ht="18.75" customHeight="1">
      <c r="A751" s="626"/>
      <c r="B751" s="626"/>
      <c r="C751" s="626"/>
      <c r="D751" s="615"/>
      <c r="E751" s="615"/>
      <c r="F751" s="378"/>
      <c r="K751" s="377"/>
      <c r="L751" s="377"/>
      <c r="M751" s="377"/>
      <c r="N751" s="378"/>
      <c r="O751" s="378"/>
      <c r="P751" s="378"/>
    </row>
    <row r="752" spans="1:16" ht="18.75" customHeight="1">
      <c r="A752" s="626"/>
      <c r="B752" s="626"/>
      <c r="C752" s="626"/>
      <c r="D752" s="615"/>
      <c r="E752" s="615"/>
      <c r="F752" s="378"/>
      <c r="K752" s="377"/>
      <c r="L752" s="377"/>
      <c r="M752" s="377"/>
      <c r="N752" s="378"/>
      <c r="O752" s="378"/>
      <c r="P752" s="378"/>
    </row>
    <row r="753" spans="1:16" ht="18.75" customHeight="1">
      <c r="A753" s="626"/>
      <c r="B753" s="626"/>
      <c r="C753" s="626"/>
      <c r="D753" s="615"/>
      <c r="E753" s="615"/>
      <c r="F753" s="378"/>
      <c r="K753" s="377"/>
      <c r="L753" s="377"/>
      <c r="M753" s="377"/>
      <c r="N753" s="378"/>
      <c r="O753" s="378"/>
      <c r="P753" s="378"/>
    </row>
    <row r="754" spans="1:16" ht="76.5" customHeight="1">
      <c r="A754" s="627"/>
      <c r="B754" s="627"/>
      <c r="C754" s="627"/>
      <c r="D754" s="627"/>
      <c r="E754" s="628"/>
      <c r="F754" s="628"/>
      <c r="K754" s="382"/>
      <c r="L754" s="382"/>
      <c r="M754" s="382"/>
      <c r="N754" s="382"/>
      <c r="O754" s="383"/>
      <c r="P754" s="383"/>
    </row>
    <row r="755" spans="1:16" ht="18.75">
      <c r="A755" s="617"/>
      <c r="B755" s="617"/>
      <c r="C755" s="617"/>
      <c r="D755" s="617"/>
      <c r="E755" s="617"/>
      <c r="F755" s="617"/>
      <c r="K755" s="380"/>
      <c r="L755" s="380"/>
      <c r="M755" s="380"/>
      <c r="N755" s="380"/>
      <c r="O755" s="380"/>
      <c r="P755" s="380"/>
    </row>
    <row r="756" spans="1:16" ht="18.75">
      <c r="A756" s="617"/>
      <c r="B756" s="617"/>
      <c r="C756" s="617"/>
      <c r="D756" s="617"/>
      <c r="E756" s="617"/>
      <c r="F756" s="617"/>
      <c r="K756" s="380"/>
      <c r="L756" s="380"/>
      <c r="M756" s="380"/>
      <c r="N756" s="380"/>
      <c r="O756" s="380"/>
      <c r="P756" s="380"/>
    </row>
    <row r="757" spans="1:16" ht="18.75" customHeight="1">
      <c r="A757" s="617"/>
      <c r="B757" s="617"/>
      <c r="C757" s="617"/>
      <c r="D757" s="617"/>
      <c r="E757" s="617"/>
      <c r="F757" s="617"/>
      <c r="K757" s="380"/>
      <c r="L757" s="380"/>
      <c r="M757" s="380"/>
      <c r="N757" s="380"/>
      <c r="O757" s="380"/>
      <c r="P757" s="380"/>
    </row>
    <row r="758" spans="1:16" ht="18.75" customHeight="1">
      <c r="A758" s="617"/>
      <c r="B758" s="617"/>
      <c r="C758" s="617"/>
      <c r="D758" s="617"/>
      <c r="E758" s="617"/>
      <c r="F758" s="617"/>
      <c r="K758" s="380"/>
      <c r="L758" s="380"/>
      <c r="M758" s="380"/>
      <c r="N758" s="380"/>
      <c r="O758" s="380"/>
      <c r="P758" s="380"/>
    </row>
    <row r="759" spans="1:16" ht="18.75" customHeight="1">
      <c r="A759" s="617"/>
      <c r="B759" s="617"/>
      <c r="C759" s="617"/>
      <c r="D759" s="617"/>
      <c r="E759" s="617"/>
      <c r="F759" s="617"/>
      <c r="K759" s="380"/>
      <c r="L759" s="380"/>
      <c r="M759" s="380"/>
      <c r="N759" s="380"/>
      <c r="O759" s="380"/>
      <c r="P759" s="380"/>
    </row>
    <row r="760" spans="1:16" ht="18.75" customHeight="1">
      <c r="A760" s="626"/>
      <c r="B760" s="626"/>
      <c r="C760" s="626"/>
      <c r="D760" s="615"/>
      <c r="E760" s="615"/>
      <c r="F760" s="381"/>
      <c r="K760" s="377"/>
      <c r="L760" s="377"/>
      <c r="M760" s="377"/>
      <c r="N760" s="378"/>
      <c r="O760" s="378"/>
      <c r="P760" s="381"/>
    </row>
    <row r="761" spans="1:16" ht="18.75" customHeight="1">
      <c r="A761" s="626"/>
      <c r="B761" s="626"/>
      <c r="C761" s="626"/>
      <c r="D761" s="615"/>
      <c r="E761" s="615"/>
      <c r="F761" s="381"/>
      <c r="K761" s="377"/>
      <c r="L761" s="377"/>
      <c r="M761" s="377"/>
      <c r="N761" s="378"/>
      <c r="O761" s="378"/>
      <c r="P761" s="381"/>
    </row>
    <row r="762" spans="1:16" ht="18.75" customHeight="1">
      <c r="A762" s="626"/>
      <c r="B762" s="626"/>
      <c r="C762" s="626"/>
      <c r="D762" s="615"/>
      <c r="E762" s="615"/>
      <c r="F762" s="378"/>
      <c r="K762" s="377"/>
      <c r="L762" s="377"/>
      <c r="M762" s="377"/>
      <c r="N762" s="378"/>
      <c r="O762" s="378"/>
      <c r="P762" s="378"/>
    </row>
    <row r="763" spans="1:16" ht="18.75" customHeight="1">
      <c r="A763" s="626"/>
      <c r="B763" s="626"/>
      <c r="C763" s="626"/>
      <c r="D763" s="615"/>
      <c r="E763" s="615"/>
      <c r="F763" s="378"/>
      <c r="K763" s="377"/>
      <c r="L763" s="377"/>
      <c r="M763" s="377"/>
      <c r="N763" s="378"/>
      <c r="O763" s="378"/>
      <c r="P763" s="378"/>
    </row>
    <row r="764" spans="1:16" ht="18.75" customHeight="1">
      <c r="A764" s="626"/>
      <c r="B764" s="626"/>
      <c r="C764" s="626"/>
      <c r="D764" s="615"/>
      <c r="E764" s="615"/>
      <c r="F764" s="378"/>
      <c r="K764" s="377"/>
      <c r="L764" s="377"/>
      <c r="M764" s="377"/>
      <c r="N764" s="378"/>
      <c r="O764" s="378"/>
      <c r="P764" s="378"/>
    </row>
    <row r="765" spans="1:16" ht="18.75" customHeight="1">
      <c r="A765" s="626"/>
      <c r="B765" s="626"/>
      <c r="C765" s="626"/>
      <c r="D765" s="615"/>
      <c r="E765" s="615"/>
      <c r="F765" s="378"/>
      <c r="K765" s="377"/>
      <c r="L765" s="377"/>
      <c r="M765" s="377"/>
      <c r="N765" s="378"/>
      <c r="O765" s="378"/>
      <c r="P765" s="378"/>
    </row>
    <row r="766" spans="1:16" ht="18.75" customHeight="1">
      <c r="A766" s="626"/>
      <c r="B766" s="626"/>
      <c r="C766" s="626"/>
      <c r="D766" s="615"/>
      <c r="E766" s="615"/>
      <c r="F766" s="378"/>
      <c r="K766" s="377"/>
      <c r="L766" s="377"/>
      <c r="M766" s="377"/>
      <c r="N766" s="378"/>
      <c r="O766" s="378"/>
      <c r="P766" s="378"/>
    </row>
    <row r="767" spans="1:16" ht="76.5" customHeight="1">
      <c r="A767" s="627"/>
      <c r="B767" s="627"/>
      <c r="C767" s="627"/>
      <c r="D767" s="627"/>
      <c r="E767" s="628"/>
      <c r="F767" s="628"/>
      <c r="K767" s="382"/>
      <c r="L767" s="382"/>
      <c r="M767" s="382"/>
      <c r="N767" s="382"/>
      <c r="O767" s="383"/>
      <c r="P767" s="383"/>
    </row>
    <row r="768" spans="1:16" ht="18.75">
      <c r="A768" s="617"/>
      <c r="B768" s="617"/>
      <c r="C768" s="617"/>
      <c r="D768" s="617"/>
      <c r="E768" s="617"/>
      <c r="F768" s="617"/>
      <c r="K768" s="380"/>
      <c r="L768" s="380"/>
      <c r="M768" s="380"/>
      <c r="N768" s="380"/>
      <c r="O768" s="380"/>
      <c r="P768" s="380"/>
    </row>
    <row r="769" spans="1:16" ht="18.75">
      <c r="A769" s="617"/>
      <c r="B769" s="617"/>
      <c r="C769" s="617"/>
      <c r="D769" s="617"/>
      <c r="E769" s="617"/>
      <c r="F769" s="617"/>
      <c r="K769" s="380"/>
      <c r="L769" s="380"/>
      <c r="M769" s="380"/>
      <c r="N769" s="380"/>
      <c r="O769" s="380"/>
      <c r="P769" s="380"/>
    </row>
    <row r="770" spans="1:16" ht="18.75" customHeight="1">
      <c r="A770" s="617"/>
      <c r="B770" s="617"/>
      <c r="C770" s="617"/>
      <c r="D770" s="617"/>
      <c r="E770" s="617"/>
      <c r="F770" s="617"/>
      <c r="K770" s="380"/>
      <c r="L770" s="380"/>
      <c r="M770" s="380"/>
      <c r="N770" s="380"/>
      <c r="O770" s="380"/>
      <c r="P770" s="380"/>
    </row>
    <row r="771" spans="1:16" ht="18.75" customHeight="1">
      <c r="A771" s="617"/>
      <c r="B771" s="617"/>
      <c r="C771" s="617"/>
      <c r="D771" s="617"/>
      <c r="E771" s="617"/>
      <c r="F771" s="617"/>
      <c r="K771" s="380"/>
      <c r="L771" s="380"/>
      <c r="M771" s="380"/>
      <c r="N771" s="380"/>
      <c r="O771" s="380"/>
      <c r="P771" s="380"/>
    </row>
    <row r="772" spans="1:16" ht="18.75" customHeight="1">
      <c r="A772" s="617"/>
      <c r="B772" s="617"/>
      <c r="C772" s="617"/>
      <c r="D772" s="617"/>
      <c r="E772" s="617"/>
      <c r="F772" s="617"/>
      <c r="K772" s="380"/>
      <c r="L772" s="380"/>
      <c r="M772" s="380"/>
      <c r="N772" s="380"/>
      <c r="O772" s="380"/>
      <c r="P772" s="380"/>
    </row>
    <row r="773" spans="1:16" ht="18.75" customHeight="1">
      <c r="A773" s="626"/>
      <c r="B773" s="626"/>
      <c r="C773" s="626"/>
      <c r="D773" s="615"/>
      <c r="E773" s="615"/>
      <c r="F773" s="381"/>
      <c r="K773" s="377"/>
      <c r="L773" s="377"/>
      <c r="M773" s="377"/>
      <c r="N773" s="378"/>
      <c r="O773" s="378"/>
      <c r="P773" s="381"/>
    </row>
    <row r="774" spans="1:16" ht="18.75" customHeight="1">
      <c r="A774" s="626"/>
      <c r="B774" s="626"/>
      <c r="C774" s="626"/>
      <c r="D774" s="615"/>
      <c r="E774" s="615"/>
      <c r="F774" s="381"/>
      <c r="K774" s="377"/>
      <c r="L774" s="377"/>
      <c r="M774" s="377"/>
      <c r="N774" s="378"/>
      <c r="O774" s="378"/>
      <c r="P774" s="381"/>
    </row>
    <row r="775" spans="1:16" ht="18.75" customHeight="1">
      <c r="A775" s="626"/>
      <c r="B775" s="626"/>
      <c r="C775" s="626"/>
      <c r="D775" s="615"/>
      <c r="E775" s="615"/>
      <c r="F775" s="378"/>
      <c r="K775" s="377"/>
      <c r="L775" s="377"/>
      <c r="M775" s="377"/>
      <c r="N775" s="378"/>
      <c r="O775" s="378"/>
      <c r="P775" s="378"/>
    </row>
    <row r="776" spans="1:16" ht="18.75" customHeight="1">
      <c r="A776" s="626"/>
      <c r="B776" s="626"/>
      <c r="C776" s="626"/>
      <c r="D776" s="615"/>
      <c r="E776" s="615"/>
      <c r="F776" s="378"/>
      <c r="K776" s="377"/>
      <c r="L776" s="377"/>
      <c r="M776" s="377"/>
      <c r="N776" s="378"/>
      <c r="O776" s="378"/>
      <c r="P776" s="378"/>
    </row>
    <row r="777" spans="1:16" ht="18.75" customHeight="1">
      <c r="A777" s="626"/>
      <c r="B777" s="626"/>
      <c r="C777" s="626"/>
      <c r="D777" s="615"/>
      <c r="E777" s="615"/>
      <c r="F777" s="378"/>
      <c r="K777" s="377"/>
      <c r="L777" s="377"/>
      <c r="M777" s="377"/>
      <c r="N777" s="378"/>
      <c r="O777" s="378"/>
      <c r="P777" s="378"/>
    </row>
    <row r="778" spans="1:16" ht="18.75" customHeight="1">
      <c r="A778" s="626"/>
      <c r="B778" s="626"/>
      <c r="C778" s="626"/>
      <c r="D778" s="615"/>
      <c r="E778" s="615"/>
      <c r="F778" s="378"/>
      <c r="K778" s="377"/>
      <c r="L778" s="377"/>
      <c r="M778" s="377"/>
      <c r="N778" s="378"/>
      <c r="O778" s="378"/>
      <c r="P778" s="378"/>
    </row>
    <row r="779" spans="1:16" ht="18.75" customHeight="1">
      <c r="A779" s="626"/>
      <c r="B779" s="626"/>
      <c r="C779" s="626"/>
      <c r="D779" s="615"/>
      <c r="E779" s="615"/>
      <c r="F779" s="378"/>
      <c r="K779" s="377"/>
      <c r="L779" s="377"/>
      <c r="M779" s="377"/>
      <c r="N779" s="378"/>
      <c r="O779" s="378"/>
      <c r="P779" s="378"/>
    </row>
    <row r="780" spans="1:16" ht="76.5" customHeight="1">
      <c r="A780" s="627"/>
      <c r="B780" s="627"/>
      <c r="C780" s="627"/>
      <c r="D780" s="627"/>
      <c r="E780" s="628"/>
      <c r="F780" s="628"/>
      <c r="K780" s="382"/>
      <c r="L780" s="382"/>
      <c r="M780" s="382"/>
      <c r="N780" s="382"/>
      <c r="O780" s="383"/>
      <c r="P780" s="383"/>
    </row>
    <row r="781" spans="1:16" ht="76.5" customHeight="1"/>
    <row r="782" spans="1:16" ht="38.25" customHeight="1"/>
    <row r="783" spans="1:16" ht="18.75" customHeight="1"/>
    <row r="784" spans="1:16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76.5" customHeight="1"/>
    <row r="794" ht="38.2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76.5" customHeight="1"/>
    <row r="806" ht="38.2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76.5" customHeight="1"/>
    <row r="818" ht="38.2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76.5" customHeight="1"/>
    <row r="830" ht="38.2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76.5" customHeight="1"/>
    <row r="842" ht="38.2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76.5" customHeight="1"/>
    <row r="854" ht="38.2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76.5" customHeight="1"/>
    <row r="866" ht="38.2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76.5" customHeight="1"/>
    <row r="878" ht="38.2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76.5" customHeight="1"/>
  </sheetData>
  <mergeCells count="900">
    <mergeCell ref="D778:E778"/>
    <mergeCell ref="D779:E779"/>
    <mergeCell ref="A780:D780"/>
    <mergeCell ref="E780:F780"/>
    <mergeCell ref="A771:F771"/>
    <mergeCell ref="A772:F772"/>
    <mergeCell ref="A773:C779"/>
    <mergeCell ref="D773:E773"/>
    <mergeCell ref="D774:E774"/>
    <mergeCell ref="D775:E775"/>
    <mergeCell ref="D776:E776"/>
    <mergeCell ref="D777:E777"/>
    <mergeCell ref="A768:F768"/>
    <mergeCell ref="A769:F769"/>
    <mergeCell ref="A770:F770"/>
    <mergeCell ref="D765:E765"/>
    <mergeCell ref="D766:E766"/>
    <mergeCell ref="A767:D767"/>
    <mergeCell ref="E767:F767"/>
    <mergeCell ref="A758:F758"/>
    <mergeCell ref="A759:F759"/>
    <mergeCell ref="A760:C766"/>
    <mergeCell ref="D760:E760"/>
    <mergeCell ref="D761:E761"/>
    <mergeCell ref="D762:E762"/>
    <mergeCell ref="D763:E763"/>
    <mergeCell ref="D764:E764"/>
    <mergeCell ref="A755:F755"/>
    <mergeCell ref="A756:F756"/>
    <mergeCell ref="A757:F757"/>
    <mergeCell ref="D752:E752"/>
    <mergeCell ref="D753:E753"/>
    <mergeCell ref="A754:D754"/>
    <mergeCell ref="E754:F754"/>
    <mergeCell ref="A745:F745"/>
    <mergeCell ref="A746:F746"/>
    <mergeCell ref="A747:C753"/>
    <mergeCell ref="D747:E747"/>
    <mergeCell ref="D748:E748"/>
    <mergeCell ref="D749:E749"/>
    <mergeCell ref="D750:E750"/>
    <mergeCell ref="D751:E751"/>
    <mergeCell ref="A742:F742"/>
    <mergeCell ref="A743:F743"/>
    <mergeCell ref="A744:F744"/>
    <mergeCell ref="D739:E739"/>
    <mergeCell ref="D740:E740"/>
    <mergeCell ref="A741:D741"/>
    <mergeCell ref="E741:F741"/>
    <mergeCell ref="A732:F732"/>
    <mergeCell ref="A733:F733"/>
    <mergeCell ref="A734:C740"/>
    <mergeCell ref="D734:E734"/>
    <mergeCell ref="D735:E735"/>
    <mergeCell ref="D736:E736"/>
    <mergeCell ref="D737:E737"/>
    <mergeCell ref="D738:E738"/>
    <mergeCell ref="A729:F729"/>
    <mergeCell ref="A730:F730"/>
    <mergeCell ref="A731:F731"/>
    <mergeCell ref="D726:E726"/>
    <mergeCell ref="D727:E727"/>
    <mergeCell ref="A728:D728"/>
    <mergeCell ref="E728:F728"/>
    <mergeCell ref="A719:F719"/>
    <mergeCell ref="A720:F720"/>
    <mergeCell ref="A721:C727"/>
    <mergeCell ref="D721:E721"/>
    <mergeCell ref="D722:E722"/>
    <mergeCell ref="D723:E723"/>
    <mergeCell ref="D724:E724"/>
    <mergeCell ref="D725:E725"/>
    <mergeCell ref="A716:F716"/>
    <mergeCell ref="A717:F717"/>
    <mergeCell ref="A718:F718"/>
    <mergeCell ref="D713:E713"/>
    <mergeCell ref="D714:E714"/>
    <mergeCell ref="A715:D715"/>
    <mergeCell ref="E715:F715"/>
    <mergeCell ref="A706:F706"/>
    <mergeCell ref="A707:F707"/>
    <mergeCell ref="A708:C714"/>
    <mergeCell ref="D708:E708"/>
    <mergeCell ref="D709:E709"/>
    <mergeCell ref="D710:E710"/>
    <mergeCell ref="D711:E711"/>
    <mergeCell ref="D712:E712"/>
    <mergeCell ref="A703:F703"/>
    <mergeCell ref="A704:F704"/>
    <mergeCell ref="A705:F705"/>
    <mergeCell ref="D700:E700"/>
    <mergeCell ref="D701:E701"/>
    <mergeCell ref="A702:D702"/>
    <mergeCell ref="E702:F702"/>
    <mergeCell ref="A693:F693"/>
    <mergeCell ref="A694:F694"/>
    <mergeCell ref="A695:C701"/>
    <mergeCell ref="D695:E695"/>
    <mergeCell ref="D696:E696"/>
    <mergeCell ref="D697:E697"/>
    <mergeCell ref="D698:E698"/>
    <mergeCell ref="D699:E699"/>
    <mergeCell ref="A690:F690"/>
    <mergeCell ref="A691:F691"/>
    <mergeCell ref="A692:F692"/>
    <mergeCell ref="D687:E687"/>
    <mergeCell ref="D688:E688"/>
    <mergeCell ref="A689:D689"/>
    <mergeCell ref="E689:F689"/>
    <mergeCell ref="A680:F680"/>
    <mergeCell ref="A681:F681"/>
    <mergeCell ref="A682:C688"/>
    <mergeCell ref="D682:E682"/>
    <mergeCell ref="D683:E683"/>
    <mergeCell ref="D684:E684"/>
    <mergeCell ref="D685:E685"/>
    <mergeCell ref="D686:E686"/>
    <mergeCell ref="A677:F677"/>
    <mergeCell ref="A678:F678"/>
    <mergeCell ref="A679:F679"/>
    <mergeCell ref="D674:E674"/>
    <mergeCell ref="D675:E675"/>
    <mergeCell ref="A676:D676"/>
    <mergeCell ref="E676:F676"/>
    <mergeCell ref="A667:F667"/>
    <mergeCell ref="A668:F668"/>
    <mergeCell ref="A669:C675"/>
    <mergeCell ref="D669:E669"/>
    <mergeCell ref="D670:E670"/>
    <mergeCell ref="D671:E671"/>
    <mergeCell ref="D672:E672"/>
    <mergeCell ref="D673:E673"/>
    <mergeCell ref="A664:F664"/>
    <mergeCell ref="A665:F665"/>
    <mergeCell ref="A666:F666"/>
    <mergeCell ref="D661:E661"/>
    <mergeCell ref="D662:E662"/>
    <mergeCell ref="A663:D663"/>
    <mergeCell ref="E663:F663"/>
    <mergeCell ref="A654:F654"/>
    <mergeCell ref="A655:F655"/>
    <mergeCell ref="A656:C662"/>
    <mergeCell ref="D656:E656"/>
    <mergeCell ref="D657:E657"/>
    <mergeCell ref="D658:E658"/>
    <mergeCell ref="D659:E659"/>
    <mergeCell ref="D660:E660"/>
    <mergeCell ref="A651:F651"/>
    <mergeCell ref="A652:F652"/>
    <mergeCell ref="A653:F653"/>
    <mergeCell ref="D648:E648"/>
    <mergeCell ref="D649:E649"/>
    <mergeCell ref="A650:D650"/>
    <mergeCell ref="E650:F650"/>
    <mergeCell ref="A641:F641"/>
    <mergeCell ref="A642:F642"/>
    <mergeCell ref="A643:C649"/>
    <mergeCell ref="D643:E643"/>
    <mergeCell ref="D644:E644"/>
    <mergeCell ref="D645:E645"/>
    <mergeCell ref="D646:E646"/>
    <mergeCell ref="D647:E647"/>
    <mergeCell ref="A638:F638"/>
    <mergeCell ref="A639:F639"/>
    <mergeCell ref="A640:F640"/>
    <mergeCell ref="D635:E635"/>
    <mergeCell ref="D636:E636"/>
    <mergeCell ref="A637:D637"/>
    <mergeCell ref="E637:F637"/>
    <mergeCell ref="A628:F628"/>
    <mergeCell ref="A629:F629"/>
    <mergeCell ref="A630:C636"/>
    <mergeCell ref="D630:E630"/>
    <mergeCell ref="D631:E631"/>
    <mergeCell ref="D632:E632"/>
    <mergeCell ref="D633:E633"/>
    <mergeCell ref="D634:E634"/>
    <mergeCell ref="A625:F625"/>
    <mergeCell ref="A626:F626"/>
    <mergeCell ref="A627:F627"/>
    <mergeCell ref="D622:E622"/>
    <mergeCell ref="D623:E623"/>
    <mergeCell ref="A624:D624"/>
    <mergeCell ref="E624:F624"/>
    <mergeCell ref="A615:F615"/>
    <mergeCell ref="A616:F616"/>
    <mergeCell ref="A617:C623"/>
    <mergeCell ref="D617:E617"/>
    <mergeCell ref="D618:E618"/>
    <mergeCell ref="D619:E619"/>
    <mergeCell ref="D620:E620"/>
    <mergeCell ref="D621:E621"/>
    <mergeCell ref="A612:F612"/>
    <mergeCell ref="A613:F613"/>
    <mergeCell ref="A614:F614"/>
    <mergeCell ref="D609:E609"/>
    <mergeCell ref="D610:E610"/>
    <mergeCell ref="A611:D611"/>
    <mergeCell ref="E611:F611"/>
    <mergeCell ref="A602:F602"/>
    <mergeCell ref="A603:F603"/>
    <mergeCell ref="A604:C610"/>
    <mergeCell ref="D604:E604"/>
    <mergeCell ref="D605:E605"/>
    <mergeCell ref="D606:E606"/>
    <mergeCell ref="D607:E607"/>
    <mergeCell ref="D608:E608"/>
    <mergeCell ref="A599:F599"/>
    <mergeCell ref="A600:F600"/>
    <mergeCell ref="A601:F601"/>
    <mergeCell ref="D596:E596"/>
    <mergeCell ref="D597:E597"/>
    <mergeCell ref="A598:D598"/>
    <mergeCell ref="E598:F598"/>
    <mergeCell ref="A589:F589"/>
    <mergeCell ref="A590:F590"/>
    <mergeCell ref="A591:C597"/>
    <mergeCell ref="D591:E591"/>
    <mergeCell ref="D592:E592"/>
    <mergeCell ref="D593:E593"/>
    <mergeCell ref="D594:E594"/>
    <mergeCell ref="D595:E595"/>
    <mergeCell ref="A586:F586"/>
    <mergeCell ref="A587:F587"/>
    <mergeCell ref="A588:F588"/>
    <mergeCell ref="D583:E583"/>
    <mergeCell ref="D584:E584"/>
    <mergeCell ref="A585:D585"/>
    <mergeCell ref="E585:F585"/>
    <mergeCell ref="A576:F576"/>
    <mergeCell ref="A577:F577"/>
    <mergeCell ref="A578:C584"/>
    <mergeCell ref="D578:E578"/>
    <mergeCell ref="D579:E579"/>
    <mergeCell ref="D580:E580"/>
    <mergeCell ref="D581:E581"/>
    <mergeCell ref="D582:E582"/>
    <mergeCell ref="A573:F573"/>
    <mergeCell ref="A574:F574"/>
    <mergeCell ref="A575:F575"/>
    <mergeCell ref="D570:E570"/>
    <mergeCell ref="D571:E571"/>
    <mergeCell ref="A572:D572"/>
    <mergeCell ref="E572:F572"/>
    <mergeCell ref="A563:F563"/>
    <mergeCell ref="A564:F564"/>
    <mergeCell ref="A565:C571"/>
    <mergeCell ref="D565:E565"/>
    <mergeCell ref="D566:E566"/>
    <mergeCell ref="D567:E567"/>
    <mergeCell ref="D568:E568"/>
    <mergeCell ref="D569:E569"/>
    <mergeCell ref="A560:F560"/>
    <mergeCell ref="A561:F561"/>
    <mergeCell ref="A562:F562"/>
    <mergeCell ref="D557:E557"/>
    <mergeCell ref="D558:E558"/>
    <mergeCell ref="A559:D559"/>
    <mergeCell ref="E559:F559"/>
    <mergeCell ref="A550:F550"/>
    <mergeCell ref="A551:F551"/>
    <mergeCell ref="A552:C558"/>
    <mergeCell ref="D552:E552"/>
    <mergeCell ref="D553:E553"/>
    <mergeCell ref="D554:E554"/>
    <mergeCell ref="D555:E555"/>
    <mergeCell ref="D556:E556"/>
    <mergeCell ref="A547:F547"/>
    <mergeCell ref="A548:F548"/>
    <mergeCell ref="A549:F549"/>
    <mergeCell ref="D544:E544"/>
    <mergeCell ref="D545:E545"/>
    <mergeCell ref="A546:D546"/>
    <mergeCell ref="E546:F546"/>
    <mergeCell ref="A537:F537"/>
    <mergeCell ref="A538:F538"/>
    <mergeCell ref="A539:C545"/>
    <mergeCell ref="D539:E539"/>
    <mergeCell ref="D540:E540"/>
    <mergeCell ref="D541:E541"/>
    <mergeCell ref="D542:E542"/>
    <mergeCell ref="D543:E543"/>
    <mergeCell ref="A534:F534"/>
    <mergeCell ref="A535:F535"/>
    <mergeCell ref="A536:F536"/>
    <mergeCell ref="D531:E531"/>
    <mergeCell ref="D532:E532"/>
    <mergeCell ref="A533:D533"/>
    <mergeCell ref="E533:F533"/>
    <mergeCell ref="A524:F524"/>
    <mergeCell ref="A525:F525"/>
    <mergeCell ref="A526:C532"/>
    <mergeCell ref="D526:E526"/>
    <mergeCell ref="D527:E527"/>
    <mergeCell ref="D528:E528"/>
    <mergeCell ref="D529:E529"/>
    <mergeCell ref="D530:E530"/>
    <mergeCell ref="A521:F521"/>
    <mergeCell ref="A522:F522"/>
    <mergeCell ref="A523:F523"/>
    <mergeCell ref="D518:E518"/>
    <mergeCell ref="D519:E519"/>
    <mergeCell ref="A520:D520"/>
    <mergeCell ref="E520:F520"/>
    <mergeCell ref="A511:F511"/>
    <mergeCell ref="A512:F512"/>
    <mergeCell ref="A513:C519"/>
    <mergeCell ref="D513:E513"/>
    <mergeCell ref="D514:E514"/>
    <mergeCell ref="D515:E515"/>
    <mergeCell ref="D516:E516"/>
    <mergeCell ref="D517:E517"/>
    <mergeCell ref="A508:F508"/>
    <mergeCell ref="A509:F509"/>
    <mergeCell ref="A510:F510"/>
    <mergeCell ref="D505:E505"/>
    <mergeCell ref="D506:E506"/>
    <mergeCell ref="A507:D507"/>
    <mergeCell ref="E507:F507"/>
    <mergeCell ref="A498:F498"/>
    <mergeCell ref="A499:F499"/>
    <mergeCell ref="A500:C506"/>
    <mergeCell ref="D500:E500"/>
    <mergeCell ref="D501:E501"/>
    <mergeCell ref="D502:E502"/>
    <mergeCell ref="D503:E503"/>
    <mergeCell ref="D504:E504"/>
    <mergeCell ref="A495:F495"/>
    <mergeCell ref="A496:F496"/>
    <mergeCell ref="A497:F497"/>
    <mergeCell ref="D492:E492"/>
    <mergeCell ref="D493:E493"/>
    <mergeCell ref="A494:D494"/>
    <mergeCell ref="E494:F494"/>
    <mergeCell ref="A485:F485"/>
    <mergeCell ref="A486:F486"/>
    <mergeCell ref="A487:C493"/>
    <mergeCell ref="D487:E487"/>
    <mergeCell ref="D488:E488"/>
    <mergeCell ref="D489:E489"/>
    <mergeCell ref="D490:E490"/>
    <mergeCell ref="D491:E491"/>
    <mergeCell ref="A482:F482"/>
    <mergeCell ref="A483:F483"/>
    <mergeCell ref="A484:F484"/>
    <mergeCell ref="D479:E479"/>
    <mergeCell ref="D480:E480"/>
    <mergeCell ref="A481:D481"/>
    <mergeCell ref="E481:F481"/>
    <mergeCell ref="A472:F472"/>
    <mergeCell ref="A473:F473"/>
    <mergeCell ref="A474:C480"/>
    <mergeCell ref="D474:E474"/>
    <mergeCell ref="D475:E475"/>
    <mergeCell ref="D476:E476"/>
    <mergeCell ref="D477:E477"/>
    <mergeCell ref="D478:E478"/>
    <mergeCell ref="A469:F469"/>
    <mergeCell ref="A470:F470"/>
    <mergeCell ref="A471:F471"/>
    <mergeCell ref="D466:E466"/>
    <mergeCell ref="D467:E467"/>
    <mergeCell ref="A468:D468"/>
    <mergeCell ref="E468:F468"/>
    <mergeCell ref="A459:F459"/>
    <mergeCell ref="A460:F460"/>
    <mergeCell ref="A461:C467"/>
    <mergeCell ref="D461:E461"/>
    <mergeCell ref="D462:E462"/>
    <mergeCell ref="D463:E463"/>
    <mergeCell ref="D464:E464"/>
    <mergeCell ref="D465:E465"/>
    <mergeCell ref="A456:F456"/>
    <mergeCell ref="A457:F457"/>
    <mergeCell ref="A458:F458"/>
    <mergeCell ref="D453:E453"/>
    <mergeCell ref="D454:E454"/>
    <mergeCell ref="A455:D455"/>
    <mergeCell ref="E455:F455"/>
    <mergeCell ref="A446:F446"/>
    <mergeCell ref="A447:F447"/>
    <mergeCell ref="A448:C454"/>
    <mergeCell ref="D448:E448"/>
    <mergeCell ref="D449:E449"/>
    <mergeCell ref="D450:E450"/>
    <mergeCell ref="D451:E451"/>
    <mergeCell ref="D452:E452"/>
    <mergeCell ref="A443:F443"/>
    <mergeCell ref="A444:F444"/>
    <mergeCell ref="A445:F445"/>
    <mergeCell ref="D440:E440"/>
    <mergeCell ref="D441:E441"/>
    <mergeCell ref="A442:D442"/>
    <mergeCell ref="E442:F442"/>
    <mergeCell ref="A433:F433"/>
    <mergeCell ref="A434:F434"/>
    <mergeCell ref="A435:C441"/>
    <mergeCell ref="D435:E435"/>
    <mergeCell ref="D436:E436"/>
    <mergeCell ref="D437:E437"/>
    <mergeCell ref="D438:E438"/>
    <mergeCell ref="D439:E439"/>
    <mergeCell ref="A430:F430"/>
    <mergeCell ref="A431:F431"/>
    <mergeCell ref="A432:F432"/>
    <mergeCell ref="D427:E427"/>
    <mergeCell ref="D428:E428"/>
    <mergeCell ref="A429:D429"/>
    <mergeCell ref="E429:F429"/>
    <mergeCell ref="A420:F420"/>
    <mergeCell ref="A421:F421"/>
    <mergeCell ref="A422:C428"/>
    <mergeCell ref="D422:E422"/>
    <mergeCell ref="D423:E423"/>
    <mergeCell ref="D424:E424"/>
    <mergeCell ref="D425:E425"/>
    <mergeCell ref="D426:E426"/>
    <mergeCell ref="A417:F417"/>
    <mergeCell ref="A418:F418"/>
    <mergeCell ref="A419:F419"/>
    <mergeCell ref="D414:E414"/>
    <mergeCell ref="D415:E415"/>
    <mergeCell ref="A416:D416"/>
    <mergeCell ref="E416:F416"/>
    <mergeCell ref="A407:F407"/>
    <mergeCell ref="A408:F408"/>
    <mergeCell ref="A409:C415"/>
    <mergeCell ref="D409:E409"/>
    <mergeCell ref="D410:E410"/>
    <mergeCell ref="D411:E411"/>
    <mergeCell ref="D412:E412"/>
    <mergeCell ref="D413:E413"/>
    <mergeCell ref="A404:F404"/>
    <mergeCell ref="A405:F405"/>
    <mergeCell ref="A406:F406"/>
    <mergeCell ref="D401:E401"/>
    <mergeCell ref="D402:E402"/>
    <mergeCell ref="A403:D403"/>
    <mergeCell ref="E403:F403"/>
    <mergeCell ref="A394:F394"/>
    <mergeCell ref="A395:F395"/>
    <mergeCell ref="A396:C402"/>
    <mergeCell ref="D396:E396"/>
    <mergeCell ref="D397:E397"/>
    <mergeCell ref="D398:E398"/>
    <mergeCell ref="D399:E399"/>
    <mergeCell ref="D400:E400"/>
    <mergeCell ref="A391:F391"/>
    <mergeCell ref="A392:F392"/>
    <mergeCell ref="A393:F393"/>
    <mergeCell ref="D388:E388"/>
    <mergeCell ref="D389:E389"/>
    <mergeCell ref="A390:D390"/>
    <mergeCell ref="E390:F390"/>
    <mergeCell ref="A381:F381"/>
    <mergeCell ref="A382:F382"/>
    <mergeCell ref="A383:C389"/>
    <mergeCell ref="D383:E383"/>
    <mergeCell ref="D384:E384"/>
    <mergeCell ref="D385:E385"/>
    <mergeCell ref="D386:E386"/>
    <mergeCell ref="D387:E387"/>
    <mergeCell ref="A378:F378"/>
    <mergeCell ref="A379:F379"/>
    <mergeCell ref="A380:F380"/>
    <mergeCell ref="D375:E375"/>
    <mergeCell ref="D376:E376"/>
    <mergeCell ref="A377:D377"/>
    <mergeCell ref="E377:F377"/>
    <mergeCell ref="A368:F368"/>
    <mergeCell ref="A369:F369"/>
    <mergeCell ref="A370:C376"/>
    <mergeCell ref="D370:E370"/>
    <mergeCell ref="D371:E371"/>
    <mergeCell ref="D372:E372"/>
    <mergeCell ref="D373:E373"/>
    <mergeCell ref="D374:E374"/>
    <mergeCell ref="A365:F365"/>
    <mergeCell ref="A366:F366"/>
    <mergeCell ref="A367:F367"/>
    <mergeCell ref="D362:E362"/>
    <mergeCell ref="D363:E363"/>
    <mergeCell ref="A364:D364"/>
    <mergeCell ref="E364:F364"/>
    <mergeCell ref="A355:F355"/>
    <mergeCell ref="A356:F356"/>
    <mergeCell ref="A357:C363"/>
    <mergeCell ref="D357:E357"/>
    <mergeCell ref="D358:E358"/>
    <mergeCell ref="D359:E359"/>
    <mergeCell ref="D360:E360"/>
    <mergeCell ref="D361:E361"/>
    <mergeCell ref="A352:F352"/>
    <mergeCell ref="A353:F353"/>
    <mergeCell ref="A354:F354"/>
    <mergeCell ref="D349:E349"/>
    <mergeCell ref="D350:E350"/>
    <mergeCell ref="A351:D351"/>
    <mergeCell ref="E351:F351"/>
    <mergeCell ref="A342:F342"/>
    <mergeCell ref="A343:F343"/>
    <mergeCell ref="A344:C350"/>
    <mergeCell ref="D344:E344"/>
    <mergeCell ref="D345:E345"/>
    <mergeCell ref="D346:E346"/>
    <mergeCell ref="D347:E347"/>
    <mergeCell ref="D348:E348"/>
    <mergeCell ref="A339:F339"/>
    <mergeCell ref="A340:F340"/>
    <mergeCell ref="A341:F341"/>
    <mergeCell ref="D336:E336"/>
    <mergeCell ref="D337:E337"/>
    <mergeCell ref="A338:D338"/>
    <mergeCell ref="E338:F338"/>
    <mergeCell ref="A329:F329"/>
    <mergeCell ref="A330:F330"/>
    <mergeCell ref="A331:C337"/>
    <mergeCell ref="D331:E331"/>
    <mergeCell ref="D332:E332"/>
    <mergeCell ref="D333:E333"/>
    <mergeCell ref="D334:E334"/>
    <mergeCell ref="D335:E335"/>
    <mergeCell ref="A326:F326"/>
    <mergeCell ref="A327:F327"/>
    <mergeCell ref="A328:F328"/>
    <mergeCell ref="D323:E323"/>
    <mergeCell ref="D324:E324"/>
    <mergeCell ref="A325:D325"/>
    <mergeCell ref="E325:F325"/>
    <mergeCell ref="A316:F316"/>
    <mergeCell ref="A317:F317"/>
    <mergeCell ref="A318:C324"/>
    <mergeCell ref="D318:E318"/>
    <mergeCell ref="D319:E319"/>
    <mergeCell ref="D320:E320"/>
    <mergeCell ref="D321:E321"/>
    <mergeCell ref="D322:E322"/>
    <mergeCell ref="A313:F313"/>
    <mergeCell ref="A314:F314"/>
    <mergeCell ref="A315:F315"/>
    <mergeCell ref="D310:E310"/>
    <mergeCell ref="D311:E311"/>
    <mergeCell ref="A312:D312"/>
    <mergeCell ref="E312:F312"/>
    <mergeCell ref="A303:F303"/>
    <mergeCell ref="A304:F304"/>
    <mergeCell ref="A305:C311"/>
    <mergeCell ref="D305:E305"/>
    <mergeCell ref="D306:E306"/>
    <mergeCell ref="D307:E307"/>
    <mergeCell ref="D308:E308"/>
    <mergeCell ref="D309:E309"/>
    <mergeCell ref="A300:F300"/>
    <mergeCell ref="A301:F301"/>
    <mergeCell ref="A302:F302"/>
    <mergeCell ref="D297:E297"/>
    <mergeCell ref="D298:E298"/>
    <mergeCell ref="A299:D299"/>
    <mergeCell ref="E299:F299"/>
    <mergeCell ref="A290:F290"/>
    <mergeCell ref="A291:F291"/>
    <mergeCell ref="A292:C298"/>
    <mergeCell ref="D292:E292"/>
    <mergeCell ref="D293:E293"/>
    <mergeCell ref="D294:E294"/>
    <mergeCell ref="D295:E295"/>
    <mergeCell ref="D296:E296"/>
    <mergeCell ref="A287:F287"/>
    <mergeCell ref="A288:F288"/>
    <mergeCell ref="A289:F289"/>
    <mergeCell ref="D284:E284"/>
    <mergeCell ref="D285:E285"/>
    <mergeCell ref="A286:D286"/>
    <mergeCell ref="E286:F286"/>
    <mergeCell ref="A277:F277"/>
    <mergeCell ref="A278:F278"/>
    <mergeCell ref="A279:C285"/>
    <mergeCell ref="D279:E279"/>
    <mergeCell ref="D280:E280"/>
    <mergeCell ref="D281:E281"/>
    <mergeCell ref="D282:E282"/>
    <mergeCell ref="D283:E283"/>
    <mergeCell ref="A274:F274"/>
    <mergeCell ref="A275:F275"/>
    <mergeCell ref="A276:F276"/>
    <mergeCell ref="D271:E271"/>
    <mergeCell ref="D272:E272"/>
    <mergeCell ref="A273:D273"/>
    <mergeCell ref="E273:F273"/>
    <mergeCell ref="A264:F264"/>
    <mergeCell ref="A265:F265"/>
    <mergeCell ref="A266:C272"/>
    <mergeCell ref="D266:E266"/>
    <mergeCell ref="D267:E267"/>
    <mergeCell ref="D268:E268"/>
    <mergeCell ref="D269:E269"/>
    <mergeCell ref="D270:E270"/>
    <mergeCell ref="A261:F261"/>
    <mergeCell ref="A262:F262"/>
    <mergeCell ref="A263:F263"/>
    <mergeCell ref="D258:E258"/>
    <mergeCell ref="D259:E259"/>
    <mergeCell ref="A260:D260"/>
    <mergeCell ref="E260:F260"/>
    <mergeCell ref="A251:F251"/>
    <mergeCell ref="A252:F252"/>
    <mergeCell ref="A253:C259"/>
    <mergeCell ref="D253:E253"/>
    <mergeCell ref="D254:E254"/>
    <mergeCell ref="D255:E255"/>
    <mergeCell ref="D256:E256"/>
    <mergeCell ref="D257:E257"/>
    <mergeCell ref="A248:F248"/>
    <mergeCell ref="A249:F249"/>
    <mergeCell ref="A250:F250"/>
    <mergeCell ref="D245:E245"/>
    <mergeCell ref="D246:E246"/>
    <mergeCell ref="A247:D247"/>
    <mergeCell ref="E247:F247"/>
    <mergeCell ref="A238:F238"/>
    <mergeCell ref="A239:F239"/>
    <mergeCell ref="A240:C246"/>
    <mergeCell ref="D240:E240"/>
    <mergeCell ref="D241:E241"/>
    <mergeCell ref="D242:E242"/>
    <mergeCell ref="D243:E243"/>
    <mergeCell ref="D244:E244"/>
    <mergeCell ref="A235:F235"/>
    <mergeCell ref="A236:F236"/>
    <mergeCell ref="A237:F237"/>
    <mergeCell ref="D232:E232"/>
    <mergeCell ref="D233:E233"/>
    <mergeCell ref="A234:D234"/>
    <mergeCell ref="E234:F234"/>
    <mergeCell ref="A225:F225"/>
    <mergeCell ref="A226:F226"/>
    <mergeCell ref="A227:C233"/>
    <mergeCell ref="D227:E227"/>
    <mergeCell ref="D228:E228"/>
    <mergeCell ref="D229:E229"/>
    <mergeCell ref="D230:E230"/>
    <mergeCell ref="D231:E231"/>
    <mergeCell ref="A222:F222"/>
    <mergeCell ref="A223:F223"/>
    <mergeCell ref="A224:F224"/>
    <mergeCell ref="D219:E219"/>
    <mergeCell ref="D220:E220"/>
    <mergeCell ref="A221:D221"/>
    <mergeCell ref="E221:F221"/>
    <mergeCell ref="A212:F212"/>
    <mergeCell ref="A213:F213"/>
    <mergeCell ref="A214:C220"/>
    <mergeCell ref="D214:E214"/>
    <mergeCell ref="D215:E215"/>
    <mergeCell ref="D216:E216"/>
    <mergeCell ref="D217:E217"/>
    <mergeCell ref="D218:E218"/>
    <mergeCell ref="A209:F209"/>
    <mergeCell ref="A210:F210"/>
    <mergeCell ref="A211:F211"/>
    <mergeCell ref="D206:E206"/>
    <mergeCell ref="D207:E207"/>
    <mergeCell ref="A208:D208"/>
    <mergeCell ref="E208:F208"/>
    <mergeCell ref="A199:F199"/>
    <mergeCell ref="A200:F200"/>
    <mergeCell ref="A201:C207"/>
    <mergeCell ref="D201:E201"/>
    <mergeCell ref="D202:E202"/>
    <mergeCell ref="D203:E203"/>
    <mergeCell ref="D204:E204"/>
    <mergeCell ref="D205:E205"/>
    <mergeCell ref="A196:F196"/>
    <mergeCell ref="A197:F197"/>
    <mergeCell ref="A198:F198"/>
    <mergeCell ref="D193:E193"/>
    <mergeCell ref="D194:E194"/>
    <mergeCell ref="A195:D195"/>
    <mergeCell ref="E195:F195"/>
    <mergeCell ref="A186:F186"/>
    <mergeCell ref="A187:F187"/>
    <mergeCell ref="A188:C194"/>
    <mergeCell ref="D188:E188"/>
    <mergeCell ref="D189:E189"/>
    <mergeCell ref="D190:E190"/>
    <mergeCell ref="D191:E191"/>
    <mergeCell ref="D192:E192"/>
    <mergeCell ref="A183:F183"/>
    <mergeCell ref="A184:F184"/>
    <mergeCell ref="A185:F185"/>
    <mergeCell ref="D180:E180"/>
    <mergeCell ref="D181:E181"/>
    <mergeCell ref="A182:D182"/>
    <mergeCell ref="E182:F182"/>
    <mergeCell ref="A173:F173"/>
    <mergeCell ref="A174:F174"/>
    <mergeCell ref="A175:C181"/>
    <mergeCell ref="D175:E175"/>
    <mergeCell ref="D176:E176"/>
    <mergeCell ref="D177:E177"/>
    <mergeCell ref="D178:E178"/>
    <mergeCell ref="D179:E179"/>
    <mergeCell ref="A170:F170"/>
    <mergeCell ref="A171:F171"/>
    <mergeCell ref="A172:F172"/>
    <mergeCell ref="D167:E167"/>
    <mergeCell ref="D168:E168"/>
    <mergeCell ref="A169:D169"/>
    <mergeCell ref="E169:F169"/>
    <mergeCell ref="A160:F160"/>
    <mergeCell ref="A161:F161"/>
    <mergeCell ref="A162:C168"/>
    <mergeCell ref="D162:E162"/>
    <mergeCell ref="D163:E163"/>
    <mergeCell ref="D164:E164"/>
    <mergeCell ref="D165:E165"/>
    <mergeCell ref="D166:E166"/>
    <mergeCell ref="A157:F157"/>
    <mergeCell ref="A158:F158"/>
    <mergeCell ref="A159:F159"/>
    <mergeCell ref="D154:E154"/>
    <mergeCell ref="D155:E155"/>
    <mergeCell ref="A156:D156"/>
    <mergeCell ref="E156:F156"/>
    <mergeCell ref="A147:F147"/>
    <mergeCell ref="A148:F148"/>
    <mergeCell ref="A149:C155"/>
    <mergeCell ref="D149:E149"/>
    <mergeCell ref="D150:E150"/>
    <mergeCell ref="D151:E151"/>
    <mergeCell ref="D152:E152"/>
    <mergeCell ref="D153:E153"/>
    <mergeCell ref="A144:F144"/>
    <mergeCell ref="A145:F145"/>
    <mergeCell ref="A146:F146"/>
    <mergeCell ref="D141:E141"/>
    <mergeCell ref="D142:E142"/>
    <mergeCell ref="A143:D143"/>
    <mergeCell ref="E143:F143"/>
    <mergeCell ref="A134:F134"/>
    <mergeCell ref="A135:F135"/>
    <mergeCell ref="A136:C142"/>
    <mergeCell ref="D136:E136"/>
    <mergeCell ref="D137:E137"/>
    <mergeCell ref="D138:E138"/>
    <mergeCell ref="D139:E139"/>
    <mergeCell ref="D140:E140"/>
    <mergeCell ref="A131:F131"/>
    <mergeCell ref="A132:F132"/>
    <mergeCell ref="A133:F133"/>
    <mergeCell ref="D128:E128"/>
    <mergeCell ref="D129:E129"/>
    <mergeCell ref="A130:D130"/>
    <mergeCell ref="E130:F130"/>
    <mergeCell ref="A121:F121"/>
    <mergeCell ref="A122:F122"/>
    <mergeCell ref="A123:C129"/>
    <mergeCell ref="D123:E123"/>
    <mergeCell ref="D124:E124"/>
    <mergeCell ref="D125:E125"/>
    <mergeCell ref="D126:E126"/>
    <mergeCell ref="D127:E127"/>
    <mergeCell ref="A118:F118"/>
    <mergeCell ref="A119:F119"/>
    <mergeCell ref="A120:F120"/>
    <mergeCell ref="D115:E115"/>
    <mergeCell ref="D116:E116"/>
    <mergeCell ref="A117:D117"/>
    <mergeCell ref="E117:F117"/>
    <mergeCell ref="A108:F108"/>
    <mergeCell ref="A109:F109"/>
    <mergeCell ref="A110:C116"/>
    <mergeCell ref="D110:E110"/>
    <mergeCell ref="D111:E111"/>
    <mergeCell ref="D112:E112"/>
    <mergeCell ref="D113:E113"/>
    <mergeCell ref="D114:E114"/>
    <mergeCell ref="A105:F105"/>
    <mergeCell ref="A106:F106"/>
    <mergeCell ref="A107:F107"/>
    <mergeCell ref="D102:E102"/>
    <mergeCell ref="D103:E103"/>
    <mergeCell ref="A104:D104"/>
    <mergeCell ref="E104:F104"/>
    <mergeCell ref="A95:F95"/>
    <mergeCell ref="A96:F96"/>
    <mergeCell ref="A97:C103"/>
    <mergeCell ref="D97:E97"/>
    <mergeCell ref="D98:E98"/>
    <mergeCell ref="D99:E99"/>
    <mergeCell ref="D100:E100"/>
    <mergeCell ref="D101:E101"/>
    <mergeCell ref="A92:F92"/>
    <mergeCell ref="A93:F93"/>
    <mergeCell ref="A94:F94"/>
    <mergeCell ref="D89:E89"/>
    <mergeCell ref="D90:E90"/>
    <mergeCell ref="A91:D91"/>
    <mergeCell ref="E91:F91"/>
    <mergeCell ref="A82:F82"/>
    <mergeCell ref="A83:F83"/>
    <mergeCell ref="A84:C90"/>
    <mergeCell ref="D84:E84"/>
    <mergeCell ref="D85:E85"/>
    <mergeCell ref="D86:E86"/>
    <mergeCell ref="D87:E87"/>
    <mergeCell ref="D88:E88"/>
    <mergeCell ref="A79:F79"/>
    <mergeCell ref="A80:F80"/>
    <mergeCell ref="A81:F81"/>
    <mergeCell ref="D76:E76"/>
    <mergeCell ref="D77:E77"/>
    <mergeCell ref="A78:D78"/>
    <mergeCell ref="E78:F78"/>
    <mergeCell ref="A69:F69"/>
    <mergeCell ref="A70:F70"/>
    <mergeCell ref="A71:C77"/>
    <mergeCell ref="D71:E71"/>
    <mergeCell ref="D72:E72"/>
    <mergeCell ref="D73:E73"/>
    <mergeCell ref="D74:E74"/>
    <mergeCell ref="D75:E75"/>
    <mergeCell ref="A66:F66"/>
    <mergeCell ref="A67:F67"/>
    <mergeCell ref="A68:F68"/>
    <mergeCell ref="D64:E64"/>
    <mergeCell ref="A65:D65"/>
    <mergeCell ref="E65:F65"/>
    <mergeCell ref="A57:F57"/>
    <mergeCell ref="A58:C64"/>
    <mergeCell ref="D58:E58"/>
    <mergeCell ref="D59:E59"/>
    <mergeCell ref="D60:E60"/>
    <mergeCell ref="D61:E61"/>
    <mergeCell ref="D62:E62"/>
    <mergeCell ref="D63:E63"/>
    <mergeCell ref="A54:F54"/>
    <mergeCell ref="A55:F55"/>
    <mergeCell ref="A56:F56"/>
    <mergeCell ref="A52:D52"/>
    <mergeCell ref="E52:F52"/>
    <mergeCell ref="A53:F53"/>
    <mergeCell ref="A45:C51"/>
    <mergeCell ref="D45:E45"/>
    <mergeCell ref="D46:E46"/>
    <mergeCell ref="D47:E47"/>
    <mergeCell ref="D48:E48"/>
    <mergeCell ref="D49:E49"/>
    <mergeCell ref="D50:E50"/>
    <mergeCell ref="D51:E51"/>
    <mergeCell ref="A42:F42"/>
    <mergeCell ref="A43:F43"/>
    <mergeCell ref="A44:F44"/>
    <mergeCell ref="A40:F40"/>
    <mergeCell ref="A41:F41"/>
    <mergeCell ref="A39:D39"/>
    <mergeCell ref="E39:F39"/>
    <mergeCell ref="A30:F30"/>
    <mergeCell ref="A31:F31"/>
    <mergeCell ref="A32:C38"/>
    <mergeCell ref="D32:E32"/>
    <mergeCell ref="D33:E33"/>
    <mergeCell ref="D34:E34"/>
    <mergeCell ref="D35:E35"/>
    <mergeCell ref="D36:E36"/>
    <mergeCell ref="D37:E37"/>
    <mergeCell ref="D38:E38"/>
    <mergeCell ref="A26:D26"/>
    <mergeCell ref="E26:F26"/>
    <mergeCell ref="A27:F27"/>
    <mergeCell ref="A28:F28"/>
    <mergeCell ref="A29:F29"/>
    <mergeCell ref="A18:F18"/>
    <mergeCell ref="A19:C25"/>
    <mergeCell ref="D19:E19"/>
    <mergeCell ref="D20:E20"/>
    <mergeCell ref="D21:E21"/>
    <mergeCell ref="D22:E22"/>
    <mergeCell ref="D23:E23"/>
    <mergeCell ref="D24:E24"/>
    <mergeCell ref="D25:E25"/>
    <mergeCell ref="D6:E6"/>
    <mergeCell ref="A14:F14"/>
    <mergeCell ref="A15:F15"/>
    <mergeCell ref="A16:F16"/>
    <mergeCell ref="A17:F17"/>
    <mergeCell ref="A1:F1"/>
    <mergeCell ref="A13:D13"/>
    <mergeCell ref="E13:F13"/>
    <mergeCell ref="D9:E9"/>
    <mergeCell ref="D8:E8"/>
    <mergeCell ref="D10:E10"/>
    <mergeCell ref="D11:E11"/>
    <mergeCell ref="D12:E12"/>
    <mergeCell ref="A2:F2"/>
    <mergeCell ref="A3:F3"/>
    <mergeCell ref="A4:F4"/>
    <mergeCell ref="D7:E7"/>
    <mergeCell ref="A5:F5"/>
    <mergeCell ref="A6:C1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B9CA0-2486-4B0E-98A1-4BEEB01C0E63}">
  <sheetPr codeName="Sheet12"/>
  <dimension ref="A1:S24"/>
  <sheetViews>
    <sheetView zoomScale="130" zoomScaleNormal="130" workbookViewId="0">
      <selection activeCell="F32" sqref="F32"/>
    </sheetView>
  </sheetViews>
  <sheetFormatPr defaultRowHeight="15"/>
  <cols>
    <col min="1" max="1" width="11.140625" customWidth="1"/>
    <col min="2" max="2" width="49.28515625" bestFit="1" customWidth="1"/>
    <col min="3" max="3" width="15.140625" customWidth="1"/>
    <col min="4" max="4" width="8.85546875" customWidth="1"/>
    <col min="5" max="5" width="11" customWidth="1"/>
    <col min="6" max="12" width="8.85546875" customWidth="1"/>
  </cols>
  <sheetData>
    <row r="1" spans="1:19" ht="15.75">
      <c r="A1" s="311" t="s">
        <v>302</v>
      </c>
      <c r="B1" s="311"/>
      <c r="C1" s="311"/>
      <c r="D1" s="311"/>
      <c r="E1" s="311"/>
      <c r="F1" s="311"/>
      <c r="G1" s="311"/>
      <c r="H1" s="311"/>
      <c r="I1" s="311"/>
      <c r="J1" s="311"/>
      <c r="K1" s="311"/>
      <c r="L1" s="311"/>
      <c r="M1" s="311"/>
      <c r="N1" s="311"/>
      <c r="O1" s="311"/>
      <c r="P1" s="311"/>
      <c r="Q1" s="311"/>
      <c r="R1" s="311"/>
      <c r="S1" s="311"/>
    </row>
    <row r="2" spans="1:19" ht="15.75">
      <c r="A2" s="312" t="s">
        <v>303</v>
      </c>
      <c r="B2" s="312" t="s">
        <v>304</v>
      </c>
      <c r="C2" s="312" t="s">
        <v>305</v>
      </c>
      <c r="D2" s="312" t="s">
        <v>306</v>
      </c>
      <c r="E2" s="312" t="s">
        <v>243</v>
      </c>
      <c r="F2" s="312" t="s">
        <v>244</v>
      </c>
      <c r="G2" s="312" t="s">
        <v>307</v>
      </c>
      <c r="H2" s="312" t="s">
        <v>245</v>
      </c>
      <c r="I2" s="312" t="s">
        <v>246</v>
      </c>
      <c r="J2" s="312" t="s">
        <v>247</v>
      </c>
      <c r="K2" s="312" t="s">
        <v>248</v>
      </c>
      <c r="L2" s="312" t="s">
        <v>249</v>
      </c>
      <c r="M2" s="312" t="s">
        <v>308</v>
      </c>
      <c r="N2" s="312" t="s">
        <v>309</v>
      </c>
      <c r="O2" s="312" t="s">
        <v>310</v>
      </c>
      <c r="P2" s="312" t="s">
        <v>311</v>
      </c>
      <c r="Q2" s="312" t="s">
        <v>312</v>
      </c>
      <c r="R2" s="312" t="s">
        <v>313</v>
      </c>
      <c r="S2" s="312" t="s">
        <v>314</v>
      </c>
    </row>
    <row r="3" spans="1:19" ht="18.75">
      <c r="A3" s="313" t="s">
        <v>315</v>
      </c>
      <c r="B3" s="314" t="s">
        <v>316</v>
      </c>
      <c r="C3" s="315" t="s">
        <v>317</v>
      </c>
      <c r="D3" s="316">
        <f>D4/0.7786</f>
        <v>12.843565373747753</v>
      </c>
      <c r="E3" s="316">
        <f t="shared" ref="E3:S3" si="0">E4/0.7786</f>
        <v>19.26534806062163</v>
      </c>
      <c r="F3" s="316">
        <f t="shared" si="0"/>
        <v>25.687130747495505</v>
      </c>
      <c r="G3" s="316">
        <v>28.9</v>
      </c>
      <c r="H3" s="316">
        <f t="shared" si="0"/>
        <v>32.108913434369384</v>
      </c>
      <c r="I3" s="316">
        <f t="shared" si="0"/>
        <v>38.53069612124326</v>
      </c>
      <c r="J3" s="316">
        <f t="shared" si="0"/>
        <v>44.952478808117135</v>
      </c>
      <c r="K3" s="316">
        <f t="shared" si="0"/>
        <v>51.374261494991011</v>
      </c>
      <c r="L3" s="316">
        <f t="shared" si="0"/>
        <v>57.796044181864886</v>
      </c>
      <c r="M3" s="316">
        <f t="shared" si="0"/>
        <v>64.217826868738769</v>
      </c>
      <c r="N3" s="316">
        <f t="shared" si="0"/>
        <v>70.639609555612637</v>
      </c>
      <c r="O3" s="316">
        <f t="shared" si="0"/>
        <v>77.061392242486519</v>
      </c>
      <c r="P3" s="316">
        <f t="shared" si="0"/>
        <v>89.90495761623427</v>
      </c>
      <c r="Q3" s="316">
        <f t="shared" si="0"/>
        <v>102.74852298998202</v>
      </c>
      <c r="R3" s="316">
        <f t="shared" si="0"/>
        <v>115.59208836372977</v>
      </c>
      <c r="S3" s="316">
        <f t="shared" si="0"/>
        <v>128.43565373747754</v>
      </c>
    </row>
    <row r="4" spans="1:19" ht="15.75">
      <c r="A4" s="317" t="s">
        <v>318</v>
      </c>
      <c r="B4" s="318" t="s">
        <v>319</v>
      </c>
      <c r="C4" s="315" t="s">
        <v>320</v>
      </c>
      <c r="D4" s="319">
        <v>10</v>
      </c>
      <c r="E4" s="319">
        <v>15</v>
      </c>
      <c r="F4" s="319">
        <v>20</v>
      </c>
      <c r="G4" s="319">
        <v>22.5</v>
      </c>
      <c r="H4" s="319">
        <v>25</v>
      </c>
      <c r="I4" s="319">
        <v>30</v>
      </c>
      <c r="J4" s="319">
        <v>35</v>
      </c>
      <c r="K4" s="320">
        <v>40</v>
      </c>
      <c r="L4" s="320">
        <v>45</v>
      </c>
      <c r="M4" s="320">
        <v>50</v>
      </c>
      <c r="N4" s="320">
        <v>55</v>
      </c>
      <c r="O4" s="320">
        <v>60</v>
      </c>
      <c r="P4" s="320">
        <v>70</v>
      </c>
      <c r="Q4" s="320">
        <v>80</v>
      </c>
      <c r="R4" s="320">
        <v>90</v>
      </c>
      <c r="S4" s="320">
        <v>100</v>
      </c>
    </row>
    <row r="5" spans="1:19" ht="18.75">
      <c r="A5" s="313" t="s">
        <v>321</v>
      </c>
      <c r="B5" s="314" t="s">
        <v>322</v>
      </c>
      <c r="C5" s="321" t="s">
        <v>323</v>
      </c>
      <c r="D5" s="322">
        <v>7.5</v>
      </c>
      <c r="E5" s="322">
        <v>11</v>
      </c>
      <c r="F5" s="322">
        <v>15</v>
      </c>
      <c r="G5" s="322">
        <v>16.7</v>
      </c>
      <c r="H5" s="322">
        <v>18.5</v>
      </c>
      <c r="I5" s="322">
        <v>22</v>
      </c>
      <c r="J5" s="322">
        <v>25.5</v>
      </c>
      <c r="K5" s="323">
        <v>29</v>
      </c>
      <c r="L5" s="323">
        <v>32</v>
      </c>
      <c r="M5" s="323">
        <v>36</v>
      </c>
      <c r="N5" s="323">
        <v>39.5</v>
      </c>
      <c r="O5" s="323">
        <v>43</v>
      </c>
      <c r="P5" s="323">
        <v>50</v>
      </c>
      <c r="Q5" s="323">
        <v>57</v>
      </c>
      <c r="R5" s="323">
        <v>64</v>
      </c>
      <c r="S5" s="323">
        <v>71</v>
      </c>
    </row>
    <row r="6" spans="1:19" ht="18.75">
      <c r="A6" s="317" t="s">
        <v>324</v>
      </c>
      <c r="B6" s="318" t="s">
        <v>325</v>
      </c>
      <c r="C6" s="321" t="s">
        <v>323</v>
      </c>
      <c r="D6" s="324">
        <v>0.85</v>
      </c>
      <c r="E6" s="324">
        <v>1.1000000000000001</v>
      </c>
      <c r="F6" s="324">
        <v>1.35</v>
      </c>
      <c r="G6" s="324">
        <v>1.5</v>
      </c>
      <c r="H6" s="324">
        <v>1.55</v>
      </c>
      <c r="I6" s="324">
        <v>1.75</v>
      </c>
      <c r="J6" s="324">
        <v>1.95</v>
      </c>
      <c r="K6" s="324">
        <v>2.1</v>
      </c>
      <c r="L6" s="324">
        <v>2.25</v>
      </c>
      <c r="M6" s="324">
        <v>2.4500000000000002</v>
      </c>
      <c r="N6" s="324">
        <v>2.6</v>
      </c>
      <c r="O6" s="324">
        <v>2.75</v>
      </c>
      <c r="P6" s="324">
        <v>3</v>
      </c>
      <c r="Q6" s="324">
        <v>3.3</v>
      </c>
      <c r="R6" s="324">
        <v>3.6</v>
      </c>
      <c r="S6" s="324">
        <v>3.8</v>
      </c>
    </row>
    <row r="7" spans="1:19" ht="18.75">
      <c r="A7" s="313" t="s">
        <v>326</v>
      </c>
      <c r="B7" s="314" t="s">
        <v>327</v>
      </c>
      <c r="C7" s="321" t="s">
        <v>328</v>
      </c>
      <c r="D7" s="325">
        <v>6</v>
      </c>
      <c r="E7" s="325">
        <v>8.5</v>
      </c>
      <c r="F7" s="325">
        <v>11.5</v>
      </c>
      <c r="G7" s="325">
        <v>13</v>
      </c>
      <c r="H7" s="325">
        <v>14.5</v>
      </c>
      <c r="I7" s="325">
        <v>17</v>
      </c>
      <c r="J7" s="325">
        <v>19.5</v>
      </c>
      <c r="K7" s="326">
        <v>22</v>
      </c>
      <c r="L7" s="326">
        <v>25</v>
      </c>
      <c r="M7" s="326">
        <v>27.5</v>
      </c>
      <c r="N7" s="326">
        <v>30</v>
      </c>
      <c r="O7" s="326">
        <v>33</v>
      </c>
      <c r="P7" s="326">
        <v>37</v>
      </c>
      <c r="Q7" s="326">
        <v>41</v>
      </c>
      <c r="R7" s="326">
        <v>44</v>
      </c>
      <c r="S7" s="326">
        <v>47.5</v>
      </c>
    </row>
    <row r="8" spans="1:19" ht="18.75">
      <c r="A8" s="317" t="s">
        <v>329</v>
      </c>
      <c r="B8" s="318" t="s">
        <v>330</v>
      </c>
      <c r="C8" s="315" t="s">
        <v>328</v>
      </c>
      <c r="D8" s="327">
        <v>0.56000000000000005</v>
      </c>
      <c r="E8" s="327">
        <v>0.75</v>
      </c>
      <c r="F8" s="327">
        <v>0.9</v>
      </c>
      <c r="G8" s="327">
        <v>1</v>
      </c>
      <c r="H8" s="327">
        <v>1.05</v>
      </c>
      <c r="I8" s="327">
        <v>1.1499999999999999</v>
      </c>
      <c r="J8" s="327">
        <v>1.3</v>
      </c>
      <c r="K8" s="328">
        <v>1.4</v>
      </c>
      <c r="L8" s="328">
        <v>1.5</v>
      </c>
      <c r="M8" s="328">
        <v>1.6</v>
      </c>
      <c r="N8" s="328">
        <v>1.7</v>
      </c>
      <c r="O8" s="328">
        <v>1.8</v>
      </c>
      <c r="P8" s="328">
        <v>1.9</v>
      </c>
      <c r="Q8" s="328">
        <v>2.1</v>
      </c>
      <c r="R8" s="328">
        <v>2.15</v>
      </c>
      <c r="S8" s="328">
        <v>2.2000000000000002</v>
      </c>
    </row>
    <row r="9" spans="1:19" ht="18.75">
      <c r="A9" s="313" t="s">
        <v>331</v>
      </c>
      <c r="B9" s="314" t="s">
        <v>332</v>
      </c>
      <c r="C9" s="321" t="s">
        <v>333</v>
      </c>
      <c r="D9" s="329">
        <v>19000</v>
      </c>
      <c r="E9" s="329">
        <v>24000</v>
      </c>
      <c r="F9" s="329">
        <v>27000</v>
      </c>
      <c r="G9" s="329">
        <v>28750</v>
      </c>
      <c r="H9" s="329">
        <v>30000</v>
      </c>
      <c r="I9" s="329">
        <v>32500</v>
      </c>
      <c r="J9" s="329">
        <v>34500</v>
      </c>
      <c r="K9" s="330">
        <v>36000</v>
      </c>
      <c r="L9" s="330">
        <v>37000</v>
      </c>
      <c r="M9" s="330">
        <v>38000</v>
      </c>
      <c r="N9" s="330">
        <v>39000</v>
      </c>
      <c r="O9" s="330">
        <v>39500</v>
      </c>
      <c r="P9" s="330">
        <v>41000</v>
      </c>
      <c r="Q9" s="330">
        <v>42000</v>
      </c>
      <c r="R9" s="330">
        <v>42500</v>
      </c>
      <c r="S9" s="330">
        <v>43000</v>
      </c>
    </row>
    <row r="10" spans="1:19" ht="15.75">
      <c r="A10" s="629" t="s">
        <v>334</v>
      </c>
      <c r="B10" s="314" t="s">
        <v>335</v>
      </c>
      <c r="C10" s="632" t="s">
        <v>336</v>
      </c>
      <c r="D10" s="331">
        <v>2.8</v>
      </c>
      <c r="E10" s="331">
        <v>2.4</v>
      </c>
      <c r="F10" s="331">
        <v>2</v>
      </c>
      <c r="G10" s="331">
        <v>1.9</v>
      </c>
      <c r="H10" s="331">
        <v>1.8</v>
      </c>
      <c r="I10" s="331">
        <v>1.6</v>
      </c>
      <c r="J10" s="331">
        <v>1.5</v>
      </c>
      <c r="K10" s="332">
        <v>1.4</v>
      </c>
      <c r="L10" s="332">
        <v>1.3</v>
      </c>
      <c r="M10" s="332">
        <v>1.2</v>
      </c>
      <c r="N10" s="332">
        <v>1.1000000000000001</v>
      </c>
      <c r="O10" s="332">
        <v>1</v>
      </c>
      <c r="P10" s="332">
        <v>1</v>
      </c>
      <c r="Q10" s="332">
        <v>1</v>
      </c>
      <c r="R10" s="332">
        <v>1</v>
      </c>
      <c r="S10" s="332">
        <v>1</v>
      </c>
    </row>
    <row r="11" spans="1:19" ht="15.75">
      <c r="A11" s="630"/>
      <c r="B11" s="314" t="s">
        <v>337</v>
      </c>
      <c r="C11" s="633"/>
      <c r="D11" s="333">
        <v>3.9</v>
      </c>
      <c r="E11" s="333">
        <v>3.4</v>
      </c>
      <c r="F11" s="333">
        <v>2.8</v>
      </c>
      <c r="G11" s="333">
        <f>(H11+F11)/2</f>
        <v>2.65</v>
      </c>
      <c r="H11" s="333">
        <v>2.5</v>
      </c>
      <c r="I11" s="333">
        <v>2.2999999999999998</v>
      </c>
      <c r="J11" s="333">
        <v>2.1</v>
      </c>
      <c r="K11" s="334">
        <v>1.9</v>
      </c>
      <c r="L11" s="334">
        <v>1.8</v>
      </c>
      <c r="M11" s="334">
        <v>1.6</v>
      </c>
      <c r="N11" s="334">
        <v>1.5</v>
      </c>
      <c r="O11" s="334">
        <v>1.4</v>
      </c>
      <c r="P11" s="334">
        <v>1.4</v>
      </c>
      <c r="Q11" s="334">
        <v>1.4</v>
      </c>
      <c r="R11" s="334">
        <v>1.4</v>
      </c>
      <c r="S11" s="334">
        <v>1.4</v>
      </c>
    </row>
    <row r="12" spans="1:19" ht="15.75">
      <c r="A12" s="631"/>
      <c r="B12" s="314" t="s">
        <v>338</v>
      </c>
      <c r="C12" s="634"/>
      <c r="D12" s="322">
        <v>5.6</v>
      </c>
      <c r="E12" s="322">
        <v>4.8</v>
      </c>
      <c r="F12" s="322">
        <v>4</v>
      </c>
      <c r="G12" s="333">
        <f>(H12+F12)/2</f>
        <v>3.8</v>
      </c>
      <c r="H12" s="322">
        <v>3.6</v>
      </c>
      <c r="I12" s="322">
        <v>3.2</v>
      </c>
      <c r="J12" s="322">
        <v>3</v>
      </c>
      <c r="K12" s="323">
        <v>2.8</v>
      </c>
      <c r="L12" s="323">
        <v>2.6</v>
      </c>
      <c r="M12" s="323">
        <v>2.4</v>
      </c>
      <c r="N12" s="323">
        <v>2.2000000000000002</v>
      </c>
      <c r="O12" s="323">
        <v>2</v>
      </c>
      <c r="P12" s="323">
        <v>2</v>
      </c>
      <c r="Q12" s="323">
        <v>2</v>
      </c>
      <c r="R12" s="323">
        <v>2</v>
      </c>
      <c r="S12" s="323">
        <v>2</v>
      </c>
    </row>
    <row r="13" spans="1:19" ht="18.75">
      <c r="A13" s="335" t="s">
        <v>339</v>
      </c>
      <c r="B13" s="318" t="s">
        <v>340</v>
      </c>
      <c r="C13" s="315" t="s">
        <v>341</v>
      </c>
      <c r="D13" s="327">
        <v>0.2</v>
      </c>
      <c r="E13" s="327">
        <v>0.2</v>
      </c>
      <c r="F13" s="327">
        <v>0.2</v>
      </c>
      <c r="G13" s="327">
        <v>0.2</v>
      </c>
      <c r="H13" s="327">
        <v>0.2</v>
      </c>
      <c r="I13" s="327">
        <v>0.2</v>
      </c>
      <c r="J13" s="327">
        <v>0.2</v>
      </c>
      <c r="K13" s="327">
        <v>0.2</v>
      </c>
      <c r="L13" s="327">
        <v>0.2</v>
      </c>
      <c r="M13" s="327">
        <v>0.2</v>
      </c>
      <c r="N13" s="327">
        <v>0.2</v>
      </c>
      <c r="O13" s="327">
        <v>0.2</v>
      </c>
      <c r="P13" s="327">
        <v>0.2</v>
      </c>
      <c r="Q13" s="327">
        <v>0.2</v>
      </c>
      <c r="R13" s="327">
        <v>0.2</v>
      </c>
      <c r="S13" s="327">
        <v>0.2</v>
      </c>
    </row>
    <row r="14" spans="1:19" ht="19.5">
      <c r="A14" s="336" t="s">
        <v>342</v>
      </c>
      <c r="B14" s="314" t="s">
        <v>343</v>
      </c>
      <c r="C14" s="315" t="s">
        <v>344</v>
      </c>
      <c r="D14" s="337">
        <v>1.0000000000000001E-5</v>
      </c>
      <c r="E14" s="337">
        <v>1.0000000000000001E-5</v>
      </c>
      <c r="F14" s="337">
        <v>1.0000000000000001E-5</v>
      </c>
      <c r="G14" s="337">
        <v>1.0000000000000001E-5</v>
      </c>
      <c r="H14" s="337">
        <v>1.0000000000000001E-5</v>
      </c>
      <c r="I14" s="337">
        <v>1.0000000000000001E-5</v>
      </c>
      <c r="J14" s="337">
        <v>1.0000000000000001E-5</v>
      </c>
      <c r="K14" s="337">
        <v>1.0000000000000001E-5</v>
      </c>
      <c r="L14" s="337">
        <v>1.0000000000000001E-5</v>
      </c>
      <c r="M14" s="337">
        <v>1.0000000000000001E-5</v>
      </c>
      <c r="N14" s="337">
        <v>1.0000000000000001E-5</v>
      </c>
      <c r="O14" s="337">
        <v>1.0000000000000001E-5</v>
      </c>
      <c r="P14" s="337">
        <v>1.0000000000000001E-5</v>
      </c>
      <c r="Q14" s="337">
        <v>1.0000000000000001E-5</v>
      </c>
      <c r="R14" s="337">
        <v>1.0000000000000001E-5</v>
      </c>
      <c r="S14" s="337">
        <v>1.0000000000000001E-5</v>
      </c>
    </row>
    <row r="16" spans="1:19" ht="15.75">
      <c r="A16" s="338" t="s">
        <v>345</v>
      </c>
      <c r="B16" s="311"/>
      <c r="C16" s="311"/>
      <c r="D16" s="635" t="s">
        <v>346</v>
      </c>
      <c r="E16" s="635"/>
      <c r="F16" s="635"/>
      <c r="G16" s="635"/>
      <c r="H16" s="635"/>
      <c r="I16" s="635"/>
      <c r="J16" s="636" t="s">
        <v>347</v>
      </c>
      <c r="K16" s="636"/>
      <c r="L16" s="636"/>
      <c r="M16" s="636"/>
      <c r="N16" s="636"/>
    </row>
    <row r="17" spans="1:14" ht="15.75">
      <c r="A17" s="312" t="s">
        <v>303</v>
      </c>
      <c r="B17" s="312" t="s">
        <v>304</v>
      </c>
      <c r="C17" s="312" t="s">
        <v>305</v>
      </c>
      <c r="D17" s="312" t="s">
        <v>348</v>
      </c>
      <c r="E17" s="312" t="s">
        <v>349</v>
      </c>
      <c r="F17" s="312" t="s">
        <v>350</v>
      </c>
      <c r="G17" s="312" t="s">
        <v>351</v>
      </c>
      <c r="H17" s="312" t="s">
        <v>352</v>
      </c>
      <c r="I17" s="312" t="s">
        <v>353</v>
      </c>
      <c r="J17" s="312" t="s">
        <v>354</v>
      </c>
      <c r="K17" s="312" t="s">
        <v>355</v>
      </c>
      <c r="L17" s="312" t="s">
        <v>356</v>
      </c>
      <c r="M17" s="312" t="s">
        <v>357</v>
      </c>
      <c r="N17" s="312"/>
    </row>
    <row r="18" spans="1:14" ht="18.75">
      <c r="A18" s="339" t="s">
        <v>358</v>
      </c>
      <c r="B18" s="314" t="s">
        <v>359</v>
      </c>
      <c r="C18" s="321" t="s">
        <v>360</v>
      </c>
      <c r="D18" s="340">
        <v>380</v>
      </c>
      <c r="E18" s="340">
        <v>440</v>
      </c>
      <c r="F18" s="340">
        <v>450</v>
      </c>
      <c r="G18" s="340">
        <v>570</v>
      </c>
      <c r="H18" s="340">
        <v>650</v>
      </c>
      <c r="I18" s="340">
        <v>710</v>
      </c>
      <c r="J18" s="340">
        <v>440</v>
      </c>
      <c r="K18" s="340">
        <v>490</v>
      </c>
      <c r="L18" s="340">
        <v>560</v>
      </c>
      <c r="M18" s="340">
        <v>620</v>
      </c>
      <c r="N18" s="340"/>
    </row>
    <row r="19" spans="1:14" ht="18.75">
      <c r="A19" s="339" t="s">
        <v>361</v>
      </c>
      <c r="B19" s="314" t="s">
        <v>362</v>
      </c>
      <c r="C19" s="321" t="s">
        <v>360</v>
      </c>
      <c r="D19" s="340">
        <v>240</v>
      </c>
      <c r="E19" s="340">
        <v>300</v>
      </c>
      <c r="F19" s="340">
        <v>300</v>
      </c>
      <c r="G19" s="340">
        <v>400</v>
      </c>
      <c r="H19" s="340">
        <v>500</v>
      </c>
      <c r="I19" s="340">
        <v>600</v>
      </c>
      <c r="J19" s="340">
        <v>295</v>
      </c>
      <c r="K19" s="340">
        <v>345</v>
      </c>
      <c r="L19" s="340">
        <v>390</v>
      </c>
      <c r="M19" s="340">
        <v>490</v>
      </c>
      <c r="N19" s="340"/>
    </row>
    <row r="20" spans="1:14" ht="18.75">
      <c r="A20" s="313" t="s">
        <v>363</v>
      </c>
      <c r="B20" s="314" t="s">
        <v>364</v>
      </c>
      <c r="C20" s="321" t="s">
        <v>365</v>
      </c>
      <c r="D20" s="340">
        <v>240</v>
      </c>
      <c r="E20" s="340">
        <v>300</v>
      </c>
      <c r="F20" s="340">
        <v>300</v>
      </c>
      <c r="G20" s="340">
        <v>400</v>
      </c>
      <c r="H20" s="340">
        <v>500</v>
      </c>
      <c r="I20" s="340">
        <v>600</v>
      </c>
      <c r="J20" s="340">
        <v>295</v>
      </c>
      <c r="K20" s="340">
        <v>345</v>
      </c>
      <c r="L20" s="340">
        <v>390</v>
      </c>
      <c r="M20" s="340">
        <v>490</v>
      </c>
      <c r="N20" s="340"/>
    </row>
    <row r="21" spans="1:14" ht="18.75">
      <c r="A21" s="339" t="s">
        <v>366</v>
      </c>
      <c r="B21" s="314" t="s">
        <v>367</v>
      </c>
      <c r="C21" s="321" t="s">
        <v>368</v>
      </c>
      <c r="D21" s="341">
        <v>210</v>
      </c>
      <c r="E21" s="341">
        <v>260</v>
      </c>
      <c r="F21" s="341">
        <v>260</v>
      </c>
      <c r="G21" s="341">
        <v>350</v>
      </c>
      <c r="H21" s="341">
        <v>435</v>
      </c>
      <c r="I21" s="341">
        <v>520</v>
      </c>
      <c r="J21" s="342">
        <f>J20/1.15</f>
        <v>256.52173913043481</v>
      </c>
      <c r="K21" s="342">
        <f>K20/1.15</f>
        <v>300</v>
      </c>
      <c r="L21" s="342">
        <f>L20/1.15</f>
        <v>339.13043478260875</v>
      </c>
      <c r="M21" s="342">
        <f>M20/1.15</f>
        <v>426.08695652173918</v>
      </c>
      <c r="N21" s="342"/>
    </row>
    <row r="22" spans="1:14" ht="18.75">
      <c r="A22" s="339" t="s">
        <v>369</v>
      </c>
      <c r="B22" s="314" t="s">
        <v>370</v>
      </c>
      <c r="C22" s="321" t="s">
        <v>368</v>
      </c>
      <c r="D22" s="340">
        <v>210</v>
      </c>
      <c r="E22" s="340">
        <v>260</v>
      </c>
      <c r="F22" s="340">
        <v>260</v>
      </c>
      <c r="G22" s="340">
        <v>350</v>
      </c>
      <c r="H22" s="343">
        <v>400</v>
      </c>
      <c r="I22" s="343">
        <v>400</v>
      </c>
      <c r="J22" s="344">
        <v>257</v>
      </c>
      <c r="K22" s="344">
        <v>300</v>
      </c>
      <c r="L22" s="344">
        <v>339</v>
      </c>
      <c r="M22" s="344">
        <v>400</v>
      </c>
      <c r="N22" s="344"/>
    </row>
    <row r="23" spans="1:14" ht="18.75">
      <c r="A23" s="339" t="s">
        <v>371</v>
      </c>
      <c r="B23" s="314" t="s">
        <v>372</v>
      </c>
      <c r="C23" s="321" t="s">
        <v>373</v>
      </c>
      <c r="D23" s="341">
        <v>170</v>
      </c>
      <c r="E23" s="341">
        <v>210</v>
      </c>
      <c r="F23" s="341">
        <v>210</v>
      </c>
      <c r="G23" s="341">
        <v>280</v>
      </c>
      <c r="H23" s="345">
        <v>300</v>
      </c>
      <c r="I23" s="345">
        <v>300</v>
      </c>
      <c r="J23" s="346">
        <f>J22*0.7</f>
        <v>179.89999999999998</v>
      </c>
      <c r="K23" s="346">
        <f>K22*0.7</f>
        <v>210</v>
      </c>
      <c r="L23" s="346">
        <f>L22*0.7</f>
        <v>237.29999999999998</v>
      </c>
      <c r="M23" s="346">
        <f>M22*0.7</f>
        <v>280</v>
      </c>
      <c r="N23" s="346"/>
    </row>
    <row r="24" spans="1:14" ht="18.75">
      <c r="A24" s="339" t="s">
        <v>374</v>
      </c>
      <c r="B24" s="314" t="s">
        <v>375</v>
      </c>
      <c r="C24" s="321" t="s">
        <v>376</v>
      </c>
      <c r="D24" s="347">
        <v>200000</v>
      </c>
      <c r="E24" s="347">
        <v>200000</v>
      </c>
      <c r="F24" s="347">
        <v>200000</v>
      </c>
      <c r="G24" s="347">
        <v>200000</v>
      </c>
      <c r="H24" s="347">
        <v>200000</v>
      </c>
      <c r="I24" s="347">
        <v>200000</v>
      </c>
      <c r="J24" s="347">
        <v>200000</v>
      </c>
      <c r="K24" s="347">
        <v>200000</v>
      </c>
      <c r="L24" s="347">
        <v>200000</v>
      </c>
      <c r="M24" s="347">
        <v>200000</v>
      </c>
      <c r="N24" s="347"/>
    </row>
  </sheetData>
  <mergeCells count="4">
    <mergeCell ref="A10:A12"/>
    <mergeCell ref="C10:C12"/>
    <mergeCell ref="D16:I16"/>
    <mergeCell ref="J16:N16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3"/>
  <sheetViews>
    <sheetView workbookViewId="0">
      <selection activeCell="A4" sqref="A4:C16"/>
    </sheetView>
  </sheetViews>
  <sheetFormatPr defaultRowHeight="15"/>
  <cols>
    <col min="1" max="1" width="9.42578125" style="175" bestFit="1" customWidth="1"/>
    <col min="2" max="2" width="14.85546875" style="175" bestFit="1" customWidth="1"/>
    <col min="3" max="3" width="11.7109375" style="175" bestFit="1" customWidth="1"/>
  </cols>
  <sheetData>
    <row r="1" spans="1:4">
      <c r="A1" s="175" t="s">
        <v>204</v>
      </c>
      <c r="B1" s="637" t="s">
        <v>205</v>
      </c>
      <c r="C1" s="638"/>
      <c r="D1" t="s">
        <v>206</v>
      </c>
    </row>
    <row r="2" spans="1:4">
      <c r="A2" s="175" t="s">
        <v>207</v>
      </c>
      <c r="B2" s="175" t="s">
        <v>208</v>
      </c>
      <c r="C2" s="175" t="s">
        <v>209</v>
      </c>
    </row>
    <row r="3" spans="1:4">
      <c r="A3" s="175" t="s">
        <v>210</v>
      </c>
      <c r="B3" s="175" t="s">
        <v>211</v>
      </c>
      <c r="C3" s="175" t="s">
        <v>212</v>
      </c>
    </row>
  </sheetData>
  <mergeCells count="1">
    <mergeCell ref="B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</vt:i4>
      </vt:variant>
    </vt:vector>
  </HeadingPairs>
  <TitlesOfParts>
    <vt:vector size="21" baseType="lpstr">
      <vt:lpstr>Vach</vt:lpstr>
      <vt:lpstr>Cot</vt:lpstr>
      <vt:lpstr>Dam</vt:lpstr>
      <vt:lpstr>ThepDamAllMBKC</vt:lpstr>
      <vt:lpstr>save_info</vt:lpstr>
      <vt:lpstr>Thong_ke</vt:lpstr>
      <vt:lpstr>Thong_ke_QS</vt:lpstr>
      <vt:lpstr>To_hop_thep</vt:lpstr>
      <vt:lpstr>Kho_thep</vt:lpstr>
      <vt:lpstr>Kata_QS</vt:lpstr>
      <vt:lpstr>BEAM DESIGN</vt:lpstr>
      <vt:lpstr>SLAB DESIGN</vt:lpstr>
      <vt:lpstr>In_tem_thep</vt:lpstr>
      <vt:lpstr>Data</vt:lpstr>
      <vt:lpstr>Gan_tag_block</vt:lpstr>
      <vt:lpstr>'BEAM DESIGN'!Print_Area</vt:lpstr>
      <vt:lpstr>'SLAB DESIGN'!Print_Area</vt:lpstr>
      <vt:lpstr>Thong_ke_QS!Print_Area</vt:lpstr>
      <vt:lpstr>To_hop_thep!Print_Area</vt:lpstr>
      <vt:lpstr>'BEAM DESIGN'!Print_Titles</vt:lpstr>
      <vt:lpstr>Thong_ke_QS!Print_Titles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HT</dc:creator>
  <cp:lastModifiedBy>Truong Quang Sang</cp:lastModifiedBy>
  <cp:lastPrinted>2026-04-09T05:01:29Z</cp:lastPrinted>
  <dcterms:created xsi:type="dcterms:W3CDTF">2011-07-20T16:59:14Z</dcterms:created>
  <dcterms:modified xsi:type="dcterms:W3CDTF">2026-10-18T07:54:44Z</dcterms:modified>
</cp:coreProperties>
</file>